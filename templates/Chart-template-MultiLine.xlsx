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ickstead\Documents\cgd-general\chart-templates\"/>
    </mc:Choice>
  </mc:AlternateContent>
  <xr:revisionPtr revIDLastSave="0" documentId="8_{80D84F78-CFB6-4996-8835-2E68B17CCBD1}" xr6:coauthVersionLast="47" xr6:coauthVersionMax="47" xr10:uidLastSave="{00000000-0000-0000-0000-000000000000}"/>
  <bookViews>
    <workbookView xWindow="19090" yWindow="-10820" windowWidth="38620" windowHeight="21100" activeTab="2" xr2:uid="{C441C3D3-680E-4A69-9E63-7F025E3E0370}"/>
  </bookViews>
  <sheets>
    <sheet name="Data" sheetId="1" r:id="rId1"/>
    <sheet name="Chart_colours" sheetId="2" r:id="rId2"/>
    <sheet name="Chart_dash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3" i="1"/>
  <c r="B4" i="1"/>
  <c r="C4" i="1"/>
  <c r="G4" i="1" s="1"/>
  <c r="D4" i="1"/>
  <c r="E4" i="1"/>
  <c r="F4" i="1"/>
  <c r="H4" i="1"/>
  <c r="B5" i="1"/>
  <c r="C5" i="1"/>
  <c r="D5" i="1"/>
  <c r="E5" i="1"/>
  <c r="F5" i="1"/>
  <c r="G5" i="1"/>
  <c r="H5" i="1"/>
  <c r="B6" i="1"/>
  <c r="F6" i="1" s="1"/>
  <c r="C6" i="1"/>
  <c r="D6" i="1"/>
  <c r="E6" i="1"/>
  <c r="G6" i="1"/>
  <c r="H6" i="1"/>
  <c r="B7" i="1"/>
  <c r="F7" i="1" s="1"/>
  <c r="C7" i="1"/>
  <c r="D7" i="1"/>
  <c r="E7" i="1"/>
  <c r="G7" i="1"/>
  <c r="H7" i="1"/>
  <c r="B8" i="1"/>
  <c r="F8" i="1" s="1"/>
  <c r="C8" i="1"/>
  <c r="G8" i="1" s="1"/>
  <c r="D8" i="1"/>
  <c r="E8" i="1"/>
  <c r="B9" i="1"/>
  <c r="F9" i="1" s="1"/>
  <c r="C9" i="1"/>
  <c r="G9" i="1" s="1"/>
  <c r="D9" i="1"/>
  <c r="H9" i="1" s="1"/>
  <c r="E9" i="1"/>
  <c r="B10" i="1"/>
  <c r="F10" i="1" s="1"/>
  <c r="C10" i="1"/>
  <c r="G10" i="1" s="1"/>
  <c r="D10" i="1"/>
  <c r="H10" i="1" s="1"/>
  <c r="E10" i="1"/>
  <c r="B11" i="1"/>
  <c r="C11" i="1"/>
  <c r="G11" i="1" s="1"/>
  <c r="D11" i="1"/>
  <c r="F11" i="1" s="1"/>
  <c r="E11" i="1"/>
  <c r="B12" i="1"/>
  <c r="C12" i="1"/>
  <c r="D12" i="1"/>
  <c r="H12" i="1" s="1"/>
  <c r="E12" i="1"/>
  <c r="F12" i="1"/>
  <c r="G12" i="1"/>
  <c r="B13" i="1"/>
  <c r="C13" i="1"/>
  <c r="D13" i="1"/>
  <c r="E13" i="1"/>
  <c r="F13" i="1"/>
  <c r="G13" i="1"/>
  <c r="H13" i="1"/>
  <c r="B14" i="1"/>
  <c r="C14" i="1"/>
  <c r="F14" i="1" s="1"/>
  <c r="D14" i="1"/>
  <c r="E14" i="1"/>
  <c r="G14" i="1"/>
  <c r="H14" i="1"/>
  <c r="B15" i="1"/>
  <c r="F15" i="1" s="1"/>
  <c r="C15" i="1"/>
  <c r="D15" i="1"/>
  <c r="G15" i="1" s="1"/>
  <c r="E15" i="1"/>
  <c r="H15" i="1"/>
  <c r="B16" i="1"/>
  <c r="F16" i="1" s="1"/>
  <c r="C16" i="1"/>
  <c r="G16" i="1" s="1"/>
  <c r="D16" i="1"/>
  <c r="E16" i="1"/>
  <c r="B17" i="1"/>
  <c r="F17" i="1" s="1"/>
  <c r="C17" i="1"/>
  <c r="G17" i="1" s="1"/>
  <c r="D17" i="1"/>
  <c r="H17" i="1" s="1"/>
  <c r="E17" i="1"/>
  <c r="B18" i="1"/>
  <c r="F18" i="1" s="1"/>
  <c r="C18" i="1"/>
  <c r="G18" i="1" s="1"/>
  <c r="D18" i="1"/>
  <c r="H18" i="1" s="1"/>
  <c r="E18" i="1"/>
  <c r="B19" i="1"/>
  <c r="C19" i="1"/>
  <c r="G19" i="1" s="1"/>
  <c r="D19" i="1"/>
  <c r="F19" i="1" s="1"/>
  <c r="E19" i="1"/>
  <c r="B20" i="1"/>
  <c r="C20" i="1"/>
  <c r="D20" i="1"/>
  <c r="H20" i="1" s="1"/>
  <c r="E20" i="1"/>
  <c r="F20" i="1"/>
  <c r="G20" i="1"/>
  <c r="B21" i="1"/>
  <c r="C21" i="1"/>
  <c r="D21" i="1"/>
  <c r="E21" i="1"/>
  <c r="F21" i="1"/>
  <c r="G21" i="1"/>
  <c r="H21" i="1"/>
  <c r="B22" i="1"/>
  <c r="C22" i="1"/>
  <c r="F22" i="1" s="1"/>
  <c r="D22" i="1"/>
  <c r="E22" i="1"/>
  <c r="G22" i="1"/>
  <c r="H22" i="1"/>
  <c r="B23" i="1"/>
  <c r="F23" i="1" s="1"/>
  <c r="C23" i="1"/>
  <c r="D23" i="1"/>
  <c r="G23" i="1" s="1"/>
  <c r="E23" i="1"/>
  <c r="H23" i="1"/>
  <c r="B24" i="1"/>
  <c r="F24" i="1" s="1"/>
  <c r="C24" i="1"/>
  <c r="G24" i="1" s="1"/>
  <c r="D24" i="1"/>
  <c r="E24" i="1"/>
  <c r="B25" i="1"/>
  <c r="F25" i="1" s="1"/>
  <c r="C25" i="1"/>
  <c r="G25" i="1" s="1"/>
  <c r="D25" i="1"/>
  <c r="H25" i="1" s="1"/>
  <c r="E25" i="1"/>
  <c r="B26" i="1"/>
  <c r="F26" i="1" s="1"/>
  <c r="C26" i="1"/>
  <c r="G26" i="1" s="1"/>
  <c r="D26" i="1"/>
  <c r="H26" i="1" s="1"/>
  <c r="E26" i="1"/>
  <c r="B27" i="1"/>
  <c r="C27" i="1"/>
  <c r="G27" i="1" s="1"/>
  <c r="D27" i="1"/>
  <c r="F27" i="1" s="1"/>
  <c r="E27" i="1"/>
  <c r="B28" i="1"/>
  <c r="C28" i="1"/>
  <c r="D28" i="1"/>
  <c r="H28" i="1" s="1"/>
  <c r="E28" i="1"/>
  <c r="F28" i="1"/>
  <c r="G28" i="1"/>
  <c r="B29" i="1"/>
  <c r="C29" i="1"/>
  <c r="D29" i="1"/>
  <c r="E29" i="1"/>
  <c r="F29" i="1"/>
  <c r="G29" i="1"/>
  <c r="H29" i="1"/>
  <c r="B30" i="1"/>
  <c r="C30" i="1"/>
  <c r="F30" i="1" s="1"/>
  <c r="D30" i="1"/>
  <c r="E30" i="1"/>
  <c r="G30" i="1"/>
  <c r="H30" i="1"/>
  <c r="B31" i="1"/>
  <c r="F31" i="1" s="1"/>
  <c r="C31" i="1"/>
  <c r="D31" i="1"/>
  <c r="G31" i="1" s="1"/>
  <c r="E31" i="1"/>
  <c r="H31" i="1"/>
  <c r="B32" i="1"/>
  <c r="F32" i="1" s="1"/>
  <c r="C32" i="1"/>
  <c r="G32" i="1" s="1"/>
  <c r="D32" i="1"/>
  <c r="E32" i="1"/>
  <c r="B33" i="1"/>
  <c r="F33" i="1" s="1"/>
  <c r="C33" i="1"/>
  <c r="G33" i="1" s="1"/>
  <c r="D33" i="1"/>
  <c r="H33" i="1" s="1"/>
  <c r="E33" i="1"/>
  <c r="B34" i="1"/>
  <c r="F34" i="1" s="1"/>
  <c r="C34" i="1"/>
  <c r="G34" i="1" s="1"/>
  <c r="D34" i="1"/>
  <c r="H34" i="1" s="1"/>
  <c r="E34" i="1"/>
  <c r="B35" i="1"/>
  <c r="C35" i="1"/>
  <c r="G35" i="1" s="1"/>
  <c r="D35" i="1"/>
  <c r="F35" i="1" s="1"/>
  <c r="E35" i="1"/>
  <c r="B36" i="1"/>
  <c r="C36" i="1"/>
  <c r="D36" i="1"/>
  <c r="H36" i="1" s="1"/>
  <c r="E36" i="1"/>
  <c r="F36" i="1"/>
  <c r="G36" i="1"/>
  <c r="B37" i="1"/>
  <c r="C37" i="1"/>
  <c r="D37" i="1"/>
  <c r="E37" i="1"/>
  <c r="F37" i="1"/>
  <c r="G37" i="1"/>
  <c r="H37" i="1"/>
  <c r="B38" i="1"/>
  <c r="C38" i="1"/>
  <c r="F38" i="1" s="1"/>
  <c r="D38" i="1"/>
  <c r="E38" i="1"/>
  <c r="G38" i="1"/>
  <c r="H38" i="1"/>
  <c r="B39" i="1"/>
  <c r="F39" i="1" s="1"/>
  <c r="C39" i="1"/>
  <c r="D39" i="1"/>
  <c r="G39" i="1" s="1"/>
  <c r="E39" i="1"/>
  <c r="H39" i="1"/>
  <c r="B40" i="1"/>
  <c r="F40" i="1" s="1"/>
  <c r="C40" i="1"/>
  <c r="G40" i="1" s="1"/>
  <c r="D40" i="1"/>
  <c r="E40" i="1"/>
  <c r="B41" i="1"/>
  <c r="F41" i="1" s="1"/>
  <c r="C41" i="1"/>
  <c r="G41" i="1" s="1"/>
  <c r="D41" i="1"/>
  <c r="H41" i="1" s="1"/>
  <c r="E41" i="1"/>
  <c r="B42" i="1"/>
  <c r="F42" i="1" s="1"/>
  <c r="C42" i="1"/>
  <c r="G42" i="1" s="1"/>
  <c r="D42" i="1"/>
  <c r="H42" i="1" s="1"/>
  <c r="E42" i="1"/>
  <c r="B43" i="1"/>
  <c r="C43" i="1"/>
  <c r="G43" i="1" s="1"/>
  <c r="D43" i="1"/>
  <c r="F43" i="1" s="1"/>
  <c r="E43" i="1"/>
  <c r="B44" i="1"/>
  <c r="C44" i="1"/>
  <c r="D44" i="1"/>
  <c r="H44" i="1" s="1"/>
  <c r="E44" i="1"/>
  <c r="F44" i="1"/>
  <c r="G44" i="1"/>
  <c r="B45" i="1"/>
  <c r="C45" i="1"/>
  <c r="D45" i="1"/>
  <c r="E45" i="1"/>
  <c r="F45" i="1"/>
  <c r="G45" i="1"/>
  <c r="H45" i="1"/>
  <c r="B46" i="1"/>
  <c r="C46" i="1"/>
  <c r="F46" i="1" s="1"/>
  <c r="D46" i="1"/>
  <c r="E46" i="1"/>
  <c r="G46" i="1"/>
  <c r="H46" i="1"/>
  <c r="B47" i="1"/>
  <c r="F47" i="1" s="1"/>
  <c r="C47" i="1"/>
  <c r="D47" i="1"/>
  <c r="G47" i="1" s="1"/>
  <c r="E47" i="1"/>
  <c r="H47" i="1"/>
  <c r="B48" i="1"/>
  <c r="F48" i="1" s="1"/>
  <c r="C48" i="1"/>
  <c r="G48" i="1" s="1"/>
  <c r="D48" i="1"/>
  <c r="E48" i="1"/>
  <c r="B49" i="1"/>
  <c r="F49" i="1" s="1"/>
  <c r="C49" i="1"/>
  <c r="G49" i="1" s="1"/>
  <c r="D49" i="1"/>
  <c r="H49" i="1" s="1"/>
  <c r="E49" i="1"/>
  <c r="B50" i="1"/>
  <c r="F50" i="1" s="1"/>
  <c r="C50" i="1"/>
  <c r="G50" i="1" s="1"/>
  <c r="D50" i="1"/>
  <c r="H50" i="1" s="1"/>
  <c r="E50" i="1"/>
  <c r="B51" i="1"/>
  <c r="C51" i="1"/>
  <c r="G51" i="1" s="1"/>
  <c r="D51" i="1"/>
  <c r="F51" i="1" s="1"/>
  <c r="E51" i="1"/>
  <c r="B52" i="1"/>
  <c r="C52" i="1"/>
  <c r="D52" i="1"/>
  <c r="H52" i="1" s="1"/>
  <c r="E52" i="1"/>
  <c r="F52" i="1"/>
  <c r="G52" i="1"/>
  <c r="B53" i="1"/>
  <c r="C53" i="1"/>
  <c r="D53" i="1"/>
  <c r="E53" i="1"/>
  <c r="F53" i="1"/>
  <c r="G53" i="1"/>
  <c r="H53" i="1"/>
  <c r="B54" i="1"/>
  <c r="C54" i="1"/>
  <c r="F54" i="1" s="1"/>
  <c r="D54" i="1"/>
  <c r="E54" i="1"/>
  <c r="G54" i="1"/>
  <c r="H54" i="1"/>
  <c r="B55" i="1"/>
  <c r="F55" i="1" s="1"/>
  <c r="C55" i="1"/>
  <c r="D55" i="1"/>
  <c r="G55" i="1" s="1"/>
  <c r="E55" i="1"/>
  <c r="H55" i="1"/>
  <c r="B56" i="1"/>
  <c r="F56" i="1" s="1"/>
  <c r="C56" i="1"/>
  <c r="G56" i="1" s="1"/>
  <c r="D56" i="1"/>
  <c r="E56" i="1"/>
  <c r="B57" i="1"/>
  <c r="F57" i="1" s="1"/>
  <c r="C57" i="1"/>
  <c r="G57" i="1" s="1"/>
  <c r="D57" i="1"/>
  <c r="H57" i="1" s="1"/>
  <c r="E57" i="1"/>
  <c r="B58" i="1"/>
  <c r="F58" i="1" s="1"/>
  <c r="C58" i="1"/>
  <c r="G58" i="1" s="1"/>
  <c r="D58" i="1"/>
  <c r="H58" i="1" s="1"/>
  <c r="E58" i="1"/>
  <c r="B59" i="1"/>
  <c r="C59" i="1"/>
  <c r="G59" i="1" s="1"/>
  <c r="D59" i="1"/>
  <c r="F59" i="1" s="1"/>
  <c r="E59" i="1"/>
  <c r="B60" i="1"/>
  <c r="C60" i="1"/>
  <c r="D60" i="1"/>
  <c r="H60" i="1" s="1"/>
  <c r="E60" i="1"/>
  <c r="F60" i="1"/>
  <c r="G60" i="1"/>
  <c r="B61" i="1"/>
  <c r="C61" i="1"/>
  <c r="D61" i="1"/>
  <c r="E61" i="1"/>
  <c r="F61" i="1"/>
  <c r="G61" i="1"/>
  <c r="H61" i="1"/>
  <c r="B62" i="1"/>
  <c r="C62" i="1"/>
  <c r="F62" i="1" s="1"/>
  <c r="D62" i="1"/>
  <c r="E62" i="1"/>
  <c r="G62" i="1"/>
  <c r="H62" i="1"/>
  <c r="B63" i="1"/>
  <c r="F63" i="1" s="1"/>
  <c r="C63" i="1"/>
  <c r="D63" i="1"/>
  <c r="G63" i="1" s="1"/>
  <c r="E63" i="1"/>
  <c r="H63" i="1"/>
  <c r="B64" i="1"/>
  <c r="F64" i="1" s="1"/>
  <c r="C64" i="1"/>
  <c r="G64" i="1" s="1"/>
  <c r="D64" i="1"/>
  <c r="E64" i="1"/>
  <c r="B65" i="1"/>
  <c r="F65" i="1" s="1"/>
  <c r="C65" i="1"/>
  <c r="G65" i="1" s="1"/>
  <c r="D65" i="1"/>
  <c r="H65" i="1" s="1"/>
  <c r="E65" i="1"/>
  <c r="B66" i="1"/>
  <c r="F66" i="1" s="1"/>
  <c r="C66" i="1"/>
  <c r="G66" i="1" s="1"/>
  <c r="D66" i="1"/>
  <c r="H66" i="1" s="1"/>
  <c r="E66" i="1"/>
  <c r="B67" i="1"/>
  <c r="C67" i="1"/>
  <c r="G67" i="1" s="1"/>
  <c r="D67" i="1"/>
  <c r="F67" i="1" s="1"/>
  <c r="E67" i="1"/>
  <c r="B68" i="1"/>
  <c r="C68" i="1"/>
  <c r="D68" i="1"/>
  <c r="H68" i="1" s="1"/>
  <c r="E68" i="1"/>
  <c r="F68" i="1"/>
  <c r="G68" i="1"/>
  <c r="B69" i="1"/>
  <c r="C69" i="1"/>
  <c r="D69" i="1"/>
  <c r="E69" i="1"/>
  <c r="F69" i="1"/>
  <c r="G69" i="1"/>
  <c r="H69" i="1"/>
  <c r="B70" i="1"/>
  <c r="C70" i="1"/>
  <c r="F70" i="1" s="1"/>
  <c r="D70" i="1"/>
  <c r="E70" i="1"/>
  <c r="G70" i="1"/>
  <c r="H70" i="1"/>
  <c r="B71" i="1"/>
  <c r="F71" i="1" s="1"/>
  <c r="C71" i="1"/>
  <c r="D71" i="1"/>
  <c r="G71" i="1" s="1"/>
  <c r="E71" i="1"/>
  <c r="H71" i="1"/>
  <c r="B72" i="1"/>
  <c r="F72" i="1" s="1"/>
  <c r="C72" i="1"/>
  <c r="G72" i="1" s="1"/>
  <c r="D72" i="1"/>
  <c r="E72" i="1"/>
  <c r="B73" i="1"/>
  <c r="F73" i="1" s="1"/>
  <c r="C73" i="1"/>
  <c r="G73" i="1" s="1"/>
  <c r="D73" i="1"/>
  <c r="H73" i="1" s="1"/>
  <c r="E73" i="1"/>
  <c r="B74" i="1"/>
  <c r="F74" i="1" s="1"/>
  <c r="C74" i="1"/>
  <c r="G74" i="1" s="1"/>
  <c r="D74" i="1"/>
  <c r="H74" i="1" s="1"/>
  <c r="E74" i="1"/>
  <c r="B75" i="1"/>
  <c r="C75" i="1"/>
  <c r="G75" i="1" s="1"/>
  <c r="D75" i="1"/>
  <c r="F75" i="1" s="1"/>
  <c r="E75" i="1"/>
  <c r="B76" i="1"/>
  <c r="C76" i="1"/>
  <c r="D76" i="1"/>
  <c r="H76" i="1" s="1"/>
  <c r="E76" i="1"/>
  <c r="F76" i="1"/>
  <c r="G76" i="1"/>
  <c r="B77" i="1"/>
  <c r="C77" i="1"/>
  <c r="D77" i="1"/>
  <c r="E77" i="1"/>
  <c r="F77" i="1"/>
  <c r="G77" i="1"/>
  <c r="H77" i="1"/>
  <c r="B78" i="1"/>
  <c r="C78" i="1"/>
  <c r="F78" i="1" s="1"/>
  <c r="D78" i="1"/>
  <c r="E78" i="1"/>
  <c r="G78" i="1"/>
  <c r="H78" i="1"/>
  <c r="B79" i="1"/>
  <c r="F79" i="1" s="1"/>
  <c r="C79" i="1"/>
  <c r="D79" i="1"/>
  <c r="G79" i="1" s="1"/>
  <c r="E79" i="1"/>
  <c r="H79" i="1"/>
  <c r="B80" i="1"/>
  <c r="F80" i="1" s="1"/>
  <c r="C80" i="1"/>
  <c r="G80" i="1" s="1"/>
  <c r="D80" i="1"/>
  <c r="E80" i="1"/>
  <c r="B81" i="1"/>
  <c r="F81" i="1" s="1"/>
  <c r="C81" i="1"/>
  <c r="G81" i="1" s="1"/>
  <c r="D81" i="1"/>
  <c r="H81" i="1" s="1"/>
  <c r="E81" i="1"/>
  <c r="B82" i="1"/>
  <c r="F82" i="1" s="1"/>
  <c r="C82" i="1"/>
  <c r="G82" i="1" s="1"/>
  <c r="D82" i="1"/>
  <c r="H82" i="1" s="1"/>
  <c r="E82" i="1"/>
  <c r="B83" i="1"/>
  <c r="C83" i="1"/>
  <c r="G83" i="1" s="1"/>
  <c r="D83" i="1"/>
  <c r="F83" i="1" s="1"/>
  <c r="E83" i="1"/>
  <c r="B84" i="1"/>
  <c r="C84" i="1"/>
  <c r="D84" i="1"/>
  <c r="H84" i="1" s="1"/>
  <c r="E84" i="1"/>
  <c r="F84" i="1"/>
  <c r="G84" i="1"/>
  <c r="B85" i="1"/>
  <c r="C85" i="1"/>
  <c r="D85" i="1"/>
  <c r="E85" i="1"/>
  <c r="F85" i="1"/>
  <c r="G85" i="1"/>
  <c r="H85" i="1"/>
  <c r="B86" i="1"/>
  <c r="C86" i="1"/>
  <c r="F86" i="1" s="1"/>
  <c r="D86" i="1"/>
  <c r="E86" i="1"/>
  <c r="G86" i="1"/>
  <c r="H86" i="1"/>
  <c r="B87" i="1"/>
  <c r="F87" i="1" s="1"/>
  <c r="C87" i="1"/>
  <c r="D87" i="1"/>
  <c r="G87" i="1" s="1"/>
  <c r="E87" i="1"/>
  <c r="H87" i="1"/>
  <c r="B88" i="1"/>
  <c r="F88" i="1" s="1"/>
  <c r="C88" i="1"/>
  <c r="G88" i="1" s="1"/>
  <c r="D88" i="1"/>
  <c r="E88" i="1"/>
  <c r="B89" i="1"/>
  <c r="F89" i="1" s="1"/>
  <c r="C89" i="1"/>
  <c r="G89" i="1" s="1"/>
  <c r="D89" i="1"/>
  <c r="H89" i="1" s="1"/>
  <c r="E89" i="1"/>
  <c r="B90" i="1"/>
  <c r="F90" i="1" s="1"/>
  <c r="C90" i="1"/>
  <c r="G90" i="1" s="1"/>
  <c r="D90" i="1"/>
  <c r="H90" i="1" s="1"/>
  <c r="E90" i="1"/>
  <c r="B91" i="1"/>
  <c r="C91" i="1"/>
  <c r="G91" i="1" s="1"/>
  <c r="D91" i="1"/>
  <c r="F91" i="1" s="1"/>
  <c r="E91" i="1"/>
  <c r="B92" i="1"/>
  <c r="C92" i="1"/>
  <c r="D92" i="1"/>
  <c r="H92" i="1" s="1"/>
  <c r="E92" i="1"/>
  <c r="F92" i="1"/>
  <c r="G92" i="1"/>
  <c r="B93" i="1"/>
  <c r="C93" i="1"/>
  <c r="D93" i="1"/>
  <c r="E93" i="1"/>
  <c r="F93" i="1"/>
  <c r="G93" i="1"/>
  <c r="H93" i="1"/>
  <c r="B94" i="1"/>
  <c r="C94" i="1"/>
  <c r="F94" i="1" s="1"/>
  <c r="D94" i="1"/>
  <c r="E94" i="1"/>
  <c r="G94" i="1"/>
  <c r="H94" i="1"/>
  <c r="B95" i="1"/>
  <c r="F95" i="1" s="1"/>
  <c r="C95" i="1"/>
  <c r="D95" i="1"/>
  <c r="G95" i="1" s="1"/>
  <c r="E95" i="1"/>
  <c r="H95" i="1"/>
  <c r="B96" i="1"/>
  <c r="F96" i="1" s="1"/>
  <c r="C96" i="1"/>
  <c r="G96" i="1" s="1"/>
  <c r="D96" i="1"/>
  <c r="E96" i="1"/>
  <c r="B97" i="1"/>
  <c r="F97" i="1" s="1"/>
  <c r="C97" i="1"/>
  <c r="G97" i="1" s="1"/>
  <c r="D97" i="1"/>
  <c r="H97" i="1" s="1"/>
  <c r="E97" i="1"/>
  <c r="B98" i="1"/>
  <c r="F98" i="1" s="1"/>
  <c r="C98" i="1"/>
  <c r="G98" i="1" s="1"/>
  <c r="D98" i="1"/>
  <c r="H98" i="1" s="1"/>
  <c r="E98" i="1"/>
  <c r="B99" i="1"/>
  <c r="C99" i="1"/>
  <c r="G99" i="1" s="1"/>
  <c r="D99" i="1"/>
  <c r="F99" i="1" s="1"/>
  <c r="E99" i="1"/>
  <c r="B100" i="1"/>
  <c r="C100" i="1"/>
  <c r="D100" i="1"/>
  <c r="H100" i="1" s="1"/>
  <c r="E100" i="1"/>
  <c r="F100" i="1"/>
  <c r="G100" i="1"/>
  <c r="B101" i="1"/>
  <c r="C101" i="1"/>
  <c r="D101" i="1"/>
  <c r="E101" i="1"/>
  <c r="F101" i="1"/>
  <c r="G101" i="1"/>
  <c r="H101" i="1"/>
  <c r="B102" i="1"/>
  <c r="C102" i="1"/>
  <c r="F102" i="1" s="1"/>
  <c r="D102" i="1"/>
  <c r="E102" i="1"/>
  <c r="G102" i="1"/>
  <c r="H102" i="1"/>
  <c r="B103" i="1"/>
  <c r="F103" i="1" s="1"/>
  <c r="C103" i="1"/>
  <c r="D103" i="1"/>
  <c r="G103" i="1" s="1"/>
  <c r="E103" i="1"/>
  <c r="H103" i="1"/>
  <c r="B104" i="1"/>
  <c r="F104" i="1" s="1"/>
  <c r="C104" i="1"/>
  <c r="G104" i="1" s="1"/>
  <c r="D104" i="1"/>
  <c r="E104" i="1"/>
  <c r="B105" i="1"/>
  <c r="F105" i="1" s="1"/>
  <c r="C105" i="1"/>
  <c r="G105" i="1" s="1"/>
  <c r="D105" i="1"/>
  <c r="H105" i="1" s="1"/>
  <c r="E105" i="1"/>
  <c r="B106" i="1"/>
  <c r="F106" i="1" s="1"/>
  <c r="C106" i="1"/>
  <c r="G106" i="1" s="1"/>
  <c r="D106" i="1"/>
  <c r="H106" i="1" s="1"/>
  <c r="E106" i="1"/>
  <c r="B107" i="1"/>
  <c r="C107" i="1"/>
  <c r="G107" i="1" s="1"/>
  <c r="D107" i="1"/>
  <c r="F107" i="1" s="1"/>
  <c r="E107" i="1"/>
  <c r="B108" i="1"/>
  <c r="C108" i="1"/>
  <c r="D108" i="1"/>
  <c r="H108" i="1" s="1"/>
  <c r="E108" i="1"/>
  <c r="F108" i="1"/>
  <c r="G108" i="1"/>
  <c r="B109" i="1"/>
  <c r="C109" i="1"/>
  <c r="D109" i="1"/>
  <c r="E109" i="1"/>
  <c r="F109" i="1"/>
  <c r="G109" i="1"/>
  <c r="H109" i="1"/>
  <c r="B110" i="1"/>
  <c r="C110" i="1"/>
  <c r="F110" i="1" s="1"/>
  <c r="D110" i="1"/>
  <c r="E110" i="1"/>
  <c r="G110" i="1"/>
  <c r="H110" i="1"/>
  <c r="B111" i="1"/>
  <c r="F111" i="1" s="1"/>
  <c r="C111" i="1"/>
  <c r="D111" i="1"/>
  <c r="G111" i="1" s="1"/>
  <c r="E111" i="1"/>
  <c r="H111" i="1"/>
  <c r="B112" i="1"/>
  <c r="F112" i="1" s="1"/>
  <c r="C112" i="1"/>
  <c r="G112" i="1" s="1"/>
  <c r="D112" i="1"/>
  <c r="E112" i="1"/>
  <c r="B113" i="1"/>
  <c r="F113" i="1" s="1"/>
  <c r="C113" i="1"/>
  <c r="G113" i="1" s="1"/>
  <c r="D113" i="1"/>
  <c r="H113" i="1" s="1"/>
  <c r="E113" i="1"/>
  <c r="B114" i="1"/>
  <c r="F114" i="1" s="1"/>
  <c r="C114" i="1"/>
  <c r="G114" i="1" s="1"/>
  <c r="D114" i="1"/>
  <c r="H114" i="1" s="1"/>
  <c r="E114" i="1"/>
  <c r="B115" i="1"/>
  <c r="C115" i="1"/>
  <c r="G115" i="1" s="1"/>
  <c r="D115" i="1"/>
  <c r="F115" i="1" s="1"/>
  <c r="E115" i="1"/>
  <c r="B116" i="1"/>
  <c r="C116" i="1"/>
  <c r="D116" i="1"/>
  <c r="H116" i="1" s="1"/>
  <c r="E116" i="1"/>
  <c r="F116" i="1"/>
  <c r="G116" i="1"/>
  <c r="B117" i="1"/>
  <c r="C117" i="1"/>
  <c r="D117" i="1"/>
  <c r="E117" i="1"/>
  <c r="F117" i="1"/>
  <c r="G117" i="1"/>
  <c r="H117" i="1"/>
  <c r="B118" i="1"/>
  <c r="C118" i="1"/>
  <c r="F118" i="1" s="1"/>
  <c r="D118" i="1"/>
  <c r="E118" i="1"/>
  <c r="G118" i="1"/>
  <c r="H118" i="1"/>
  <c r="B119" i="1"/>
  <c r="F119" i="1" s="1"/>
  <c r="C119" i="1"/>
  <c r="D119" i="1"/>
  <c r="G119" i="1" s="1"/>
  <c r="E119" i="1"/>
  <c r="H119" i="1"/>
  <c r="B120" i="1"/>
  <c r="F120" i="1" s="1"/>
  <c r="C120" i="1"/>
  <c r="G120" i="1" s="1"/>
  <c r="D120" i="1"/>
  <c r="E120" i="1"/>
  <c r="B121" i="1"/>
  <c r="F121" i="1" s="1"/>
  <c r="C121" i="1"/>
  <c r="G121" i="1" s="1"/>
  <c r="D121" i="1"/>
  <c r="H121" i="1" s="1"/>
  <c r="E121" i="1"/>
  <c r="B122" i="1"/>
  <c r="F122" i="1" s="1"/>
  <c r="C122" i="1"/>
  <c r="G122" i="1" s="1"/>
  <c r="D122" i="1"/>
  <c r="H122" i="1" s="1"/>
  <c r="E122" i="1"/>
  <c r="B123" i="1"/>
  <c r="C123" i="1"/>
  <c r="G123" i="1" s="1"/>
  <c r="D123" i="1"/>
  <c r="F123" i="1" s="1"/>
  <c r="E123" i="1"/>
  <c r="B124" i="1"/>
  <c r="C124" i="1"/>
  <c r="D124" i="1"/>
  <c r="H124" i="1" s="1"/>
  <c r="E124" i="1"/>
  <c r="F124" i="1"/>
  <c r="G124" i="1"/>
  <c r="B125" i="1"/>
  <c r="C125" i="1"/>
  <c r="D125" i="1"/>
  <c r="E125" i="1"/>
  <c r="F125" i="1"/>
  <c r="G125" i="1"/>
  <c r="H125" i="1"/>
  <c r="B126" i="1"/>
  <c r="C126" i="1"/>
  <c r="F126" i="1" s="1"/>
  <c r="D126" i="1"/>
  <c r="E126" i="1"/>
  <c r="G126" i="1"/>
  <c r="H126" i="1"/>
  <c r="B127" i="1"/>
  <c r="F127" i="1" s="1"/>
  <c r="C127" i="1"/>
  <c r="D127" i="1"/>
  <c r="G127" i="1" s="1"/>
  <c r="E127" i="1"/>
  <c r="H127" i="1"/>
  <c r="B128" i="1"/>
  <c r="F128" i="1" s="1"/>
  <c r="C128" i="1"/>
  <c r="G128" i="1" s="1"/>
  <c r="D128" i="1"/>
  <c r="E128" i="1"/>
  <c r="B129" i="1"/>
  <c r="F129" i="1" s="1"/>
  <c r="C129" i="1"/>
  <c r="G129" i="1" s="1"/>
  <c r="D129" i="1"/>
  <c r="H129" i="1" s="1"/>
  <c r="E129" i="1"/>
  <c r="B130" i="1"/>
  <c r="F130" i="1" s="1"/>
  <c r="C130" i="1"/>
  <c r="G130" i="1" s="1"/>
  <c r="D130" i="1"/>
  <c r="H130" i="1" s="1"/>
  <c r="E130" i="1"/>
  <c r="B131" i="1"/>
  <c r="C131" i="1"/>
  <c r="G131" i="1" s="1"/>
  <c r="D131" i="1"/>
  <c r="F131" i="1" s="1"/>
  <c r="E131" i="1"/>
  <c r="B132" i="1"/>
  <c r="C132" i="1"/>
  <c r="D132" i="1"/>
  <c r="H132" i="1" s="1"/>
  <c r="E132" i="1"/>
  <c r="F132" i="1"/>
  <c r="G132" i="1"/>
  <c r="B133" i="1"/>
  <c r="C133" i="1"/>
  <c r="D133" i="1"/>
  <c r="E133" i="1"/>
  <c r="F133" i="1"/>
  <c r="G133" i="1"/>
  <c r="H133" i="1"/>
  <c r="B134" i="1"/>
  <c r="C134" i="1"/>
  <c r="F134" i="1" s="1"/>
  <c r="D134" i="1"/>
  <c r="E134" i="1"/>
  <c r="G134" i="1"/>
  <c r="H134" i="1"/>
  <c r="B135" i="1"/>
  <c r="F135" i="1" s="1"/>
  <c r="C135" i="1"/>
  <c r="D135" i="1"/>
  <c r="G135" i="1" s="1"/>
  <c r="E135" i="1"/>
  <c r="H135" i="1"/>
  <c r="B136" i="1"/>
  <c r="F136" i="1" s="1"/>
  <c r="C136" i="1"/>
  <c r="G136" i="1" s="1"/>
  <c r="D136" i="1"/>
  <c r="E136" i="1"/>
  <c r="B137" i="1"/>
  <c r="F137" i="1" s="1"/>
  <c r="C137" i="1"/>
  <c r="G137" i="1" s="1"/>
  <c r="D137" i="1"/>
  <c r="H137" i="1" s="1"/>
  <c r="E137" i="1"/>
  <c r="B138" i="1"/>
  <c r="F138" i="1" s="1"/>
  <c r="C138" i="1"/>
  <c r="G138" i="1" s="1"/>
  <c r="D138" i="1"/>
  <c r="H138" i="1" s="1"/>
  <c r="E138" i="1"/>
  <c r="B139" i="1"/>
  <c r="C139" i="1"/>
  <c r="G139" i="1" s="1"/>
  <c r="D139" i="1"/>
  <c r="F139" i="1" s="1"/>
  <c r="E139" i="1"/>
  <c r="B140" i="1"/>
  <c r="C140" i="1"/>
  <c r="D140" i="1"/>
  <c r="H140" i="1" s="1"/>
  <c r="E140" i="1"/>
  <c r="F140" i="1"/>
  <c r="G140" i="1"/>
  <c r="B141" i="1"/>
  <c r="C141" i="1"/>
  <c r="D141" i="1"/>
  <c r="E141" i="1"/>
  <c r="F141" i="1"/>
  <c r="G141" i="1"/>
  <c r="H141" i="1"/>
  <c r="B142" i="1"/>
  <c r="C142" i="1"/>
  <c r="F142" i="1" s="1"/>
  <c r="D142" i="1"/>
  <c r="E142" i="1"/>
  <c r="G142" i="1"/>
  <c r="H142" i="1"/>
  <c r="B143" i="1"/>
  <c r="F143" i="1" s="1"/>
  <c r="C143" i="1"/>
  <c r="D143" i="1"/>
  <c r="G143" i="1" s="1"/>
  <c r="E143" i="1"/>
  <c r="H143" i="1"/>
  <c r="B144" i="1"/>
  <c r="F144" i="1" s="1"/>
  <c r="C144" i="1"/>
  <c r="G144" i="1" s="1"/>
  <c r="D144" i="1"/>
  <c r="E144" i="1"/>
  <c r="B145" i="1"/>
  <c r="F145" i="1" s="1"/>
  <c r="C145" i="1"/>
  <c r="G145" i="1" s="1"/>
  <c r="D145" i="1"/>
  <c r="H145" i="1" s="1"/>
  <c r="E145" i="1"/>
  <c r="B146" i="1"/>
  <c r="F146" i="1" s="1"/>
  <c r="C146" i="1"/>
  <c r="G146" i="1" s="1"/>
  <c r="D146" i="1"/>
  <c r="H146" i="1" s="1"/>
  <c r="E146" i="1"/>
  <c r="B147" i="1"/>
  <c r="C147" i="1"/>
  <c r="G147" i="1" s="1"/>
  <c r="D147" i="1"/>
  <c r="F147" i="1" s="1"/>
  <c r="E147" i="1"/>
  <c r="B148" i="1"/>
  <c r="C148" i="1"/>
  <c r="D148" i="1"/>
  <c r="H148" i="1" s="1"/>
  <c r="E148" i="1"/>
  <c r="F148" i="1"/>
  <c r="G148" i="1"/>
  <c r="B149" i="1"/>
  <c r="C149" i="1"/>
  <c r="D149" i="1"/>
  <c r="E149" i="1"/>
  <c r="F149" i="1"/>
  <c r="G149" i="1"/>
  <c r="H149" i="1"/>
  <c r="B150" i="1"/>
  <c r="C150" i="1"/>
  <c r="F150" i="1" s="1"/>
  <c r="D150" i="1"/>
  <c r="E150" i="1"/>
  <c r="G150" i="1"/>
  <c r="H150" i="1"/>
  <c r="B151" i="1"/>
  <c r="F151" i="1" s="1"/>
  <c r="C151" i="1"/>
  <c r="D151" i="1"/>
  <c r="G151" i="1" s="1"/>
  <c r="E151" i="1"/>
  <c r="H151" i="1"/>
  <c r="B152" i="1"/>
  <c r="F152" i="1" s="1"/>
  <c r="C152" i="1"/>
  <c r="G152" i="1" s="1"/>
  <c r="D152" i="1"/>
  <c r="E152" i="1"/>
  <c r="B153" i="1"/>
  <c r="F153" i="1" s="1"/>
  <c r="C153" i="1"/>
  <c r="G153" i="1" s="1"/>
  <c r="D153" i="1"/>
  <c r="H153" i="1" s="1"/>
  <c r="E153" i="1"/>
  <c r="B154" i="1"/>
  <c r="F154" i="1" s="1"/>
  <c r="C154" i="1"/>
  <c r="G154" i="1" s="1"/>
  <c r="D154" i="1"/>
  <c r="H154" i="1" s="1"/>
  <c r="E154" i="1"/>
  <c r="B155" i="1"/>
  <c r="C155" i="1"/>
  <c r="G155" i="1" s="1"/>
  <c r="D155" i="1"/>
  <c r="F155" i="1" s="1"/>
  <c r="E155" i="1"/>
  <c r="B156" i="1"/>
  <c r="C156" i="1"/>
  <c r="D156" i="1"/>
  <c r="H156" i="1" s="1"/>
  <c r="E156" i="1"/>
  <c r="F156" i="1"/>
  <c r="G156" i="1"/>
  <c r="B157" i="1"/>
  <c r="C157" i="1"/>
  <c r="D157" i="1"/>
  <c r="E157" i="1"/>
  <c r="F157" i="1"/>
  <c r="G157" i="1"/>
  <c r="H157" i="1"/>
  <c r="B158" i="1"/>
  <c r="C158" i="1"/>
  <c r="F158" i="1" s="1"/>
  <c r="D158" i="1"/>
  <c r="E158" i="1"/>
  <c r="G158" i="1"/>
  <c r="H158" i="1"/>
  <c r="B159" i="1"/>
  <c r="F159" i="1" s="1"/>
  <c r="C159" i="1"/>
  <c r="D159" i="1"/>
  <c r="G159" i="1" s="1"/>
  <c r="E159" i="1"/>
  <c r="H159" i="1"/>
  <c r="B160" i="1"/>
  <c r="F160" i="1" s="1"/>
  <c r="C160" i="1"/>
  <c r="G160" i="1" s="1"/>
  <c r="D160" i="1"/>
  <c r="E160" i="1"/>
  <c r="B161" i="1"/>
  <c r="F161" i="1" s="1"/>
  <c r="C161" i="1"/>
  <c r="G161" i="1" s="1"/>
  <c r="D161" i="1"/>
  <c r="H161" i="1" s="1"/>
  <c r="E161" i="1"/>
  <c r="B162" i="1"/>
  <c r="F162" i="1" s="1"/>
  <c r="C162" i="1"/>
  <c r="G162" i="1" s="1"/>
  <c r="D162" i="1"/>
  <c r="H162" i="1" s="1"/>
  <c r="E162" i="1"/>
  <c r="B163" i="1"/>
  <c r="C163" i="1"/>
  <c r="G163" i="1" s="1"/>
  <c r="D163" i="1"/>
  <c r="F163" i="1" s="1"/>
  <c r="E163" i="1"/>
  <c r="B164" i="1"/>
  <c r="C164" i="1"/>
  <c r="D164" i="1"/>
  <c r="H164" i="1" s="1"/>
  <c r="E164" i="1"/>
  <c r="F164" i="1"/>
  <c r="G164" i="1"/>
  <c r="B165" i="1"/>
  <c r="C165" i="1"/>
  <c r="D165" i="1"/>
  <c r="E165" i="1"/>
  <c r="F165" i="1"/>
  <c r="G165" i="1"/>
  <c r="H165" i="1"/>
  <c r="B166" i="1"/>
  <c r="C166" i="1"/>
  <c r="F166" i="1" s="1"/>
  <c r="D166" i="1"/>
  <c r="E166" i="1"/>
  <c r="G166" i="1"/>
  <c r="H166" i="1"/>
  <c r="B167" i="1"/>
  <c r="F167" i="1" s="1"/>
  <c r="C167" i="1"/>
  <c r="D167" i="1"/>
  <c r="G167" i="1" s="1"/>
  <c r="E167" i="1"/>
  <c r="H167" i="1"/>
  <c r="B168" i="1"/>
  <c r="F168" i="1" s="1"/>
  <c r="C168" i="1"/>
  <c r="G168" i="1" s="1"/>
  <c r="D168" i="1"/>
  <c r="E168" i="1"/>
  <c r="B169" i="1"/>
  <c r="F169" i="1" s="1"/>
  <c r="C169" i="1"/>
  <c r="G169" i="1" s="1"/>
  <c r="D169" i="1"/>
  <c r="H169" i="1" s="1"/>
  <c r="E169" i="1"/>
  <c r="B170" i="1"/>
  <c r="F170" i="1" s="1"/>
  <c r="C170" i="1"/>
  <c r="G170" i="1" s="1"/>
  <c r="D170" i="1"/>
  <c r="H170" i="1" s="1"/>
  <c r="E170" i="1"/>
  <c r="B171" i="1"/>
  <c r="C171" i="1"/>
  <c r="G171" i="1" s="1"/>
  <c r="D171" i="1"/>
  <c r="F171" i="1" s="1"/>
  <c r="E171" i="1"/>
  <c r="B172" i="1"/>
  <c r="C172" i="1"/>
  <c r="D172" i="1"/>
  <c r="H172" i="1" s="1"/>
  <c r="E172" i="1"/>
  <c r="F172" i="1"/>
  <c r="G172" i="1"/>
  <c r="B173" i="1"/>
  <c r="C173" i="1"/>
  <c r="D173" i="1"/>
  <c r="E173" i="1"/>
  <c r="F173" i="1"/>
  <c r="G173" i="1"/>
  <c r="H173" i="1"/>
  <c r="B174" i="1"/>
  <c r="C174" i="1"/>
  <c r="F174" i="1" s="1"/>
  <c r="D174" i="1"/>
  <c r="E174" i="1"/>
  <c r="G174" i="1"/>
  <c r="H174" i="1"/>
  <c r="B175" i="1"/>
  <c r="F175" i="1" s="1"/>
  <c r="C175" i="1"/>
  <c r="D175" i="1"/>
  <c r="G175" i="1" s="1"/>
  <c r="E175" i="1"/>
  <c r="H175" i="1"/>
  <c r="B176" i="1"/>
  <c r="F176" i="1" s="1"/>
  <c r="C176" i="1"/>
  <c r="G176" i="1" s="1"/>
  <c r="D176" i="1"/>
  <c r="E176" i="1"/>
  <c r="B177" i="1"/>
  <c r="F177" i="1" s="1"/>
  <c r="C177" i="1"/>
  <c r="G177" i="1" s="1"/>
  <c r="D177" i="1"/>
  <c r="H177" i="1" s="1"/>
  <c r="E177" i="1"/>
  <c r="H3" i="1"/>
  <c r="G3" i="1"/>
  <c r="F3" i="1"/>
  <c r="E3" i="1"/>
  <c r="D3" i="1"/>
  <c r="C3" i="1"/>
  <c r="B3" i="1"/>
  <c r="H139" i="1" l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171" i="1"/>
  <c r="H163" i="1"/>
  <c r="H155" i="1"/>
  <c r="H147" i="1"/>
  <c r="H176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H160" i="1"/>
  <c r="H168" i="1"/>
</calcChain>
</file>

<file path=xl/sharedStrings.xml><?xml version="1.0" encoding="utf-8"?>
<sst xmlns="http://schemas.openxmlformats.org/spreadsheetml/2006/main" count="19" uniqueCount="19">
  <si>
    <t>Chart title</t>
  </si>
  <si>
    <t>Year</t>
  </si>
  <si>
    <t>[_Base]</t>
  </si>
  <si>
    <t>[AII_Max]</t>
  </si>
  <si>
    <t>[AI_Min]</t>
  </si>
  <si>
    <t>[AI_Max]</t>
  </si>
  <si>
    <t>[Pure_AII]</t>
  </si>
  <si>
    <t>[Overlap]</t>
  </si>
  <si>
    <t>[AI_Gap]</t>
  </si>
  <si>
    <t>AII Src 1</t>
  </si>
  <si>
    <t>AII Src 2</t>
  </si>
  <si>
    <t>AII Src 3</t>
  </si>
  <si>
    <t>AII Src 4</t>
  </si>
  <si>
    <t>AI Src 1</t>
  </si>
  <si>
    <t>AI Src 2</t>
  </si>
  <si>
    <t>AI Src 3</t>
  </si>
  <si>
    <t>AI Src 4</t>
  </si>
  <si>
    <t>[Pure_AI]</t>
  </si>
  <si>
    <t>MANUAL STEPS: (1) Edit A1 to change the chart title (formula-linked to both chart tabs). (2) Rename header cells I2-P2 to update the legend series names. (3) Replace dummy values in cols I-P with real data - band cols B-H and Q update automatically via AGGREGATE. (4) X-axis label interval: for 175-row annual data the template uses every 20th label. Adjust via Format Axis &gt; Interval between labels if needed. (5) Cols B-H and Q are auto-calculated - do not edit. The 5-series band structure handles correctly whether or not Annex I and Annex II source ranges overlap.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</si>
</sst>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i/>
      <sz val="11"/>
      <color theme="1"/>
      <name val="Aptos Narrow"/>
      <family val="2"/>
      <scheme val="minor"/>
    </font>
    <font>
      <sz val="9"/>
      <color rgb="FF333333"/>
      <name val="Sofia Pro"/>
      <family val="3"/>
    </font>
    <font>
      <i/>
      <sz val="9"/>
      <color rgb="FF333333"/>
      <name val="Sofia Pro"/>
      <family val="3"/>
    </font>
    <font>
      <i/>
      <sz val="8"/>
      <color rgb="FF0B4C5B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3" fillId="0" borderId="0" xfId="0" applyNumberFormat="1" applyFont="1"/>
    <xf numFmtId="1" fontId="4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1" fontId="4" fillId="4" borderId="0" xfId="0" applyNumberFormat="1" applyFont="1" applyFill="1"/>
    <xf numFmtId="164" fontId="5" fillId="4" borderId="0" xfId="0" applyNumberFormat="1" applyFont="1" applyFill="1"/>
    <xf numFmtId="164" fontId="4" fillId="4" borderId="0" xfId="0" applyNumberFormat="1" applyFont="1" applyFill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Data!$A$1</c:f>
          <c:strCache>
            <c:ptCount val="1"/>
            <c:pt idx="0">
              <c:v>Chart title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6.2723051859896822E-2"/>
          <c:y val="1.7307692307692309E-2"/>
          <c:w val="0.85057471264367812"/>
          <c:h val="0.76923076923076927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Data!$B$3:$B$177</c:f>
              <c:numCache>
                <c:formatCode>0.0</c:formatCode>
                <c:ptCount val="175"/>
                <c:pt idx="0">
                  <c:v>37.700000000000003</c:v>
                </c:pt>
                <c:pt idx="1">
                  <c:v>38.700000000000003</c:v>
                </c:pt>
                <c:pt idx="2">
                  <c:v>39.4</c:v>
                </c:pt>
                <c:pt idx="3">
                  <c:v>39.700000000000003</c:v>
                </c:pt>
                <c:pt idx="4">
                  <c:v>40</c:v>
                </c:pt>
                <c:pt idx="5">
                  <c:v>40.799999999999997</c:v>
                </c:pt>
                <c:pt idx="6">
                  <c:v>42.1</c:v>
                </c:pt>
                <c:pt idx="7">
                  <c:v>42.3</c:v>
                </c:pt>
                <c:pt idx="8">
                  <c:v>42.4</c:v>
                </c:pt>
                <c:pt idx="9">
                  <c:v>42.7</c:v>
                </c:pt>
                <c:pt idx="10">
                  <c:v>43.1</c:v>
                </c:pt>
                <c:pt idx="11">
                  <c:v>43.2</c:v>
                </c:pt>
                <c:pt idx="12">
                  <c:v>43.7</c:v>
                </c:pt>
                <c:pt idx="13">
                  <c:v>44.1</c:v>
                </c:pt>
                <c:pt idx="14">
                  <c:v>44</c:v>
                </c:pt>
                <c:pt idx="15">
                  <c:v>43.6</c:v>
                </c:pt>
                <c:pt idx="16">
                  <c:v>43.7</c:v>
                </c:pt>
                <c:pt idx="17">
                  <c:v>44.6</c:v>
                </c:pt>
                <c:pt idx="18">
                  <c:v>45.9</c:v>
                </c:pt>
                <c:pt idx="19">
                  <c:v>46.3</c:v>
                </c:pt>
                <c:pt idx="20">
                  <c:v>47.2</c:v>
                </c:pt>
                <c:pt idx="21">
                  <c:v>47.9</c:v>
                </c:pt>
                <c:pt idx="22">
                  <c:v>48</c:v>
                </c:pt>
                <c:pt idx="23">
                  <c:v>48.6</c:v>
                </c:pt>
                <c:pt idx="24">
                  <c:v>48.9</c:v>
                </c:pt>
                <c:pt idx="25">
                  <c:v>48.5</c:v>
                </c:pt>
                <c:pt idx="26">
                  <c:v>48.8</c:v>
                </c:pt>
                <c:pt idx="27">
                  <c:v>47.9</c:v>
                </c:pt>
                <c:pt idx="28">
                  <c:v>47.5</c:v>
                </c:pt>
                <c:pt idx="29">
                  <c:v>48</c:v>
                </c:pt>
                <c:pt idx="30">
                  <c:v>48.8</c:v>
                </c:pt>
                <c:pt idx="31">
                  <c:v>49.3</c:v>
                </c:pt>
                <c:pt idx="32">
                  <c:v>49.4</c:v>
                </c:pt>
                <c:pt idx="33">
                  <c:v>49.5</c:v>
                </c:pt>
                <c:pt idx="34">
                  <c:v>50</c:v>
                </c:pt>
                <c:pt idx="35">
                  <c:v>51</c:v>
                </c:pt>
                <c:pt idx="36">
                  <c:v>52.2</c:v>
                </c:pt>
                <c:pt idx="37">
                  <c:v>52.9</c:v>
                </c:pt>
                <c:pt idx="38">
                  <c:v>52.5</c:v>
                </c:pt>
                <c:pt idx="39">
                  <c:v>51.9</c:v>
                </c:pt>
                <c:pt idx="40">
                  <c:v>51.9</c:v>
                </c:pt>
                <c:pt idx="41">
                  <c:v>52</c:v>
                </c:pt>
                <c:pt idx="42">
                  <c:v>51.9</c:v>
                </c:pt>
                <c:pt idx="43">
                  <c:v>51.4</c:v>
                </c:pt>
                <c:pt idx="44">
                  <c:v>50.5</c:v>
                </c:pt>
                <c:pt idx="45">
                  <c:v>50.1</c:v>
                </c:pt>
                <c:pt idx="46">
                  <c:v>50.6</c:v>
                </c:pt>
                <c:pt idx="47">
                  <c:v>51.3</c:v>
                </c:pt>
                <c:pt idx="48">
                  <c:v>51.1</c:v>
                </c:pt>
                <c:pt idx="49">
                  <c:v>51.7</c:v>
                </c:pt>
                <c:pt idx="50">
                  <c:v>52.3</c:v>
                </c:pt>
                <c:pt idx="51">
                  <c:v>52.2</c:v>
                </c:pt>
                <c:pt idx="52">
                  <c:v>52.6</c:v>
                </c:pt>
                <c:pt idx="53">
                  <c:v>53</c:v>
                </c:pt>
                <c:pt idx="54">
                  <c:v>52.9</c:v>
                </c:pt>
                <c:pt idx="55">
                  <c:v>52</c:v>
                </c:pt>
                <c:pt idx="56">
                  <c:v>50.8</c:v>
                </c:pt>
                <c:pt idx="57">
                  <c:v>50.2</c:v>
                </c:pt>
                <c:pt idx="58">
                  <c:v>50.3</c:v>
                </c:pt>
                <c:pt idx="59">
                  <c:v>50.8</c:v>
                </c:pt>
                <c:pt idx="60">
                  <c:v>51</c:v>
                </c:pt>
                <c:pt idx="61">
                  <c:v>50.8</c:v>
                </c:pt>
                <c:pt idx="62">
                  <c:v>50.6</c:v>
                </c:pt>
                <c:pt idx="63">
                  <c:v>51</c:v>
                </c:pt>
                <c:pt idx="64">
                  <c:v>51.9</c:v>
                </c:pt>
                <c:pt idx="65">
                  <c:v>52.7</c:v>
                </c:pt>
                <c:pt idx="66">
                  <c:v>52.9</c:v>
                </c:pt>
                <c:pt idx="67">
                  <c:v>52.2</c:v>
                </c:pt>
                <c:pt idx="68">
                  <c:v>51.3</c:v>
                </c:pt>
                <c:pt idx="69">
                  <c:v>51</c:v>
                </c:pt>
                <c:pt idx="70">
                  <c:v>51</c:v>
                </c:pt>
                <c:pt idx="71">
                  <c:v>50.8</c:v>
                </c:pt>
                <c:pt idx="72">
                  <c:v>50.3</c:v>
                </c:pt>
                <c:pt idx="73">
                  <c:v>49.4</c:v>
                </c:pt>
                <c:pt idx="74">
                  <c:v>49</c:v>
                </c:pt>
                <c:pt idx="75">
                  <c:v>49.3</c:v>
                </c:pt>
                <c:pt idx="76">
                  <c:v>50.3</c:v>
                </c:pt>
                <c:pt idx="77">
                  <c:v>51.1</c:v>
                </c:pt>
                <c:pt idx="78">
                  <c:v>51.2</c:v>
                </c:pt>
                <c:pt idx="79">
                  <c:v>50.7</c:v>
                </c:pt>
                <c:pt idx="80">
                  <c:v>50.4</c:v>
                </c:pt>
                <c:pt idx="81">
                  <c:v>50.5</c:v>
                </c:pt>
                <c:pt idx="82">
                  <c:v>50.7</c:v>
                </c:pt>
                <c:pt idx="83">
                  <c:v>50.3</c:v>
                </c:pt>
                <c:pt idx="84">
                  <c:v>49.7</c:v>
                </c:pt>
                <c:pt idx="85">
                  <c:v>48.8</c:v>
                </c:pt>
                <c:pt idx="86">
                  <c:v>48.4</c:v>
                </c:pt>
                <c:pt idx="87">
                  <c:v>48.8</c:v>
                </c:pt>
                <c:pt idx="88">
                  <c:v>49.6</c:v>
                </c:pt>
                <c:pt idx="89">
                  <c:v>50</c:v>
                </c:pt>
                <c:pt idx="90">
                  <c:v>48.1</c:v>
                </c:pt>
                <c:pt idx="91">
                  <c:v>46.4</c:v>
                </c:pt>
                <c:pt idx="92">
                  <c:v>45.2</c:v>
                </c:pt>
                <c:pt idx="93">
                  <c:v>44.3</c:v>
                </c:pt>
                <c:pt idx="94">
                  <c:v>42.7</c:v>
                </c:pt>
                <c:pt idx="95">
                  <c:v>44</c:v>
                </c:pt>
                <c:pt idx="96">
                  <c:v>44.6</c:v>
                </c:pt>
                <c:pt idx="97">
                  <c:v>44.3</c:v>
                </c:pt>
                <c:pt idx="98">
                  <c:v>44.6</c:v>
                </c:pt>
                <c:pt idx="99">
                  <c:v>45.2</c:v>
                </c:pt>
                <c:pt idx="100">
                  <c:v>45.1</c:v>
                </c:pt>
                <c:pt idx="101">
                  <c:v>44.7</c:v>
                </c:pt>
                <c:pt idx="102">
                  <c:v>44.1</c:v>
                </c:pt>
                <c:pt idx="103">
                  <c:v>43.6</c:v>
                </c:pt>
                <c:pt idx="104">
                  <c:v>43.9</c:v>
                </c:pt>
                <c:pt idx="105">
                  <c:v>44.9</c:v>
                </c:pt>
                <c:pt idx="106">
                  <c:v>45.6</c:v>
                </c:pt>
                <c:pt idx="107">
                  <c:v>45.8</c:v>
                </c:pt>
                <c:pt idx="108">
                  <c:v>45.5</c:v>
                </c:pt>
                <c:pt idx="109">
                  <c:v>45.5</c:v>
                </c:pt>
                <c:pt idx="110">
                  <c:v>45.8</c:v>
                </c:pt>
                <c:pt idx="111">
                  <c:v>45.7</c:v>
                </c:pt>
                <c:pt idx="112">
                  <c:v>44.9</c:v>
                </c:pt>
                <c:pt idx="113">
                  <c:v>44.9</c:v>
                </c:pt>
                <c:pt idx="114">
                  <c:v>43.6</c:v>
                </c:pt>
                <c:pt idx="115">
                  <c:v>42.8</c:v>
                </c:pt>
                <c:pt idx="116">
                  <c:v>42.7</c:v>
                </c:pt>
                <c:pt idx="117">
                  <c:v>42.9</c:v>
                </c:pt>
                <c:pt idx="118">
                  <c:v>42.9</c:v>
                </c:pt>
                <c:pt idx="119">
                  <c:v>42.4</c:v>
                </c:pt>
                <c:pt idx="120">
                  <c:v>42</c:v>
                </c:pt>
                <c:pt idx="121">
                  <c:v>42.2</c:v>
                </c:pt>
                <c:pt idx="122">
                  <c:v>43.1</c:v>
                </c:pt>
                <c:pt idx="123">
                  <c:v>43.4</c:v>
                </c:pt>
                <c:pt idx="124">
                  <c:v>42.5</c:v>
                </c:pt>
                <c:pt idx="125">
                  <c:v>42</c:v>
                </c:pt>
                <c:pt idx="126">
                  <c:v>41.7</c:v>
                </c:pt>
                <c:pt idx="127">
                  <c:v>41.3</c:v>
                </c:pt>
                <c:pt idx="128">
                  <c:v>41.1</c:v>
                </c:pt>
                <c:pt idx="129">
                  <c:v>40.700000000000003</c:v>
                </c:pt>
                <c:pt idx="130">
                  <c:v>39.700000000000003</c:v>
                </c:pt>
                <c:pt idx="131">
                  <c:v>38.299999999999997</c:v>
                </c:pt>
                <c:pt idx="132">
                  <c:v>37.4</c:v>
                </c:pt>
                <c:pt idx="133">
                  <c:v>37.4</c:v>
                </c:pt>
                <c:pt idx="134">
                  <c:v>37.9</c:v>
                </c:pt>
                <c:pt idx="135">
                  <c:v>38.299999999999997</c:v>
                </c:pt>
                <c:pt idx="136">
                  <c:v>38.1</c:v>
                </c:pt>
                <c:pt idx="137">
                  <c:v>37.5</c:v>
                </c:pt>
                <c:pt idx="138">
                  <c:v>37.1</c:v>
                </c:pt>
                <c:pt idx="139">
                  <c:v>35.9</c:v>
                </c:pt>
                <c:pt idx="140">
                  <c:v>35.4</c:v>
                </c:pt>
                <c:pt idx="141">
                  <c:v>35.5</c:v>
                </c:pt>
                <c:pt idx="142">
                  <c:v>35.9</c:v>
                </c:pt>
                <c:pt idx="143">
                  <c:v>34.5</c:v>
                </c:pt>
                <c:pt idx="144">
                  <c:v>33.5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33.1</c:v>
                </c:pt>
                <c:pt idx="148">
                  <c:v>32.6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32.200000000000003</c:v>
                </c:pt>
                <c:pt idx="152">
                  <c:v>32.200000000000003</c:v>
                </c:pt>
                <c:pt idx="153">
                  <c:v>31.7</c:v>
                </c:pt>
                <c:pt idx="154">
                  <c:v>31.1</c:v>
                </c:pt>
                <c:pt idx="155">
                  <c:v>30.4</c:v>
                </c:pt>
                <c:pt idx="156">
                  <c:v>29.8</c:v>
                </c:pt>
                <c:pt idx="157">
                  <c:v>29.4</c:v>
                </c:pt>
                <c:pt idx="158">
                  <c:v>28.9</c:v>
                </c:pt>
                <c:pt idx="159">
                  <c:v>28.4</c:v>
                </c:pt>
                <c:pt idx="160">
                  <c:v>28</c:v>
                </c:pt>
                <c:pt idx="161">
                  <c:v>27.5</c:v>
                </c:pt>
                <c:pt idx="162">
                  <c:v>27</c:v>
                </c:pt>
                <c:pt idx="163">
                  <c:v>26.5</c:v>
                </c:pt>
                <c:pt idx="164">
                  <c:v>26</c:v>
                </c:pt>
                <c:pt idx="165">
                  <c:v>25.5</c:v>
                </c:pt>
                <c:pt idx="166">
                  <c:v>25</c:v>
                </c:pt>
                <c:pt idx="167">
                  <c:v>24.5</c:v>
                </c:pt>
                <c:pt idx="168">
                  <c:v>24</c:v>
                </c:pt>
                <c:pt idx="169">
                  <c:v>23.5</c:v>
                </c:pt>
                <c:pt idx="170">
                  <c:v>23</c:v>
                </c:pt>
                <c:pt idx="171">
                  <c:v>22.4</c:v>
                </c:pt>
                <c:pt idx="172">
                  <c:v>21.7</c:v>
                </c:pt>
                <c:pt idx="173">
                  <c:v>20.9</c:v>
                </c:pt>
                <c:pt idx="174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5-4CC9-B691-97D6C47492AB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20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Data!$F$3:$F$177</c:f>
              <c:numCache>
                <c:formatCode>0.0</c:formatCode>
                <c:ptCount val="175"/>
                <c:pt idx="0">
                  <c:v>5</c:v>
                </c:pt>
                <c:pt idx="1">
                  <c:v>3.3999999999999986</c:v>
                </c:pt>
                <c:pt idx="2">
                  <c:v>2.3999999999999986</c:v>
                </c:pt>
                <c:pt idx="3">
                  <c:v>3</c:v>
                </c:pt>
                <c:pt idx="4">
                  <c:v>3.6000000000000014</c:v>
                </c:pt>
                <c:pt idx="5">
                  <c:v>2.9000000000000057</c:v>
                </c:pt>
                <c:pt idx="6">
                  <c:v>2.7999999999999972</c:v>
                </c:pt>
                <c:pt idx="7">
                  <c:v>3.4000000000000057</c:v>
                </c:pt>
                <c:pt idx="8">
                  <c:v>3.8000000000000043</c:v>
                </c:pt>
                <c:pt idx="9">
                  <c:v>3.5</c:v>
                </c:pt>
                <c:pt idx="10">
                  <c:v>3.1000000000000014</c:v>
                </c:pt>
                <c:pt idx="11">
                  <c:v>3</c:v>
                </c:pt>
                <c:pt idx="12">
                  <c:v>2.7999999999999972</c:v>
                </c:pt>
                <c:pt idx="13">
                  <c:v>2.6999999999999957</c:v>
                </c:pt>
                <c:pt idx="14">
                  <c:v>3.3999999999999986</c:v>
                </c:pt>
                <c:pt idx="15">
                  <c:v>4.1000000000000014</c:v>
                </c:pt>
                <c:pt idx="16">
                  <c:v>4.2999999999999972</c:v>
                </c:pt>
                <c:pt idx="17">
                  <c:v>4.2999999999999972</c:v>
                </c:pt>
                <c:pt idx="18">
                  <c:v>4.1000000000000014</c:v>
                </c:pt>
                <c:pt idx="19">
                  <c:v>3.5</c:v>
                </c:pt>
                <c:pt idx="20">
                  <c:v>3.3999999999999986</c:v>
                </c:pt>
                <c:pt idx="21">
                  <c:v>3.3000000000000043</c:v>
                </c:pt>
                <c:pt idx="22">
                  <c:v>3.3999999999999986</c:v>
                </c:pt>
                <c:pt idx="23">
                  <c:v>2.6000000000000014</c:v>
                </c:pt>
                <c:pt idx="24">
                  <c:v>1.8000000000000043</c:v>
                </c:pt>
                <c:pt idx="25">
                  <c:v>1.7000000000000028</c:v>
                </c:pt>
                <c:pt idx="26">
                  <c:v>1.2000000000000028</c:v>
                </c:pt>
                <c:pt idx="27">
                  <c:v>2.8000000000000043</c:v>
                </c:pt>
                <c:pt idx="28">
                  <c:v>3.8999999999999986</c:v>
                </c:pt>
                <c:pt idx="29">
                  <c:v>4.7000000000000028</c:v>
                </c:pt>
                <c:pt idx="30">
                  <c:v>5.1000000000000014</c:v>
                </c:pt>
                <c:pt idx="31">
                  <c:v>5.2000000000000028</c:v>
                </c:pt>
                <c:pt idx="32">
                  <c:v>5</c:v>
                </c:pt>
                <c:pt idx="33">
                  <c:v>4.2000000000000028</c:v>
                </c:pt>
                <c:pt idx="34">
                  <c:v>2.7999999999999972</c:v>
                </c:pt>
                <c:pt idx="35">
                  <c:v>2.3999999999999986</c:v>
                </c:pt>
                <c:pt idx="36">
                  <c:v>2.2999999999999972</c:v>
                </c:pt>
                <c:pt idx="37">
                  <c:v>1.5</c:v>
                </c:pt>
                <c:pt idx="38">
                  <c:v>1.7000000000000028</c:v>
                </c:pt>
                <c:pt idx="39">
                  <c:v>3.6000000000000014</c:v>
                </c:pt>
                <c:pt idx="40">
                  <c:v>4.5</c:v>
                </c:pt>
                <c:pt idx="41">
                  <c:v>4.3999999999999986</c:v>
                </c:pt>
                <c:pt idx="42">
                  <c:v>4</c:v>
                </c:pt>
                <c:pt idx="43">
                  <c:v>3.6000000000000014</c:v>
                </c:pt>
                <c:pt idx="44">
                  <c:v>3.7999999999999972</c:v>
                </c:pt>
                <c:pt idx="45">
                  <c:v>3.7999999999999972</c:v>
                </c:pt>
                <c:pt idx="46">
                  <c:v>3.5</c:v>
                </c:pt>
                <c:pt idx="47">
                  <c:v>3</c:v>
                </c:pt>
                <c:pt idx="48">
                  <c:v>3.6000000000000014</c:v>
                </c:pt>
                <c:pt idx="49">
                  <c:v>3.2999999999999972</c:v>
                </c:pt>
                <c:pt idx="50">
                  <c:v>3.1000000000000014</c:v>
                </c:pt>
                <c:pt idx="51">
                  <c:v>2.8999999999999986</c:v>
                </c:pt>
                <c:pt idx="52">
                  <c:v>2.3999999999999986</c:v>
                </c:pt>
                <c:pt idx="53">
                  <c:v>2</c:v>
                </c:pt>
                <c:pt idx="54">
                  <c:v>2.1000000000000014</c:v>
                </c:pt>
                <c:pt idx="55">
                  <c:v>2.8999999999999986</c:v>
                </c:pt>
                <c:pt idx="56">
                  <c:v>3.9000000000000057</c:v>
                </c:pt>
                <c:pt idx="57">
                  <c:v>4.0999999999999943</c:v>
                </c:pt>
                <c:pt idx="58">
                  <c:v>3.5</c:v>
                </c:pt>
                <c:pt idx="59">
                  <c:v>2.7000000000000028</c:v>
                </c:pt>
                <c:pt idx="60">
                  <c:v>2.6000000000000014</c:v>
                </c:pt>
                <c:pt idx="61">
                  <c:v>3.3000000000000043</c:v>
                </c:pt>
                <c:pt idx="62">
                  <c:v>4.1999999999999957</c:v>
                </c:pt>
                <c:pt idx="63">
                  <c:v>4.5</c:v>
                </c:pt>
                <c:pt idx="64">
                  <c:v>3.8999999999999986</c:v>
                </c:pt>
                <c:pt idx="65">
                  <c:v>2.6999999999999957</c:v>
                </c:pt>
                <c:pt idx="66">
                  <c:v>1.6000000000000014</c:v>
                </c:pt>
                <c:pt idx="67">
                  <c:v>1.6999999999999957</c:v>
                </c:pt>
                <c:pt idx="68">
                  <c:v>3.3000000000000043</c:v>
                </c:pt>
                <c:pt idx="69">
                  <c:v>3.7000000000000028</c:v>
                </c:pt>
                <c:pt idx="70">
                  <c:v>2.5</c:v>
                </c:pt>
                <c:pt idx="71">
                  <c:v>2.9000000000000057</c:v>
                </c:pt>
                <c:pt idx="72">
                  <c:v>4.4000000000000057</c:v>
                </c:pt>
                <c:pt idx="73">
                  <c:v>6</c:v>
                </c:pt>
                <c:pt idx="74">
                  <c:v>6.3999999999999986</c:v>
                </c:pt>
                <c:pt idx="75">
                  <c:v>5.4000000000000057</c:v>
                </c:pt>
                <c:pt idx="76">
                  <c:v>3.3000000000000043</c:v>
                </c:pt>
                <c:pt idx="77">
                  <c:v>1.5</c:v>
                </c:pt>
                <c:pt idx="78">
                  <c:v>1.1999999999999957</c:v>
                </c:pt>
                <c:pt idx="79">
                  <c:v>1.0999999999999943</c:v>
                </c:pt>
                <c:pt idx="80">
                  <c:v>1.7000000000000028</c:v>
                </c:pt>
                <c:pt idx="81">
                  <c:v>2.2000000000000028</c:v>
                </c:pt>
                <c:pt idx="82">
                  <c:v>2.2999999999999972</c:v>
                </c:pt>
                <c:pt idx="83">
                  <c:v>2.7000000000000028</c:v>
                </c:pt>
                <c:pt idx="84">
                  <c:v>3.3999999999999986</c:v>
                </c:pt>
                <c:pt idx="85">
                  <c:v>4.2000000000000028</c:v>
                </c:pt>
                <c:pt idx="86">
                  <c:v>4.5</c:v>
                </c:pt>
                <c:pt idx="87">
                  <c:v>4.8000000000000043</c:v>
                </c:pt>
                <c:pt idx="88">
                  <c:v>3.3999999999999986</c:v>
                </c:pt>
                <c:pt idx="89">
                  <c:v>3.2000000000000028</c:v>
                </c:pt>
                <c:pt idx="90">
                  <c:v>3.5</c:v>
                </c:pt>
                <c:pt idx="91">
                  <c:v>3.6000000000000014</c:v>
                </c:pt>
                <c:pt idx="92">
                  <c:v>3.0999999999999943</c:v>
                </c:pt>
                <c:pt idx="93">
                  <c:v>2.7000000000000028</c:v>
                </c:pt>
                <c:pt idx="94">
                  <c:v>2.7999999999999972</c:v>
                </c:pt>
                <c:pt idx="95">
                  <c:v>2.3999999999999986</c:v>
                </c:pt>
                <c:pt idx="96">
                  <c:v>2.6999999999999957</c:v>
                </c:pt>
                <c:pt idx="97">
                  <c:v>3.7000000000000028</c:v>
                </c:pt>
                <c:pt idx="98">
                  <c:v>3.6999999999999957</c:v>
                </c:pt>
                <c:pt idx="99">
                  <c:v>3</c:v>
                </c:pt>
                <c:pt idx="100">
                  <c:v>3.3999999999999986</c:v>
                </c:pt>
                <c:pt idx="101">
                  <c:v>4.3999999999999986</c:v>
                </c:pt>
                <c:pt idx="102">
                  <c:v>4.1999999999999957</c:v>
                </c:pt>
                <c:pt idx="103">
                  <c:v>3.8999999999999986</c:v>
                </c:pt>
                <c:pt idx="104">
                  <c:v>4.2000000000000028</c:v>
                </c:pt>
                <c:pt idx="105">
                  <c:v>4.2000000000000028</c:v>
                </c:pt>
                <c:pt idx="106">
                  <c:v>4.1999999999999957</c:v>
                </c:pt>
                <c:pt idx="107">
                  <c:v>4.1000000000000014</c:v>
                </c:pt>
                <c:pt idx="108">
                  <c:v>3.7000000000000028</c:v>
                </c:pt>
                <c:pt idx="109">
                  <c:v>2.5</c:v>
                </c:pt>
                <c:pt idx="110">
                  <c:v>1.1000000000000014</c:v>
                </c:pt>
                <c:pt idx="111">
                  <c:v>0.59999999999999432</c:v>
                </c:pt>
                <c:pt idx="112">
                  <c:v>1.1000000000000014</c:v>
                </c:pt>
                <c:pt idx="113">
                  <c:v>1.6000000000000014</c:v>
                </c:pt>
                <c:pt idx="114">
                  <c:v>3.7999999999999972</c:v>
                </c:pt>
                <c:pt idx="115">
                  <c:v>5.3000000000000043</c:v>
                </c:pt>
                <c:pt idx="116">
                  <c:v>5.5999999999999943</c:v>
                </c:pt>
                <c:pt idx="117">
                  <c:v>5</c:v>
                </c:pt>
                <c:pt idx="118">
                  <c:v>4.1000000000000014</c:v>
                </c:pt>
                <c:pt idx="119">
                  <c:v>4.5</c:v>
                </c:pt>
                <c:pt idx="120">
                  <c:v>4.3999999999999986</c:v>
                </c:pt>
                <c:pt idx="121">
                  <c:v>3.2999999999999972</c:v>
                </c:pt>
                <c:pt idx="122">
                  <c:v>1.6999999999999957</c:v>
                </c:pt>
                <c:pt idx="123">
                  <c:v>1.6000000000000014</c:v>
                </c:pt>
                <c:pt idx="124">
                  <c:v>2.7000000000000028</c:v>
                </c:pt>
                <c:pt idx="125">
                  <c:v>3.2999999999999972</c:v>
                </c:pt>
                <c:pt idx="126">
                  <c:v>3.2999999999999972</c:v>
                </c:pt>
                <c:pt idx="127">
                  <c:v>3.2000000000000028</c:v>
                </c:pt>
                <c:pt idx="128">
                  <c:v>3</c:v>
                </c:pt>
                <c:pt idx="129">
                  <c:v>3.0999999999999943</c:v>
                </c:pt>
                <c:pt idx="130">
                  <c:v>3.6999999999999957</c:v>
                </c:pt>
                <c:pt idx="131">
                  <c:v>4.6000000000000014</c:v>
                </c:pt>
                <c:pt idx="132">
                  <c:v>4.8000000000000043</c:v>
                </c:pt>
                <c:pt idx="133">
                  <c:v>4.5</c:v>
                </c:pt>
                <c:pt idx="134">
                  <c:v>3.3000000000000043</c:v>
                </c:pt>
                <c:pt idx="135">
                  <c:v>2.3000000000000043</c:v>
                </c:pt>
                <c:pt idx="136">
                  <c:v>2</c:v>
                </c:pt>
                <c:pt idx="137">
                  <c:v>3.2000000000000028</c:v>
                </c:pt>
                <c:pt idx="138">
                  <c:v>3.5</c:v>
                </c:pt>
                <c:pt idx="139">
                  <c:v>4.8999999999999986</c:v>
                </c:pt>
                <c:pt idx="140">
                  <c:v>5.1000000000000014</c:v>
                </c:pt>
                <c:pt idx="141">
                  <c:v>4.1000000000000014</c:v>
                </c:pt>
                <c:pt idx="142">
                  <c:v>2.3999999999999986</c:v>
                </c:pt>
                <c:pt idx="143">
                  <c:v>2.3999999999999986</c:v>
                </c:pt>
                <c:pt idx="144">
                  <c:v>2.6000000000000014</c:v>
                </c:pt>
                <c:pt idx="145">
                  <c:v>2.4000000000000057</c:v>
                </c:pt>
                <c:pt idx="146">
                  <c:v>2.8000000000000043</c:v>
                </c:pt>
                <c:pt idx="147">
                  <c:v>3.6000000000000014</c:v>
                </c:pt>
                <c:pt idx="148">
                  <c:v>4.5</c:v>
                </c:pt>
                <c:pt idx="149">
                  <c:v>4.7999999999999972</c:v>
                </c:pt>
                <c:pt idx="150">
                  <c:v>4.1999999999999957</c:v>
                </c:pt>
                <c:pt idx="151">
                  <c:v>3.1999999999999957</c:v>
                </c:pt>
                <c:pt idx="152">
                  <c:v>2.1999999999999957</c:v>
                </c:pt>
                <c:pt idx="153">
                  <c:v>2.0000000000000036</c:v>
                </c:pt>
                <c:pt idx="154">
                  <c:v>2.1000000000000014</c:v>
                </c:pt>
                <c:pt idx="155">
                  <c:v>2.5</c:v>
                </c:pt>
                <c:pt idx="156">
                  <c:v>2.9000000000000021</c:v>
                </c:pt>
                <c:pt idx="157">
                  <c:v>3</c:v>
                </c:pt>
                <c:pt idx="158">
                  <c:v>3.1000000000000014</c:v>
                </c:pt>
                <c:pt idx="159">
                  <c:v>3.1000000000000014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3.1000000000000014</c:v>
                </c:pt>
                <c:pt idx="173">
                  <c:v>3.4000000000000021</c:v>
                </c:pt>
                <c:pt idx="17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5-4CC9-B691-97D6C47492AB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40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5-4CC9-B691-97D6C47492AB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Data!$H$3:$H$177</c:f>
              <c:numCache>
                <c:formatCode>0.0</c:formatCode>
                <c:ptCount val="175"/>
                <c:pt idx="0">
                  <c:v>11.799999999999997</c:v>
                </c:pt>
                <c:pt idx="1">
                  <c:v>11.699999999999996</c:v>
                </c:pt>
                <c:pt idx="2">
                  <c:v>11.700000000000003</c:v>
                </c:pt>
                <c:pt idx="3">
                  <c:v>11.099999999999994</c:v>
                </c:pt>
                <c:pt idx="4">
                  <c:v>11.100000000000001</c:v>
                </c:pt>
                <c:pt idx="5">
                  <c:v>12.199999999999996</c:v>
                </c:pt>
                <c:pt idx="6">
                  <c:v>12.100000000000001</c:v>
                </c:pt>
                <c:pt idx="7">
                  <c:v>11.599999999999994</c:v>
                </c:pt>
                <c:pt idx="8">
                  <c:v>12.199999999999996</c:v>
                </c:pt>
                <c:pt idx="9">
                  <c:v>12.299999999999997</c:v>
                </c:pt>
                <c:pt idx="10">
                  <c:v>12.199999999999996</c:v>
                </c:pt>
                <c:pt idx="11">
                  <c:v>12.299999999999997</c:v>
                </c:pt>
                <c:pt idx="12">
                  <c:v>12.299999999999997</c:v>
                </c:pt>
                <c:pt idx="13">
                  <c:v>12.400000000000006</c:v>
                </c:pt>
                <c:pt idx="14">
                  <c:v>12.200000000000003</c:v>
                </c:pt>
                <c:pt idx="15">
                  <c:v>12.299999999999997</c:v>
                </c:pt>
                <c:pt idx="16">
                  <c:v>12.399999999999999</c:v>
                </c:pt>
                <c:pt idx="17">
                  <c:v>12</c:v>
                </c:pt>
                <c:pt idx="18">
                  <c:v>11.5</c:v>
                </c:pt>
                <c:pt idx="19">
                  <c:v>12.5</c:v>
                </c:pt>
                <c:pt idx="20">
                  <c:v>12.5</c:v>
                </c:pt>
                <c:pt idx="21">
                  <c:v>12.599999999999994</c:v>
                </c:pt>
                <c:pt idx="22">
                  <c:v>12.699999999999996</c:v>
                </c:pt>
                <c:pt idx="23">
                  <c:v>12.799999999999997</c:v>
                </c:pt>
                <c:pt idx="24">
                  <c:v>12.799999999999997</c:v>
                </c:pt>
                <c:pt idx="25">
                  <c:v>12.899999999999999</c:v>
                </c:pt>
                <c:pt idx="26">
                  <c:v>13</c:v>
                </c:pt>
                <c:pt idx="27">
                  <c:v>12.799999999999997</c:v>
                </c:pt>
                <c:pt idx="28">
                  <c:v>13.100000000000001</c:v>
                </c:pt>
                <c:pt idx="29">
                  <c:v>13.200000000000003</c:v>
                </c:pt>
                <c:pt idx="30">
                  <c:v>12.800000000000004</c:v>
                </c:pt>
                <c:pt idx="31">
                  <c:v>13.299999999999997</c:v>
                </c:pt>
                <c:pt idx="32">
                  <c:v>13.399999999999999</c:v>
                </c:pt>
                <c:pt idx="33">
                  <c:v>13.5</c:v>
                </c:pt>
                <c:pt idx="34">
                  <c:v>13.600000000000009</c:v>
                </c:pt>
                <c:pt idx="35">
                  <c:v>12.399999999999999</c:v>
                </c:pt>
                <c:pt idx="36">
                  <c:v>11.5</c:v>
                </c:pt>
                <c:pt idx="37">
                  <c:v>12.399999999999999</c:v>
                </c:pt>
                <c:pt idx="38">
                  <c:v>13.899999999999991</c:v>
                </c:pt>
                <c:pt idx="39">
                  <c:v>13.900000000000006</c:v>
                </c:pt>
                <c:pt idx="40">
                  <c:v>14.000000000000007</c:v>
                </c:pt>
                <c:pt idx="41">
                  <c:v>14.000000000000007</c:v>
                </c:pt>
                <c:pt idx="42">
                  <c:v>14.000000000000007</c:v>
                </c:pt>
                <c:pt idx="43">
                  <c:v>14</c:v>
                </c:pt>
                <c:pt idx="44">
                  <c:v>14.100000000000009</c:v>
                </c:pt>
                <c:pt idx="45">
                  <c:v>14.100000000000001</c:v>
                </c:pt>
                <c:pt idx="46">
                  <c:v>13.999999999999993</c:v>
                </c:pt>
                <c:pt idx="47">
                  <c:v>14.100000000000009</c:v>
                </c:pt>
                <c:pt idx="48">
                  <c:v>14.200000000000003</c:v>
                </c:pt>
                <c:pt idx="49">
                  <c:v>14.200000000000003</c:v>
                </c:pt>
                <c:pt idx="50">
                  <c:v>14.000000000000007</c:v>
                </c:pt>
                <c:pt idx="51">
                  <c:v>14.300000000000004</c:v>
                </c:pt>
                <c:pt idx="52">
                  <c:v>14.299999999999997</c:v>
                </c:pt>
                <c:pt idx="53">
                  <c:v>14.299999999999997</c:v>
                </c:pt>
                <c:pt idx="54">
                  <c:v>14.400000000000006</c:v>
                </c:pt>
                <c:pt idx="55">
                  <c:v>14.399999999999999</c:v>
                </c:pt>
                <c:pt idx="56">
                  <c:v>14.399999999999991</c:v>
                </c:pt>
                <c:pt idx="57">
                  <c:v>14.400000000000006</c:v>
                </c:pt>
                <c:pt idx="58">
                  <c:v>14.5</c:v>
                </c:pt>
                <c:pt idx="59">
                  <c:v>14.5</c:v>
                </c:pt>
                <c:pt idx="60">
                  <c:v>14.499999999999993</c:v>
                </c:pt>
                <c:pt idx="61">
                  <c:v>14.499999999999993</c:v>
                </c:pt>
                <c:pt idx="62">
                  <c:v>14.299999999999997</c:v>
                </c:pt>
                <c:pt idx="63">
                  <c:v>14.5</c:v>
                </c:pt>
                <c:pt idx="64">
                  <c:v>14.5</c:v>
                </c:pt>
                <c:pt idx="65">
                  <c:v>14.500000000000007</c:v>
                </c:pt>
                <c:pt idx="66">
                  <c:v>14.5</c:v>
                </c:pt>
                <c:pt idx="67">
                  <c:v>14.000000000000007</c:v>
                </c:pt>
                <c:pt idx="68">
                  <c:v>12.399999999999999</c:v>
                </c:pt>
                <c:pt idx="69">
                  <c:v>12</c:v>
                </c:pt>
                <c:pt idx="70">
                  <c:v>13.700000000000003</c:v>
                </c:pt>
                <c:pt idx="71">
                  <c:v>14.5</c:v>
                </c:pt>
                <c:pt idx="72">
                  <c:v>14.5</c:v>
                </c:pt>
                <c:pt idx="73">
                  <c:v>14.500000000000007</c:v>
                </c:pt>
                <c:pt idx="74">
                  <c:v>14.500000000000007</c:v>
                </c:pt>
                <c:pt idx="75">
                  <c:v>13.799999999999997</c:v>
                </c:pt>
                <c:pt idx="76">
                  <c:v>14.499999999999993</c:v>
                </c:pt>
                <c:pt idx="77">
                  <c:v>14.499999999999993</c:v>
                </c:pt>
                <c:pt idx="78">
                  <c:v>14.100000000000001</c:v>
                </c:pt>
                <c:pt idx="79">
                  <c:v>14.200000000000003</c:v>
                </c:pt>
                <c:pt idx="80">
                  <c:v>13.899999999999999</c:v>
                </c:pt>
                <c:pt idx="81">
                  <c:v>13.599999999999994</c:v>
                </c:pt>
                <c:pt idx="82">
                  <c:v>13.299999999999997</c:v>
                </c:pt>
                <c:pt idx="83">
                  <c:v>13</c:v>
                </c:pt>
                <c:pt idx="84">
                  <c:v>13.399999999999999</c:v>
                </c:pt>
                <c:pt idx="85">
                  <c:v>13.799999999999997</c:v>
                </c:pt>
                <c:pt idx="86">
                  <c:v>14.100000000000001</c:v>
                </c:pt>
                <c:pt idx="87">
                  <c:v>13.800000000000004</c:v>
                </c:pt>
                <c:pt idx="88">
                  <c:v>15</c:v>
                </c:pt>
                <c:pt idx="89">
                  <c:v>15.5</c:v>
                </c:pt>
                <c:pt idx="90">
                  <c:v>12.600000000000001</c:v>
                </c:pt>
                <c:pt idx="91">
                  <c:v>9.7000000000000028</c:v>
                </c:pt>
                <c:pt idx="92">
                  <c:v>6.8000000000000043</c:v>
                </c:pt>
                <c:pt idx="93">
                  <c:v>3.8999999999999986</c:v>
                </c:pt>
                <c:pt idx="94">
                  <c:v>6.3999999999999986</c:v>
                </c:pt>
                <c:pt idx="95">
                  <c:v>6.8000000000000043</c:v>
                </c:pt>
                <c:pt idx="96">
                  <c:v>7.3000000000000043</c:v>
                </c:pt>
                <c:pt idx="97">
                  <c:v>7.7000000000000028</c:v>
                </c:pt>
                <c:pt idx="98">
                  <c:v>8.2000000000000028</c:v>
                </c:pt>
                <c:pt idx="99">
                  <c:v>8.5999999999999943</c:v>
                </c:pt>
                <c:pt idx="100">
                  <c:v>8.3999999999999986</c:v>
                </c:pt>
                <c:pt idx="101">
                  <c:v>7.1000000000000014</c:v>
                </c:pt>
                <c:pt idx="102">
                  <c:v>7.6000000000000014</c:v>
                </c:pt>
                <c:pt idx="103">
                  <c:v>8.7999999999999972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8.3999999999999986</c:v>
                </c:pt>
                <c:pt idx="108">
                  <c:v>8.3999999999999986</c:v>
                </c:pt>
                <c:pt idx="109">
                  <c:v>9</c:v>
                </c:pt>
                <c:pt idx="110">
                  <c:v>9</c:v>
                </c:pt>
                <c:pt idx="111">
                  <c:v>8.9000000000000057</c:v>
                </c:pt>
                <c:pt idx="112">
                  <c:v>9.1000000000000014</c:v>
                </c:pt>
                <c:pt idx="113">
                  <c:v>9.2000000000000028</c:v>
                </c:pt>
                <c:pt idx="114">
                  <c:v>9.2000000000000028</c:v>
                </c:pt>
                <c:pt idx="115">
                  <c:v>9.2999999999999972</c:v>
                </c:pt>
                <c:pt idx="116">
                  <c:v>9.4000000000000057</c:v>
                </c:pt>
                <c:pt idx="117">
                  <c:v>9.3999999999999986</c:v>
                </c:pt>
                <c:pt idx="118">
                  <c:v>9.5</c:v>
                </c:pt>
                <c:pt idx="119">
                  <c:v>8.7000000000000028</c:v>
                </c:pt>
                <c:pt idx="120">
                  <c:v>8.5</c:v>
                </c:pt>
                <c:pt idx="121">
                  <c:v>9</c:v>
                </c:pt>
                <c:pt idx="122">
                  <c:v>9.8000000000000043</c:v>
                </c:pt>
                <c:pt idx="123">
                  <c:v>9.8999999999999986</c:v>
                </c:pt>
                <c:pt idx="124">
                  <c:v>10</c:v>
                </c:pt>
                <c:pt idx="125">
                  <c:v>10</c:v>
                </c:pt>
                <c:pt idx="126">
                  <c:v>9.6000000000000014</c:v>
                </c:pt>
                <c:pt idx="127">
                  <c:v>9.7999999999999972</c:v>
                </c:pt>
                <c:pt idx="128">
                  <c:v>9.6000000000000014</c:v>
                </c:pt>
                <c:pt idx="129">
                  <c:v>9.4000000000000057</c:v>
                </c:pt>
                <c:pt idx="130">
                  <c:v>9.3000000000000043</c:v>
                </c:pt>
                <c:pt idx="131">
                  <c:v>9.2000000000000028</c:v>
                </c:pt>
                <c:pt idx="132">
                  <c:v>9</c:v>
                </c:pt>
                <c:pt idx="133">
                  <c:v>8.3999999999999986</c:v>
                </c:pt>
                <c:pt idx="134">
                  <c:v>8.0999999999999943</c:v>
                </c:pt>
                <c:pt idx="135">
                  <c:v>8.1000000000000014</c:v>
                </c:pt>
                <c:pt idx="136">
                  <c:v>8.2999999999999972</c:v>
                </c:pt>
                <c:pt idx="137">
                  <c:v>7.7999999999999972</c:v>
                </c:pt>
                <c:pt idx="138">
                  <c:v>8.1999999999999957</c:v>
                </c:pt>
                <c:pt idx="139">
                  <c:v>8.1000000000000014</c:v>
                </c:pt>
                <c:pt idx="140">
                  <c:v>7.7000000000000028</c:v>
                </c:pt>
                <c:pt idx="141">
                  <c:v>7.6000000000000014</c:v>
                </c:pt>
                <c:pt idx="142">
                  <c:v>7.3000000000000043</c:v>
                </c:pt>
                <c:pt idx="143">
                  <c:v>6.8999999999999986</c:v>
                </c:pt>
                <c:pt idx="144">
                  <c:v>6.3999999999999986</c:v>
                </c:pt>
                <c:pt idx="145">
                  <c:v>6.2999999999999972</c:v>
                </c:pt>
                <c:pt idx="146">
                  <c:v>5.8999999999999986</c:v>
                </c:pt>
                <c:pt idx="147">
                  <c:v>5.5999999999999943</c:v>
                </c:pt>
                <c:pt idx="148">
                  <c:v>5.1999999999999957</c:v>
                </c:pt>
                <c:pt idx="149">
                  <c:v>4.7999999999999972</c:v>
                </c:pt>
                <c:pt idx="150">
                  <c:v>4.5</c:v>
                </c:pt>
                <c:pt idx="151">
                  <c:v>4.2000000000000028</c:v>
                </c:pt>
                <c:pt idx="152">
                  <c:v>4</c:v>
                </c:pt>
                <c:pt idx="153">
                  <c:v>3.6999999999999957</c:v>
                </c:pt>
                <c:pt idx="154">
                  <c:v>3.5</c:v>
                </c:pt>
                <c:pt idx="155">
                  <c:v>3.3000000000000043</c:v>
                </c:pt>
                <c:pt idx="156">
                  <c:v>3</c:v>
                </c:pt>
                <c:pt idx="157">
                  <c:v>2.8000000000000043</c:v>
                </c:pt>
                <c:pt idx="158">
                  <c:v>2.5</c:v>
                </c:pt>
                <c:pt idx="159">
                  <c:v>2.2999999999999972</c:v>
                </c:pt>
                <c:pt idx="160">
                  <c:v>2</c:v>
                </c:pt>
                <c:pt idx="161">
                  <c:v>1.8999999999999986</c:v>
                </c:pt>
                <c:pt idx="162">
                  <c:v>1.8000000000000007</c:v>
                </c:pt>
                <c:pt idx="163">
                  <c:v>1.6999999999999993</c:v>
                </c:pt>
                <c:pt idx="164">
                  <c:v>1.6000000000000014</c:v>
                </c:pt>
                <c:pt idx="165">
                  <c:v>1.5</c:v>
                </c:pt>
                <c:pt idx="166">
                  <c:v>1.3999999999999986</c:v>
                </c:pt>
                <c:pt idx="167">
                  <c:v>1.3000000000000007</c:v>
                </c:pt>
                <c:pt idx="168">
                  <c:v>1.1999999999999993</c:v>
                </c:pt>
                <c:pt idx="169">
                  <c:v>1.1000000000000014</c:v>
                </c:pt>
                <c:pt idx="170">
                  <c:v>1</c:v>
                </c:pt>
                <c:pt idx="171">
                  <c:v>1.6000000000000014</c:v>
                </c:pt>
                <c:pt idx="172">
                  <c:v>2.3000000000000007</c:v>
                </c:pt>
                <c:pt idx="173">
                  <c:v>2.8999999999999986</c:v>
                </c:pt>
                <c:pt idx="17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5-4CC9-B691-97D6C47492AB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20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Data!$Q$3:$Q$177</c:f>
              <c:numCache>
                <c:formatCode>0.0</c:formatCode>
                <c:ptCount val="175"/>
                <c:pt idx="0">
                  <c:v>4.2000000000000028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5.3999999999999986</c:v>
                </c:pt>
                <c:pt idx="5">
                  <c:v>5.1000000000000014</c:v>
                </c:pt>
                <c:pt idx="6">
                  <c:v>5.3999999999999986</c:v>
                </c:pt>
                <c:pt idx="7">
                  <c:v>6.3000000000000043</c:v>
                </c:pt>
                <c:pt idx="8">
                  <c:v>5.6999999999999957</c:v>
                </c:pt>
                <c:pt idx="9">
                  <c:v>5.2999999999999972</c:v>
                </c:pt>
                <c:pt idx="10">
                  <c:v>5</c:v>
                </c:pt>
                <c:pt idx="11">
                  <c:v>4.8999999999999986</c:v>
                </c:pt>
                <c:pt idx="12">
                  <c:v>5.2000000000000028</c:v>
                </c:pt>
                <c:pt idx="13">
                  <c:v>5.2000000000000028</c:v>
                </c:pt>
                <c:pt idx="14">
                  <c:v>5.3999999999999986</c:v>
                </c:pt>
                <c:pt idx="15">
                  <c:v>4.9000000000000057</c:v>
                </c:pt>
                <c:pt idx="16">
                  <c:v>3.8999999999999986</c:v>
                </c:pt>
                <c:pt idx="17">
                  <c:v>4.1000000000000014</c:v>
                </c:pt>
                <c:pt idx="18">
                  <c:v>5</c:v>
                </c:pt>
                <c:pt idx="19">
                  <c:v>5.5</c:v>
                </c:pt>
                <c:pt idx="20">
                  <c:v>5.3000000000000043</c:v>
                </c:pt>
                <c:pt idx="21">
                  <c:v>4.6000000000000085</c:v>
                </c:pt>
                <c:pt idx="22">
                  <c:v>4.6000000000000085</c:v>
                </c:pt>
                <c:pt idx="23">
                  <c:v>5.2999999999999972</c:v>
                </c:pt>
                <c:pt idx="24">
                  <c:v>6.5999999999999943</c:v>
                </c:pt>
                <c:pt idx="25">
                  <c:v>7.1999999999999957</c:v>
                </c:pt>
                <c:pt idx="26">
                  <c:v>6.7000000000000028</c:v>
                </c:pt>
                <c:pt idx="27">
                  <c:v>5.5</c:v>
                </c:pt>
                <c:pt idx="28">
                  <c:v>5.2999999999999972</c:v>
                </c:pt>
                <c:pt idx="29">
                  <c:v>4.0999999999999943</c:v>
                </c:pt>
                <c:pt idx="30">
                  <c:v>3.3999999999999915</c:v>
                </c:pt>
                <c:pt idx="31">
                  <c:v>2.9000000000000057</c:v>
                </c:pt>
                <c:pt idx="32">
                  <c:v>3</c:v>
                </c:pt>
                <c:pt idx="33">
                  <c:v>3.7999999999999972</c:v>
                </c:pt>
                <c:pt idx="34">
                  <c:v>5.3999999999999915</c:v>
                </c:pt>
                <c:pt idx="35">
                  <c:v>7.2999999999999972</c:v>
                </c:pt>
                <c:pt idx="36">
                  <c:v>8.2999999999999972</c:v>
                </c:pt>
                <c:pt idx="37">
                  <c:v>7.9000000000000057</c:v>
                </c:pt>
                <c:pt idx="38">
                  <c:v>6.3000000000000114</c:v>
                </c:pt>
                <c:pt idx="39">
                  <c:v>4.5</c:v>
                </c:pt>
                <c:pt idx="40">
                  <c:v>3.5</c:v>
                </c:pt>
                <c:pt idx="41">
                  <c:v>3.5999999999999943</c:v>
                </c:pt>
                <c:pt idx="42">
                  <c:v>4.0999999999999943</c:v>
                </c:pt>
                <c:pt idx="43">
                  <c:v>4.5</c:v>
                </c:pt>
                <c:pt idx="44">
                  <c:v>4.3999999999999915</c:v>
                </c:pt>
                <c:pt idx="45">
                  <c:v>4.2999999999999972</c:v>
                </c:pt>
                <c:pt idx="46">
                  <c:v>4.6000000000000085</c:v>
                </c:pt>
                <c:pt idx="47">
                  <c:v>5.3999999999999915</c:v>
                </c:pt>
                <c:pt idx="48">
                  <c:v>5.6999999999999886</c:v>
                </c:pt>
                <c:pt idx="49">
                  <c:v>5.5999999999999943</c:v>
                </c:pt>
                <c:pt idx="50">
                  <c:v>5.1999999999999886</c:v>
                </c:pt>
                <c:pt idx="51">
                  <c:v>5.0999999999999943</c:v>
                </c:pt>
                <c:pt idx="52">
                  <c:v>5.6000000000000085</c:v>
                </c:pt>
                <c:pt idx="53">
                  <c:v>6.1000000000000085</c:v>
                </c:pt>
                <c:pt idx="54">
                  <c:v>5.7999999999999972</c:v>
                </c:pt>
                <c:pt idx="55">
                  <c:v>5.1000000000000085</c:v>
                </c:pt>
                <c:pt idx="56">
                  <c:v>4.1000000000000085</c:v>
                </c:pt>
                <c:pt idx="57">
                  <c:v>3.8999999999999915</c:v>
                </c:pt>
                <c:pt idx="58">
                  <c:v>4.5</c:v>
                </c:pt>
                <c:pt idx="59">
                  <c:v>5.2999999999999972</c:v>
                </c:pt>
                <c:pt idx="60">
                  <c:v>5.4000000000000057</c:v>
                </c:pt>
                <c:pt idx="61">
                  <c:v>4.7000000000000028</c:v>
                </c:pt>
                <c:pt idx="62">
                  <c:v>4</c:v>
                </c:pt>
                <c:pt idx="63">
                  <c:v>3.5</c:v>
                </c:pt>
                <c:pt idx="64">
                  <c:v>4.1000000000000085</c:v>
                </c:pt>
                <c:pt idx="65">
                  <c:v>5.3999999999999915</c:v>
                </c:pt>
                <c:pt idx="66">
                  <c:v>6.4000000000000057</c:v>
                </c:pt>
                <c:pt idx="67">
                  <c:v>6.7999999999999972</c:v>
                </c:pt>
                <c:pt idx="68">
                  <c:v>6.7999999999999972</c:v>
                </c:pt>
                <c:pt idx="69">
                  <c:v>6.7999999999999972</c:v>
                </c:pt>
                <c:pt idx="70">
                  <c:v>6.2999999999999972</c:v>
                </c:pt>
                <c:pt idx="71">
                  <c:v>5.2999999999999972</c:v>
                </c:pt>
                <c:pt idx="72">
                  <c:v>3.5999999999999943</c:v>
                </c:pt>
                <c:pt idx="73">
                  <c:v>2</c:v>
                </c:pt>
                <c:pt idx="74">
                  <c:v>1.5999999999999943</c:v>
                </c:pt>
                <c:pt idx="75">
                  <c:v>3.2999999999999972</c:v>
                </c:pt>
                <c:pt idx="76">
                  <c:v>4.7000000000000028</c:v>
                </c:pt>
                <c:pt idx="77">
                  <c:v>6.5</c:v>
                </c:pt>
                <c:pt idx="78">
                  <c:v>7.2000000000000028</c:v>
                </c:pt>
                <c:pt idx="79">
                  <c:v>6.9000000000000057</c:v>
                </c:pt>
                <c:pt idx="80">
                  <c:v>6.2999999999999972</c:v>
                </c:pt>
                <c:pt idx="81">
                  <c:v>5.7999999999999972</c:v>
                </c:pt>
                <c:pt idx="82">
                  <c:v>5.7000000000000028</c:v>
                </c:pt>
                <c:pt idx="83">
                  <c:v>5.2999999999999972</c:v>
                </c:pt>
                <c:pt idx="84">
                  <c:v>4.5999999999999943</c:v>
                </c:pt>
                <c:pt idx="85">
                  <c:v>3.9000000000000057</c:v>
                </c:pt>
                <c:pt idx="86">
                  <c:v>3.7000000000000028</c:v>
                </c:pt>
                <c:pt idx="87">
                  <c:v>4.0999999999999943</c:v>
                </c:pt>
                <c:pt idx="88">
                  <c:v>4.5999999999999943</c:v>
                </c:pt>
                <c:pt idx="89">
                  <c:v>4.7999999999999972</c:v>
                </c:pt>
                <c:pt idx="90">
                  <c:v>4.5</c:v>
                </c:pt>
                <c:pt idx="91">
                  <c:v>4.3999999999999915</c:v>
                </c:pt>
                <c:pt idx="92">
                  <c:v>4.8999999999999986</c:v>
                </c:pt>
                <c:pt idx="93">
                  <c:v>5.3000000000000043</c:v>
                </c:pt>
                <c:pt idx="94">
                  <c:v>6.5</c:v>
                </c:pt>
                <c:pt idx="95">
                  <c:v>6.2999999999999972</c:v>
                </c:pt>
                <c:pt idx="96">
                  <c:v>5.2999999999999972</c:v>
                </c:pt>
                <c:pt idx="97">
                  <c:v>4.2999999999999972</c:v>
                </c:pt>
                <c:pt idx="98">
                  <c:v>4.2000000000000028</c:v>
                </c:pt>
                <c:pt idx="99">
                  <c:v>5</c:v>
                </c:pt>
                <c:pt idx="100">
                  <c:v>5.8000000000000043</c:v>
                </c:pt>
                <c:pt idx="101">
                  <c:v>5.7999999999999972</c:v>
                </c:pt>
                <c:pt idx="102">
                  <c:v>5.2000000000000028</c:v>
                </c:pt>
                <c:pt idx="103">
                  <c:v>4.3000000000000043</c:v>
                </c:pt>
                <c:pt idx="104">
                  <c:v>4</c:v>
                </c:pt>
                <c:pt idx="105">
                  <c:v>3.7999999999999972</c:v>
                </c:pt>
                <c:pt idx="106">
                  <c:v>3.8000000000000043</c:v>
                </c:pt>
                <c:pt idx="107">
                  <c:v>4.5</c:v>
                </c:pt>
                <c:pt idx="108">
                  <c:v>4.8999999999999986</c:v>
                </c:pt>
                <c:pt idx="109">
                  <c:v>5.5</c:v>
                </c:pt>
                <c:pt idx="110">
                  <c:v>7</c:v>
                </c:pt>
                <c:pt idx="111">
                  <c:v>8.0999999999999943</c:v>
                </c:pt>
                <c:pt idx="112">
                  <c:v>8</c:v>
                </c:pt>
                <c:pt idx="113">
                  <c:v>6.3999999999999986</c:v>
                </c:pt>
                <c:pt idx="114">
                  <c:v>4.2999999999999972</c:v>
                </c:pt>
                <c:pt idx="115">
                  <c:v>2.7000000000000028</c:v>
                </c:pt>
                <c:pt idx="116">
                  <c:v>2.3999999999999986</c:v>
                </c:pt>
                <c:pt idx="117">
                  <c:v>3.1000000000000014</c:v>
                </c:pt>
                <c:pt idx="118">
                  <c:v>3.8999999999999986</c:v>
                </c:pt>
                <c:pt idx="119">
                  <c:v>4.6000000000000014</c:v>
                </c:pt>
                <c:pt idx="120">
                  <c:v>5.8000000000000043</c:v>
                </c:pt>
                <c:pt idx="121">
                  <c:v>6</c:v>
                </c:pt>
                <c:pt idx="122">
                  <c:v>6.2999999999999972</c:v>
                </c:pt>
                <c:pt idx="123">
                  <c:v>6.8000000000000043</c:v>
                </c:pt>
                <c:pt idx="124">
                  <c:v>6.5999999999999943</c:v>
                </c:pt>
                <c:pt idx="125">
                  <c:v>5.8000000000000043</c:v>
                </c:pt>
                <c:pt idx="126">
                  <c:v>5.2999999999999972</c:v>
                </c:pt>
                <c:pt idx="127">
                  <c:v>4.8000000000000043</c:v>
                </c:pt>
                <c:pt idx="128">
                  <c:v>5</c:v>
                </c:pt>
                <c:pt idx="129">
                  <c:v>4.8999999999999986</c:v>
                </c:pt>
                <c:pt idx="130">
                  <c:v>4.2999999999999972</c:v>
                </c:pt>
                <c:pt idx="131">
                  <c:v>3.3999999999999986</c:v>
                </c:pt>
                <c:pt idx="132">
                  <c:v>3.2999999999999972</c:v>
                </c:pt>
                <c:pt idx="133">
                  <c:v>4.4000000000000057</c:v>
                </c:pt>
                <c:pt idx="134">
                  <c:v>5.5</c:v>
                </c:pt>
                <c:pt idx="135">
                  <c:v>6.2999999999999972</c:v>
                </c:pt>
                <c:pt idx="136">
                  <c:v>6.3000000000000043</c:v>
                </c:pt>
                <c:pt idx="137">
                  <c:v>5.3999999999999986</c:v>
                </c:pt>
                <c:pt idx="138">
                  <c:v>4.6000000000000014</c:v>
                </c:pt>
                <c:pt idx="139">
                  <c:v>4.5</c:v>
                </c:pt>
                <c:pt idx="140">
                  <c:v>5.2999999999999972</c:v>
                </c:pt>
                <c:pt idx="141">
                  <c:v>5.5999999999999943</c:v>
                </c:pt>
                <c:pt idx="142">
                  <c:v>5.6000000000000014</c:v>
                </c:pt>
                <c:pt idx="143">
                  <c:v>5.6000000000000014</c:v>
                </c:pt>
                <c:pt idx="144">
                  <c:v>5.6000000000000014</c:v>
                </c:pt>
                <c:pt idx="145">
                  <c:v>5.5</c:v>
                </c:pt>
                <c:pt idx="146">
                  <c:v>5.2000000000000028</c:v>
                </c:pt>
                <c:pt idx="147">
                  <c:v>4.4000000000000057</c:v>
                </c:pt>
                <c:pt idx="148">
                  <c:v>3.5</c:v>
                </c:pt>
                <c:pt idx="149">
                  <c:v>3.2000000000000028</c:v>
                </c:pt>
                <c:pt idx="150">
                  <c:v>3.8000000000000043</c:v>
                </c:pt>
                <c:pt idx="151">
                  <c:v>4.8999999999999986</c:v>
                </c:pt>
                <c:pt idx="152">
                  <c:v>5.8000000000000043</c:v>
                </c:pt>
                <c:pt idx="153">
                  <c:v>6.1000000000000014</c:v>
                </c:pt>
                <c:pt idx="154">
                  <c:v>5.8999999999999986</c:v>
                </c:pt>
                <c:pt idx="155">
                  <c:v>5.3999999999999986</c:v>
                </c:pt>
                <c:pt idx="156">
                  <c:v>5.0999999999999943</c:v>
                </c:pt>
                <c:pt idx="157">
                  <c:v>5</c:v>
                </c:pt>
                <c:pt idx="158">
                  <c:v>4.8999999999999986</c:v>
                </c:pt>
                <c:pt idx="159">
                  <c:v>4.9000000000000057</c:v>
                </c:pt>
                <c:pt idx="160">
                  <c:v>5</c:v>
                </c:pt>
                <c:pt idx="161">
                  <c:v>5</c:v>
                </c:pt>
                <c:pt idx="162">
                  <c:v>4.9999999999999964</c:v>
                </c:pt>
                <c:pt idx="163">
                  <c:v>5.0000000000000036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4.9999999999999964</c:v>
                </c:pt>
                <c:pt idx="168">
                  <c:v>5.0000000000000036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4.8999999999999986</c:v>
                </c:pt>
                <c:pt idx="173">
                  <c:v>4.6000000000000014</c:v>
                </c:pt>
                <c:pt idx="17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5-4CC9-B691-97D6C4749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264751"/>
        <c:axId val="2002265231"/>
      </c:areaChart>
      <c:lineChart>
        <c:grouping val="standard"/>
        <c:varyColors val="0"/>
        <c:ser>
          <c:idx val="5"/>
          <c:order val="5"/>
          <c:tx>
            <c:strRef>
              <c:f>Data!$I$2</c:f>
              <c:strCache>
                <c:ptCount val="1"/>
                <c:pt idx="0">
                  <c:v>AII Src 1</c:v>
                </c:pt>
              </c:strCache>
            </c:strRef>
          </c:tx>
          <c:spPr>
            <a:ln w="19050">
              <a:solidFill>
                <a:srgbClr val="7A4400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Data!$I$3:$I$177</c:f>
              <c:numCache>
                <c:formatCode>0.0</c:formatCode>
                <c:ptCount val="175"/>
                <c:pt idx="0">
                  <c:v>37.700000000000003</c:v>
                </c:pt>
                <c:pt idx="1">
                  <c:v>38.700000000000003</c:v>
                </c:pt>
                <c:pt idx="2">
                  <c:v>39.4</c:v>
                </c:pt>
                <c:pt idx="3">
                  <c:v>39.700000000000003</c:v>
                </c:pt>
                <c:pt idx="4">
                  <c:v>40</c:v>
                </c:pt>
                <c:pt idx="5">
                  <c:v>40.799999999999997</c:v>
                </c:pt>
                <c:pt idx="6">
                  <c:v>42.2</c:v>
                </c:pt>
                <c:pt idx="7">
                  <c:v>43.4</c:v>
                </c:pt>
                <c:pt idx="8">
                  <c:v>43.9</c:v>
                </c:pt>
                <c:pt idx="9">
                  <c:v>43.6</c:v>
                </c:pt>
                <c:pt idx="10">
                  <c:v>43.1</c:v>
                </c:pt>
                <c:pt idx="11">
                  <c:v>43.2</c:v>
                </c:pt>
                <c:pt idx="12">
                  <c:v>43.7</c:v>
                </c:pt>
                <c:pt idx="13">
                  <c:v>44.1</c:v>
                </c:pt>
                <c:pt idx="14">
                  <c:v>44</c:v>
                </c:pt>
                <c:pt idx="15">
                  <c:v>43.6</c:v>
                </c:pt>
                <c:pt idx="16">
                  <c:v>43.7</c:v>
                </c:pt>
                <c:pt idx="17">
                  <c:v>44.6</c:v>
                </c:pt>
                <c:pt idx="18">
                  <c:v>46.1</c:v>
                </c:pt>
                <c:pt idx="19">
                  <c:v>47.3</c:v>
                </c:pt>
                <c:pt idx="20">
                  <c:v>47.9</c:v>
                </c:pt>
                <c:pt idx="21">
                  <c:v>47.9</c:v>
                </c:pt>
                <c:pt idx="22">
                  <c:v>48</c:v>
                </c:pt>
                <c:pt idx="23">
                  <c:v>48.6</c:v>
                </c:pt>
                <c:pt idx="24">
                  <c:v>49.3</c:v>
                </c:pt>
                <c:pt idx="25">
                  <c:v>49.4</c:v>
                </c:pt>
                <c:pt idx="26">
                  <c:v>48.8</c:v>
                </c:pt>
                <c:pt idx="27">
                  <c:v>47.9</c:v>
                </c:pt>
                <c:pt idx="28">
                  <c:v>47.5</c:v>
                </c:pt>
                <c:pt idx="29">
                  <c:v>48</c:v>
                </c:pt>
                <c:pt idx="30">
                  <c:v>48.8</c:v>
                </c:pt>
                <c:pt idx="31">
                  <c:v>49.3</c:v>
                </c:pt>
                <c:pt idx="32">
                  <c:v>49.4</c:v>
                </c:pt>
                <c:pt idx="33">
                  <c:v>49.5</c:v>
                </c:pt>
                <c:pt idx="34">
                  <c:v>50.2</c:v>
                </c:pt>
                <c:pt idx="35">
                  <c:v>51.5</c:v>
                </c:pt>
                <c:pt idx="36">
                  <c:v>52.6</c:v>
                </c:pt>
                <c:pt idx="37">
                  <c:v>52.9</c:v>
                </c:pt>
                <c:pt idx="38">
                  <c:v>52.5</c:v>
                </c:pt>
                <c:pt idx="39">
                  <c:v>51.9</c:v>
                </c:pt>
                <c:pt idx="40">
                  <c:v>51.9</c:v>
                </c:pt>
                <c:pt idx="41">
                  <c:v>52</c:v>
                </c:pt>
                <c:pt idx="42">
                  <c:v>51.9</c:v>
                </c:pt>
                <c:pt idx="43">
                  <c:v>51.4</c:v>
                </c:pt>
                <c:pt idx="44">
                  <c:v>50.5</c:v>
                </c:pt>
                <c:pt idx="45">
                  <c:v>50.1</c:v>
                </c:pt>
                <c:pt idx="46">
                  <c:v>50.6</c:v>
                </c:pt>
                <c:pt idx="47">
                  <c:v>51.6</c:v>
                </c:pt>
                <c:pt idx="48">
                  <c:v>52.4</c:v>
                </c:pt>
                <c:pt idx="49">
                  <c:v>52.6</c:v>
                </c:pt>
                <c:pt idx="50">
                  <c:v>52.3</c:v>
                </c:pt>
                <c:pt idx="51">
                  <c:v>52.2</c:v>
                </c:pt>
                <c:pt idx="52">
                  <c:v>52.6</c:v>
                </c:pt>
                <c:pt idx="53">
                  <c:v>53</c:v>
                </c:pt>
                <c:pt idx="54">
                  <c:v>52.9</c:v>
                </c:pt>
                <c:pt idx="55">
                  <c:v>52</c:v>
                </c:pt>
                <c:pt idx="56">
                  <c:v>50.8</c:v>
                </c:pt>
                <c:pt idx="57">
                  <c:v>50.2</c:v>
                </c:pt>
                <c:pt idx="58">
                  <c:v>50.3</c:v>
                </c:pt>
                <c:pt idx="59">
                  <c:v>50.8</c:v>
                </c:pt>
                <c:pt idx="60">
                  <c:v>51</c:v>
                </c:pt>
                <c:pt idx="61">
                  <c:v>50.8</c:v>
                </c:pt>
                <c:pt idx="62">
                  <c:v>50.6</c:v>
                </c:pt>
                <c:pt idx="63">
                  <c:v>51</c:v>
                </c:pt>
                <c:pt idx="64">
                  <c:v>51.9</c:v>
                </c:pt>
                <c:pt idx="65">
                  <c:v>52.8</c:v>
                </c:pt>
                <c:pt idx="66">
                  <c:v>52.9</c:v>
                </c:pt>
                <c:pt idx="67">
                  <c:v>52.2</c:v>
                </c:pt>
                <c:pt idx="68">
                  <c:v>51.3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50.3</c:v>
                </c:pt>
                <c:pt idx="73">
                  <c:v>49.4</c:v>
                </c:pt>
                <c:pt idx="74">
                  <c:v>49</c:v>
                </c:pt>
                <c:pt idx="75">
                  <c:v>49.3</c:v>
                </c:pt>
                <c:pt idx="76">
                  <c:v>50.3</c:v>
                </c:pt>
                <c:pt idx="77">
                  <c:v>51.1</c:v>
                </c:pt>
                <c:pt idx="78">
                  <c:v>51.2</c:v>
                </c:pt>
                <c:pt idx="79">
                  <c:v>50.7</c:v>
                </c:pt>
                <c:pt idx="80">
                  <c:v>50.4</c:v>
                </c:pt>
                <c:pt idx="81">
                  <c:v>50.5</c:v>
                </c:pt>
                <c:pt idx="82">
                  <c:v>50.7</c:v>
                </c:pt>
                <c:pt idx="83">
                  <c:v>50.3</c:v>
                </c:pt>
                <c:pt idx="84">
                  <c:v>49.7</c:v>
                </c:pt>
                <c:pt idx="85">
                  <c:v>48.8</c:v>
                </c:pt>
                <c:pt idx="86">
                  <c:v>48.4</c:v>
                </c:pt>
                <c:pt idx="87">
                  <c:v>48.8</c:v>
                </c:pt>
                <c:pt idx="88">
                  <c:v>49.6</c:v>
                </c:pt>
                <c:pt idx="89">
                  <c:v>50</c:v>
                </c:pt>
                <c:pt idx="90">
                  <c:v>48.1</c:v>
                </c:pt>
                <c:pt idx="91">
                  <c:v>46.4</c:v>
                </c:pt>
                <c:pt idx="92">
                  <c:v>45.2</c:v>
                </c:pt>
                <c:pt idx="93">
                  <c:v>44.3</c:v>
                </c:pt>
                <c:pt idx="94">
                  <c:v>44</c:v>
                </c:pt>
                <c:pt idx="95">
                  <c:v>44.7</c:v>
                </c:pt>
                <c:pt idx="96">
                  <c:v>44.6</c:v>
                </c:pt>
                <c:pt idx="97">
                  <c:v>44.3</c:v>
                </c:pt>
                <c:pt idx="98">
                  <c:v>44.6</c:v>
                </c:pt>
                <c:pt idx="99">
                  <c:v>45.2</c:v>
                </c:pt>
                <c:pt idx="100">
                  <c:v>45.7</c:v>
                </c:pt>
                <c:pt idx="101">
                  <c:v>45</c:v>
                </c:pt>
                <c:pt idx="102">
                  <c:v>44.1</c:v>
                </c:pt>
                <c:pt idx="103">
                  <c:v>43.6</c:v>
                </c:pt>
                <c:pt idx="104">
                  <c:v>43.9</c:v>
                </c:pt>
                <c:pt idx="105">
                  <c:v>44.9</c:v>
                </c:pt>
                <c:pt idx="106">
                  <c:v>45.6</c:v>
                </c:pt>
                <c:pt idx="107">
                  <c:v>45.8</c:v>
                </c:pt>
                <c:pt idx="108">
                  <c:v>45.5</c:v>
                </c:pt>
                <c:pt idx="109">
                  <c:v>45.5</c:v>
                </c:pt>
                <c:pt idx="110">
                  <c:v>45.9</c:v>
                </c:pt>
                <c:pt idx="111">
                  <c:v>46.3</c:v>
                </c:pt>
                <c:pt idx="112">
                  <c:v>46</c:v>
                </c:pt>
                <c:pt idx="113">
                  <c:v>44.9</c:v>
                </c:pt>
                <c:pt idx="114">
                  <c:v>43.6</c:v>
                </c:pt>
                <c:pt idx="115">
                  <c:v>42.8</c:v>
                </c:pt>
                <c:pt idx="116">
                  <c:v>42.7</c:v>
                </c:pt>
                <c:pt idx="117">
                  <c:v>42.9</c:v>
                </c:pt>
                <c:pt idx="118">
                  <c:v>42.9</c:v>
                </c:pt>
                <c:pt idx="119">
                  <c:v>42.4</c:v>
                </c:pt>
                <c:pt idx="120">
                  <c:v>42</c:v>
                </c:pt>
                <c:pt idx="121">
                  <c:v>42.2</c:v>
                </c:pt>
                <c:pt idx="122">
                  <c:v>43.1</c:v>
                </c:pt>
                <c:pt idx="123">
                  <c:v>43.8</c:v>
                </c:pt>
                <c:pt idx="124">
                  <c:v>43.8</c:v>
                </c:pt>
                <c:pt idx="125">
                  <c:v>43.1</c:v>
                </c:pt>
                <c:pt idx="126">
                  <c:v>42</c:v>
                </c:pt>
                <c:pt idx="127">
                  <c:v>41.3</c:v>
                </c:pt>
                <c:pt idx="128">
                  <c:v>41.1</c:v>
                </c:pt>
                <c:pt idx="129">
                  <c:v>40.700000000000003</c:v>
                </c:pt>
                <c:pt idx="130">
                  <c:v>39.700000000000003</c:v>
                </c:pt>
                <c:pt idx="131">
                  <c:v>38.299999999999997</c:v>
                </c:pt>
                <c:pt idx="132">
                  <c:v>37.4</c:v>
                </c:pt>
                <c:pt idx="133">
                  <c:v>37.4</c:v>
                </c:pt>
                <c:pt idx="134">
                  <c:v>37.9</c:v>
                </c:pt>
                <c:pt idx="135">
                  <c:v>38.299999999999997</c:v>
                </c:pt>
                <c:pt idx="136">
                  <c:v>38.1</c:v>
                </c:pt>
                <c:pt idx="137">
                  <c:v>37.5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37.5</c:v>
                </c:pt>
                <c:pt idx="141">
                  <c:v>37.1</c:v>
                </c:pt>
                <c:pt idx="142">
                  <c:v>35.9</c:v>
                </c:pt>
                <c:pt idx="143">
                  <c:v>34.5</c:v>
                </c:pt>
                <c:pt idx="144">
                  <c:v>33.5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33.1</c:v>
                </c:pt>
                <c:pt idx="148">
                  <c:v>32.6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32.200000000000003</c:v>
                </c:pt>
                <c:pt idx="152">
                  <c:v>32.200000000000003</c:v>
                </c:pt>
                <c:pt idx="153">
                  <c:v>31.8</c:v>
                </c:pt>
                <c:pt idx="154">
                  <c:v>31.1</c:v>
                </c:pt>
                <c:pt idx="155">
                  <c:v>30.4</c:v>
                </c:pt>
                <c:pt idx="156">
                  <c:v>29.8</c:v>
                </c:pt>
                <c:pt idx="157">
                  <c:v>29.4</c:v>
                </c:pt>
                <c:pt idx="158">
                  <c:v>28.9</c:v>
                </c:pt>
                <c:pt idx="159">
                  <c:v>28.4</c:v>
                </c:pt>
                <c:pt idx="160">
                  <c:v>28</c:v>
                </c:pt>
                <c:pt idx="161">
                  <c:v>27.5</c:v>
                </c:pt>
                <c:pt idx="162">
                  <c:v>27</c:v>
                </c:pt>
                <c:pt idx="163">
                  <c:v>26.5</c:v>
                </c:pt>
                <c:pt idx="164">
                  <c:v>26</c:v>
                </c:pt>
                <c:pt idx="165">
                  <c:v>25.5</c:v>
                </c:pt>
                <c:pt idx="166">
                  <c:v>25</c:v>
                </c:pt>
                <c:pt idx="167">
                  <c:v>24.5</c:v>
                </c:pt>
                <c:pt idx="168">
                  <c:v>24</c:v>
                </c:pt>
                <c:pt idx="169">
                  <c:v>23.5</c:v>
                </c:pt>
                <c:pt idx="170">
                  <c:v>23</c:v>
                </c:pt>
                <c:pt idx="171">
                  <c:v>22.4</c:v>
                </c:pt>
                <c:pt idx="172">
                  <c:v>21.7</c:v>
                </c:pt>
                <c:pt idx="173">
                  <c:v>20.9</c:v>
                </c:pt>
                <c:pt idx="17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D5-4CC9-B691-97D6C47492AB}"/>
            </c:ext>
          </c:extLst>
        </c:ser>
        <c:ser>
          <c:idx val="6"/>
          <c:order val="6"/>
          <c:tx>
            <c:strRef>
              <c:f>Data!$J$2</c:f>
              <c:strCache>
                <c:ptCount val="1"/>
                <c:pt idx="0">
                  <c:v>AII Src 2</c:v>
                </c:pt>
              </c:strCache>
            </c:strRef>
          </c:tx>
          <c:spPr>
            <a:ln w="19050">
              <a:solidFill>
                <a:srgbClr val="CC8E00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Data!$J$3:$J$177</c:f>
              <c:numCache>
                <c:formatCode>0.0</c:formatCode>
                <c:ptCount val="175"/>
                <c:pt idx="0">
                  <c:v>41.4</c:v>
                </c:pt>
                <c:pt idx="1">
                  <c:v>41.1</c:v>
                </c:pt>
                <c:pt idx="2">
                  <c:v>40.799999999999997</c:v>
                </c:pt>
                <c:pt idx="3">
                  <c:v>40.700000000000003</c:v>
                </c:pt>
                <c:pt idx="4">
                  <c:v>41</c:v>
                </c:pt>
                <c:pt idx="5">
                  <c:v>41.6</c:v>
                </c:pt>
                <c:pt idx="6">
                  <c:v>42.1</c:v>
                </c:pt>
                <c:pt idx="7">
                  <c:v>42.3</c:v>
                </c:pt>
                <c:pt idx="8">
                  <c:v>42.4</c:v>
                </c:pt>
                <c:pt idx="9">
                  <c:v>42.7</c:v>
                </c:pt>
                <c:pt idx="10">
                  <c:v>43.3</c:v>
                </c:pt>
                <c:pt idx="11">
                  <c:v>44.3</c:v>
                </c:pt>
                <c:pt idx="12">
                  <c:v>45.7</c:v>
                </c:pt>
                <c:pt idx="13">
                  <c:v>46.8</c:v>
                </c:pt>
                <c:pt idx="14">
                  <c:v>47.4</c:v>
                </c:pt>
                <c:pt idx="15">
                  <c:v>47.2</c:v>
                </c:pt>
                <c:pt idx="16">
                  <c:v>46.6</c:v>
                </c:pt>
                <c:pt idx="17">
                  <c:v>46.1</c:v>
                </c:pt>
                <c:pt idx="18">
                  <c:v>45.9</c:v>
                </c:pt>
                <c:pt idx="19">
                  <c:v>46.3</c:v>
                </c:pt>
                <c:pt idx="20">
                  <c:v>47.2</c:v>
                </c:pt>
                <c:pt idx="21">
                  <c:v>47.9</c:v>
                </c:pt>
                <c:pt idx="22">
                  <c:v>48.5</c:v>
                </c:pt>
                <c:pt idx="23">
                  <c:v>48.8</c:v>
                </c:pt>
                <c:pt idx="24">
                  <c:v>48.9</c:v>
                </c:pt>
                <c:pt idx="25">
                  <c:v>49.3</c:v>
                </c:pt>
                <c:pt idx="26">
                  <c:v>49.9</c:v>
                </c:pt>
                <c:pt idx="27">
                  <c:v>50.7</c:v>
                </c:pt>
                <c:pt idx="28">
                  <c:v>51.4</c:v>
                </c:pt>
                <c:pt idx="29">
                  <c:v>51.5</c:v>
                </c:pt>
                <c:pt idx="30">
                  <c:v>51.1</c:v>
                </c:pt>
                <c:pt idx="31">
                  <c:v>50.3</c:v>
                </c:pt>
                <c:pt idx="32">
                  <c:v>49.6</c:v>
                </c:pt>
                <c:pt idx="33">
                  <c:v>49.5</c:v>
                </c:pt>
                <c:pt idx="34">
                  <c:v>50</c:v>
                </c:pt>
                <c:pt idx="35">
                  <c:v>51</c:v>
                </c:pt>
                <c:pt idx="36">
                  <c:v>52.2</c:v>
                </c:pt>
                <c:pt idx="37">
                  <c:v>53</c:v>
                </c:pt>
                <c:pt idx="38">
                  <c:v>53.4</c:v>
                </c:pt>
                <c:pt idx="39">
                  <c:v>53.4</c:v>
                </c:pt>
                <c:pt idx="40">
                  <c:v>53.4</c:v>
                </c:pt>
                <c:pt idx="41">
                  <c:v>53.3</c:v>
                </c:pt>
                <c:pt idx="42">
                  <c:v>53.4</c:v>
                </c:pt>
                <c:pt idx="43">
                  <c:v>53.5</c:v>
                </c:pt>
                <c:pt idx="44">
                  <c:v>53.4</c:v>
                </c:pt>
                <c:pt idx="45">
                  <c:v>52.8</c:v>
                </c:pt>
                <c:pt idx="46">
                  <c:v>52</c:v>
                </c:pt>
                <c:pt idx="47">
                  <c:v>51.3</c:v>
                </c:pt>
                <c:pt idx="48">
                  <c:v>51.1</c:v>
                </c:pt>
                <c:pt idx="49">
                  <c:v>51.7</c:v>
                </c:pt>
                <c:pt idx="50">
                  <c:v>52.6</c:v>
                </c:pt>
                <c:pt idx="51">
                  <c:v>53.6</c:v>
                </c:pt>
                <c:pt idx="52">
                  <c:v>54.2</c:v>
                </c:pt>
                <c:pt idx="53">
                  <c:v>54.2</c:v>
                </c:pt>
                <c:pt idx="54">
                  <c:v>53.6</c:v>
                </c:pt>
                <c:pt idx="55">
                  <c:v>52.9</c:v>
                </c:pt>
                <c:pt idx="56">
                  <c:v>52.4</c:v>
                </c:pt>
                <c:pt idx="57">
                  <c:v>52.2</c:v>
                </c:pt>
                <c:pt idx="58">
                  <c:v>52.3</c:v>
                </c:pt>
                <c:pt idx="59">
                  <c:v>52.3</c:v>
                </c:pt>
                <c:pt idx="60">
                  <c:v>52.1</c:v>
                </c:pt>
                <c:pt idx="61">
                  <c:v>51.7</c:v>
                </c:pt>
                <c:pt idx="62">
                  <c:v>51.3</c:v>
                </c:pt>
                <c:pt idx="63">
                  <c:v>51.3</c:v>
                </c:pt>
                <c:pt idx="64">
                  <c:v>51.9</c:v>
                </c:pt>
                <c:pt idx="65">
                  <c:v>52.7</c:v>
                </c:pt>
                <c:pt idx="66">
                  <c:v>53.6</c:v>
                </c:pt>
                <c:pt idx="67">
                  <c:v>53.9</c:v>
                </c:pt>
                <c:pt idx="68">
                  <c:v>53.5</c:v>
                </c:pt>
                <c:pt idx="69">
                  <c:v>52.6</c:v>
                </c:pt>
                <c:pt idx="70">
                  <c:v>51.6</c:v>
                </c:pt>
                <c:pt idx="71">
                  <c:v>50.8</c:v>
                </c:pt>
                <c:pt idx="72">
                  <c:v>50.6</c:v>
                </c:pt>
                <c:pt idx="73">
                  <c:v>50.9</c:v>
                </c:pt>
                <c:pt idx="74">
                  <c:v>51.3</c:v>
                </c:pt>
                <c:pt idx="75">
                  <c:v>51.5</c:v>
                </c:pt>
                <c:pt idx="76">
                  <c:v>51.4</c:v>
                </c:pt>
                <c:pt idx="77">
                  <c:v>51.3</c:v>
                </c:pt>
                <c:pt idx="78">
                  <c:v>51.3</c:v>
                </c:pt>
                <c:pt idx="79">
                  <c:v>51.4</c:v>
                </c:pt>
                <c:pt idx="80">
                  <c:v>51.7</c:v>
                </c:pt>
                <c:pt idx="81">
                  <c:v>52</c:v>
                </c:pt>
                <c:pt idx="82">
                  <c:v>51.8</c:v>
                </c:pt>
                <c:pt idx="83">
                  <c:v>51</c:v>
                </c:pt>
                <c:pt idx="84">
                  <c:v>50.2</c:v>
                </c:pt>
                <c:pt idx="85">
                  <c:v>49.5</c:v>
                </c:pt>
                <c:pt idx="86">
                  <c:v>49.1</c:v>
                </c:pt>
                <c:pt idx="87">
                  <c:v>49.4</c:v>
                </c:pt>
                <c:pt idx="88">
                  <c:v>50.3</c:v>
                </c:pt>
                <c:pt idx="89">
                  <c:v>51.4</c:v>
                </c:pt>
                <c:pt idx="90">
                  <c:v>50.4</c:v>
                </c:pt>
                <c:pt idx="91">
                  <c:v>49</c:v>
                </c:pt>
                <c:pt idx="92">
                  <c:v>47.3</c:v>
                </c:pt>
                <c:pt idx="93">
                  <c:v>45.3</c:v>
                </c:pt>
                <c:pt idx="94">
                  <c:v>43.9</c:v>
                </c:pt>
                <c:pt idx="95">
                  <c:v>44.6</c:v>
                </c:pt>
                <c:pt idx="96">
                  <c:v>45.3</c:v>
                </c:pt>
                <c:pt idx="97">
                  <c:v>45.7</c:v>
                </c:pt>
                <c:pt idx="98">
                  <c:v>45.7</c:v>
                </c:pt>
                <c:pt idx="99">
                  <c:v>45.4</c:v>
                </c:pt>
                <c:pt idx="100">
                  <c:v>45.1</c:v>
                </c:pt>
                <c:pt idx="101">
                  <c:v>44.7</c:v>
                </c:pt>
                <c:pt idx="102">
                  <c:v>45</c:v>
                </c:pt>
                <c:pt idx="103">
                  <c:v>45.8</c:v>
                </c:pt>
                <c:pt idx="104">
                  <c:v>46.8</c:v>
                </c:pt>
                <c:pt idx="105">
                  <c:v>47.5</c:v>
                </c:pt>
                <c:pt idx="106">
                  <c:v>47.6</c:v>
                </c:pt>
                <c:pt idx="107">
                  <c:v>47.2</c:v>
                </c:pt>
                <c:pt idx="108">
                  <c:v>46.6</c:v>
                </c:pt>
                <c:pt idx="109">
                  <c:v>46</c:v>
                </c:pt>
                <c:pt idx="110">
                  <c:v>45.8</c:v>
                </c:pt>
                <c:pt idx="111">
                  <c:v>45.7</c:v>
                </c:pt>
                <c:pt idx="112">
                  <c:v>45.5</c:v>
                </c:pt>
                <c:pt idx="113">
                  <c:v>45.1</c:v>
                </c:pt>
                <c:pt idx="114">
                  <c:v>44.5</c:v>
                </c:pt>
                <c:pt idx="115">
                  <c:v>43.8</c:v>
                </c:pt>
                <c:pt idx="116">
                  <c:v>43.5</c:v>
                </c:pt>
                <c:pt idx="117">
                  <c:v>43.8</c:v>
                </c:pt>
                <c:pt idx="118">
                  <c:v>44.5</c:v>
                </c:pt>
                <c:pt idx="119">
                  <c:v>45.3</c:v>
                </c:pt>
                <c:pt idx="120">
                  <c:v>45.7</c:v>
                </c:pt>
                <c:pt idx="121">
                  <c:v>45.5</c:v>
                </c:pt>
                <c:pt idx="122">
                  <c:v>44.6</c:v>
                </c:pt>
                <c:pt idx="123">
                  <c:v>43.4</c:v>
                </c:pt>
                <c:pt idx="124">
                  <c:v>42.5</c:v>
                </c:pt>
                <c:pt idx="125">
                  <c:v>42</c:v>
                </c:pt>
                <c:pt idx="126">
                  <c:v>41.7</c:v>
                </c:pt>
                <c:pt idx="127">
                  <c:v>41.7</c:v>
                </c:pt>
                <c:pt idx="128">
                  <c:v>41.5</c:v>
                </c:pt>
                <c:pt idx="129">
                  <c:v>41.1</c:v>
                </c:pt>
                <c:pt idx="130">
                  <c:v>40.6</c:v>
                </c:pt>
                <c:pt idx="131">
                  <c:v>40.200000000000003</c:v>
                </c:pt>
                <c:pt idx="132">
                  <c:v>40.1</c:v>
                </c:pt>
                <c:pt idx="133">
                  <c:v>40.4</c:v>
                </c:pt>
                <c:pt idx="134">
                  <c:v>40.700000000000003</c:v>
                </c:pt>
                <c:pt idx="135">
                  <c:v>40.6</c:v>
                </c:pt>
                <c:pt idx="136">
                  <c:v>39.9</c:v>
                </c:pt>
                <c:pt idx="137">
                  <c:v>38.6</c:v>
                </c:pt>
                <c:pt idx="138">
                  <c:v>37.1</c:v>
                </c:pt>
                <c:pt idx="139">
                  <c:v>35.9</c:v>
                </c:pt>
                <c:pt idx="140">
                  <c:v>35.4</c:v>
                </c:pt>
                <c:pt idx="141">
                  <c:v>35.5</c:v>
                </c:pt>
                <c:pt idx="142">
                  <c:v>35.9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35.700000000000003</c:v>
                </c:pt>
                <c:pt idx="146">
                  <c:v>35.200000000000003</c:v>
                </c:pt>
                <c:pt idx="147">
                  <c:v>34.799999999999997</c:v>
                </c:pt>
                <c:pt idx="148">
                  <c:v>34.6</c:v>
                </c:pt>
                <c:pt idx="149">
                  <c:v>34.4</c:v>
                </c:pt>
                <c:pt idx="150">
                  <c:v>34</c:v>
                </c:pt>
                <c:pt idx="151">
                  <c:v>33.299999999999997</c:v>
                </c:pt>
                <c:pt idx="152">
                  <c:v>32.5</c:v>
                </c:pt>
                <c:pt idx="153">
                  <c:v>31.7</c:v>
                </c:pt>
                <c:pt idx="154">
                  <c:v>31.1</c:v>
                </c:pt>
                <c:pt idx="155">
                  <c:v>30.8</c:v>
                </c:pt>
                <c:pt idx="156">
                  <c:v>30.6</c:v>
                </c:pt>
                <c:pt idx="157">
                  <c:v>30.4</c:v>
                </c:pt>
                <c:pt idx="158">
                  <c:v>30</c:v>
                </c:pt>
                <c:pt idx="159">
                  <c:v>29.5</c:v>
                </c:pt>
                <c:pt idx="160">
                  <c:v>29</c:v>
                </c:pt>
                <c:pt idx="161">
                  <c:v>28.5</c:v>
                </c:pt>
                <c:pt idx="162">
                  <c:v>28</c:v>
                </c:pt>
                <c:pt idx="163">
                  <c:v>27.5</c:v>
                </c:pt>
                <c:pt idx="164">
                  <c:v>27</c:v>
                </c:pt>
                <c:pt idx="165">
                  <c:v>26.5</c:v>
                </c:pt>
                <c:pt idx="166">
                  <c:v>26</c:v>
                </c:pt>
                <c:pt idx="167">
                  <c:v>25.5</c:v>
                </c:pt>
                <c:pt idx="168">
                  <c:v>25</c:v>
                </c:pt>
                <c:pt idx="169">
                  <c:v>24.5</c:v>
                </c:pt>
                <c:pt idx="170">
                  <c:v>24</c:v>
                </c:pt>
                <c:pt idx="171">
                  <c:v>23.4</c:v>
                </c:pt>
                <c:pt idx="172">
                  <c:v>22.8</c:v>
                </c:pt>
                <c:pt idx="173">
                  <c:v>22.4</c:v>
                </c:pt>
                <c:pt idx="17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D5-4CC9-B691-97D6C47492AB}"/>
            </c:ext>
          </c:extLst>
        </c:ser>
        <c:ser>
          <c:idx val="7"/>
          <c:order val="7"/>
          <c:tx>
            <c:strRef>
              <c:f>Data!$K$2</c:f>
              <c:strCache>
                <c:ptCount val="1"/>
                <c:pt idx="0">
                  <c:v>AII Src 3</c:v>
                </c:pt>
              </c:strCache>
            </c:strRef>
          </c:tx>
          <c:spPr>
            <a:ln w="19050">
              <a:solidFill>
                <a:srgbClr val="FFB52C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Data!$K$3:$K$177</c:f>
              <c:numCache>
                <c:formatCode>0.0</c:formatCode>
                <c:ptCount val="175"/>
                <c:pt idx="0">
                  <c:v>42.7</c:v>
                </c:pt>
                <c:pt idx="1">
                  <c:v>42.1</c:v>
                </c:pt>
                <c:pt idx="2">
                  <c:v>41.8</c:v>
                </c:pt>
                <c:pt idx="3">
                  <c:v>42.7</c:v>
                </c:pt>
                <c:pt idx="4">
                  <c:v>43.6</c:v>
                </c:pt>
                <c:pt idx="5">
                  <c:v>43.3</c:v>
                </c:pt>
                <c:pt idx="6">
                  <c:v>42.3</c:v>
                </c:pt>
                <c:pt idx="7">
                  <c:v>42.4</c:v>
                </c:pt>
                <c:pt idx="8">
                  <c:v>43.6</c:v>
                </c:pt>
                <c:pt idx="9">
                  <c:v>44.4</c:v>
                </c:pt>
                <c:pt idx="10">
                  <c:v>44</c:v>
                </c:pt>
                <c:pt idx="11">
                  <c:v>43.9</c:v>
                </c:pt>
                <c:pt idx="12">
                  <c:v>45.1</c:v>
                </c:pt>
                <c:pt idx="13">
                  <c:v>46.8</c:v>
                </c:pt>
                <c:pt idx="14">
                  <c:v>47.4</c:v>
                </c:pt>
                <c:pt idx="15">
                  <c:v>47.1</c:v>
                </c:pt>
                <c:pt idx="16">
                  <c:v>47.5</c:v>
                </c:pt>
                <c:pt idx="17">
                  <c:v>48.9</c:v>
                </c:pt>
                <c:pt idx="18">
                  <c:v>50</c:v>
                </c:pt>
                <c:pt idx="19">
                  <c:v>49.6</c:v>
                </c:pt>
                <c:pt idx="20">
                  <c:v>48.9</c:v>
                </c:pt>
                <c:pt idx="21">
                  <c:v>49</c:v>
                </c:pt>
                <c:pt idx="22">
                  <c:v>49.9</c:v>
                </c:pt>
                <c:pt idx="23">
                  <c:v>50</c:v>
                </c:pt>
                <c:pt idx="24">
                  <c:v>49</c:v>
                </c:pt>
                <c:pt idx="25">
                  <c:v>48.5</c:v>
                </c:pt>
                <c:pt idx="26">
                  <c:v>49.4</c:v>
                </c:pt>
                <c:pt idx="27">
                  <c:v>50.6</c:v>
                </c:pt>
                <c:pt idx="28">
                  <c:v>50.7</c:v>
                </c:pt>
                <c:pt idx="29">
                  <c:v>50.2</c:v>
                </c:pt>
                <c:pt idx="30">
                  <c:v>50.8</c:v>
                </c:pt>
                <c:pt idx="31">
                  <c:v>52.4</c:v>
                </c:pt>
                <c:pt idx="32">
                  <c:v>53.4</c:v>
                </c:pt>
                <c:pt idx="33">
                  <c:v>53.1</c:v>
                </c:pt>
                <c:pt idx="34">
                  <c:v>52.7</c:v>
                </c:pt>
                <c:pt idx="35">
                  <c:v>53.4</c:v>
                </c:pt>
                <c:pt idx="36">
                  <c:v>54.5</c:v>
                </c:pt>
                <c:pt idx="37">
                  <c:v>54.4</c:v>
                </c:pt>
                <c:pt idx="38">
                  <c:v>53.3</c:v>
                </c:pt>
                <c:pt idx="39">
                  <c:v>52.9</c:v>
                </c:pt>
                <c:pt idx="40">
                  <c:v>53.7</c:v>
                </c:pt>
                <c:pt idx="41">
                  <c:v>54</c:v>
                </c:pt>
                <c:pt idx="42">
                  <c:v>53.2</c:v>
                </c:pt>
                <c:pt idx="43">
                  <c:v>52.2</c:v>
                </c:pt>
                <c:pt idx="44">
                  <c:v>52.5</c:v>
                </c:pt>
                <c:pt idx="45">
                  <c:v>53.7</c:v>
                </c:pt>
                <c:pt idx="46">
                  <c:v>54.1</c:v>
                </c:pt>
                <c:pt idx="47">
                  <c:v>53.5</c:v>
                </c:pt>
                <c:pt idx="48">
                  <c:v>53.3</c:v>
                </c:pt>
                <c:pt idx="49">
                  <c:v>54.3</c:v>
                </c:pt>
                <c:pt idx="50">
                  <c:v>55.4</c:v>
                </c:pt>
                <c:pt idx="51">
                  <c:v>55.1</c:v>
                </c:pt>
                <c:pt idx="52">
                  <c:v>54.1</c:v>
                </c:pt>
                <c:pt idx="53">
                  <c:v>53.9</c:v>
                </c:pt>
                <c:pt idx="54">
                  <c:v>54.6</c:v>
                </c:pt>
                <c:pt idx="55">
                  <c:v>54.7</c:v>
                </c:pt>
                <c:pt idx="56">
                  <c:v>53.5</c:v>
                </c:pt>
                <c:pt idx="57">
                  <c:v>52.3</c:v>
                </c:pt>
                <c:pt idx="58">
                  <c:v>52.5</c:v>
                </c:pt>
                <c:pt idx="59">
                  <c:v>53.3</c:v>
                </c:pt>
                <c:pt idx="60">
                  <c:v>53.1</c:v>
                </c:pt>
                <c:pt idx="61">
                  <c:v>52.1</c:v>
                </c:pt>
                <c:pt idx="62">
                  <c:v>51.9</c:v>
                </c:pt>
                <c:pt idx="63">
                  <c:v>53</c:v>
                </c:pt>
                <c:pt idx="64">
                  <c:v>54</c:v>
                </c:pt>
                <c:pt idx="65">
                  <c:v>53.7</c:v>
                </c:pt>
                <c:pt idx="66">
                  <c:v>53</c:v>
                </c:pt>
                <c:pt idx="67">
                  <c:v>53.5</c:v>
                </c:pt>
                <c:pt idx="68">
                  <c:v>54.6</c:v>
                </c:pt>
                <c:pt idx="69">
                  <c:v>54.7</c:v>
                </c:pt>
                <c:pt idx="70">
                  <c:v>53.5</c:v>
                </c:pt>
                <c:pt idx="71">
                  <c:v>52.7</c:v>
                </c:pt>
                <c:pt idx="72">
                  <c:v>53</c:v>
                </c:pt>
                <c:pt idx="73">
                  <c:v>53.5</c:v>
                </c:pt>
                <c:pt idx="74">
                  <c:v>52.7</c:v>
                </c:pt>
                <c:pt idx="75">
                  <c:v>51.3</c:v>
                </c:pt>
                <c:pt idx="76">
                  <c:v>51</c:v>
                </c:pt>
                <c:pt idx="77">
                  <c:v>51.9</c:v>
                </c:pt>
                <c:pt idx="78">
                  <c:v>52.4</c:v>
                </c:pt>
                <c:pt idx="79">
                  <c:v>51.4</c:v>
                </c:pt>
                <c:pt idx="80">
                  <c:v>50.7</c:v>
                </c:pt>
                <c:pt idx="81">
                  <c:v>51.2</c:v>
                </c:pt>
                <c:pt idx="82">
                  <c:v>52.3</c:v>
                </c:pt>
                <c:pt idx="83">
                  <c:v>52.2</c:v>
                </c:pt>
                <c:pt idx="84">
                  <c:v>51.6</c:v>
                </c:pt>
                <c:pt idx="85">
                  <c:v>51.7</c:v>
                </c:pt>
                <c:pt idx="86">
                  <c:v>52.9</c:v>
                </c:pt>
                <c:pt idx="87">
                  <c:v>53.6</c:v>
                </c:pt>
                <c:pt idx="88">
                  <c:v>53</c:v>
                </c:pt>
                <c:pt idx="89">
                  <c:v>52</c:v>
                </c:pt>
                <c:pt idx="90">
                  <c:v>50.3</c:v>
                </c:pt>
                <c:pt idx="91">
                  <c:v>49.4</c:v>
                </c:pt>
                <c:pt idx="92">
                  <c:v>47.7</c:v>
                </c:pt>
                <c:pt idx="93">
                  <c:v>45.6</c:v>
                </c:pt>
                <c:pt idx="94">
                  <c:v>42.7</c:v>
                </c:pt>
                <c:pt idx="95">
                  <c:v>44</c:v>
                </c:pt>
                <c:pt idx="96">
                  <c:v>45.5</c:v>
                </c:pt>
                <c:pt idx="97">
                  <c:v>46</c:v>
                </c:pt>
                <c:pt idx="98">
                  <c:v>45.8</c:v>
                </c:pt>
                <c:pt idx="99">
                  <c:v>46.6</c:v>
                </c:pt>
                <c:pt idx="100">
                  <c:v>48.5</c:v>
                </c:pt>
                <c:pt idx="101">
                  <c:v>49.1</c:v>
                </c:pt>
                <c:pt idx="102">
                  <c:v>48.3</c:v>
                </c:pt>
                <c:pt idx="103">
                  <c:v>47.5</c:v>
                </c:pt>
                <c:pt idx="104">
                  <c:v>47.8</c:v>
                </c:pt>
                <c:pt idx="105">
                  <c:v>48.5</c:v>
                </c:pt>
                <c:pt idx="106">
                  <c:v>48</c:v>
                </c:pt>
                <c:pt idx="107">
                  <c:v>46.6</c:v>
                </c:pt>
                <c:pt idx="108">
                  <c:v>45.9</c:v>
                </c:pt>
                <c:pt idx="109">
                  <c:v>46.5</c:v>
                </c:pt>
                <c:pt idx="110">
                  <c:v>46.9</c:v>
                </c:pt>
                <c:pt idx="111">
                  <c:v>46</c:v>
                </c:pt>
                <c:pt idx="112">
                  <c:v>44.9</c:v>
                </c:pt>
                <c:pt idx="113">
                  <c:v>45.2</c:v>
                </c:pt>
                <c:pt idx="114">
                  <c:v>46.3</c:v>
                </c:pt>
                <c:pt idx="115">
                  <c:v>46.6</c:v>
                </c:pt>
                <c:pt idx="116">
                  <c:v>45.8</c:v>
                </c:pt>
                <c:pt idx="117">
                  <c:v>45.4</c:v>
                </c:pt>
                <c:pt idx="118">
                  <c:v>46.2</c:v>
                </c:pt>
                <c:pt idx="119">
                  <c:v>46.9</c:v>
                </c:pt>
                <c:pt idx="120">
                  <c:v>46.4</c:v>
                </c:pt>
                <c:pt idx="121">
                  <c:v>45</c:v>
                </c:pt>
                <c:pt idx="122">
                  <c:v>44.6</c:v>
                </c:pt>
                <c:pt idx="123">
                  <c:v>45</c:v>
                </c:pt>
                <c:pt idx="124">
                  <c:v>44.9</c:v>
                </c:pt>
                <c:pt idx="125">
                  <c:v>43.5</c:v>
                </c:pt>
                <c:pt idx="126">
                  <c:v>42.1</c:v>
                </c:pt>
                <c:pt idx="127">
                  <c:v>42</c:v>
                </c:pt>
                <c:pt idx="128">
                  <c:v>42.5</c:v>
                </c:pt>
                <c:pt idx="129">
                  <c:v>42</c:v>
                </c:pt>
                <c:pt idx="130">
                  <c:v>40.799999999999997</c:v>
                </c:pt>
                <c:pt idx="131">
                  <c:v>40.4</c:v>
                </c:pt>
                <c:pt idx="132">
                  <c:v>41.3</c:v>
                </c:pt>
                <c:pt idx="133">
                  <c:v>41.9</c:v>
                </c:pt>
                <c:pt idx="134">
                  <c:v>41.2</c:v>
                </c:pt>
                <c:pt idx="135">
                  <c:v>40.1</c:v>
                </c:pt>
                <c:pt idx="136">
                  <c:v>40.1</c:v>
                </c:pt>
                <c:pt idx="137">
                  <c:v>40.700000000000003</c:v>
                </c:pt>
                <c:pt idx="138">
                  <c:v>40.299999999999997</c:v>
                </c:pt>
                <c:pt idx="139">
                  <c:v>38.700000000000003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36.6</c:v>
                </c:pt>
                <c:pt idx="144">
                  <c:v>35.1</c:v>
                </c:pt>
                <c:pt idx="145">
                  <c:v>34.700000000000003</c:v>
                </c:pt>
                <c:pt idx="146">
                  <c:v>35.4</c:v>
                </c:pt>
                <c:pt idx="147">
                  <c:v>35.6</c:v>
                </c:pt>
                <c:pt idx="148">
                  <c:v>34.9</c:v>
                </c:pt>
                <c:pt idx="149">
                  <c:v>34.299999999999997</c:v>
                </c:pt>
                <c:pt idx="150">
                  <c:v>34.5</c:v>
                </c:pt>
                <c:pt idx="151">
                  <c:v>34.700000000000003</c:v>
                </c:pt>
                <c:pt idx="152">
                  <c:v>34.200000000000003</c:v>
                </c:pt>
                <c:pt idx="153">
                  <c:v>33.4</c:v>
                </c:pt>
                <c:pt idx="154">
                  <c:v>32.799999999999997</c:v>
                </c:pt>
                <c:pt idx="155">
                  <c:v>32.5</c:v>
                </c:pt>
                <c:pt idx="156">
                  <c:v>32.1</c:v>
                </c:pt>
                <c:pt idx="157">
                  <c:v>31.4</c:v>
                </c:pt>
                <c:pt idx="158">
                  <c:v>30.8</c:v>
                </c:pt>
                <c:pt idx="159">
                  <c:v>30.4</c:v>
                </c:pt>
                <c:pt idx="160">
                  <c:v>30</c:v>
                </c:pt>
                <c:pt idx="161">
                  <c:v>29.5</c:v>
                </c:pt>
                <c:pt idx="162">
                  <c:v>29</c:v>
                </c:pt>
                <c:pt idx="163">
                  <c:v>28.5</c:v>
                </c:pt>
                <c:pt idx="164">
                  <c:v>28</c:v>
                </c:pt>
                <c:pt idx="165">
                  <c:v>27.5</c:v>
                </c:pt>
                <c:pt idx="166">
                  <c:v>27</c:v>
                </c:pt>
                <c:pt idx="167">
                  <c:v>26.5</c:v>
                </c:pt>
                <c:pt idx="168">
                  <c:v>26</c:v>
                </c:pt>
                <c:pt idx="169">
                  <c:v>25.5</c:v>
                </c:pt>
                <c:pt idx="170">
                  <c:v>25</c:v>
                </c:pt>
                <c:pt idx="171">
                  <c:v>24.4</c:v>
                </c:pt>
                <c:pt idx="172">
                  <c:v>23.8</c:v>
                </c:pt>
                <c:pt idx="173">
                  <c:v>23.2</c:v>
                </c:pt>
                <c:pt idx="174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D5-4CC9-B691-97D6C47492AB}"/>
            </c:ext>
          </c:extLst>
        </c:ser>
        <c:ser>
          <c:idx val="8"/>
          <c:order val="8"/>
          <c:tx>
            <c:strRef>
              <c:f>Data!$L$2</c:f>
              <c:strCache>
                <c:ptCount val="1"/>
                <c:pt idx="0">
                  <c:v>AII Src 4</c:v>
                </c:pt>
              </c:strCache>
            </c:strRef>
          </c:tx>
          <c:spPr>
            <a:ln w="19050">
              <a:solidFill>
                <a:srgbClr val="FFCF6D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Data!$L$3:$L$177</c:f>
              <c:numCache>
                <c:formatCode>0.0</c:formatCode>
                <c:ptCount val="175"/>
                <c:pt idx="0">
                  <c:v>42.5</c:v>
                </c:pt>
                <c:pt idx="1">
                  <c:v>41.8</c:v>
                </c:pt>
                <c:pt idx="2">
                  <c:v>41.5</c:v>
                </c:pt>
                <c:pt idx="3">
                  <c:v>41.7</c:v>
                </c:pt>
                <c:pt idx="4">
                  <c:v>42.6</c:v>
                </c:pt>
                <c:pt idx="5">
                  <c:v>43.7</c:v>
                </c:pt>
                <c:pt idx="6">
                  <c:v>44.9</c:v>
                </c:pt>
                <c:pt idx="7">
                  <c:v>45.7</c:v>
                </c:pt>
                <c:pt idx="8">
                  <c:v>46.2</c:v>
                </c:pt>
                <c:pt idx="9">
                  <c:v>46.2</c:v>
                </c:pt>
                <c:pt idx="10">
                  <c:v>46.2</c:v>
                </c:pt>
                <c:pt idx="11">
                  <c:v>46.2</c:v>
                </c:pt>
                <c:pt idx="12">
                  <c:v>46.5</c:v>
                </c:pt>
                <c:pt idx="13">
                  <c:v>46.8</c:v>
                </c:pt>
                <c:pt idx="14">
                  <c:v>47.3</c:v>
                </c:pt>
                <c:pt idx="15">
                  <c:v>47.7</c:v>
                </c:pt>
                <c:pt idx="16">
                  <c:v>48</c:v>
                </c:pt>
                <c:pt idx="17">
                  <c:v>48.5</c:v>
                </c:pt>
                <c:pt idx="18">
                  <c:v>49</c:v>
                </c:pt>
                <c:pt idx="19">
                  <c:v>49.8</c:v>
                </c:pt>
                <c:pt idx="20">
                  <c:v>50.6</c:v>
                </c:pt>
                <c:pt idx="21">
                  <c:v>51.2</c:v>
                </c:pt>
                <c:pt idx="22">
                  <c:v>51.4</c:v>
                </c:pt>
                <c:pt idx="23">
                  <c:v>51.2</c:v>
                </c:pt>
                <c:pt idx="24">
                  <c:v>50.7</c:v>
                </c:pt>
                <c:pt idx="25">
                  <c:v>50.2</c:v>
                </c:pt>
                <c:pt idx="26">
                  <c:v>50</c:v>
                </c:pt>
                <c:pt idx="27">
                  <c:v>50.4</c:v>
                </c:pt>
                <c:pt idx="28">
                  <c:v>51.4</c:v>
                </c:pt>
                <c:pt idx="29">
                  <c:v>52.7</c:v>
                </c:pt>
                <c:pt idx="30">
                  <c:v>53.9</c:v>
                </c:pt>
                <c:pt idx="31">
                  <c:v>54.5</c:v>
                </c:pt>
                <c:pt idx="32">
                  <c:v>54.4</c:v>
                </c:pt>
                <c:pt idx="33">
                  <c:v>53.7</c:v>
                </c:pt>
                <c:pt idx="34">
                  <c:v>52.8</c:v>
                </c:pt>
                <c:pt idx="35">
                  <c:v>52.2</c:v>
                </c:pt>
                <c:pt idx="36">
                  <c:v>52.3</c:v>
                </c:pt>
                <c:pt idx="37">
                  <c:v>53</c:v>
                </c:pt>
                <c:pt idx="38">
                  <c:v>54.2</c:v>
                </c:pt>
                <c:pt idx="39">
                  <c:v>55.5</c:v>
                </c:pt>
                <c:pt idx="40">
                  <c:v>56.4</c:v>
                </c:pt>
                <c:pt idx="41">
                  <c:v>56.4</c:v>
                </c:pt>
                <c:pt idx="42">
                  <c:v>55.9</c:v>
                </c:pt>
                <c:pt idx="43">
                  <c:v>55</c:v>
                </c:pt>
                <c:pt idx="44">
                  <c:v>54.3</c:v>
                </c:pt>
                <c:pt idx="45">
                  <c:v>53.9</c:v>
                </c:pt>
                <c:pt idx="46">
                  <c:v>53.9</c:v>
                </c:pt>
                <c:pt idx="47">
                  <c:v>54.3</c:v>
                </c:pt>
                <c:pt idx="48">
                  <c:v>54.7</c:v>
                </c:pt>
                <c:pt idx="49">
                  <c:v>55</c:v>
                </c:pt>
                <c:pt idx="50">
                  <c:v>55.1</c:v>
                </c:pt>
                <c:pt idx="51">
                  <c:v>55.1</c:v>
                </c:pt>
                <c:pt idx="52">
                  <c:v>55</c:v>
                </c:pt>
                <c:pt idx="53">
                  <c:v>55</c:v>
                </c:pt>
                <c:pt idx="54">
                  <c:v>55</c:v>
                </c:pt>
                <c:pt idx="55">
                  <c:v>54.9</c:v>
                </c:pt>
                <c:pt idx="56">
                  <c:v>54.7</c:v>
                </c:pt>
                <c:pt idx="57">
                  <c:v>54.3</c:v>
                </c:pt>
                <c:pt idx="58">
                  <c:v>53.8</c:v>
                </c:pt>
                <c:pt idx="59">
                  <c:v>53.5</c:v>
                </c:pt>
                <c:pt idx="60">
                  <c:v>53.6</c:v>
                </c:pt>
                <c:pt idx="61">
                  <c:v>54.1</c:v>
                </c:pt>
                <c:pt idx="62">
                  <c:v>54.8</c:v>
                </c:pt>
                <c:pt idx="63">
                  <c:v>55.5</c:v>
                </c:pt>
                <c:pt idx="64">
                  <c:v>55.8</c:v>
                </c:pt>
                <c:pt idx="65">
                  <c:v>55.4</c:v>
                </c:pt>
                <c:pt idx="66">
                  <c:v>54.5</c:v>
                </c:pt>
                <c:pt idx="67">
                  <c:v>53.4</c:v>
                </c:pt>
                <c:pt idx="68">
                  <c:v>52.5</c:v>
                </c:pt>
                <c:pt idx="69">
                  <c:v>52.2</c:v>
                </c:pt>
                <c:pt idx="70">
                  <c:v>52.7</c:v>
                </c:pt>
                <c:pt idx="71">
                  <c:v>53.7</c:v>
                </c:pt>
                <c:pt idx="72">
                  <c:v>54.7</c:v>
                </c:pt>
                <c:pt idx="73">
                  <c:v>55.4</c:v>
                </c:pt>
                <c:pt idx="74">
                  <c:v>55.4</c:v>
                </c:pt>
                <c:pt idx="75">
                  <c:v>54.7</c:v>
                </c:pt>
                <c:pt idx="76">
                  <c:v>53.6</c:v>
                </c:pt>
                <c:pt idx="77">
                  <c:v>52.6</c:v>
                </c:pt>
                <c:pt idx="78">
                  <c:v>52</c:v>
                </c:pt>
                <c:pt idx="79">
                  <c:v>51.8</c:v>
                </c:pt>
                <c:pt idx="80">
                  <c:v>52.1</c:v>
                </c:pt>
                <c:pt idx="81">
                  <c:v>52.7</c:v>
                </c:pt>
                <c:pt idx="82">
                  <c:v>53</c:v>
                </c:pt>
                <c:pt idx="83">
                  <c:v>53</c:v>
                </c:pt>
                <c:pt idx="84">
                  <c:v>53.1</c:v>
                </c:pt>
                <c:pt idx="85">
                  <c:v>53</c:v>
                </c:pt>
                <c:pt idx="86">
                  <c:v>52.8</c:v>
                </c:pt>
                <c:pt idx="87">
                  <c:v>52.7</c:v>
                </c:pt>
                <c:pt idx="88">
                  <c:v>52.9</c:v>
                </c:pt>
                <c:pt idx="89">
                  <c:v>53.2</c:v>
                </c:pt>
                <c:pt idx="90">
                  <c:v>51.6</c:v>
                </c:pt>
                <c:pt idx="91">
                  <c:v>50</c:v>
                </c:pt>
                <c:pt idx="92">
                  <c:v>48.3</c:v>
                </c:pt>
                <c:pt idx="93">
                  <c:v>47</c:v>
                </c:pt>
                <c:pt idx="94">
                  <c:v>45.5</c:v>
                </c:pt>
                <c:pt idx="95">
                  <c:v>46.4</c:v>
                </c:pt>
                <c:pt idx="96">
                  <c:v>47.3</c:v>
                </c:pt>
                <c:pt idx="97">
                  <c:v>48</c:v>
                </c:pt>
                <c:pt idx="98">
                  <c:v>48.3</c:v>
                </c:pt>
                <c:pt idx="99">
                  <c:v>48.2</c:v>
                </c:pt>
                <c:pt idx="100">
                  <c:v>47.9</c:v>
                </c:pt>
                <c:pt idx="101">
                  <c:v>47.2</c:v>
                </c:pt>
                <c:pt idx="102">
                  <c:v>46.9</c:v>
                </c:pt>
                <c:pt idx="103">
                  <c:v>47.3</c:v>
                </c:pt>
                <c:pt idx="104">
                  <c:v>48.1</c:v>
                </c:pt>
                <c:pt idx="105">
                  <c:v>49.1</c:v>
                </c:pt>
                <c:pt idx="106">
                  <c:v>49.8</c:v>
                </c:pt>
                <c:pt idx="107">
                  <c:v>49.9</c:v>
                </c:pt>
                <c:pt idx="108">
                  <c:v>49.2</c:v>
                </c:pt>
                <c:pt idx="109">
                  <c:v>48</c:v>
                </c:pt>
                <c:pt idx="110">
                  <c:v>46.9</c:v>
                </c:pt>
                <c:pt idx="111">
                  <c:v>46.1</c:v>
                </c:pt>
                <c:pt idx="112">
                  <c:v>46</c:v>
                </c:pt>
                <c:pt idx="113">
                  <c:v>46.5</c:v>
                </c:pt>
                <c:pt idx="114">
                  <c:v>47.4</c:v>
                </c:pt>
                <c:pt idx="115">
                  <c:v>48.1</c:v>
                </c:pt>
                <c:pt idx="116">
                  <c:v>48.3</c:v>
                </c:pt>
                <c:pt idx="117">
                  <c:v>47.9</c:v>
                </c:pt>
                <c:pt idx="118">
                  <c:v>47</c:v>
                </c:pt>
                <c:pt idx="119">
                  <c:v>46</c:v>
                </c:pt>
                <c:pt idx="120">
                  <c:v>45.2</c:v>
                </c:pt>
                <c:pt idx="121">
                  <c:v>44.8</c:v>
                </c:pt>
                <c:pt idx="122">
                  <c:v>44.8</c:v>
                </c:pt>
                <c:pt idx="123">
                  <c:v>45</c:v>
                </c:pt>
                <c:pt idx="124">
                  <c:v>45.2</c:v>
                </c:pt>
                <c:pt idx="125">
                  <c:v>45.3</c:v>
                </c:pt>
                <c:pt idx="126">
                  <c:v>45</c:v>
                </c:pt>
                <c:pt idx="127">
                  <c:v>44.5</c:v>
                </c:pt>
                <c:pt idx="128">
                  <c:v>44.1</c:v>
                </c:pt>
                <c:pt idx="129">
                  <c:v>43.8</c:v>
                </c:pt>
                <c:pt idx="130">
                  <c:v>43.4</c:v>
                </c:pt>
                <c:pt idx="131">
                  <c:v>42.9</c:v>
                </c:pt>
                <c:pt idx="132">
                  <c:v>42.2</c:v>
                </c:pt>
                <c:pt idx="133">
                  <c:v>41.3</c:v>
                </c:pt>
                <c:pt idx="134">
                  <c:v>40.5</c:v>
                </c:pt>
                <c:pt idx="135">
                  <c:v>40</c:v>
                </c:pt>
                <c:pt idx="136">
                  <c:v>39.9</c:v>
                </c:pt>
                <c:pt idx="137">
                  <c:v>40.1</c:v>
                </c:pt>
                <c:pt idx="138">
                  <c:v>40.6</c:v>
                </c:pt>
                <c:pt idx="139">
                  <c:v>40.799999999999997</c:v>
                </c:pt>
                <c:pt idx="140">
                  <c:v>40.5</c:v>
                </c:pt>
                <c:pt idx="141">
                  <c:v>39.6</c:v>
                </c:pt>
                <c:pt idx="142">
                  <c:v>38.299999999999997</c:v>
                </c:pt>
                <c:pt idx="143">
                  <c:v>36.9</c:v>
                </c:pt>
                <c:pt idx="144">
                  <c:v>35.9</c:v>
                </c:pt>
                <c:pt idx="145">
                  <c:v>35.700000000000003</c:v>
                </c:pt>
                <c:pt idx="146">
                  <c:v>36.1</c:v>
                </c:pt>
                <c:pt idx="147">
                  <c:v>36.700000000000003</c:v>
                </c:pt>
                <c:pt idx="148">
                  <c:v>37.1</c:v>
                </c:pt>
                <c:pt idx="149">
                  <c:v>37</c:v>
                </c:pt>
                <c:pt idx="150">
                  <c:v>36.299999999999997</c:v>
                </c:pt>
                <c:pt idx="151">
                  <c:v>35.4</c:v>
                </c:pt>
                <c:pt idx="152">
                  <c:v>34.4</c:v>
                </c:pt>
                <c:pt idx="153">
                  <c:v>33.700000000000003</c:v>
                </c:pt>
                <c:pt idx="154">
                  <c:v>33.200000000000003</c:v>
                </c:pt>
                <c:pt idx="155">
                  <c:v>32.9</c:v>
                </c:pt>
                <c:pt idx="156">
                  <c:v>32.700000000000003</c:v>
                </c:pt>
                <c:pt idx="157">
                  <c:v>32.4</c:v>
                </c:pt>
                <c:pt idx="158">
                  <c:v>32</c:v>
                </c:pt>
                <c:pt idx="159">
                  <c:v>31.5</c:v>
                </c:pt>
                <c:pt idx="160">
                  <c:v>31</c:v>
                </c:pt>
                <c:pt idx="161">
                  <c:v>30.5</c:v>
                </c:pt>
                <c:pt idx="162">
                  <c:v>30</c:v>
                </c:pt>
                <c:pt idx="163">
                  <c:v>29.5</c:v>
                </c:pt>
                <c:pt idx="164">
                  <c:v>29</c:v>
                </c:pt>
                <c:pt idx="165">
                  <c:v>28.5</c:v>
                </c:pt>
                <c:pt idx="166">
                  <c:v>28</c:v>
                </c:pt>
                <c:pt idx="167">
                  <c:v>27.5</c:v>
                </c:pt>
                <c:pt idx="168">
                  <c:v>27</c:v>
                </c:pt>
                <c:pt idx="169">
                  <c:v>26.5</c:v>
                </c:pt>
                <c:pt idx="170">
                  <c:v>26</c:v>
                </c:pt>
                <c:pt idx="171">
                  <c:v>25.4</c:v>
                </c:pt>
                <c:pt idx="172">
                  <c:v>24.8</c:v>
                </c:pt>
                <c:pt idx="173">
                  <c:v>24.3</c:v>
                </c:pt>
                <c:pt idx="174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D5-4CC9-B691-97D6C47492AB}"/>
            </c:ext>
          </c:extLst>
        </c:ser>
        <c:ser>
          <c:idx val="9"/>
          <c:order val="9"/>
          <c:tx>
            <c:strRef>
              <c:f>Data!$M$2</c:f>
              <c:strCache>
                <c:ptCount val="1"/>
                <c:pt idx="0">
                  <c:v>AI Src 1</c:v>
                </c:pt>
              </c:strCache>
            </c:strRef>
          </c:tx>
          <c:spPr>
            <a:ln w="19050">
              <a:solidFill>
                <a:srgbClr val="062E38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Data!$M$3:$M$177</c:f>
              <c:numCache>
                <c:formatCode>0.0</c:formatCode>
                <c:ptCount val="175"/>
                <c:pt idx="0">
                  <c:v>54.5</c:v>
                </c:pt>
                <c:pt idx="1">
                  <c:v>53.8</c:v>
                </c:pt>
                <c:pt idx="2">
                  <c:v>53.5</c:v>
                </c:pt>
                <c:pt idx="3">
                  <c:v>53.8</c:v>
                </c:pt>
                <c:pt idx="4">
                  <c:v>54.7</c:v>
                </c:pt>
                <c:pt idx="5">
                  <c:v>55.9</c:v>
                </c:pt>
                <c:pt idx="6">
                  <c:v>57</c:v>
                </c:pt>
                <c:pt idx="7">
                  <c:v>57.9</c:v>
                </c:pt>
                <c:pt idx="8">
                  <c:v>58.4</c:v>
                </c:pt>
                <c:pt idx="9">
                  <c:v>58.5</c:v>
                </c:pt>
                <c:pt idx="10">
                  <c:v>58.4</c:v>
                </c:pt>
                <c:pt idx="11">
                  <c:v>58.5</c:v>
                </c:pt>
                <c:pt idx="12">
                  <c:v>58.8</c:v>
                </c:pt>
                <c:pt idx="13">
                  <c:v>59.2</c:v>
                </c:pt>
                <c:pt idx="14">
                  <c:v>59.6</c:v>
                </c:pt>
                <c:pt idx="15">
                  <c:v>60</c:v>
                </c:pt>
                <c:pt idx="16">
                  <c:v>60.4</c:v>
                </c:pt>
                <c:pt idx="17">
                  <c:v>60.9</c:v>
                </c:pt>
                <c:pt idx="18">
                  <c:v>61.5</c:v>
                </c:pt>
                <c:pt idx="19">
                  <c:v>62.3</c:v>
                </c:pt>
                <c:pt idx="20">
                  <c:v>63.1</c:v>
                </c:pt>
                <c:pt idx="21">
                  <c:v>63.8</c:v>
                </c:pt>
                <c:pt idx="22">
                  <c:v>64.099999999999994</c:v>
                </c:pt>
                <c:pt idx="23">
                  <c:v>64</c:v>
                </c:pt>
                <c:pt idx="24">
                  <c:v>63.5</c:v>
                </c:pt>
                <c:pt idx="25">
                  <c:v>63.1</c:v>
                </c:pt>
                <c:pt idx="26">
                  <c:v>63</c:v>
                </c:pt>
                <c:pt idx="27">
                  <c:v>63.5</c:v>
                </c:pt>
                <c:pt idx="28">
                  <c:v>64.5</c:v>
                </c:pt>
                <c:pt idx="29">
                  <c:v>65.900000000000006</c:v>
                </c:pt>
                <c:pt idx="30">
                  <c:v>67.099999999999994</c:v>
                </c:pt>
                <c:pt idx="31">
                  <c:v>67.8</c:v>
                </c:pt>
                <c:pt idx="32">
                  <c:v>67.8</c:v>
                </c:pt>
                <c:pt idx="33">
                  <c:v>67.2</c:v>
                </c:pt>
                <c:pt idx="34">
                  <c:v>66.400000000000006</c:v>
                </c:pt>
                <c:pt idx="35">
                  <c:v>65.8</c:v>
                </c:pt>
                <c:pt idx="36">
                  <c:v>66</c:v>
                </c:pt>
                <c:pt idx="37">
                  <c:v>66.8</c:v>
                </c:pt>
                <c:pt idx="38">
                  <c:v>68.099999999999994</c:v>
                </c:pt>
                <c:pt idx="39">
                  <c:v>69.400000000000006</c:v>
                </c:pt>
                <c:pt idx="40">
                  <c:v>70.400000000000006</c:v>
                </c:pt>
                <c:pt idx="41">
                  <c:v>70.400000000000006</c:v>
                </c:pt>
                <c:pt idx="42">
                  <c:v>69.900000000000006</c:v>
                </c:pt>
                <c:pt idx="43">
                  <c:v>69.099999999999994</c:v>
                </c:pt>
                <c:pt idx="44">
                  <c:v>68.400000000000006</c:v>
                </c:pt>
                <c:pt idx="45">
                  <c:v>68</c:v>
                </c:pt>
                <c:pt idx="46">
                  <c:v>68.099999999999994</c:v>
                </c:pt>
                <c:pt idx="47">
                  <c:v>68.400000000000006</c:v>
                </c:pt>
                <c:pt idx="48">
                  <c:v>68.900000000000006</c:v>
                </c:pt>
                <c:pt idx="49">
                  <c:v>69.2</c:v>
                </c:pt>
                <c:pt idx="50">
                  <c:v>69.400000000000006</c:v>
                </c:pt>
                <c:pt idx="51">
                  <c:v>69.400000000000006</c:v>
                </c:pt>
                <c:pt idx="52">
                  <c:v>69.3</c:v>
                </c:pt>
                <c:pt idx="53">
                  <c:v>69.3</c:v>
                </c:pt>
                <c:pt idx="54">
                  <c:v>69.400000000000006</c:v>
                </c:pt>
                <c:pt idx="55">
                  <c:v>69.3</c:v>
                </c:pt>
                <c:pt idx="56">
                  <c:v>69.099999999999994</c:v>
                </c:pt>
                <c:pt idx="57">
                  <c:v>68.7</c:v>
                </c:pt>
                <c:pt idx="58">
                  <c:v>68.3</c:v>
                </c:pt>
                <c:pt idx="59">
                  <c:v>68</c:v>
                </c:pt>
                <c:pt idx="60">
                  <c:v>68.099999999999994</c:v>
                </c:pt>
                <c:pt idx="61">
                  <c:v>68.599999999999994</c:v>
                </c:pt>
                <c:pt idx="62">
                  <c:v>69.3</c:v>
                </c:pt>
                <c:pt idx="63">
                  <c:v>70</c:v>
                </c:pt>
                <c:pt idx="64">
                  <c:v>70.3</c:v>
                </c:pt>
                <c:pt idx="65">
                  <c:v>69.900000000000006</c:v>
                </c:pt>
                <c:pt idx="66">
                  <c:v>69</c:v>
                </c:pt>
                <c:pt idx="67">
                  <c:v>67.900000000000006</c:v>
                </c:pt>
                <c:pt idx="68">
                  <c:v>67</c:v>
                </c:pt>
                <c:pt idx="69">
                  <c:v>66.7</c:v>
                </c:pt>
                <c:pt idx="70">
                  <c:v>67.2</c:v>
                </c:pt>
                <c:pt idx="71">
                  <c:v>68.2</c:v>
                </c:pt>
                <c:pt idx="72">
                  <c:v>69.2</c:v>
                </c:pt>
                <c:pt idx="73">
                  <c:v>69.900000000000006</c:v>
                </c:pt>
                <c:pt idx="74">
                  <c:v>69.900000000000006</c:v>
                </c:pt>
                <c:pt idx="75">
                  <c:v>69.2</c:v>
                </c:pt>
                <c:pt idx="76">
                  <c:v>68.099999999999994</c:v>
                </c:pt>
                <c:pt idx="77">
                  <c:v>67.099999999999994</c:v>
                </c:pt>
                <c:pt idx="78">
                  <c:v>66.5</c:v>
                </c:pt>
                <c:pt idx="79">
                  <c:v>66</c:v>
                </c:pt>
                <c:pt idx="80">
                  <c:v>66</c:v>
                </c:pt>
                <c:pt idx="81">
                  <c:v>66.3</c:v>
                </c:pt>
                <c:pt idx="82">
                  <c:v>66.3</c:v>
                </c:pt>
                <c:pt idx="83">
                  <c:v>66</c:v>
                </c:pt>
                <c:pt idx="84">
                  <c:v>66.5</c:v>
                </c:pt>
                <c:pt idx="85">
                  <c:v>66.8</c:v>
                </c:pt>
                <c:pt idx="86">
                  <c:v>67</c:v>
                </c:pt>
                <c:pt idx="87">
                  <c:v>67.400000000000006</c:v>
                </c:pt>
                <c:pt idx="88">
                  <c:v>68</c:v>
                </c:pt>
                <c:pt idx="89">
                  <c:v>68.7</c:v>
                </c:pt>
                <c:pt idx="90">
                  <c:v>64.2</c:v>
                </c:pt>
                <c:pt idx="91">
                  <c:v>59.7</c:v>
                </c:pt>
                <c:pt idx="92">
                  <c:v>55.1</c:v>
                </c:pt>
                <c:pt idx="93">
                  <c:v>50.9</c:v>
                </c:pt>
                <c:pt idx="94">
                  <c:v>51.9</c:v>
                </c:pt>
                <c:pt idx="95">
                  <c:v>53.2</c:v>
                </c:pt>
                <c:pt idx="96">
                  <c:v>54.6</c:v>
                </c:pt>
                <c:pt idx="97">
                  <c:v>55.7</c:v>
                </c:pt>
                <c:pt idx="98">
                  <c:v>56.5</c:v>
                </c:pt>
                <c:pt idx="99">
                  <c:v>56.8</c:v>
                </c:pt>
                <c:pt idx="100">
                  <c:v>56.9</c:v>
                </c:pt>
                <c:pt idx="101">
                  <c:v>56.2</c:v>
                </c:pt>
                <c:pt idx="102">
                  <c:v>55.9</c:v>
                </c:pt>
                <c:pt idx="103">
                  <c:v>56.3</c:v>
                </c:pt>
                <c:pt idx="104">
                  <c:v>57.1</c:v>
                </c:pt>
                <c:pt idx="105">
                  <c:v>58.1</c:v>
                </c:pt>
                <c:pt idx="106">
                  <c:v>58.8</c:v>
                </c:pt>
                <c:pt idx="107">
                  <c:v>58.9</c:v>
                </c:pt>
                <c:pt idx="108">
                  <c:v>58.2</c:v>
                </c:pt>
                <c:pt idx="109">
                  <c:v>57</c:v>
                </c:pt>
                <c:pt idx="110">
                  <c:v>55.9</c:v>
                </c:pt>
                <c:pt idx="111">
                  <c:v>55.2</c:v>
                </c:pt>
                <c:pt idx="112">
                  <c:v>55.1</c:v>
                </c:pt>
                <c:pt idx="113">
                  <c:v>55.7</c:v>
                </c:pt>
                <c:pt idx="114">
                  <c:v>56.6</c:v>
                </c:pt>
                <c:pt idx="115">
                  <c:v>57.4</c:v>
                </c:pt>
                <c:pt idx="116">
                  <c:v>57.7</c:v>
                </c:pt>
                <c:pt idx="117">
                  <c:v>57.3</c:v>
                </c:pt>
                <c:pt idx="118">
                  <c:v>56.5</c:v>
                </c:pt>
                <c:pt idx="119">
                  <c:v>55.6</c:v>
                </c:pt>
                <c:pt idx="120">
                  <c:v>54.9</c:v>
                </c:pt>
                <c:pt idx="121">
                  <c:v>54.5</c:v>
                </c:pt>
                <c:pt idx="122">
                  <c:v>54.6</c:v>
                </c:pt>
                <c:pt idx="123">
                  <c:v>54.9</c:v>
                </c:pt>
                <c:pt idx="124">
                  <c:v>55.2</c:v>
                </c:pt>
                <c:pt idx="125">
                  <c:v>55.3</c:v>
                </c:pt>
                <c:pt idx="126">
                  <c:v>54.8</c:v>
                </c:pt>
                <c:pt idx="127">
                  <c:v>54.3</c:v>
                </c:pt>
                <c:pt idx="128">
                  <c:v>53.7</c:v>
                </c:pt>
                <c:pt idx="129">
                  <c:v>53.2</c:v>
                </c:pt>
                <c:pt idx="130">
                  <c:v>52.7</c:v>
                </c:pt>
                <c:pt idx="131">
                  <c:v>52.1</c:v>
                </c:pt>
                <c:pt idx="132">
                  <c:v>51.2</c:v>
                </c:pt>
                <c:pt idx="133">
                  <c:v>50.3</c:v>
                </c:pt>
                <c:pt idx="134">
                  <c:v>49.3</c:v>
                </c:pt>
                <c:pt idx="135">
                  <c:v>48.7</c:v>
                </c:pt>
                <c:pt idx="136">
                  <c:v>48.4</c:v>
                </c:pt>
                <c:pt idx="137">
                  <c:v>48.5</c:v>
                </c:pt>
                <c:pt idx="138">
                  <c:v>48.8</c:v>
                </c:pt>
                <c:pt idx="139">
                  <c:v>48.9</c:v>
                </c:pt>
                <c:pt idx="140">
                  <c:v>48.5</c:v>
                </c:pt>
                <c:pt idx="141">
                  <c:v>47.2</c:v>
                </c:pt>
                <c:pt idx="142">
                  <c:v>45.6</c:v>
                </c:pt>
                <c:pt idx="143">
                  <c:v>43.8</c:v>
                </c:pt>
                <c:pt idx="144">
                  <c:v>42.5</c:v>
                </c:pt>
                <c:pt idx="145">
                  <c:v>42</c:v>
                </c:pt>
                <c:pt idx="146">
                  <c:v>42</c:v>
                </c:pt>
                <c:pt idx="147">
                  <c:v>42.3</c:v>
                </c:pt>
                <c:pt idx="148">
                  <c:v>42.3</c:v>
                </c:pt>
                <c:pt idx="149">
                  <c:v>41.8</c:v>
                </c:pt>
                <c:pt idx="150">
                  <c:v>40.799999999999997</c:v>
                </c:pt>
                <c:pt idx="151">
                  <c:v>39.6</c:v>
                </c:pt>
                <c:pt idx="152">
                  <c:v>38.4</c:v>
                </c:pt>
                <c:pt idx="153">
                  <c:v>37.4</c:v>
                </c:pt>
                <c:pt idx="154">
                  <c:v>36.700000000000003</c:v>
                </c:pt>
                <c:pt idx="155">
                  <c:v>36.200000000000003</c:v>
                </c:pt>
                <c:pt idx="156">
                  <c:v>35.700000000000003</c:v>
                </c:pt>
                <c:pt idx="157">
                  <c:v>35.200000000000003</c:v>
                </c:pt>
                <c:pt idx="158">
                  <c:v>34.5</c:v>
                </c:pt>
                <c:pt idx="159">
                  <c:v>33.799999999999997</c:v>
                </c:pt>
                <c:pt idx="160">
                  <c:v>33</c:v>
                </c:pt>
                <c:pt idx="161">
                  <c:v>32.4</c:v>
                </c:pt>
                <c:pt idx="162">
                  <c:v>31.8</c:v>
                </c:pt>
                <c:pt idx="163">
                  <c:v>31.2</c:v>
                </c:pt>
                <c:pt idx="164">
                  <c:v>30.6</c:v>
                </c:pt>
                <c:pt idx="165">
                  <c:v>30</c:v>
                </c:pt>
                <c:pt idx="166">
                  <c:v>29.4</c:v>
                </c:pt>
                <c:pt idx="167">
                  <c:v>28.8</c:v>
                </c:pt>
                <c:pt idx="168">
                  <c:v>28.2</c:v>
                </c:pt>
                <c:pt idx="169">
                  <c:v>27.6</c:v>
                </c:pt>
                <c:pt idx="170">
                  <c:v>27</c:v>
                </c:pt>
                <c:pt idx="171">
                  <c:v>27</c:v>
                </c:pt>
                <c:pt idx="172">
                  <c:v>27.1</c:v>
                </c:pt>
                <c:pt idx="173">
                  <c:v>27.2</c:v>
                </c:pt>
                <c:pt idx="174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D5-4CC9-B691-97D6C47492AB}"/>
            </c:ext>
          </c:extLst>
        </c:ser>
        <c:ser>
          <c:idx val="10"/>
          <c:order val="10"/>
          <c:tx>
            <c:strRef>
              <c:f>Data!$N$2</c:f>
              <c:strCache>
                <c:ptCount val="1"/>
                <c:pt idx="0">
                  <c:v>AI Src 2</c:v>
                </c:pt>
              </c:strCache>
            </c:strRef>
          </c:tx>
          <c:spPr>
            <a:ln w="19050">
              <a:solidFill>
                <a:srgbClr val="0B4C5B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Data!$N$3:$N$177</c:f>
              <c:numCache>
                <c:formatCode>0.0</c:formatCode>
                <c:ptCount val="175"/>
                <c:pt idx="0">
                  <c:v>57.4</c:v>
                </c:pt>
                <c:pt idx="1">
                  <c:v>56.8</c:v>
                </c:pt>
                <c:pt idx="2">
                  <c:v>56.6</c:v>
                </c:pt>
                <c:pt idx="3">
                  <c:v>57.5</c:v>
                </c:pt>
                <c:pt idx="4">
                  <c:v>58.4</c:v>
                </c:pt>
                <c:pt idx="5">
                  <c:v>58.1</c:v>
                </c:pt>
                <c:pt idx="6">
                  <c:v>57.2</c:v>
                </c:pt>
                <c:pt idx="7">
                  <c:v>57.3</c:v>
                </c:pt>
                <c:pt idx="8">
                  <c:v>58.5</c:v>
                </c:pt>
                <c:pt idx="9">
                  <c:v>59.3</c:v>
                </c:pt>
                <c:pt idx="10">
                  <c:v>59</c:v>
                </c:pt>
                <c:pt idx="11">
                  <c:v>58.8</c:v>
                </c:pt>
                <c:pt idx="12">
                  <c:v>60.1</c:v>
                </c:pt>
                <c:pt idx="13">
                  <c:v>61.8</c:v>
                </c:pt>
                <c:pt idx="14">
                  <c:v>62.5</c:v>
                </c:pt>
                <c:pt idx="15">
                  <c:v>62.2</c:v>
                </c:pt>
                <c:pt idx="16">
                  <c:v>62.6</c:v>
                </c:pt>
                <c:pt idx="17">
                  <c:v>64</c:v>
                </c:pt>
                <c:pt idx="18">
                  <c:v>65.099999999999994</c:v>
                </c:pt>
                <c:pt idx="19">
                  <c:v>64.8</c:v>
                </c:pt>
                <c:pt idx="20">
                  <c:v>64.099999999999994</c:v>
                </c:pt>
                <c:pt idx="21">
                  <c:v>64.3</c:v>
                </c:pt>
                <c:pt idx="22">
                  <c:v>65.3</c:v>
                </c:pt>
                <c:pt idx="23">
                  <c:v>65.400000000000006</c:v>
                </c:pt>
                <c:pt idx="24">
                  <c:v>64.5</c:v>
                </c:pt>
                <c:pt idx="25">
                  <c:v>64.099999999999994</c:v>
                </c:pt>
                <c:pt idx="26">
                  <c:v>65.099999999999994</c:v>
                </c:pt>
                <c:pt idx="27">
                  <c:v>66.3</c:v>
                </c:pt>
                <c:pt idx="28">
                  <c:v>66.5</c:v>
                </c:pt>
                <c:pt idx="29">
                  <c:v>66.099999999999994</c:v>
                </c:pt>
                <c:pt idx="30">
                  <c:v>66.7</c:v>
                </c:pt>
                <c:pt idx="31">
                  <c:v>68.400000000000006</c:v>
                </c:pt>
                <c:pt idx="32">
                  <c:v>69.5</c:v>
                </c:pt>
                <c:pt idx="33">
                  <c:v>69.2</c:v>
                </c:pt>
                <c:pt idx="34">
                  <c:v>68.900000000000006</c:v>
                </c:pt>
                <c:pt idx="35">
                  <c:v>69.8</c:v>
                </c:pt>
                <c:pt idx="36">
                  <c:v>70.900000000000006</c:v>
                </c:pt>
                <c:pt idx="37">
                  <c:v>70.900000000000006</c:v>
                </c:pt>
                <c:pt idx="38">
                  <c:v>69.900000000000006</c:v>
                </c:pt>
                <c:pt idx="39">
                  <c:v>69.5</c:v>
                </c:pt>
                <c:pt idx="40">
                  <c:v>70.400000000000006</c:v>
                </c:pt>
                <c:pt idx="41">
                  <c:v>70.8</c:v>
                </c:pt>
                <c:pt idx="42">
                  <c:v>70</c:v>
                </c:pt>
                <c:pt idx="43">
                  <c:v>69</c:v>
                </c:pt>
                <c:pt idx="44">
                  <c:v>69.3</c:v>
                </c:pt>
                <c:pt idx="45">
                  <c:v>70.5</c:v>
                </c:pt>
                <c:pt idx="46">
                  <c:v>71</c:v>
                </c:pt>
                <c:pt idx="47">
                  <c:v>70.400000000000006</c:v>
                </c:pt>
                <c:pt idx="48">
                  <c:v>70.2</c:v>
                </c:pt>
                <c:pt idx="49">
                  <c:v>71.2</c:v>
                </c:pt>
                <c:pt idx="50">
                  <c:v>72.3</c:v>
                </c:pt>
                <c:pt idx="51">
                  <c:v>72.099999999999994</c:v>
                </c:pt>
                <c:pt idx="52">
                  <c:v>71.099999999999994</c:v>
                </c:pt>
                <c:pt idx="53">
                  <c:v>70.900000000000006</c:v>
                </c:pt>
                <c:pt idx="54">
                  <c:v>71.599999999999994</c:v>
                </c:pt>
                <c:pt idx="55">
                  <c:v>71.8</c:v>
                </c:pt>
                <c:pt idx="56">
                  <c:v>70.599999999999994</c:v>
                </c:pt>
                <c:pt idx="57">
                  <c:v>69.5</c:v>
                </c:pt>
                <c:pt idx="58">
                  <c:v>69.7</c:v>
                </c:pt>
                <c:pt idx="59">
                  <c:v>70.5</c:v>
                </c:pt>
                <c:pt idx="60">
                  <c:v>70.3</c:v>
                </c:pt>
                <c:pt idx="61">
                  <c:v>69.3</c:v>
                </c:pt>
                <c:pt idx="62">
                  <c:v>69.099999999999994</c:v>
                </c:pt>
                <c:pt idx="63">
                  <c:v>70.2</c:v>
                </c:pt>
                <c:pt idx="64">
                  <c:v>71.2</c:v>
                </c:pt>
                <c:pt idx="65">
                  <c:v>70.900000000000006</c:v>
                </c:pt>
                <c:pt idx="66">
                  <c:v>70.2</c:v>
                </c:pt>
                <c:pt idx="67">
                  <c:v>70.7</c:v>
                </c:pt>
                <c:pt idx="68">
                  <c:v>71.8</c:v>
                </c:pt>
                <c:pt idx="69">
                  <c:v>71.900000000000006</c:v>
                </c:pt>
                <c:pt idx="70">
                  <c:v>70.7</c:v>
                </c:pt>
                <c:pt idx="71">
                  <c:v>69.900000000000006</c:v>
                </c:pt>
                <c:pt idx="72">
                  <c:v>70.2</c:v>
                </c:pt>
                <c:pt idx="73">
                  <c:v>70.7</c:v>
                </c:pt>
                <c:pt idx="74">
                  <c:v>69.900000000000006</c:v>
                </c:pt>
                <c:pt idx="75">
                  <c:v>68.5</c:v>
                </c:pt>
                <c:pt idx="76">
                  <c:v>68.2</c:v>
                </c:pt>
                <c:pt idx="77">
                  <c:v>69.099999999999994</c:v>
                </c:pt>
                <c:pt idx="78">
                  <c:v>69.599999999999994</c:v>
                </c:pt>
                <c:pt idx="79">
                  <c:v>68.3</c:v>
                </c:pt>
                <c:pt idx="80">
                  <c:v>67.3</c:v>
                </c:pt>
                <c:pt idx="81">
                  <c:v>67.5</c:v>
                </c:pt>
                <c:pt idx="82">
                  <c:v>68.3</c:v>
                </c:pt>
                <c:pt idx="83">
                  <c:v>67.900000000000006</c:v>
                </c:pt>
                <c:pt idx="84">
                  <c:v>67.8</c:v>
                </c:pt>
                <c:pt idx="85">
                  <c:v>68.3</c:v>
                </c:pt>
                <c:pt idx="86">
                  <c:v>69.8</c:v>
                </c:pt>
                <c:pt idx="87">
                  <c:v>71</c:v>
                </c:pt>
                <c:pt idx="88">
                  <c:v>70.8</c:v>
                </c:pt>
                <c:pt idx="89">
                  <c:v>70.2</c:v>
                </c:pt>
                <c:pt idx="90">
                  <c:v>65.599999999999994</c:v>
                </c:pt>
                <c:pt idx="91">
                  <c:v>61.8</c:v>
                </c:pt>
                <c:pt idx="92">
                  <c:v>57.2</c:v>
                </c:pt>
                <c:pt idx="93">
                  <c:v>52.2</c:v>
                </c:pt>
                <c:pt idx="94">
                  <c:v>51.9</c:v>
                </c:pt>
                <c:pt idx="95">
                  <c:v>53.6</c:v>
                </c:pt>
                <c:pt idx="96">
                  <c:v>55.5</c:v>
                </c:pt>
                <c:pt idx="97">
                  <c:v>56.4</c:v>
                </c:pt>
                <c:pt idx="98">
                  <c:v>56.6</c:v>
                </c:pt>
                <c:pt idx="99">
                  <c:v>57.9</c:v>
                </c:pt>
                <c:pt idx="100">
                  <c:v>60.2</c:v>
                </c:pt>
                <c:pt idx="101">
                  <c:v>60.8</c:v>
                </c:pt>
                <c:pt idx="102">
                  <c:v>60</c:v>
                </c:pt>
                <c:pt idx="103">
                  <c:v>59.2</c:v>
                </c:pt>
                <c:pt idx="104">
                  <c:v>59.5</c:v>
                </c:pt>
                <c:pt idx="105">
                  <c:v>60.2</c:v>
                </c:pt>
                <c:pt idx="106">
                  <c:v>59.7</c:v>
                </c:pt>
                <c:pt idx="107">
                  <c:v>58.3</c:v>
                </c:pt>
                <c:pt idx="108">
                  <c:v>57.6</c:v>
                </c:pt>
                <c:pt idx="109">
                  <c:v>58.2</c:v>
                </c:pt>
                <c:pt idx="110">
                  <c:v>58.6</c:v>
                </c:pt>
                <c:pt idx="111">
                  <c:v>57.8</c:v>
                </c:pt>
                <c:pt idx="112">
                  <c:v>56.8</c:v>
                </c:pt>
                <c:pt idx="113">
                  <c:v>57.1</c:v>
                </c:pt>
                <c:pt idx="114">
                  <c:v>58.3</c:v>
                </c:pt>
                <c:pt idx="115">
                  <c:v>58.6</c:v>
                </c:pt>
                <c:pt idx="116">
                  <c:v>57.9</c:v>
                </c:pt>
                <c:pt idx="117">
                  <c:v>57.6</c:v>
                </c:pt>
                <c:pt idx="118">
                  <c:v>58.4</c:v>
                </c:pt>
                <c:pt idx="119">
                  <c:v>59.2</c:v>
                </c:pt>
                <c:pt idx="120">
                  <c:v>58.7</c:v>
                </c:pt>
                <c:pt idx="121">
                  <c:v>57.5</c:v>
                </c:pt>
                <c:pt idx="122">
                  <c:v>57.1</c:v>
                </c:pt>
                <c:pt idx="123">
                  <c:v>57.6</c:v>
                </c:pt>
                <c:pt idx="124">
                  <c:v>57.5</c:v>
                </c:pt>
                <c:pt idx="125">
                  <c:v>56.2</c:v>
                </c:pt>
                <c:pt idx="126">
                  <c:v>54.6</c:v>
                </c:pt>
                <c:pt idx="127">
                  <c:v>54.4</c:v>
                </c:pt>
                <c:pt idx="128">
                  <c:v>54.8</c:v>
                </c:pt>
                <c:pt idx="129">
                  <c:v>54.2</c:v>
                </c:pt>
                <c:pt idx="130">
                  <c:v>52.9</c:v>
                </c:pt>
                <c:pt idx="131">
                  <c:v>52.3</c:v>
                </c:pt>
                <c:pt idx="132">
                  <c:v>53</c:v>
                </c:pt>
                <c:pt idx="133">
                  <c:v>53.5</c:v>
                </c:pt>
                <c:pt idx="134">
                  <c:v>52.7</c:v>
                </c:pt>
                <c:pt idx="135">
                  <c:v>51.5</c:v>
                </c:pt>
                <c:pt idx="136">
                  <c:v>51.3</c:v>
                </c:pt>
                <c:pt idx="137">
                  <c:v>51.8</c:v>
                </c:pt>
                <c:pt idx="138">
                  <c:v>51.3</c:v>
                </c:pt>
                <c:pt idx="139">
                  <c:v>49.6</c:v>
                </c:pt>
                <c:pt idx="140">
                  <c:v>48.2</c:v>
                </c:pt>
                <c:pt idx="141">
                  <c:v>47.8</c:v>
                </c:pt>
                <c:pt idx="142">
                  <c:v>47.6</c:v>
                </c:pt>
                <c:pt idx="143">
                  <c:v>46.3</c:v>
                </c:pt>
                <c:pt idx="144">
                  <c:v>44.4</c:v>
                </c:pt>
                <c:pt idx="145">
                  <c:v>43.7</c:v>
                </c:pt>
                <c:pt idx="146">
                  <c:v>44</c:v>
                </c:pt>
                <c:pt idx="147">
                  <c:v>43.8</c:v>
                </c:pt>
                <c:pt idx="148">
                  <c:v>42.8</c:v>
                </c:pt>
                <c:pt idx="149">
                  <c:v>41.8</c:v>
                </c:pt>
                <c:pt idx="150">
                  <c:v>41.7</c:v>
                </c:pt>
                <c:pt idx="151">
                  <c:v>41.6</c:v>
                </c:pt>
                <c:pt idx="152">
                  <c:v>40.9</c:v>
                </c:pt>
                <c:pt idx="153">
                  <c:v>39.799999999999997</c:v>
                </c:pt>
                <c:pt idx="154">
                  <c:v>39</c:v>
                </c:pt>
                <c:pt idx="155">
                  <c:v>38.5</c:v>
                </c:pt>
                <c:pt idx="156">
                  <c:v>37.799999999999997</c:v>
                </c:pt>
                <c:pt idx="157">
                  <c:v>36.9</c:v>
                </c:pt>
                <c:pt idx="158">
                  <c:v>36</c:v>
                </c:pt>
                <c:pt idx="159">
                  <c:v>35.299999999999997</c:v>
                </c:pt>
                <c:pt idx="160">
                  <c:v>34.700000000000003</c:v>
                </c:pt>
                <c:pt idx="161">
                  <c:v>34.1</c:v>
                </c:pt>
                <c:pt idx="162">
                  <c:v>33.5</c:v>
                </c:pt>
                <c:pt idx="163">
                  <c:v>32.9</c:v>
                </c:pt>
                <c:pt idx="164">
                  <c:v>32.299999999999997</c:v>
                </c:pt>
                <c:pt idx="165">
                  <c:v>31.7</c:v>
                </c:pt>
                <c:pt idx="166">
                  <c:v>31.1</c:v>
                </c:pt>
                <c:pt idx="167">
                  <c:v>30.5</c:v>
                </c:pt>
                <c:pt idx="168">
                  <c:v>29.9</c:v>
                </c:pt>
                <c:pt idx="169">
                  <c:v>29.3</c:v>
                </c:pt>
                <c:pt idx="170">
                  <c:v>28.7</c:v>
                </c:pt>
                <c:pt idx="171">
                  <c:v>28.7</c:v>
                </c:pt>
                <c:pt idx="172">
                  <c:v>28.7</c:v>
                </c:pt>
                <c:pt idx="173">
                  <c:v>28.8</c:v>
                </c:pt>
                <c:pt idx="17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D5-4CC9-B691-97D6C47492AB}"/>
            </c:ext>
          </c:extLst>
        </c:ser>
        <c:ser>
          <c:idx val="11"/>
          <c:order val="11"/>
          <c:tx>
            <c:strRef>
              <c:f>Data!$O$2</c:f>
              <c:strCache>
                <c:ptCount val="1"/>
                <c:pt idx="0">
                  <c:v>AI Src 3</c:v>
                </c:pt>
              </c:strCache>
            </c:strRef>
          </c:tx>
          <c:spPr>
            <a:ln w="19050">
              <a:solidFill>
                <a:srgbClr val="1A8A9E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Data!$O$3:$O$177</c:f>
              <c:numCache>
                <c:formatCode>0.0</c:formatCode>
                <c:ptCount val="175"/>
                <c:pt idx="0">
                  <c:v>58.7</c:v>
                </c:pt>
                <c:pt idx="1">
                  <c:v>58.5</c:v>
                </c:pt>
                <c:pt idx="2">
                  <c:v>58.1</c:v>
                </c:pt>
                <c:pt idx="3">
                  <c:v>58.1</c:v>
                </c:pt>
                <c:pt idx="4">
                  <c:v>58.4</c:v>
                </c:pt>
                <c:pt idx="5">
                  <c:v>59</c:v>
                </c:pt>
                <c:pt idx="6">
                  <c:v>59.5</c:v>
                </c:pt>
                <c:pt idx="7">
                  <c:v>59.8</c:v>
                </c:pt>
                <c:pt idx="8">
                  <c:v>59.9</c:v>
                </c:pt>
                <c:pt idx="9">
                  <c:v>60.2</c:v>
                </c:pt>
                <c:pt idx="10">
                  <c:v>60.8</c:v>
                </c:pt>
                <c:pt idx="11">
                  <c:v>61.9</c:v>
                </c:pt>
                <c:pt idx="12">
                  <c:v>63.3</c:v>
                </c:pt>
                <c:pt idx="13">
                  <c:v>64.400000000000006</c:v>
                </c:pt>
                <c:pt idx="14">
                  <c:v>65</c:v>
                </c:pt>
                <c:pt idx="15">
                  <c:v>64.900000000000006</c:v>
                </c:pt>
                <c:pt idx="16">
                  <c:v>64.3</c:v>
                </c:pt>
                <c:pt idx="17">
                  <c:v>63.8</c:v>
                </c:pt>
                <c:pt idx="18">
                  <c:v>63.7</c:v>
                </c:pt>
                <c:pt idx="19">
                  <c:v>64.099999999999994</c:v>
                </c:pt>
                <c:pt idx="20">
                  <c:v>65</c:v>
                </c:pt>
                <c:pt idx="21">
                  <c:v>65.8</c:v>
                </c:pt>
                <c:pt idx="22">
                  <c:v>66.400000000000006</c:v>
                </c:pt>
                <c:pt idx="23">
                  <c:v>66.8</c:v>
                </c:pt>
                <c:pt idx="24">
                  <c:v>67</c:v>
                </c:pt>
                <c:pt idx="25">
                  <c:v>67.400000000000006</c:v>
                </c:pt>
                <c:pt idx="26">
                  <c:v>68.2</c:v>
                </c:pt>
                <c:pt idx="27">
                  <c:v>69</c:v>
                </c:pt>
                <c:pt idx="28">
                  <c:v>69.8</c:v>
                </c:pt>
                <c:pt idx="29">
                  <c:v>70</c:v>
                </c:pt>
                <c:pt idx="30">
                  <c:v>69.7</c:v>
                </c:pt>
                <c:pt idx="31">
                  <c:v>69</c:v>
                </c:pt>
                <c:pt idx="32">
                  <c:v>68.3</c:v>
                </c:pt>
                <c:pt idx="33">
                  <c:v>68.3</c:v>
                </c:pt>
                <c:pt idx="34">
                  <c:v>68.900000000000006</c:v>
                </c:pt>
                <c:pt idx="35">
                  <c:v>70</c:v>
                </c:pt>
                <c:pt idx="36">
                  <c:v>71.2</c:v>
                </c:pt>
                <c:pt idx="37">
                  <c:v>72.099999999999994</c:v>
                </c:pt>
                <c:pt idx="38">
                  <c:v>72.599999999999994</c:v>
                </c:pt>
                <c:pt idx="39">
                  <c:v>72.7</c:v>
                </c:pt>
                <c:pt idx="40">
                  <c:v>72.7</c:v>
                </c:pt>
                <c:pt idx="41">
                  <c:v>72.599999999999994</c:v>
                </c:pt>
                <c:pt idx="42">
                  <c:v>72.8</c:v>
                </c:pt>
                <c:pt idx="43">
                  <c:v>72.900000000000006</c:v>
                </c:pt>
                <c:pt idx="44">
                  <c:v>72.8</c:v>
                </c:pt>
                <c:pt idx="45">
                  <c:v>72.2</c:v>
                </c:pt>
                <c:pt idx="46">
                  <c:v>71.400000000000006</c:v>
                </c:pt>
                <c:pt idx="47">
                  <c:v>70.8</c:v>
                </c:pt>
                <c:pt idx="48">
                  <c:v>70.599999999999994</c:v>
                </c:pt>
                <c:pt idx="49">
                  <c:v>71.2</c:v>
                </c:pt>
                <c:pt idx="50">
                  <c:v>72.2</c:v>
                </c:pt>
                <c:pt idx="51">
                  <c:v>73.2</c:v>
                </c:pt>
                <c:pt idx="52">
                  <c:v>73.8</c:v>
                </c:pt>
                <c:pt idx="53">
                  <c:v>73.8</c:v>
                </c:pt>
                <c:pt idx="54">
                  <c:v>73.2</c:v>
                </c:pt>
                <c:pt idx="55">
                  <c:v>72.5</c:v>
                </c:pt>
                <c:pt idx="56">
                  <c:v>72.099999999999994</c:v>
                </c:pt>
                <c:pt idx="57">
                  <c:v>71.900000000000006</c:v>
                </c:pt>
                <c:pt idx="58">
                  <c:v>72</c:v>
                </c:pt>
                <c:pt idx="59">
                  <c:v>72.099999999999994</c:v>
                </c:pt>
                <c:pt idx="60">
                  <c:v>71.900000000000006</c:v>
                </c:pt>
                <c:pt idx="61">
                  <c:v>71.5</c:v>
                </c:pt>
                <c:pt idx="62">
                  <c:v>71.099999999999994</c:v>
                </c:pt>
                <c:pt idx="63">
                  <c:v>71.099999999999994</c:v>
                </c:pt>
                <c:pt idx="64">
                  <c:v>71.7</c:v>
                </c:pt>
                <c:pt idx="65">
                  <c:v>72.5</c:v>
                </c:pt>
                <c:pt idx="66">
                  <c:v>73.400000000000006</c:v>
                </c:pt>
                <c:pt idx="67">
                  <c:v>73.7</c:v>
                </c:pt>
                <c:pt idx="68">
                  <c:v>73.3</c:v>
                </c:pt>
                <c:pt idx="69">
                  <c:v>72.400000000000006</c:v>
                </c:pt>
                <c:pt idx="70">
                  <c:v>71.400000000000006</c:v>
                </c:pt>
                <c:pt idx="71">
                  <c:v>70.599999999999994</c:v>
                </c:pt>
                <c:pt idx="72">
                  <c:v>70.400000000000006</c:v>
                </c:pt>
                <c:pt idx="73">
                  <c:v>70.7</c:v>
                </c:pt>
                <c:pt idx="74">
                  <c:v>71.099999999999994</c:v>
                </c:pt>
                <c:pt idx="75">
                  <c:v>71.3</c:v>
                </c:pt>
                <c:pt idx="76">
                  <c:v>71.2</c:v>
                </c:pt>
                <c:pt idx="77">
                  <c:v>71.099999999999994</c:v>
                </c:pt>
                <c:pt idx="78">
                  <c:v>71.099999999999994</c:v>
                </c:pt>
                <c:pt idx="79">
                  <c:v>70.900000000000006</c:v>
                </c:pt>
                <c:pt idx="80">
                  <c:v>70.900000000000006</c:v>
                </c:pt>
                <c:pt idx="81">
                  <c:v>70.900000000000006</c:v>
                </c:pt>
                <c:pt idx="82">
                  <c:v>70.400000000000006</c:v>
                </c:pt>
                <c:pt idx="83">
                  <c:v>69.3</c:v>
                </c:pt>
                <c:pt idx="84">
                  <c:v>69</c:v>
                </c:pt>
                <c:pt idx="85">
                  <c:v>68.599999999999994</c:v>
                </c:pt>
                <c:pt idx="86">
                  <c:v>68.599999999999994</c:v>
                </c:pt>
                <c:pt idx="87">
                  <c:v>69.400000000000006</c:v>
                </c:pt>
                <c:pt idx="88">
                  <c:v>70.7</c:v>
                </c:pt>
                <c:pt idx="89">
                  <c:v>72.2</c:v>
                </c:pt>
                <c:pt idx="90">
                  <c:v>68.3</c:v>
                </c:pt>
                <c:pt idx="91">
                  <c:v>64</c:v>
                </c:pt>
                <c:pt idx="92">
                  <c:v>59.4</c:v>
                </c:pt>
                <c:pt idx="93">
                  <c:v>54.5</c:v>
                </c:pt>
                <c:pt idx="94">
                  <c:v>55.6</c:v>
                </c:pt>
                <c:pt idx="95">
                  <c:v>56.7</c:v>
                </c:pt>
                <c:pt idx="96">
                  <c:v>57.9</c:v>
                </c:pt>
                <c:pt idx="97">
                  <c:v>58.7</c:v>
                </c:pt>
                <c:pt idx="98">
                  <c:v>59.2</c:v>
                </c:pt>
                <c:pt idx="99">
                  <c:v>59.3</c:v>
                </c:pt>
                <c:pt idx="100">
                  <c:v>59.4</c:v>
                </c:pt>
                <c:pt idx="101">
                  <c:v>59</c:v>
                </c:pt>
                <c:pt idx="102">
                  <c:v>59.3</c:v>
                </c:pt>
                <c:pt idx="103">
                  <c:v>60.1</c:v>
                </c:pt>
                <c:pt idx="104">
                  <c:v>61.1</c:v>
                </c:pt>
                <c:pt idx="105">
                  <c:v>61.8</c:v>
                </c:pt>
                <c:pt idx="106">
                  <c:v>61.9</c:v>
                </c:pt>
                <c:pt idx="107">
                  <c:v>61.5</c:v>
                </c:pt>
                <c:pt idx="108">
                  <c:v>60.9</c:v>
                </c:pt>
                <c:pt idx="109">
                  <c:v>60.3</c:v>
                </c:pt>
                <c:pt idx="110">
                  <c:v>60.1</c:v>
                </c:pt>
                <c:pt idx="111">
                  <c:v>60.1</c:v>
                </c:pt>
                <c:pt idx="112">
                  <c:v>60</c:v>
                </c:pt>
                <c:pt idx="113">
                  <c:v>59.6</c:v>
                </c:pt>
                <c:pt idx="114">
                  <c:v>59</c:v>
                </c:pt>
                <c:pt idx="115">
                  <c:v>58.5</c:v>
                </c:pt>
                <c:pt idx="116">
                  <c:v>58.2</c:v>
                </c:pt>
                <c:pt idx="117">
                  <c:v>58.6</c:v>
                </c:pt>
                <c:pt idx="118">
                  <c:v>59.4</c:v>
                </c:pt>
                <c:pt idx="119">
                  <c:v>60.2</c:v>
                </c:pt>
                <c:pt idx="120">
                  <c:v>60.7</c:v>
                </c:pt>
                <c:pt idx="121">
                  <c:v>60.5</c:v>
                </c:pt>
                <c:pt idx="122">
                  <c:v>59.7</c:v>
                </c:pt>
                <c:pt idx="123">
                  <c:v>58.6</c:v>
                </c:pt>
                <c:pt idx="124">
                  <c:v>57.7</c:v>
                </c:pt>
                <c:pt idx="125">
                  <c:v>57.3</c:v>
                </c:pt>
                <c:pt idx="126">
                  <c:v>56.9</c:v>
                </c:pt>
                <c:pt idx="127">
                  <c:v>56.7</c:v>
                </c:pt>
                <c:pt idx="128">
                  <c:v>56.4</c:v>
                </c:pt>
                <c:pt idx="129">
                  <c:v>55.9</c:v>
                </c:pt>
                <c:pt idx="130">
                  <c:v>55.2</c:v>
                </c:pt>
                <c:pt idx="131">
                  <c:v>54.7</c:v>
                </c:pt>
                <c:pt idx="132">
                  <c:v>54.5</c:v>
                </c:pt>
                <c:pt idx="133">
                  <c:v>54.7</c:v>
                </c:pt>
                <c:pt idx="134">
                  <c:v>54.8</c:v>
                </c:pt>
                <c:pt idx="135">
                  <c:v>54.6</c:v>
                </c:pt>
                <c:pt idx="136">
                  <c:v>53.7</c:v>
                </c:pt>
                <c:pt idx="137">
                  <c:v>52.3</c:v>
                </c:pt>
                <c:pt idx="138">
                  <c:v>50.7</c:v>
                </c:pt>
                <c:pt idx="139">
                  <c:v>49.4</c:v>
                </c:pt>
                <c:pt idx="140">
                  <c:v>48.7</c:v>
                </c:pt>
                <c:pt idx="141">
                  <c:v>48.4</c:v>
                </c:pt>
                <c:pt idx="142">
                  <c:v>48.5</c:v>
                </c:pt>
                <c:pt idx="143">
                  <c:v>48.4</c:v>
                </c:pt>
                <c:pt idx="144">
                  <c:v>48</c:v>
                </c:pt>
                <c:pt idx="145">
                  <c:v>47.2</c:v>
                </c:pt>
                <c:pt idx="146">
                  <c:v>46.4</c:v>
                </c:pt>
                <c:pt idx="147">
                  <c:v>45.7</c:v>
                </c:pt>
                <c:pt idx="148">
                  <c:v>45.1</c:v>
                </c:pt>
                <c:pt idx="149">
                  <c:v>44.6</c:v>
                </c:pt>
                <c:pt idx="150">
                  <c:v>43.8</c:v>
                </c:pt>
                <c:pt idx="151">
                  <c:v>42.9</c:v>
                </c:pt>
                <c:pt idx="152">
                  <c:v>41.8</c:v>
                </c:pt>
                <c:pt idx="153">
                  <c:v>40.700000000000003</c:v>
                </c:pt>
                <c:pt idx="154">
                  <c:v>39.9</c:v>
                </c:pt>
                <c:pt idx="155">
                  <c:v>39.299999999999997</c:v>
                </c:pt>
                <c:pt idx="156">
                  <c:v>38.9</c:v>
                </c:pt>
                <c:pt idx="157">
                  <c:v>38.4</c:v>
                </c:pt>
                <c:pt idx="158">
                  <c:v>37.799999999999997</c:v>
                </c:pt>
                <c:pt idx="159">
                  <c:v>37.1</c:v>
                </c:pt>
                <c:pt idx="160">
                  <c:v>36.299999999999997</c:v>
                </c:pt>
                <c:pt idx="161">
                  <c:v>35.700000000000003</c:v>
                </c:pt>
                <c:pt idx="162">
                  <c:v>35.1</c:v>
                </c:pt>
                <c:pt idx="163">
                  <c:v>34.5</c:v>
                </c:pt>
                <c:pt idx="164">
                  <c:v>33.9</c:v>
                </c:pt>
                <c:pt idx="165">
                  <c:v>33.299999999999997</c:v>
                </c:pt>
                <c:pt idx="166">
                  <c:v>32.700000000000003</c:v>
                </c:pt>
                <c:pt idx="167">
                  <c:v>32.1</c:v>
                </c:pt>
                <c:pt idx="168">
                  <c:v>31.5</c:v>
                </c:pt>
                <c:pt idx="169">
                  <c:v>30.9</c:v>
                </c:pt>
                <c:pt idx="170">
                  <c:v>30.3</c:v>
                </c:pt>
                <c:pt idx="171">
                  <c:v>30.3</c:v>
                </c:pt>
                <c:pt idx="172">
                  <c:v>30.3</c:v>
                </c:pt>
                <c:pt idx="173">
                  <c:v>30.6</c:v>
                </c:pt>
                <c:pt idx="174">
                  <c:v>30.9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D5-4CC9-B691-97D6C47492AB}"/>
            </c:ext>
          </c:extLst>
        </c:ser>
        <c:ser>
          <c:idx val="12"/>
          <c:order val="12"/>
          <c:tx>
            <c:strRef>
              <c:f>Data!$P$2</c:f>
              <c:strCache>
                <c:ptCount val="1"/>
                <c:pt idx="0">
                  <c:v>AI Src 4</c:v>
                </c:pt>
              </c:strCache>
            </c:strRef>
          </c:tx>
          <c:spPr>
            <a:ln w="19050">
              <a:solidFill>
                <a:srgbClr val="5DBDD0"/>
              </a:solidFill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Data!$P$3:$P$177</c:f>
              <c:numCache>
                <c:formatCode>0.0</c:formatCode>
                <c:ptCount val="175"/>
                <c:pt idx="0">
                  <c:v>57.7</c:v>
                </c:pt>
                <c:pt idx="1">
                  <c:v>58.8</c:v>
                </c:pt>
                <c:pt idx="2">
                  <c:v>59.5</c:v>
                </c:pt>
                <c:pt idx="3">
                  <c:v>59.8</c:v>
                </c:pt>
                <c:pt idx="4">
                  <c:v>60.1</c:v>
                </c:pt>
                <c:pt idx="5">
                  <c:v>61</c:v>
                </c:pt>
                <c:pt idx="6">
                  <c:v>62.4</c:v>
                </c:pt>
                <c:pt idx="7">
                  <c:v>63.6</c:v>
                </c:pt>
                <c:pt idx="8">
                  <c:v>64.099999999999994</c:v>
                </c:pt>
                <c:pt idx="9">
                  <c:v>63.8</c:v>
                </c:pt>
                <c:pt idx="10">
                  <c:v>63.4</c:v>
                </c:pt>
                <c:pt idx="11">
                  <c:v>63.4</c:v>
                </c:pt>
                <c:pt idx="12">
                  <c:v>64</c:v>
                </c:pt>
                <c:pt idx="13">
                  <c:v>64.400000000000006</c:v>
                </c:pt>
                <c:pt idx="14">
                  <c:v>64.400000000000006</c:v>
                </c:pt>
                <c:pt idx="15">
                  <c:v>64</c:v>
                </c:pt>
                <c:pt idx="16">
                  <c:v>64.099999999999994</c:v>
                </c:pt>
                <c:pt idx="17">
                  <c:v>65</c:v>
                </c:pt>
                <c:pt idx="18">
                  <c:v>66.5</c:v>
                </c:pt>
                <c:pt idx="19">
                  <c:v>67.8</c:v>
                </c:pt>
                <c:pt idx="20">
                  <c:v>68.400000000000006</c:v>
                </c:pt>
                <c:pt idx="21">
                  <c:v>68.400000000000006</c:v>
                </c:pt>
                <c:pt idx="22">
                  <c:v>68.7</c:v>
                </c:pt>
                <c:pt idx="23">
                  <c:v>69.3</c:v>
                </c:pt>
                <c:pt idx="24">
                  <c:v>70.099999999999994</c:v>
                </c:pt>
                <c:pt idx="25">
                  <c:v>70.3</c:v>
                </c:pt>
                <c:pt idx="26">
                  <c:v>69.7</c:v>
                </c:pt>
                <c:pt idx="27">
                  <c:v>68.900000000000006</c:v>
                </c:pt>
                <c:pt idx="28">
                  <c:v>68.599999999999994</c:v>
                </c:pt>
                <c:pt idx="29">
                  <c:v>69.2</c:v>
                </c:pt>
                <c:pt idx="30">
                  <c:v>70.099999999999994</c:v>
                </c:pt>
                <c:pt idx="31">
                  <c:v>70.7</c:v>
                </c:pt>
                <c:pt idx="32">
                  <c:v>70.8</c:v>
                </c:pt>
                <c:pt idx="33">
                  <c:v>71</c:v>
                </c:pt>
                <c:pt idx="34">
                  <c:v>71.8</c:v>
                </c:pt>
                <c:pt idx="35">
                  <c:v>73.099999999999994</c:v>
                </c:pt>
                <c:pt idx="36">
                  <c:v>74.3</c:v>
                </c:pt>
                <c:pt idx="37">
                  <c:v>74.7</c:v>
                </c:pt>
                <c:pt idx="38">
                  <c:v>74.400000000000006</c:v>
                </c:pt>
                <c:pt idx="39">
                  <c:v>73.900000000000006</c:v>
                </c:pt>
                <c:pt idx="40">
                  <c:v>73.900000000000006</c:v>
                </c:pt>
                <c:pt idx="41">
                  <c:v>74</c:v>
                </c:pt>
                <c:pt idx="42">
                  <c:v>74</c:v>
                </c:pt>
                <c:pt idx="43">
                  <c:v>73.5</c:v>
                </c:pt>
                <c:pt idx="44">
                  <c:v>72.599999999999994</c:v>
                </c:pt>
                <c:pt idx="45">
                  <c:v>72.3</c:v>
                </c:pt>
                <c:pt idx="46">
                  <c:v>72.7</c:v>
                </c:pt>
                <c:pt idx="47">
                  <c:v>73.8</c:v>
                </c:pt>
                <c:pt idx="48">
                  <c:v>74.599999999999994</c:v>
                </c:pt>
                <c:pt idx="49">
                  <c:v>74.8</c:v>
                </c:pt>
                <c:pt idx="50">
                  <c:v>74.599999999999994</c:v>
                </c:pt>
                <c:pt idx="51">
                  <c:v>74.5</c:v>
                </c:pt>
                <c:pt idx="52">
                  <c:v>74.900000000000006</c:v>
                </c:pt>
                <c:pt idx="53">
                  <c:v>75.400000000000006</c:v>
                </c:pt>
                <c:pt idx="54">
                  <c:v>75.2</c:v>
                </c:pt>
                <c:pt idx="55">
                  <c:v>74.400000000000006</c:v>
                </c:pt>
                <c:pt idx="56">
                  <c:v>73.2</c:v>
                </c:pt>
                <c:pt idx="57">
                  <c:v>72.599999999999994</c:v>
                </c:pt>
                <c:pt idx="58">
                  <c:v>72.8</c:v>
                </c:pt>
                <c:pt idx="59">
                  <c:v>73.3</c:v>
                </c:pt>
                <c:pt idx="60">
                  <c:v>73.5</c:v>
                </c:pt>
                <c:pt idx="61">
                  <c:v>73.3</c:v>
                </c:pt>
                <c:pt idx="62">
                  <c:v>73.099999999999994</c:v>
                </c:pt>
                <c:pt idx="63">
                  <c:v>73.5</c:v>
                </c:pt>
                <c:pt idx="64">
                  <c:v>74.400000000000006</c:v>
                </c:pt>
                <c:pt idx="65">
                  <c:v>75.3</c:v>
                </c:pt>
                <c:pt idx="66">
                  <c:v>75.400000000000006</c:v>
                </c:pt>
                <c:pt idx="67">
                  <c:v>74.7</c:v>
                </c:pt>
                <c:pt idx="68">
                  <c:v>73.8</c:v>
                </c:pt>
                <c:pt idx="69">
                  <c:v>73.5</c:v>
                </c:pt>
                <c:pt idx="70">
                  <c:v>73.5</c:v>
                </c:pt>
                <c:pt idx="71">
                  <c:v>73.5</c:v>
                </c:pt>
                <c:pt idx="72">
                  <c:v>72.8</c:v>
                </c:pt>
                <c:pt idx="73">
                  <c:v>71.900000000000006</c:v>
                </c:pt>
                <c:pt idx="74">
                  <c:v>71.5</c:v>
                </c:pt>
                <c:pt idx="75">
                  <c:v>71.8</c:v>
                </c:pt>
                <c:pt idx="76">
                  <c:v>72.8</c:v>
                </c:pt>
                <c:pt idx="77">
                  <c:v>73.599999999999994</c:v>
                </c:pt>
                <c:pt idx="78">
                  <c:v>73.7</c:v>
                </c:pt>
                <c:pt idx="79">
                  <c:v>72.900000000000006</c:v>
                </c:pt>
                <c:pt idx="80">
                  <c:v>72.3</c:v>
                </c:pt>
                <c:pt idx="81">
                  <c:v>72.099999999999994</c:v>
                </c:pt>
                <c:pt idx="82">
                  <c:v>72</c:v>
                </c:pt>
                <c:pt idx="83">
                  <c:v>71.3</c:v>
                </c:pt>
                <c:pt idx="84">
                  <c:v>71.099999999999994</c:v>
                </c:pt>
                <c:pt idx="85">
                  <c:v>70.7</c:v>
                </c:pt>
                <c:pt idx="86">
                  <c:v>70.7</c:v>
                </c:pt>
                <c:pt idx="87">
                  <c:v>71.5</c:v>
                </c:pt>
                <c:pt idx="88">
                  <c:v>72.599999999999994</c:v>
                </c:pt>
                <c:pt idx="89">
                  <c:v>73.5</c:v>
                </c:pt>
                <c:pt idx="90">
                  <c:v>68.7</c:v>
                </c:pt>
                <c:pt idx="91">
                  <c:v>64.099999999999994</c:v>
                </c:pt>
                <c:pt idx="92">
                  <c:v>60</c:v>
                </c:pt>
                <c:pt idx="93">
                  <c:v>56.2</c:v>
                </c:pt>
                <c:pt idx="94">
                  <c:v>58.4</c:v>
                </c:pt>
                <c:pt idx="95">
                  <c:v>59.5</c:v>
                </c:pt>
                <c:pt idx="96">
                  <c:v>59.9</c:v>
                </c:pt>
                <c:pt idx="97">
                  <c:v>60</c:v>
                </c:pt>
                <c:pt idx="98">
                  <c:v>60.7</c:v>
                </c:pt>
                <c:pt idx="99">
                  <c:v>61.8</c:v>
                </c:pt>
                <c:pt idx="100">
                  <c:v>62.7</c:v>
                </c:pt>
                <c:pt idx="101">
                  <c:v>62</c:v>
                </c:pt>
                <c:pt idx="102">
                  <c:v>61.1</c:v>
                </c:pt>
                <c:pt idx="103">
                  <c:v>60.6</c:v>
                </c:pt>
                <c:pt idx="104">
                  <c:v>60.9</c:v>
                </c:pt>
                <c:pt idx="105">
                  <c:v>61.9</c:v>
                </c:pt>
                <c:pt idx="106">
                  <c:v>62.6</c:v>
                </c:pt>
                <c:pt idx="107">
                  <c:v>62.8</c:v>
                </c:pt>
                <c:pt idx="108">
                  <c:v>62.5</c:v>
                </c:pt>
                <c:pt idx="109">
                  <c:v>62.5</c:v>
                </c:pt>
                <c:pt idx="110">
                  <c:v>62.9</c:v>
                </c:pt>
                <c:pt idx="111">
                  <c:v>63.3</c:v>
                </c:pt>
                <c:pt idx="112">
                  <c:v>63.1</c:v>
                </c:pt>
                <c:pt idx="113">
                  <c:v>62.1</c:v>
                </c:pt>
                <c:pt idx="114">
                  <c:v>60.9</c:v>
                </c:pt>
                <c:pt idx="115">
                  <c:v>60.1</c:v>
                </c:pt>
                <c:pt idx="116">
                  <c:v>60.1</c:v>
                </c:pt>
                <c:pt idx="117">
                  <c:v>60.4</c:v>
                </c:pt>
                <c:pt idx="118">
                  <c:v>60.4</c:v>
                </c:pt>
                <c:pt idx="119">
                  <c:v>60</c:v>
                </c:pt>
                <c:pt idx="120">
                  <c:v>59.7</c:v>
                </c:pt>
                <c:pt idx="121">
                  <c:v>60</c:v>
                </c:pt>
                <c:pt idx="122">
                  <c:v>60.9</c:v>
                </c:pt>
                <c:pt idx="123">
                  <c:v>61.7</c:v>
                </c:pt>
                <c:pt idx="124">
                  <c:v>61.8</c:v>
                </c:pt>
                <c:pt idx="125">
                  <c:v>61.1</c:v>
                </c:pt>
                <c:pt idx="126">
                  <c:v>59.9</c:v>
                </c:pt>
                <c:pt idx="127">
                  <c:v>59.1</c:v>
                </c:pt>
                <c:pt idx="128">
                  <c:v>58.7</c:v>
                </c:pt>
                <c:pt idx="129">
                  <c:v>58.1</c:v>
                </c:pt>
                <c:pt idx="130">
                  <c:v>57</c:v>
                </c:pt>
                <c:pt idx="131">
                  <c:v>55.5</c:v>
                </c:pt>
                <c:pt idx="132">
                  <c:v>54.5</c:v>
                </c:pt>
                <c:pt idx="133">
                  <c:v>54.3</c:v>
                </c:pt>
                <c:pt idx="134">
                  <c:v>54.7</c:v>
                </c:pt>
                <c:pt idx="135">
                  <c:v>55</c:v>
                </c:pt>
                <c:pt idx="136">
                  <c:v>54.7</c:v>
                </c:pt>
                <c:pt idx="137">
                  <c:v>53.9</c:v>
                </c:pt>
                <c:pt idx="138">
                  <c:v>53.4</c:v>
                </c:pt>
                <c:pt idx="139">
                  <c:v>53.4</c:v>
                </c:pt>
                <c:pt idx="140">
                  <c:v>53.5</c:v>
                </c:pt>
                <c:pt idx="141">
                  <c:v>52.8</c:v>
                </c:pt>
                <c:pt idx="142">
                  <c:v>51.2</c:v>
                </c:pt>
                <c:pt idx="143">
                  <c:v>49.4</c:v>
                </c:pt>
                <c:pt idx="144">
                  <c:v>48.1</c:v>
                </c:pt>
                <c:pt idx="145">
                  <c:v>47.5</c:v>
                </c:pt>
                <c:pt idx="146">
                  <c:v>47.2</c:v>
                </c:pt>
                <c:pt idx="147">
                  <c:v>46.7</c:v>
                </c:pt>
                <c:pt idx="148">
                  <c:v>45.8</c:v>
                </c:pt>
                <c:pt idx="149">
                  <c:v>45</c:v>
                </c:pt>
                <c:pt idx="150">
                  <c:v>44.6</c:v>
                </c:pt>
                <c:pt idx="151">
                  <c:v>44.5</c:v>
                </c:pt>
                <c:pt idx="152">
                  <c:v>44.2</c:v>
                </c:pt>
                <c:pt idx="153">
                  <c:v>43.5</c:v>
                </c:pt>
                <c:pt idx="154">
                  <c:v>42.6</c:v>
                </c:pt>
                <c:pt idx="155">
                  <c:v>41.6</c:v>
                </c:pt>
                <c:pt idx="156">
                  <c:v>40.799999999999997</c:v>
                </c:pt>
                <c:pt idx="157">
                  <c:v>40.200000000000003</c:v>
                </c:pt>
                <c:pt idx="158">
                  <c:v>39.4</c:v>
                </c:pt>
                <c:pt idx="159">
                  <c:v>38.700000000000003</c:v>
                </c:pt>
                <c:pt idx="160">
                  <c:v>38</c:v>
                </c:pt>
                <c:pt idx="161">
                  <c:v>37.4</c:v>
                </c:pt>
                <c:pt idx="162">
                  <c:v>36.799999999999997</c:v>
                </c:pt>
                <c:pt idx="163">
                  <c:v>36.200000000000003</c:v>
                </c:pt>
                <c:pt idx="164">
                  <c:v>35.6</c:v>
                </c:pt>
                <c:pt idx="165">
                  <c:v>35</c:v>
                </c:pt>
                <c:pt idx="166">
                  <c:v>34.4</c:v>
                </c:pt>
                <c:pt idx="167">
                  <c:v>33.799999999999997</c:v>
                </c:pt>
                <c:pt idx="168">
                  <c:v>33.200000000000003</c:v>
                </c:pt>
                <c:pt idx="169">
                  <c:v>32.6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31.8</c:v>
                </c:pt>
                <c:pt idx="174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D5-4CC9-B691-97D6C4749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264751"/>
        <c:axId val="2002265231"/>
      </c:lineChart>
      <c:catAx>
        <c:axId val="2002264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crossAx val="2002265231"/>
        <c:crosses val="autoZero"/>
        <c:auto val="1"/>
        <c:lblAlgn val="ctr"/>
        <c:lblOffset val="100"/>
        <c:tickLblSkip val="20"/>
        <c:noMultiLvlLbl val="0"/>
      </c:catAx>
      <c:valAx>
        <c:axId val="200226523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Cumulative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002264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Data!$A$1</c:f>
          <c:strCache>
            <c:ptCount val="1"/>
            <c:pt idx="0">
              <c:v>Chart title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6.2723051859896822E-2"/>
          <c:y val="1.7307692307692309E-2"/>
          <c:w val="0.85057471264367812"/>
          <c:h val="0.76923076923076927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Data!$B$3:$B$177</c:f>
              <c:numCache>
                <c:formatCode>0.0</c:formatCode>
                <c:ptCount val="175"/>
                <c:pt idx="0">
                  <c:v>37.700000000000003</c:v>
                </c:pt>
                <c:pt idx="1">
                  <c:v>38.700000000000003</c:v>
                </c:pt>
                <c:pt idx="2">
                  <c:v>39.4</c:v>
                </c:pt>
                <c:pt idx="3">
                  <c:v>39.700000000000003</c:v>
                </c:pt>
                <c:pt idx="4">
                  <c:v>40</c:v>
                </c:pt>
                <c:pt idx="5">
                  <c:v>40.799999999999997</c:v>
                </c:pt>
                <c:pt idx="6">
                  <c:v>42.1</c:v>
                </c:pt>
                <c:pt idx="7">
                  <c:v>42.3</c:v>
                </c:pt>
                <c:pt idx="8">
                  <c:v>42.4</c:v>
                </c:pt>
                <c:pt idx="9">
                  <c:v>42.7</c:v>
                </c:pt>
                <c:pt idx="10">
                  <c:v>43.1</c:v>
                </c:pt>
                <c:pt idx="11">
                  <c:v>43.2</c:v>
                </c:pt>
                <c:pt idx="12">
                  <c:v>43.7</c:v>
                </c:pt>
                <c:pt idx="13">
                  <c:v>44.1</c:v>
                </c:pt>
                <c:pt idx="14">
                  <c:v>44</c:v>
                </c:pt>
                <c:pt idx="15">
                  <c:v>43.6</c:v>
                </c:pt>
                <c:pt idx="16">
                  <c:v>43.7</c:v>
                </c:pt>
                <c:pt idx="17">
                  <c:v>44.6</c:v>
                </c:pt>
                <c:pt idx="18">
                  <c:v>45.9</c:v>
                </c:pt>
                <c:pt idx="19">
                  <c:v>46.3</c:v>
                </c:pt>
                <c:pt idx="20">
                  <c:v>47.2</c:v>
                </c:pt>
                <c:pt idx="21">
                  <c:v>47.9</c:v>
                </c:pt>
                <c:pt idx="22">
                  <c:v>48</c:v>
                </c:pt>
                <c:pt idx="23">
                  <c:v>48.6</c:v>
                </c:pt>
                <c:pt idx="24">
                  <c:v>48.9</c:v>
                </c:pt>
                <c:pt idx="25">
                  <c:v>48.5</c:v>
                </c:pt>
                <c:pt idx="26">
                  <c:v>48.8</c:v>
                </c:pt>
                <c:pt idx="27">
                  <c:v>47.9</c:v>
                </c:pt>
                <c:pt idx="28">
                  <c:v>47.5</c:v>
                </c:pt>
                <c:pt idx="29">
                  <c:v>48</c:v>
                </c:pt>
                <c:pt idx="30">
                  <c:v>48.8</c:v>
                </c:pt>
                <c:pt idx="31">
                  <c:v>49.3</c:v>
                </c:pt>
                <c:pt idx="32">
                  <c:v>49.4</c:v>
                </c:pt>
                <c:pt idx="33">
                  <c:v>49.5</c:v>
                </c:pt>
                <c:pt idx="34">
                  <c:v>50</c:v>
                </c:pt>
                <c:pt idx="35">
                  <c:v>51</c:v>
                </c:pt>
                <c:pt idx="36">
                  <c:v>52.2</c:v>
                </c:pt>
                <c:pt idx="37">
                  <c:v>52.9</c:v>
                </c:pt>
                <c:pt idx="38">
                  <c:v>52.5</c:v>
                </c:pt>
                <c:pt idx="39">
                  <c:v>51.9</c:v>
                </c:pt>
                <c:pt idx="40">
                  <c:v>51.9</c:v>
                </c:pt>
                <c:pt idx="41">
                  <c:v>52</c:v>
                </c:pt>
                <c:pt idx="42">
                  <c:v>51.9</c:v>
                </c:pt>
                <c:pt idx="43">
                  <c:v>51.4</c:v>
                </c:pt>
                <c:pt idx="44">
                  <c:v>50.5</c:v>
                </c:pt>
                <c:pt idx="45">
                  <c:v>50.1</c:v>
                </c:pt>
                <c:pt idx="46">
                  <c:v>50.6</c:v>
                </c:pt>
                <c:pt idx="47">
                  <c:v>51.3</c:v>
                </c:pt>
                <c:pt idx="48">
                  <c:v>51.1</c:v>
                </c:pt>
                <c:pt idx="49">
                  <c:v>51.7</c:v>
                </c:pt>
                <c:pt idx="50">
                  <c:v>52.3</c:v>
                </c:pt>
                <c:pt idx="51">
                  <c:v>52.2</c:v>
                </c:pt>
                <c:pt idx="52">
                  <c:v>52.6</c:v>
                </c:pt>
                <c:pt idx="53">
                  <c:v>53</c:v>
                </c:pt>
                <c:pt idx="54">
                  <c:v>52.9</c:v>
                </c:pt>
                <c:pt idx="55">
                  <c:v>52</c:v>
                </c:pt>
                <c:pt idx="56">
                  <c:v>50.8</c:v>
                </c:pt>
                <c:pt idx="57">
                  <c:v>50.2</c:v>
                </c:pt>
                <c:pt idx="58">
                  <c:v>50.3</c:v>
                </c:pt>
                <c:pt idx="59">
                  <c:v>50.8</c:v>
                </c:pt>
                <c:pt idx="60">
                  <c:v>51</c:v>
                </c:pt>
                <c:pt idx="61">
                  <c:v>50.8</c:v>
                </c:pt>
                <c:pt idx="62">
                  <c:v>50.6</c:v>
                </c:pt>
                <c:pt idx="63">
                  <c:v>51</c:v>
                </c:pt>
                <c:pt idx="64">
                  <c:v>51.9</c:v>
                </c:pt>
                <c:pt idx="65">
                  <c:v>52.7</c:v>
                </c:pt>
                <c:pt idx="66">
                  <c:v>52.9</c:v>
                </c:pt>
                <c:pt idx="67">
                  <c:v>52.2</c:v>
                </c:pt>
                <c:pt idx="68">
                  <c:v>51.3</c:v>
                </c:pt>
                <c:pt idx="69">
                  <c:v>51</c:v>
                </c:pt>
                <c:pt idx="70">
                  <c:v>51</c:v>
                </c:pt>
                <c:pt idx="71">
                  <c:v>50.8</c:v>
                </c:pt>
                <c:pt idx="72">
                  <c:v>50.3</c:v>
                </c:pt>
                <c:pt idx="73">
                  <c:v>49.4</c:v>
                </c:pt>
                <c:pt idx="74">
                  <c:v>49</c:v>
                </c:pt>
                <c:pt idx="75">
                  <c:v>49.3</c:v>
                </c:pt>
                <c:pt idx="76">
                  <c:v>50.3</c:v>
                </c:pt>
                <c:pt idx="77">
                  <c:v>51.1</c:v>
                </c:pt>
                <c:pt idx="78">
                  <c:v>51.2</c:v>
                </c:pt>
                <c:pt idx="79">
                  <c:v>50.7</c:v>
                </c:pt>
                <c:pt idx="80">
                  <c:v>50.4</c:v>
                </c:pt>
                <c:pt idx="81">
                  <c:v>50.5</c:v>
                </c:pt>
                <c:pt idx="82">
                  <c:v>50.7</c:v>
                </c:pt>
                <c:pt idx="83">
                  <c:v>50.3</c:v>
                </c:pt>
                <c:pt idx="84">
                  <c:v>49.7</c:v>
                </c:pt>
                <c:pt idx="85">
                  <c:v>48.8</c:v>
                </c:pt>
                <c:pt idx="86">
                  <c:v>48.4</c:v>
                </c:pt>
                <c:pt idx="87">
                  <c:v>48.8</c:v>
                </c:pt>
                <c:pt idx="88">
                  <c:v>49.6</c:v>
                </c:pt>
                <c:pt idx="89">
                  <c:v>50</c:v>
                </c:pt>
                <c:pt idx="90">
                  <c:v>48.1</c:v>
                </c:pt>
                <c:pt idx="91">
                  <c:v>46.4</c:v>
                </c:pt>
                <c:pt idx="92">
                  <c:v>45.2</c:v>
                </c:pt>
                <c:pt idx="93">
                  <c:v>44.3</c:v>
                </c:pt>
                <c:pt idx="94">
                  <c:v>42.7</c:v>
                </c:pt>
                <c:pt idx="95">
                  <c:v>44</c:v>
                </c:pt>
                <c:pt idx="96">
                  <c:v>44.6</c:v>
                </c:pt>
                <c:pt idx="97">
                  <c:v>44.3</c:v>
                </c:pt>
                <c:pt idx="98">
                  <c:v>44.6</c:v>
                </c:pt>
                <c:pt idx="99">
                  <c:v>45.2</c:v>
                </c:pt>
                <c:pt idx="100">
                  <c:v>45.1</c:v>
                </c:pt>
                <c:pt idx="101">
                  <c:v>44.7</c:v>
                </c:pt>
                <c:pt idx="102">
                  <c:v>44.1</c:v>
                </c:pt>
                <c:pt idx="103">
                  <c:v>43.6</c:v>
                </c:pt>
                <c:pt idx="104">
                  <c:v>43.9</c:v>
                </c:pt>
                <c:pt idx="105">
                  <c:v>44.9</c:v>
                </c:pt>
                <c:pt idx="106">
                  <c:v>45.6</c:v>
                </c:pt>
                <c:pt idx="107">
                  <c:v>45.8</c:v>
                </c:pt>
                <c:pt idx="108">
                  <c:v>45.5</c:v>
                </c:pt>
                <c:pt idx="109">
                  <c:v>45.5</c:v>
                </c:pt>
                <c:pt idx="110">
                  <c:v>45.8</c:v>
                </c:pt>
                <c:pt idx="111">
                  <c:v>45.7</c:v>
                </c:pt>
                <c:pt idx="112">
                  <c:v>44.9</c:v>
                </c:pt>
                <c:pt idx="113">
                  <c:v>44.9</c:v>
                </c:pt>
                <c:pt idx="114">
                  <c:v>43.6</c:v>
                </c:pt>
                <c:pt idx="115">
                  <c:v>42.8</c:v>
                </c:pt>
                <c:pt idx="116">
                  <c:v>42.7</c:v>
                </c:pt>
                <c:pt idx="117">
                  <c:v>42.9</c:v>
                </c:pt>
                <c:pt idx="118">
                  <c:v>42.9</c:v>
                </c:pt>
                <c:pt idx="119">
                  <c:v>42.4</c:v>
                </c:pt>
                <c:pt idx="120">
                  <c:v>42</c:v>
                </c:pt>
                <c:pt idx="121">
                  <c:v>42.2</c:v>
                </c:pt>
                <c:pt idx="122">
                  <c:v>43.1</c:v>
                </c:pt>
                <c:pt idx="123">
                  <c:v>43.4</c:v>
                </c:pt>
                <c:pt idx="124">
                  <c:v>42.5</c:v>
                </c:pt>
                <c:pt idx="125">
                  <c:v>42</c:v>
                </c:pt>
                <c:pt idx="126">
                  <c:v>41.7</c:v>
                </c:pt>
                <c:pt idx="127">
                  <c:v>41.3</c:v>
                </c:pt>
                <c:pt idx="128">
                  <c:v>41.1</c:v>
                </c:pt>
                <c:pt idx="129">
                  <c:v>40.700000000000003</c:v>
                </c:pt>
                <c:pt idx="130">
                  <c:v>39.700000000000003</c:v>
                </c:pt>
                <c:pt idx="131">
                  <c:v>38.299999999999997</c:v>
                </c:pt>
                <c:pt idx="132">
                  <c:v>37.4</c:v>
                </c:pt>
                <c:pt idx="133">
                  <c:v>37.4</c:v>
                </c:pt>
                <c:pt idx="134">
                  <c:v>37.9</c:v>
                </c:pt>
                <c:pt idx="135">
                  <c:v>38.299999999999997</c:v>
                </c:pt>
                <c:pt idx="136">
                  <c:v>38.1</c:v>
                </c:pt>
                <c:pt idx="137">
                  <c:v>37.5</c:v>
                </c:pt>
                <c:pt idx="138">
                  <c:v>37.1</c:v>
                </c:pt>
                <c:pt idx="139">
                  <c:v>35.9</c:v>
                </c:pt>
                <c:pt idx="140">
                  <c:v>35.4</c:v>
                </c:pt>
                <c:pt idx="141">
                  <c:v>35.5</c:v>
                </c:pt>
                <c:pt idx="142">
                  <c:v>35.9</c:v>
                </c:pt>
                <c:pt idx="143">
                  <c:v>34.5</c:v>
                </c:pt>
                <c:pt idx="144">
                  <c:v>33.5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33.1</c:v>
                </c:pt>
                <c:pt idx="148">
                  <c:v>32.6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32.200000000000003</c:v>
                </c:pt>
                <c:pt idx="152">
                  <c:v>32.200000000000003</c:v>
                </c:pt>
                <c:pt idx="153">
                  <c:v>31.7</c:v>
                </c:pt>
                <c:pt idx="154">
                  <c:v>31.1</c:v>
                </c:pt>
                <c:pt idx="155">
                  <c:v>30.4</c:v>
                </c:pt>
                <c:pt idx="156">
                  <c:v>29.8</c:v>
                </c:pt>
                <c:pt idx="157">
                  <c:v>29.4</c:v>
                </c:pt>
                <c:pt idx="158">
                  <c:v>28.9</c:v>
                </c:pt>
                <c:pt idx="159">
                  <c:v>28.4</c:v>
                </c:pt>
                <c:pt idx="160">
                  <c:v>28</c:v>
                </c:pt>
                <c:pt idx="161">
                  <c:v>27.5</c:v>
                </c:pt>
                <c:pt idx="162">
                  <c:v>27</c:v>
                </c:pt>
                <c:pt idx="163">
                  <c:v>26.5</c:v>
                </c:pt>
                <c:pt idx="164">
                  <c:v>26</c:v>
                </c:pt>
                <c:pt idx="165">
                  <c:v>25.5</c:v>
                </c:pt>
                <c:pt idx="166">
                  <c:v>25</c:v>
                </c:pt>
                <c:pt idx="167">
                  <c:v>24.5</c:v>
                </c:pt>
                <c:pt idx="168">
                  <c:v>24</c:v>
                </c:pt>
                <c:pt idx="169">
                  <c:v>23.5</c:v>
                </c:pt>
                <c:pt idx="170">
                  <c:v>23</c:v>
                </c:pt>
                <c:pt idx="171">
                  <c:v>22.4</c:v>
                </c:pt>
                <c:pt idx="172">
                  <c:v>21.7</c:v>
                </c:pt>
                <c:pt idx="173">
                  <c:v>20.9</c:v>
                </c:pt>
                <c:pt idx="174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0-4014-A4AD-5DEE22E8B1E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20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Data!$F$3:$F$177</c:f>
              <c:numCache>
                <c:formatCode>0.0</c:formatCode>
                <c:ptCount val="175"/>
                <c:pt idx="0">
                  <c:v>5</c:v>
                </c:pt>
                <c:pt idx="1">
                  <c:v>3.3999999999999986</c:v>
                </c:pt>
                <c:pt idx="2">
                  <c:v>2.3999999999999986</c:v>
                </c:pt>
                <c:pt idx="3">
                  <c:v>3</c:v>
                </c:pt>
                <c:pt idx="4">
                  <c:v>3.6000000000000014</c:v>
                </c:pt>
                <c:pt idx="5">
                  <c:v>2.9000000000000057</c:v>
                </c:pt>
                <c:pt idx="6">
                  <c:v>2.7999999999999972</c:v>
                </c:pt>
                <c:pt idx="7">
                  <c:v>3.4000000000000057</c:v>
                </c:pt>
                <c:pt idx="8">
                  <c:v>3.8000000000000043</c:v>
                </c:pt>
                <c:pt idx="9">
                  <c:v>3.5</c:v>
                </c:pt>
                <c:pt idx="10">
                  <c:v>3.1000000000000014</c:v>
                </c:pt>
                <c:pt idx="11">
                  <c:v>3</c:v>
                </c:pt>
                <c:pt idx="12">
                  <c:v>2.7999999999999972</c:v>
                </c:pt>
                <c:pt idx="13">
                  <c:v>2.6999999999999957</c:v>
                </c:pt>
                <c:pt idx="14">
                  <c:v>3.3999999999999986</c:v>
                </c:pt>
                <c:pt idx="15">
                  <c:v>4.1000000000000014</c:v>
                </c:pt>
                <c:pt idx="16">
                  <c:v>4.2999999999999972</c:v>
                </c:pt>
                <c:pt idx="17">
                  <c:v>4.2999999999999972</c:v>
                </c:pt>
                <c:pt idx="18">
                  <c:v>4.1000000000000014</c:v>
                </c:pt>
                <c:pt idx="19">
                  <c:v>3.5</c:v>
                </c:pt>
                <c:pt idx="20">
                  <c:v>3.3999999999999986</c:v>
                </c:pt>
                <c:pt idx="21">
                  <c:v>3.3000000000000043</c:v>
                </c:pt>
                <c:pt idx="22">
                  <c:v>3.3999999999999986</c:v>
                </c:pt>
                <c:pt idx="23">
                  <c:v>2.6000000000000014</c:v>
                </c:pt>
                <c:pt idx="24">
                  <c:v>1.8000000000000043</c:v>
                </c:pt>
                <c:pt idx="25">
                  <c:v>1.7000000000000028</c:v>
                </c:pt>
                <c:pt idx="26">
                  <c:v>1.2000000000000028</c:v>
                </c:pt>
                <c:pt idx="27">
                  <c:v>2.8000000000000043</c:v>
                </c:pt>
                <c:pt idx="28">
                  <c:v>3.8999999999999986</c:v>
                </c:pt>
                <c:pt idx="29">
                  <c:v>4.7000000000000028</c:v>
                </c:pt>
                <c:pt idx="30">
                  <c:v>5.1000000000000014</c:v>
                </c:pt>
                <c:pt idx="31">
                  <c:v>5.2000000000000028</c:v>
                </c:pt>
                <c:pt idx="32">
                  <c:v>5</c:v>
                </c:pt>
                <c:pt idx="33">
                  <c:v>4.2000000000000028</c:v>
                </c:pt>
                <c:pt idx="34">
                  <c:v>2.7999999999999972</c:v>
                </c:pt>
                <c:pt idx="35">
                  <c:v>2.3999999999999986</c:v>
                </c:pt>
                <c:pt idx="36">
                  <c:v>2.2999999999999972</c:v>
                </c:pt>
                <c:pt idx="37">
                  <c:v>1.5</c:v>
                </c:pt>
                <c:pt idx="38">
                  <c:v>1.7000000000000028</c:v>
                </c:pt>
                <c:pt idx="39">
                  <c:v>3.6000000000000014</c:v>
                </c:pt>
                <c:pt idx="40">
                  <c:v>4.5</c:v>
                </c:pt>
                <c:pt idx="41">
                  <c:v>4.3999999999999986</c:v>
                </c:pt>
                <c:pt idx="42">
                  <c:v>4</c:v>
                </c:pt>
                <c:pt idx="43">
                  <c:v>3.6000000000000014</c:v>
                </c:pt>
                <c:pt idx="44">
                  <c:v>3.7999999999999972</c:v>
                </c:pt>
                <c:pt idx="45">
                  <c:v>3.7999999999999972</c:v>
                </c:pt>
                <c:pt idx="46">
                  <c:v>3.5</c:v>
                </c:pt>
                <c:pt idx="47">
                  <c:v>3</c:v>
                </c:pt>
                <c:pt idx="48">
                  <c:v>3.6000000000000014</c:v>
                </c:pt>
                <c:pt idx="49">
                  <c:v>3.2999999999999972</c:v>
                </c:pt>
                <c:pt idx="50">
                  <c:v>3.1000000000000014</c:v>
                </c:pt>
                <c:pt idx="51">
                  <c:v>2.8999999999999986</c:v>
                </c:pt>
                <c:pt idx="52">
                  <c:v>2.3999999999999986</c:v>
                </c:pt>
                <c:pt idx="53">
                  <c:v>2</c:v>
                </c:pt>
                <c:pt idx="54">
                  <c:v>2.1000000000000014</c:v>
                </c:pt>
                <c:pt idx="55">
                  <c:v>2.8999999999999986</c:v>
                </c:pt>
                <c:pt idx="56">
                  <c:v>3.9000000000000057</c:v>
                </c:pt>
                <c:pt idx="57">
                  <c:v>4.0999999999999943</c:v>
                </c:pt>
                <c:pt idx="58">
                  <c:v>3.5</c:v>
                </c:pt>
                <c:pt idx="59">
                  <c:v>2.7000000000000028</c:v>
                </c:pt>
                <c:pt idx="60">
                  <c:v>2.6000000000000014</c:v>
                </c:pt>
                <c:pt idx="61">
                  <c:v>3.3000000000000043</c:v>
                </c:pt>
                <c:pt idx="62">
                  <c:v>4.1999999999999957</c:v>
                </c:pt>
                <c:pt idx="63">
                  <c:v>4.5</c:v>
                </c:pt>
                <c:pt idx="64">
                  <c:v>3.8999999999999986</c:v>
                </c:pt>
                <c:pt idx="65">
                  <c:v>2.6999999999999957</c:v>
                </c:pt>
                <c:pt idx="66">
                  <c:v>1.6000000000000014</c:v>
                </c:pt>
                <c:pt idx="67">
                  <c:v>1.6999999999999957</c:v>
                </c:pt>
                <c:pt idx="68">
                  <c:v>3.3000000000000043</c:v>
                </c:pt>
                <c:pt idx="69">
                  <c:v>3.7000000000000028</c:v>
                </c:pt>
                <c:pt idx="70">
                  <c:v>2.5</c:v>
                </c:pt>
                <c:pt idx="71">
                  <c:v>2.9000000000000057</c:v>
                </c:pt>
                <c:pt idx="72">
                  <c:v>4.4000000000000057</c:v>
                </c:pt>
                <c:pt idx="73">
                  <c:v>6</c:v>
                </c:pt>
                <c:pt idx="74">
                  <c:v>6.3999999999999986</c:v>
                </c:pt>
                <c:pt idx="75">
                  <c:v>5.4000000000000057</c:v>
                </c:pt>
                <c:pt idx="76">
                  <c:v>3.3000000000000043</c:v>
                </c:pt>
                <c:pt idx="77">
                  <c:v>1.5</c:v>
                </c:pt>
                <c:pt idx="78">
                  <c:v>1.1999999999999957</c:v>
                </c:pt>
                <c:pt idx="79">
                  <c:v>1.0999999999999943</c:v>
                </c:pt>
                <c:pt idx="80">
                  <c:v>1.7000000000000028</c:v>
                </c:pt>
                <c:pt idx="81">
                  <c:v>2.2000000000000028</c:v>
                </c:pt>
                <c:pt idx="82">
                  <c:v>2.2999999999999972</c:v>
                </c:pt>
                <c:pt idx="83">
                  <c:v>2.7000000000000028</c:v>
                </c:pt>
                <c:pt idx="84">
                  <c:v>3.3999999999999986</c:v>
                </c:pt>
                <c:pt idx="85">
                  <c:v>4.2000000000000028</c:v>
                </c:pt>
                <c:pt idx="86">
                  <c:v>4.5</c:v>
                </c:pt>
                <c:pt idx="87">
                  <c:v>4.8000000000000043</c:v>
                </c:pt>
                <c:pt idx="88">
                  <c:v>3.3999999999999986</c:v>
                </c:pt>
                <c:pt idx="89">
                  <c:v>3.2000000000000028</c:v>
                </c:pt>
                <c:pt idx="90">
                  <c:v>3.5</c:v>
                </c:pt>
                <c:pt idx="91">
                  <c:v>3.6000000000000014</c:v>
                </c:pt>
                <c:pt idx="92">
                  <c:v>3.0999999999999943</c:v>
                </c:pt>
                <c:pt idx="93">
                  <c:v>2.7000000000000028</c:v>
                </c:pt>
                <c:pt idx="94">
                  <c:v>2.7999999999999972</c:v>
                </c:pt>
                <c:pt idx="95">
                  <c:v>2.3999999999999986</c:v>
                </c:pt>
                <c:pt idx="96">
                  <c:v>2.6999999999999957</c:v>
                </c:pt>
                <c:pt idx="97">
                  <c:v>3.7000000000000028</c:v>
                </c:pt>
                <c:pt idx="98">
                  <c:v>3.6999999999999957</c:v>
                </c:pt>
                <c:pt idx="99">
                  <c:v>3</c:v>
                </c:pt>
                <c:pt idx="100">
                  <c:v>3.3999999999999986</c:v>
                </c:pt>
                <c:pt idx="101">
                  <c:v>4.3999999999999986</c:v>
                </c:pt>
                <c:pt idx="102">
                  <c:v>4.1999999999999957</c:v>
                </c:pt>
                <c:pt idx="103">
                  <c:v>3.8999999999999986</c:v>
                </c:pt>
                <c:pt idx="104">
                  <c:v>4.2000000000000028</c:v>
                </c:pt>
                <c:pt idx="105">
                  <c:v>4.2000000000000028</c:v>
                </c:pt>
                <c:pt idx="106">
                  <c:v>4.1999999999999957</c:v>
                </c:pt>
                <c:pt idx="107">
                  <c:v>4.1000000000000014</c:v>
                </c:pt>
                <c:pt idx="108">
                  <c:v>3.7000000000000028</c:v>
                </c:pt>
                <c:pt idx="109">
                  <c:v>2.5</c:v>
                </c:pt>
                <c:pt idx="110">
                  <c:v>1.1000000000000014</c:v>
                </c:pt>
                <c:pt idx="111">
                  <c:v>0.59999999999999432</c:v>
                </c:pt>
                <c:pt idx="112">
                  <c:v>1.1000000000000014</c:v>
                </c:pt>
                <c:pt idx="113">
                  <c:v>1.6000000000000014</c:v>
                </c:pt>
                <c:pt idx="114">
                  <c:v>3.7999999999999972</c:v>
                </c:pt>
                <c:pt idx="115">
                  <c:v>5.3000000000000043</c:v>
                </c:pt>
                <c:pt idx="116">
                  <c:v>5.5999999999999943</c:v>
                </c:pt>
                <c:pt idx="117">
                  <c:v>5</c:v>
                </c:pt>
                <c:pt idx="118">
                  <c:v>4.1000000000000014</c:v>
                </c:pt>
                <c:pt idx="119">
                  <c:v>4.5</c:v>
                </c:pt>
                <c:pt idx="120">
                  <c:v>4.3999999999999986</c:v>
                </c:pt>
                <c:pt idx="121">
                  <c:v>3.2999999999999972</c:v>
                </c:pt>
                <c:pt idx="122">
                  <c:v>1.6999999999999957</c:v>
                </c:pt>
                <c:pt idx="123">
                  <c:v>1.6000000000000014</c:v>
                </c:pt>
                <c:pt idx="124">
                  <c:v>2.7000000000000028</c:v>
                </c:pt>
                <c:pt idx="125">
                  <c:v>3.2999999999999972</c:v>
                </c:pt>
                <c:pt idx="126">
                  <c:v>3.2999999999999972</c:v>
                </c:pt>
                <c:pt idx="127">
                  <c:v>3.2000000000000028</c:v>
                </c:pt>
                <c:pt idx="128">
                  <c:v>3</c:v>
                </c:pt>
                <c:pt idx="129">
                  <c:v>3.0999999999999943</c:v>
                </c:pt>
                <c:pt idx="130">
                  <c:v>3.6999999999999957</c:v>
                </c:pt>
                <c:pt idx="131">
                  <c:v>4.6000000000000014</c:v>
                </c:pt>
                <c:pt idx="132">
                  <c:v>4.8000000000000043</c:v>
                </c:pt>
                <c:pt idx="133">
                  <c:v>4.5</c:v>
                </c:pt>
                <c:pt idx="134">
                  <c:v>3.3000000000000043</c:v>
                </c:pt>
                <c:pt idx="135">
                  <c:v>2.3000000000000043</c:v>
                </c:pt>
                <c:pt idx="136">
                  <c:v>2</c:v>
                </c:pt>
                <c:pt idx="137">
                  <c:v>3.2000000000000028</c:v>
                </c:pt>
                <c:pt idx="138">
                  <c:v>3.5</c:v>
                </c:pt>
                <c:pt idx="139">
                  <c:v>4.8999999999999986</c:v>
                </c:pt>
                <c:pt idx="140">
                  <c:v>5.1000000000000014</c:v>
                </c:pt>
                <c:pt idx="141">
                  <c:v>4.1000000000000014</c:v>
                </c:pt>
                <c:pt idx="142">
                  <c:v>2.3999999999999986</c:v>
                </c:pt>
                <c:pt idx="143">
                  <c:v>2.3999999999999986</c:v>
                </c:pt>
                <c:pt idx="144">
                  <c:v>2.6000000000000014</c:v>
                </c:pt>
                <c:pt idx="145">
                  <c:v>2.4000000000000057</c:v>
                </c:pt>
                <c:pt idx="146">
                  <c:v>2.8000000000000043</c:v>
                </c:pt>
                <c:pt idx="147">
                  <c:v>3.6000000000000014</c:v>
                </c:pt>
                <c:pt idx="148">
                  <c:v>4.5</c:v>
                </c:pt>
                <c:pt idx="149">
                  <c:v>4.7999999999999972</c:v>
                </c:pt>
                <c:pt idx="150">
                  <c:v>4.1999999999999957</c:v>
                </c:pt>
                <c:pt idx="151">
                  <c:v>3.1999999999999957</c:v>
                </c:pt>
                <c:pt idx="152">
                  <c:v>2.1999999999999957</c:v>
                </c:pt>
                <c:pt idx="153">
                  <c:v>2.0000000000000036</c:v>
                </c:pt>
                <c:pt idx="154">
                  <c:v>2.1000000000000014</c:v>
                </c:pt>
                <c:pt idx="155">
                  <c:v>2.5</c:v>
                </c:pt>
                <c:pt idx="156">
                  <c:v>2.9000000000000021</c:v>
                </c:pt>
                <c:pt idx="157">
                  <c:v>3</c:v>
                </c:pt>
                <c:pt idx="158">
                  <c:v>3.1000000000000014</c:v>
                </c:pt>
                <c:pt idx="159">
                  <c:v>3.1000000000000014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3.1000000000000014</c:v>
                </c:pt>
                <c:pt idx="173">
                  <c:v>3.4000000000000021</c:v>
                </c:pt>
                <c:pt idx="17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0-4014-A4AD-5DEE22E8B1E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40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0-4014-A4AD-5DEE22E8B1E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Data!$H$3:$H$177</c:f>
              <c:numCache>
                <c:formatCode>0.0</c:formatCode>
                <c:ptCount val="175"/>
                <c:pt idx="0">
                  <c:v>11.799999999999997</c:v>
                </c:pt>
                <c:pt idx="1">
                  <c:v>11.699999999999996</c:v>
                </c:pt>
                <c:pt idx="2">
                  <c:v>11.700000000000003</c:v>
                </c:pt>
                <c:pt idx="3">
                  <c:v>11.099999999999994</c:v>
                </c:pt>
                <c:pt idx="4">
                  <c:v>11.100000000000001</c:v>
                </c:pt>
                <c:pt idx="5">
                  <c:v>12.199999999999996</c:v>
                </c:pt>
                <c:pt idx="6">
                  <c:v>12.100000000000001</c:v>
                </c:pt>
                <c:pt idx="7">
                  <c:v>11.599999999999994</c:v>
                </c:pt>
                <c:pt idx="8">
                  <c:v>12.199999999999996</c:v>
                </c:pt>
                <c:pt idx="9">
                  <c:v>12.299999999999997</c:v>
                </c:pt>
                <c:pt idx="10">
                  <c:v>12.199999999999996</c:v>
                </c:pt>
                <c:pt idx="11">
                  <c:v>12.299999999999997</c:v>
                </c:pt>
                <c:pt idx="12">
                  <c:v>12.299999999999997</c:v>
                </c:pt>
                <c:pt idx="13">
                  <c:v>12.400000000000006</c:v>
                </c:pt>
                <c:pt idx="14">
                  <c:v>12.200000000000003</c:v>
                </c:pt>
                <c:pt idx="15">
                  <c:v>12.299999999999997</c:v>
                </c:pt>
                <c:pt idx="16">
                  <c:v>12.399999999999999</c:v>
                </c:pt>
                <c:pt idx="17">
                  <c:v>12</c:v>
                </c:pt>
                <c:pt idx="18">
                  <c:v>11.5</c:v>
                </c:pt>
                <c:pt idx="19">
                  <c:v>12.5</c:v>
                </c:pt>
                <c:pt idx="20">
                  <c:v>12.5</c:v>
                </c:pt>
                <c:pt idx="21">
                  <c:v>12.599999999999994</c:v>
                </c:pt>
                <c:pt idx="22">
                  <c:v>12.699999999999996</c:v>
                </c:pt>
                <c:pt idx="23">
                  <c:v>12.799999999999997</c:v>
                </c:pt>
                <c:pt idx="24">
                  <c:v>12.799999999999997</c:v>
                </c:pt>
                <c:pt idx="25">
                  <c:v>12.899999999999999</c:v>
                </c:pt>
                <c:pt idx="26">
                  <c:v>13</c:v>
                </c:pt>
                <c:pt idx="27">
                  <c:v>12.799999999999997</c:v>
                </c:pt>
                <c:pt idx="28">
                  <c:v>13.100000000000001</c:v>
                </c:pt>
                <c:pt idx="29">
                  <c:v>13.200000000000003</c:v>
                </c:pt>
                <c:pt idx="30">
                  <c:v>12.800000000000004</c:v>
                </c:pt>
                <c:pt idx="31">
                  <c:v>13.299999999999997</c:v>
                </c:pt>
                <c:pt idx="32">
                  <c:v>13.399999999999999</c:v>
                </c:pt>
                <c:pt idx="33">
                  <c:v>13.5</c:v>
                </c:pt>
                <c:pt idx="34">
                  <c:v>13.600000000000009</c:v>
                </c:pt>
                <c:pt idx="35">
                  <c:v>12.399999999999999</c:v>
                </c:pt>
                <c:pt idx="36">
                  <c:v>11.5</c:v>
                </c:pt>
                <c:pt idx="37">
                  <c:v>12.399999999999999</c:v>
                </c:pt>
                <c:pt idx="38">
                  <c:v>13.899999999999991</c:v>
                </c:pt>
                <c:pt idx="39">
                  <c:v>13.900000000000006</c:v>
                </c:pt>
                <c:pt idx="40">
                  <c:v>14.000000000000007</c:v>
                </c:pt>
                <c:pt idx="41">
                  <c:v>14.000000000000007</c:v>
                </c:pt>
                <c:pt idx="42">
                  <c:v>14.000000000000007</c:v>
                </c:pt>
                <c:pt idx="43">
                  <c:v>14</c:v>
                </c:pt>
                <c:pt idx="44">
                  <c:v>14.100000000000009</c:v>
                </c:pt>
                <c:pt idx="45">
                  <c:v>14.100000000000001</c:v>
                </c:pt>
                <c:pt idx="46">
                  <c:v>13.999999999999993</c:v>
                </c:pt>
                <c:pt idx="47">
                  <c:v>14.100000000000009</c:v>
                </c:pt>
                <c:pt idx="48">
                  <c:v>14.200000000000003</c:v>
                </c:pt>
                <c:pt idx="49">
                  <c:v>14.200000000000003</c:v>
                </c:pt>
                <c:pt idx="50">
                  <c:v>14.000000000000007</c:v>
                </c:pt>
                <c:pt idx="51">
                  <c:v>14.300000000000004</c:v>
                </c:pt>
                <c:pt idx="52">
                  <c:v>14.299999999999997</c:v>
                </c:pt>
                <c:pt idx="53">
                  <c:v>14.299999999999997</c:v>
                </c:pt>
                <c:pt idx="54">
                  <c:v>14.400000000000006</c:v>
                </c:pt>
                <c:pt idx="55">
                  <c:v>14.399999999999999</c:v>
                </c:pt>
                <c:pt idx="56">
                  <c:v>14.399999999999991</c:v>
                </c:pt>
                <c:pt idx="57">
                  <c:v>14.400000000000006</c:v>
                </c:pt>
                <c:pt idx="58">
                  <c:v>14.5</c:v>
                </c:pt>
                <c:pt idx="59">
                  <c:v>14.5</c:v>
                </c:pt>
                <c:pt idx="60">
                  <c:v>14.499999999999993</c:v>
                </c:pt>
                <c:pt idx="61">
                  <c:v>14.499999999999993</c:v>
                </c:pt>
                <c:pt idx="62">
                  <c:v>14.299999999999997</c:v>
                </c:pt>
                <c:pt idx="63">
                  <c:v>14.5</c:v>
                </c:pt>
                <c:pt idx="64">
                  <c:v>14.5</c:v>
                </c:pt>
                <c:pt idx="65">
                  <c:v>14.500000000000007</c:v>
                </c:pt>
                <c:pt idx="66">
                  <c:v>14.5</c:v>
                </c:pt>
                <c:pt idx="67">
                  <c:v>14.000000000000007</c:v>
                </c:pt>
                <c:pt idx="68">
                  <c:v>12.399999999999999</c:v>
                </c:pt>
                <c:pt idx="69">
                  <c:v>12</c:v>
                </c:pt>
                <c:pt idx="70">
                  <c:v>13.700000000000003</c:v>
                </c:pt>
                <c:pt idx="71">
                  <c:v>14.5</c:v>
                </c:pt>
                <c:pt idx="72">
                  <c:v>14.5</c:v>
                </c:pt>
                <c:pt idx="73">
                  <c:v>14.500000000000007</c:v>
                </c:pt>
                <c:pt idx="74">
                  <c:v>14.500000000000007</c:v>
                </c:pt>
                <c:pt idx="75">
                  <c:v>13.799999999999997</c:v>
                </c:pt>
                <c:pt idx="76">
                  <c:v>14.499999999999993</c:v>
                </c:pt>
                <c:pt idx="77">
                  <c:v>14.499999999999993</c:v>
                </c:pt>
                <c:pt idx="78">
                  <c:v>14.100000000000001</c:v>
                </c:pt>
                <c:pt idx="79">
                  <c:v>14.200000000000003</c:v>
                </c:pt>
                <c:pt idx="80">
                  <c:v>13.899999999999999</c:v>
                </c:pt>
                <c:pt idx="81">
                  <c:v>13.599999999999994</c:v>
                </c:pt>
                <c:pt idx="82">
                  <c:v>13.299999999999997</c:v>
                </c:pt>
                <c:pt idx="83">
                  <c:v>13</c:v>
                </c:pt>
                <c:pt idx="84">
                  <c:v>13.399999999999999</c:v>
                </c:pt>
                <c:pt idx="85">
                  <c:v>13.799999999999997</c:v>
                </c:pt>
                <c:pt idx="86">
                  <c:v>14.100000000000001</c:v>
                </c:pt>
                <c:pt idx="87">
                  <c:v>13.800000000000004</c:v>
                </c:pt>
                <c:pt idx="88">
                  <c:v>15</c:v>
                </c:pt>
                <c:pt idx="89">
                  <c:v>15.5</c:v>
                </c:pt>
                <c:pt idx="90">
                  <c:v>12.600000000000001</c:v>
                </c:pt>
                <c:pt idx="91">
                  <c:v>9.7000000000000028</c:v>
                </c:pt>
                <c:pt idx="92">
                  <c:v>6.8000000000000043</c:v>
                </c:pt>
                <c:pt idx="93">
                  <c:v>3.8999999999999986</c:v>
                </c:pt>
                <c:pt idx="94">
                  <c:v>6.3999999999999986</c:v>
                </c:pt>
                <c:pt idx="95">
                  <c:v>6.8000000000000043</c:v>
                </c:pt>
                <c:pt idx="96">
                  <c:v>7.3000000000000043</c:v>
                </c:pt>
                <c:pt idx="97">
                  <c:v>7.7000000000000028</c:v>
                </c:pt>
                <c:pt idx="98">
                  <c:v>8.2000000000000028</c:v>
                </c:pt>
                <c:pt idx="99">
                  <c:v>8.5999999999999943</c:v>
                </c:pt>
                <c:pt idx="100">
                  <c:v>8.3999999999999986</c:v>
                </c:pt>
                <c:pt idx="101">
                  <c:v>7.1000000000000014</c:v>
                </c:pt>
                <c:pt idx="102">
                  <c:v>7.6000000000000014</c:v>
                </c:pt>
                <c:pt idx="103">
                  <c:v>8.7999999999999972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8.3999999999999986</c:v>
                </c:pt>
                <c:pt idx="108">
                  <c:v>8.3999999999999986</c:v>
                </c:pt>
                <c:pt idx="109">
                  <c:v>9</c:v>
                </c:pt>
                <c:pt idx="110">
                  <c:v>9</c:v>
                </c:pt>
                <c:pt idx="111">
                  <c:v>8.9000000000000057</c:v>
                </c:pt>
                <c:pt idx="112">
                  <c:v>9.1000000000000014</c:v>
                </c:pt>
                <c:pt idx="113">
                  <c:v>9.2000000000000028</c:v>
                </c:pt>
                <c:pt idx="114">
                  <c:v>9.2000000000000028</c:v>
                </c:pt>
                <c:pt idx="115">
                  <c:v>9.2999999999999972</c:v>
                </c:pt>
                <c:pt idx="116">
                  <c:v>9.4000000000000057</c:v>
                </c:pt>
                <c:pt idx="117">
                  <c:v>9.3999999999999986</c:v>
                </c:pt>
                <c:pt idx="118">
                  <c:v>9.5</c:v>
                </c:pt>
                <c:pt idx="119">
                  <c:v>8.7000000000000028</c:v>
                </c:pt>
                <c:pt idx="120">
                  <c:v>8.5</c:v>
                </c:pt>
                <c:pt idx="121">
                  <c:v>9</c:v>
                </c:pt>
                <c:pt idx="122">
                  <c:v>9.8000000000000043</c:v>
                </c:pt>
                <c:pt idx="123">
                  <c:v>9.8999999999999986</c:v>
                </c:pt>
                <c:pt idx="124">
                  <c:v>10</c:v>
                </c:pt>
                <c:pt idx="125">
                  <c:v>10</c:v>
                </c:pt>
                <c:pt idx="126">
                  <c:v>9.6000000000000014</c:v>
                </c:pt>
                <c:pt idx="127">
                  <c:v>9.7999999999999972</c:v>
                </c:pt>
                <c:pt idx="128">
                  <c:v>9.6000000000000014</c:v>
                </c:pt>
                <c:pt idx="129">
                  <c:v>9.4000000000000057</c:v>
                </c:pt>
                <c:pt idx="130">
                  <c:v>9.3000000000000043</c:v>
                </c:pt>
                <c:pt idx="131">
                  <c:v>9.2000000000000028</c:v>
                </c:pt>
                <c:pt idx="132">
                  <c:v>9</c:v>
                </c:pt>
                <c:pt idx="133">
                  <c:v>8.3999999999999986</c:v>
                </c:pt>
                <c:pt idx="134">
                  <c:v>8.0999999999999943</c:v>
                </c:pt>
                <c:pt idx="135">
                  <c:v>8.1000000000000014</c:v>
                </c:pt>
                <c:pt idx="136">
                  <c:v>8.2999999999999972</c:v>
                </c:pt>
                <c:pt idx="137">
                  <c:v>7.7999999999999972</c:v>
                </c:pt>
                <c:pt idx="138">
                  <c:v>8.1999999999999957</c:v>
                </c:pt>
                <c:pt idx="139">
                  <c:v>8.1000000000000014</c:v>
                </c:pt>
                <c:pt idx="140">
                  <c:v>7.7000000000000028</c:v>
                </c:pt>
                <c:pt idx="141">
                  <c:v>7.6000000000000014</c:v>
                </c:pt>
                <c:pt idx="142">
                  <c:v>7.3000000000000043</c:v>
                </c:pt>
                <c:pt idx="143">
                  <c:v>6.8999999999999986</c:v>
                </c:pt>
                <c:pt idx="144">
                  <c:v>6.3999999999999986</c:v>
                </c:pt>
                <c:pt idx="145">
                  <c:v>6.2999999999999972</c:v>
                </c:pt>
                <c:pt idx="146">
                  <c:v>5.8999999999999986</c:v>
                </c:pt>
                <c:pt idx="147">
                  <c:v>5.5999999999999943</c:v>
                </c:pt>
                <c:pt idx="148">
                  <c:v>5.1999999999999957</c:v>
                </c:pt>
                <c:pt idx="149">
                  <c:v>4.7999999999999972</c:v>
                </c:pt>
                <c:pt idx="150">
                  <c:v>4.5</c:v>
                </c:pt>
                <c:pt idx="151">
                  <c:v>4.2000000000000028</c:v>
                </c:pt>
                <c:pt idx="152">
                  <c:v>4</c:v>
                </c:pt>
                <c:pt idx="153">
                  <c:v>3.6999999999999957</c:v>
                </c:pt>
                <c:pt idx="154">
                  <c:v>3.5</c:v>
                </c:pt>
                <c:pt idx="155">
                  <c:v>3.3000000000000043</c:v>
                </c:pt>
                <c:pt idx="156">
                  <c:v>3</c:v>
                </c:pt>
                <c:pt idx="157">
                  <c:v>2.8000000000000043</c:v>
                </c:pt>
                <c:pt idx="158">
                  <c:v>2.5</c:v>
                </c:pt>
                <c:pt idx="159">
                  <c:v>2.2999999999999972</c:v>
                </c:pt>
                <c:pt idx="160">
                  <c:v>2</c:v>
                </c:pt>
                <c:pt idx="161">
                  <c:v>1.8999999999999986</c:v>
                </c:pt>
                <c:pt idx="162">
                  <c:v>1.8000000000000007</c:v>
                </c:pt>
                <c:pt idx="163">
                  <c:v>1.6999999999999993</c:v>
                </c:pt>
                <c:pt idx="164">
                  <c:v>1.6000000000000014</c:v>
                </c:pt>
                <c:pt idx="165">
                  <c:v>1.5</c:v>
                </c:pt>
                <c:pt idx="166">
                  <c:v>1.3999999999999986</c:v>
                </c:pt>
                <c:pt idx="167">
                  <c:v>1.3000000000000007</c:v>
                </c:pt>
                <c:pt idx="168">
                  <c:v>1.1999999999999993</c:v>
                </c:pt>
                <c:pt idx="169">
                  <c:v>1.1000000000000014</c:v>
                </c:pt>
                <c:pt idx="170">
                  <c:v>1</c:v>
                </c:pt>
                <c:pt idx="171">
                  <c:v>1.6000000000000014</c:v>
                </c:pt>
                <c:pt idx="172">
                  <c:v>2.3000000000000007</c:v>
                </c:pt>
                <c:pt idx="173">
                  <c:v>2.8999999999999986</c:v>
                </c:pt>
                <c:pt idx="17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90-4014-A4AD-5DEE22E8B1E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20000"/>
              </a:srgbClr>
            </a:solidFill>
            <a:ln w="25400">
              <a:noFill/>
            </a:ln>
          </c:spP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Data!$Q$3:$Q$177</c:f>
              <c:numCache>
                <c:formatCode>0.0</c:formatCode>
                <c:ptCount val="175"/>
                <c:pt idx="0">
                  <c:v>4.2000000000000028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5.3999999999999986</c:v>
                </c:pt>
                <c:pt idx="5">
                  <c:v>5.1000000000000014</c:v>
                </c:pt>
                <c:pt idx="6">
                  <c:v>5.3999999999999986</c:v>
                </c:pt>
                <c:pt idx="7">
                  <c:v>6.3000000000000043</c:v>
                </c:pt>
                <c:pt idx="8">
                  <c:v>5.6999999999999957</c:v>
                </c:pt>
                <c:pt idx="9">
                  <c:v>5.2999999999999972</c:v>
                </c:pt>
                <c:pt idx="10">
                  <c:v>5</c:v>
                </c:pt>
                <c:pt idx="11">
                  <c:v>4.8999999999999986</c:v>
                </c:pt>
                <c:pt idx="12">
                  <c:v>5.2000000000000028</c:v>
                </c:pt>
                <c:pt idx="13">
                  <c:v>5.2000000000000028</c:v>
                </c:pt>
                <c:pt idx="14">
                  <c:v>5.3999999999999986</c:v>
                </c:pt>
                <c:pt idx="15">
                  <c:v>4.9000000000000057</c:v>
                </c:pt>
                <c:pt idx="16">
                  <c:v>3.8999999999999986</c:v>
                </c:pt>
                <c:pt idx="17">
                  <c:v>4.1000000000000014</c:v>
                </c:pt>
                <c:pt idx="18">
                  <c:v>5</c:v>
                </c:pt>
                <c:pt idx="19">
                  <c:v>5.5</c:v>
                </c:pt>
                <c:pt idx="20">
                  <c:v>5.3000000000000043</c:v>
                </c:pt>
                <c:pt idx="21">
                  <c:v>4.6000000000000085</c:v>
                </c:pt>
                <c:pt idx="22">
                  <c:v>4.6000000000000085</c:v>
                </c:pt>
                <c:pt idx="23">
                  <c:v>5.2999999999999972</c:v>
                </c:pt>
                <c:pt idx="24">
                  <c:v>6.5999999999999943</c:v>
                </c:pt>
                <c:pt idx="25">
                  <c:v>7.1999999999999957</c:v>
                </c:pt>
                <c:pt idx="26">
                  <c:v>6.7000000000000028</c:v>
                </c:pt>
                <c:pt idx="27">
                  <c:v>5.5</c:v>
                </c:pt>
                <c:pt idx="28">
                  <c:v>5.2999999999999972</c:v>
                </c:pt>
                <c:pt idx="29">
                  <c:v>4.0999999999999943</c:v>
                </c:pt>
                <c:pt idx="30">
                  <c:v>3.3999999999999915</c:v>
                </c:pt>
                <c:pt idx="31">
                  <c:v>2.9000000000000057</c:v>
                </c:pt>
                <c:pt idx="32">
                  <c:v>3</c:v>
                </c:pt>
                <c:pt idx="33">
                  <c:v>3.7999999999999972</c:v>
                </c:pt>
                <c:pt idx="34">
                  <c:v>5.3999999999999915</c:v>
                </c:pt>
                <c:pt idx="35">
                  <c:v>7.2999999999999972</c:v>
                </c:pt>
                <c:pt idx="36">
                  <c:v>8.2999999999999972</c:v>
                </c:pt>
                <c:pt idx="37">
                  <c:v>7.9000000000000057</c:v>
                </c:pt>
                <c:pt idx="38">
                  <c:v>6.3000000000000114</c:v>
                </c:pt>
                <c:pt idx="39">
                  <c:v>4.5</c:v>
                </c:pt>
                <c:pt idx="40">
                  <c:v>3.5</c:v>
                </c:pt>
                <c:pt idx="41">
                  <c:v>3.5999999999999943</c:v>
                </c:pt>
                <c:pt idx="42">
                  <c:v>4.0999999999999943</c:v>
                </c:pt>
                <c:pt idx="43">
                  <c:v>4.5</c:v>
                </c:pt>
                <c:pt idx="44">
                  <c:v>4.3999999999999915</c:v>
                </c:pt>
                <c:pt idx="45">
                  <c:v>4.2999999999999972</c:v>
                </c:pt>
                <c:pt idx="46">
                  <c:v>4.6000000000000085</c:v>
                </c:pt>
                <c:pt idx="47">
                  <c:v>5.3999999999999915</c:v>
                </c:pt>
                <c:pt idx="48">
                  <c:v>5.6999999999999886</c:v>
                </c:pt>
                <c:pt idx="49">
                  <c:v>5.5999999999999943</c:v>
                </c:pt>
                <c:pt idx="50">
                  <c:v>5.1999999999999886</c:v>
                </c:pt>
                <c:pt idx="51">
                  <c:v>5.0999999999999943</c:v>
                </c:pt>
                <c:pt idx="52">
                  <c:v>5.6000000000000085</c:v>
                </c:pt>
                <c:pt idx="53">
                  <c:v>6.1000000000000085</c:v>
                </c:pt>
                <c:pt idx="54">
                  <c:v>5.7999999999999972</c:v>
                </c:pt>
                <c:pt idx="55">
                  <c:v>5.1000000000000085</c:v>
                </c:pt>
                <c:pt idx="56">
                  <c:v>4.1000000000000085</c:v>
                </c:pt>
                <c:pt idx="57">
                  <c:v>3.8999999999999915</c:v>
                </c:pt>
                <c:pt idx="58">
                  <c:v>4.5</c:v>
                </c:pt>
                <c:pt idx="59">
                  <c:v>5.2999999999999972</c:v>
                </c:pt>
                <c:pt idx="60">
                  <c:v>5.4000000000000057</c:v>
                </c:pt>
                <c:pt idx="61">
                  <c:v>4.7000000000000028</c:v>
                </c:pt>
                <c:pt idx="62">
                  <c:v>4</c:v>
                </c:pt>
                <c:pt idx="63">
                  <c:v>3.5</c:v>
                </c:pt>
                <c:pt idx="64">
                  <c:v>4.1000000000000085</c:v>
                </c:pt>
                <c:pt idx="65">
                  <c:v>5.3999999999999915</c:v>
                </c:pt>
                <c:pt idx="66">
                  <c:v>6.4000000000000057</c:v>
                </c:pt>
                <c:pt idx="67">
                  <c:v>6.7999999999999972</c:v>
                </c:pt>
                <c:pt idx="68">
                  <c:v>6.7999999999999972</c:v>
                </c:pt>
                <c:pt idx="69">
                  <c:v>6.7999999999999972</c:v>
                </c:pt>
                <c:pt idx="70">
                  <c:v>6.2999999999999972</c:v>
                </c:pt>
                <c:pt idx="71">
                  <c:v>5.2999999999999972</c:v>
                </c:pt>
                <c:pt idx="72">
                  <c:v>3.5999999999999943</c:v>
                </c:pt>
                <c:pt idx="73">
                  <c:v>2</c:v>
                </c:pt>
                <c:pt idx="74">
                  <c:v>1.5999999999999943</c:v>
                </c:pt>
                <c:pt idx="75">
                  <c:v>3.2999999999999972</c:v>
                </c:pt>
                <c:pt idx="76">
                  <c:v>4.7000000000000028</c:v>
                </c:pt>
                <c:pt idx="77">
                  <c:v>6.5</c:v>
                </c:pt>
                <c:pt idx="78">
                  <c:v>7.2000000000000028</c:v>
                </c:pt>
                <c:pt idx="79">
                  <c:v>6.9000000000000057</c:v>
                </c:pt>
                <c:pt idx="80">
                  <c:v>6.2999999999999972</c:v>
                </c:pt>
                <c:pt idx="81">
                  <c:v>5.7999999999999972</c:v>
                </c:pt>
                <c:pt idx="82">
                  <c:v>5.7000000000000028</c:v>
                </c:pt>
                <c:pt idx="83">
                  <c:v>5.2999999999999972</c:v>
                </c:pt>
                <c:pt idx="84">
                  <c:v>4.5999999999999943</c:v>
                </c:pt>
                <c:pt idx="85">
                  <c:v>3.9000000000000057</c:v>
                </c:pt>
                <c:pt idx="86">
                  <c:v>3.7000000000000028</c:v>
                </c:pt>
                <c:pt idx="87">
                  <c:v>4.0999999999999943</c:v>
                </c:pt>
                <c:pt idx="88">
                  <c:v>4.5999999999999943</c:v>
                </c:pt>
                <c:pt idx="89">
                  <c:v>4.7999999999999972</c:v>
                </c:pt>
                <c:pt idx="90">
                  <c:v>4.5</c:v>
                </c:pt>
                <c:pt idx="91">
                  <c:v>4.3999999999999915</c:v>
                </c:pt>
                <c:pt idx="92">
                  <c:v>4.8999999999999986</c:v>
                </c:pt>
                <c:pt idx="93">
                  <c:v>5.3000000000000043</c:v>
                </c:pt>
                <c:pt idx="94">
                  <c:v>6.5</c:v>
                </c:pt>
                <c:pt idx="95">
                  <c:v>6.2999999999999972</c:v>
                </c:pt>
                <c:pt idx="96">
                  <c:v>5.2999999999999972</c:v>
                </c:pt>
                <c:pt idx="97">
                  <c:v>4.2999999999999972</c:v>
                </c:pt>
                <c:pt idx="98">
                  <c:v>4.2000000000000028</c:v>
                </c:pt>
                <c:pt idx="99">
                  <c:v>5</c:v>
                </c:pt>
                <c:pt idx="100">
                  <c:v>5.8000000000000043</c:v>
                </c:pt>
                <c:pt idx="101">
                  <c:v>5.7999999999999972</c:v>
                </c:pt>
                <c:pt idx="102">
                  <c:v>5.2000000000000028</c:v>
                </c:pt>
                <c:pt idx="103">
                  <c:v>4.3000000000000043</c:v>
                </c:pt>
                <c:pt idx="104">
                  <c:v>4</c:v>
                </c:pt>
                <c:pt idx="105">
                  <c:v>3.7999999999999972</c:v>
                </c:pt>
                <c:pt idx="106">
                  <c:v>3.8000000000000043</c:v>
                </c:pt>
                <c:pt idx="107">
                  <c:v>4.5</c:v>
                </c:pt>
                <c:pt idx="108">
                  <c:v>4.8999999999999986</c:v>
                </c:pt>
                <c:pt idx="109">
                  <c:v>5.5</c:v>
                </c:pt>
                <c:pt idx="110">
                  <c:v>7</c:v>
                </c:pt>
                <c:pt idx="111">
                  <c:v>8.0999999999999943</c:v>
                </c:pt>
                <c:pt idx="112">
                  <c:v>8</c:v>
                </c:pt>
                <c:pt idx="113">
                  <c:v>6.3999999999999986</c:v>
                </c:pt>
                <c:pt idx="114">
                  <c:v>4.2999999999999972</c:v>
                </c:pt>
                <c:pt idx="115">
                  <c:v>2.7000000000000028</c:v>
                </c:pt>
                <c:pt idx="116">
                  <c:v>2.3999999999999986</c:v>
                </c:pt>
                <c:pt idx="117">
                  <c:v>3.1000000000000014</c:v>
                </c:pt>
                <c:pt idx="118">
                  <c:v>3.8999999999999986</c:v>
                </c:pt>
                <c:pt idx="119">
                  <c:v>4.6000000000000014</c:v>
                </c:pt>
                <c:pt idx="120">
                  <c:v>5.8000000000000043</c:v>
                </c:pt>
                <c:pt idx="121">
                  <c:v>6</c:v>
                </c:pt>
                <c:pt idx="122">
                  <c:v>6.2999999999999972</c:v>
                </c:pt>
                <c:pt idx="123">
                  <c:v>6.8000000000000043</c:v>
                </c:pt>
                <c:pt idx="124">
                  <c:v>6.5999999999999943</c:v>
                </c:pt>
                <c:pt idx="125">
                  <c:v>5.8000000000000043</c:v>
                </c:pt>
                <c:pt idx="126">
                  <c:v>5.2999999999999972</c:v>
                </c:pt>
                <c:pt idx="127">
                  <c:v>4.8000000000000043</c:v>
                </c:pt>
                <c:pt idx="128">
                  <c:v>5</c:v>
                </c:pt>
                <c:pt idx="129">
                  <c:v>4.8999999999999986</c:v>
                </c:pt>
                <c:pt idx="130">
                  <c:v>4.2999999999999972</c:v>
                </c:pt>
                <c:pt idx="131">
                  <c:v>3.3999999999999986</c:v>
                </c:pt>
                <c:pt idx="132">
                  <c:v>3.2999999999999972</c:v>
                </c:pt>
                <c:pt idx="133">
                  <c:v>4.4000000000000057</c:v>
                </c:pt>
                <c:pt idx="134">
                  <c:v>5.5</c:v>
                </c:pt>
                <c:pt idx="135">
                  <c:v>6.2999999999999972</c:v>
                </c:pt>
                <c:pt idx="136">
                  <c:v>6.3000000000000043</c:v>
                </c:pt>
                <c:pt idx="137">
                  <c:v>5.3999999999999986</c:v>
                </c:pt>
                <c:pt idx="138">
                  <c:v>4.6000000000000014</c:v>
                </c:pt>
                <c:pt idx="139">
                  <c:v>4.5</c:v>
                </c:pt>
                <c:pt idx="140">
                  <c:v>5.2999999999999972</c:v>
                </c:pt>
                <c:pt idx="141">
                  <c:v>5.5999999999999943</c:v>
                </c:pt>
                <c:pt idx="142">
                  <c:v>5.6000000000000014</c:v>
                </c:pt>
                <c:pt idx="143">
                  <c:v>5.6000000000000014</c:v>
                </c:pt>
                <c:pt idx="144">
                  <c:v>5.6000000000000014</c:v>
                </c:pt>
                <c:pt idx="145">
                  <c:v>5.5</c:v>
                </c:pt>
                <c:pt idx="146">
                  <c:v>5.2000000000000028</c:v>
                </c:pt>
                <c:pt idx="147">
                  <c:v>4.4000000000000057</c:v>
                </c:pt>
                <c:pt idx="148">
                  <c:v>3.5</c:v>
                </c:pt>
                <c:pt idx="149">
                  <c:v>3.2000000000000028</c:v>
                </c:pt>
                <c:pt idx="150">
                  <c:v>3.8000000000000043</c:v>
                </c:pt>
                <c:pt idx="151">
                  <c:v>4.8999999999999986</c:v>
                </c:pt>
                <c:pt idx="152">
                  <c:v>5.8000000000000043</c:v>
                </c:pt>
                <c:pt idx="153">
                  <c:v>6.1000000000000014</c:v>
                </c:pt>
                <c:pt idx="154">
                  <c:v>5.8999999999999986</c:v>
                </c:pt>
                <c:pt idx="155">
                  <c:v>5.3999999999999986</c:v>
                </c:pt>
                <c:pt idx="156">
                  <c:v>5.0999999999999943</c:v>
                </c:pt>
                <c:pt idx="157">
                  <c:v>5</c:v>
                </c:pt>
                <c:pt idx="158">
                  <c:v>4.8999999999999986</c:v>
                </c:pt>
                <c:pt idx="159">
                  <c:v>4.9000000000000057</c:v>
                </c:pt>
                <c:pt idx="160">
                  <c:v>5</c:v>
                </c:pt>
                <c:pt idx="161">
                  <c:v>5</c:v>
                </c:pt>
                <c:pt idx="162">
                  <c:v>4.9999999999999964</c:v>
                </c:pt>
                <c:pt idx="163">
                  <c:v>5.0000000000000036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4.9999999999999964</c:v>
                </c:pt>
                <c:pt idx="168">
                  <c:v>5.0000000000000036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4.8999999999999986</c:v>
                </c:pt>
                <c:pt idx="173">
                  <c:v>4.6000000000000014</c:v>
                </c:pt>
                <c:pt idx="17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Data!$I$2</c:f>
              <c:strCache>
                <c:ptCount val="1"/>
                <c:pt idx="0">
                  <c:v>AII Src 1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Data!$I$3:$I$177</c:f>
              <c:numCache>
                <c:formatCode>0.0</c:formatCode>
                <c:ptCount val="175"/>
                <c:pt idx="0">
                  <c:v>37.700000000000003</c:v>
                </c:pt>
                <c:pt idx="1">
                  <c:v>38.700000000000003</c:v>
                </c:pt>
                <c:pt idx="2">
                  <c:v>39.4</c:v>
                </c:pt>
                <c:pt idx="3">
                  <c:v>39.700000000000003</c:v>
                </c:pt>
                <c:pt idx="4">
                  <c:v>40</c:v>
                </c:pt>
                <c:pt idx="5">
                  <c:v>40.799999999999997</c:v>
                </c:pt>
                <c:pt idx="6">
                  <c:v>42.2</c:v>
                </c:pt>
                <c:pt idx="7">
                  <c:v>43.4</c:v>
                </c:pt>
                <c:pt idx="8">
                  <c:v>43.9</c:v>
                </c:pt>
                <c:pt idx="9">
                  <c:v>43.6</c:v>
                </c:pt>
                <c:pt idx="10">
                  <c:v>43.1</c:v>
                </c:pt>
                <c:pt idx="11">
                  <c:v>43.2</c:v>
                </c:pt>
                <c:pt idx="12">
                  <c:v>43.7</c:v>
                </c:pt>
                <c:pt idx="13">
                  <c:v>44.1</c:v>
                </c:pt>
                <c:pt idx="14">
                  <c:v>44</c:v>
                </c:pt>
                <c:pt idx="15">
                  <c:v>43.6</c:v>
                </c:pt>
                <c:pt idx="16">
                  <c:v>43.7</c:v>
                </c:pt>
                <c:pt idx="17">
                  <c:v>44.6</c:v>
                </c:pt>
                <c:pt idx="18">
                  <c:v>46.1</c:v>
                </c:pt>
                <c:pt idx="19">
                  <c:v>47.3</c:v>
                </c:pt>
                <c:pt idx="20">
                  <c:v>47.9</c:v>
                </c:pt>
                <c:pt idx="21">
                  <c:v>47.9</c:v>
                </c:pt>
                <c:pt idx="22">
                  <c:v>48</c:v>
                </c:pt>
                <c:pt idx="23">
                  <c:v>48.6</c:v>
                </c:pt>
                <c:pt idx="24">
                  <c:v>49.3</c:v>
                </c:pt>
                <c:pt idx="25">
                  <c:v>49.4</c:v>
                </c:pt>
                <c:pt idx="26">
                  <c:v>48.8</c:v>
                </c:pt>
                <c:pt idx="27">
                  <c:v>47.9</c:v>
                </c:pt>
                <c:pt idx="28">
                  <c:v>47.5</c:v>
                </c:pt>
                <c:pt idx="29">
                  <c:v>48</c:v>
                </c:pt>
                <c:pt idx="30">
                  <c:v>48.8</c:v>
                </c:pt>
                <c:pt idx="31">
                  <c:v>49.3</c:v>
                </c:pt>
                <c:pt idx="32">
                  <c:v>49.4</c:v>
                </c:pt>
                <c:pt idx="33">
                  <c:v>49.5</c:v>
                </c:pt>
                <c:pt idx="34">
                  <c:v>50.2</c:v>
                </c:pt>
                <c:pt idx="35">
                  <c:v>51.5</c:v>
                </c:pt>
                <c:pt idx="36">
                  <c:v>52.6</c:v>
                </c:pt>
                <c:pt idx="37">
                  <c:v>52.9</c:v>
                </c:pt>
                <c:pt idx="38">
                  <c:v>52.5</c:v>
                </c:pt>
                <c:pt idx="39">
                  <c:v>51.9</c:v>
                </c:pt>
                <c:pt idx="40">
                  <c:v>51.9</c:v>
                </c:pt>
                <c:pt idx="41">
                  <c:v>52</c:v>
                </c:pt>
                <c:pt idx="42">
                  <c:v>51.9</c:v>
                </c:pt>
                <c:pt idx="43">
                  <c:v>51.4</c:v>
                </c:pt>
                <c:pt idx="44">
                  <c:v>50.5</c:v>
                </c:pt>
                <c:pt idx="45">
                  <c:v>50.1</c:v>
                </c:pt>
                <c:pt idx="46">
                  <c:v>50.6</c:v>
                </c:pt>
                <c:pt idx="47">
                  <c:v>51.6</c:v>
                </c:pt>
                <c:pt idx="48">
                  <c:v>52.4</c:v>
                </c:pt>
                <c:pt idx="49">
                  <c:v>52.6</c:v>
                </c:pt>
                <c:pt idx="50">
                  <c:v>52.3</c:v>
                </c:pt>
                <c:pt idx="51">
                  <c:v>52.2</c:v>
                </c:pt>
                <c:pt idx="52">
                  <c:v>52.6</c:v>
                </c:pt>
                <c:pt idx="53">
                  <c:v>53</c:v>
                </c:pt>
                <c:pt idx="54">
                  <c:v>52.9</c:v>
                </c:pt>
                <c:pt idx="55">
                  <c:v>52</c:v>
                </c:pt>
                <c:pt idx="56">
                  <c:v>50.8</c:v>
                </c:pt>
                <c:pt idx="57">
                  <c:v>50.2</c:v>
                </c:pt>
                <c:pt idx="58">
                  <c:v>50.3</c:v>
                </c:pt>
                <c:pt idx="59">
                  <c:v>50.8</c:v>
                </c:pt>
                <c:pt idx="60">
                  <c:v>51</c:v>
                </c:pt>
                <c:pt idx="61">
                  <c:v>50.8</c:v>
                </c:pt>
                <c:pt idx="62">
                  <c:v>50.6</c:v>
                </c:pt>
                <c:pt idx="63">
                  <c:v>51</c:v>
                </c:pt>
                <c:pt idx="64">
                  <c:v>51.9</c:v>
                </c:pt>
                <c:pt idx="65">
                  <c:v>52.8</c:v>
                </c:pt>
                <c:pt idx="66">
                  <c:v>52.9</c:v>
                </c:pt>
                <c:pt idx="67">
                  <c:v>52.2</c:v>
                </c:pt>
                <c:pt idx="68">
                  <c:v>51.3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50.3</c:v>
                </c:pt>
                <c:pt idx="73">
                  <c:v>49.4</c:v>
                </c:pt>
                <c:pt idx="74">
                  <c:v>49</c:v>
                </c:pt>
                <c:pt idx="75">
                  <c:v>49.3</c:v>
                </c:pt>
                <c:pt idx="76">
                  <c:v>50.3</c:v>
                </c:pt>
                <c:pt idx="77">
                  <c:v>51.1</c:v>
                </c:pt>
                <c:pt idx="78">
                  <c:v>51.2</c:v>
                </c:pt>
                <c:pt idx="79">
                  <c:v>50.7</c:v>
                </c:pt>
                <c:pt idx="80">
                  <c:v>50.4</c:v>
                </c:pt>
                <c:pt idx="81">
                  <c:v>50.5</c:v>
                </c:pt>
                <c:pt idx="82">
                  <c:v>50.7</c:v>
                </c:pt>
                <c:pt idx="83">
                  <c:v>50.3</c:v>
                </c:pt>
                <c:pt idx="84">
                  <c:v>49.7</c:v>
                </c:pt>
                <c:pt idx="85">
                  <c:v>48.8</c:v>
                </c:pt>
                <c:pt idx="86">
                  <c:v>48.4</c:v>
                </c:pt>
                <c:pt idx="87">
                  <c:v>48.8</c:v>
                </c:pt>
                <c:pt idx="88">
                  <c:v>49.6</c:v>
                </c:pt>
                <c:pt idx="89">
                  <c:v>50</c:v>
                </c:pt>
                <c:pt idx="90">
                  <c:v>48.1</c:v>
                </c:pt>
                <c:pt idx="91">
                  <c:v>46.4</c:v>
                </c:pt>
                <c:pt idx="92">
                  <c:v>45.2</c:v>
                </c:pt>
                <c:pt idx="93">
                  <c:v>44.3</c:v>
                </c:pt>
                <c:pt idx="94">
                  <c:v>44</c:v>
                </c:pt>
                <c:pt idx="95">
                  <c:v>44.7</c:v>
                </c:pt>
                <c:pt idx="96">
                  <c:v>44.6</c:v>
                </c:pt>
                <c:pt idx="97">
                  <c:v>44.3</c:v>
                </c:pt>
                <c:pt idx="98">
                  <c:v>44.6</c:v>
                </c:pt>
                <c:pt idx="99">
                  <c:v>45.2</c:v>
                </c:pt>
                <c:pt idx="100">
                  <c:v>45.7</c:v>
                </c:pt>
                <c:pt idx="101">
                  <c:v>45</c:v>
                </c:pt>
                <c:pt idx="102">
                  <c:v>44.1</c:v>
                </c:pt>
                <c:pt idx="103">
                  <c:v>43.6</c:v>
                </c:pt>
                <c:pt idx="104">
                  <c:v>43.9</c:v>
                </c:pt>
                <c:pt idx="105">
                  <c:v>44.9</c:v>
                </c:pt>
                <c:pt idx="106">
                  <c:v>45.6</c:v>
                </c:pt>
                <c:pt idx="107">
                  <c:v>45.8</c:v>
                </c:pt>
                <c:pt idx="108">
                  <c:v>45.5</c:v>
                </c:pt>
                <c:pt idx="109">
                  <c:v>45.5</c:v>
                </c:pt>
                <c:pt idx="110">
                  <c:v>45.9</c:v>
                </c:pt>
                <c:pt idx="111">
                  <c:v>46.3</c:v>
                </c:pt>
                <c:pt idx="112">
                  <c:v>46</c:v>
                </c:pt>
                <c:pt idx="113">
                  <c:v>44.9</c:v>
                </c:pt>
                <c:pt idx="114">
                  <c:v>43.6</c:v>
                </c:pt>
                <c:pt idx="115">
                  <c:v>42.8</c:v>
                </c:pt>
                <c:pt idx="116">
                  <c:v>42.7</c:v>
                </c:pt>
                <c:pt idx="117">
                  <c:v>42.9</c:v>
                </c:pt>
                <c:pt idx="118">
                  <c:v>42.9</c:v>
                </c:pt>
                <c:pt idx="119">
                  <c:v>42.4</c:v>
                </c:pt>
                <c:pt idx="120">
                  <c:v>42</c:v>
                </c:pt>
                <c:pt idx="121">
                  <c:v>42.2</c:v>
                </c:pt>
                <c:pt idx="122">
                  <c:v>43.1</c:v>
                </c:pt>
                <c:pt idx="123">
                  <c:v>43.8</c:v>
                </c:pt>
                <c:pt idx="124">
                  <c:v>43.8</c:v>
                </c:pt>
                <c:pt idx="125">
                  <c:v>43.1</c:v>
                </c:pt>
                <c:pt idx="126">
                  <c:v>42</c:v>
                </c:pt>
                <c:pt idx="127">
                  <c:v>41.3</c:v>
                </c:pt>
                <c:pt idx="128">
                  <c:v>41.1</c:v>
                </c:pt>
                <c:pt idx="129">
                  <c:v>40.700000000000003</c:v>
                </c:pt>
                <c:pt idx="130">
                  <c:v>39.700000000000003</c:v>
                </c:pt>
                <c:pt idx="131">
                  <c:v>38.299999999999997</c:v>
                </c:pt>
                <c:pt idx="132">
                  <c:v>37.4</c:v>
                </c:pt>
                <c:pt idx="133">
                  <c:v>37.4</c:v>
                </c:pt>
                <c:pt idx="134">
                  <c:v>37.9</c:v>
                </c:pt>
                <c:pt idx="135">
                  <c:v>38.299999999999997</c:v>
                </c:pt>
                <c:pt idx="136">
                  <c:v>38.1</c:v>
                </c:pt>
                <c:pt idx="137">
                  <c:v>37.5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37.5</c:v>
                </c:pt>
                <c:pt idx="141">
                  <c:v>37.1</c:v>
                </c:pt>
                <c:pt idx="142">
                  <c:v>35.9</c:v>
                </c:pt>
                <c:pt idx="143">
                  <c:v>34.5</c:v>
                </c:pt>
                <c:pt idx="144">
                  <c:v>33.5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33.1</c:v>
                </c:pt>
                <c:pt idx="148">
                  <c:v>32.6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32.200000000000003</c:v>
                </c:pt>
                <c:pt idx="152">
                  <c:v>32.200000000000003</c:v>
                </c:pt>
                <c:pt idx="153">
                  <c:v>31.8</c:v>
                </c:pt>
                <c:pt idx="154">
                  <c:v>31.1</c:v>
                </c:pt>
                <c:pt idx="155">
                  <c:v>30.4</c:v>
                </c:pt>
                <c:pt idx="156">
                  <c:v>29.8</c:v>
                </c:pt>
                <c:pt idx="157">
                  <c:v>29.4</c:v>
                </c:pt>
                <c:pt idx="158">
                  <c:v>28.9</c:v>
                </c:pt>
                <c:pt idx="159">
                  <c:v>28.4</c:v>
                </c:pt>
                <c:pt idx="160">
                  <c:v>28</c:v>
                </c:pt>
                <c:pt idx="161">
                  <c:v>27.5</c:v>
                </c:pt>
                <c:pt idx="162">
                  <c:v>27</c:v>
                </c:pt>
                <c:pt idx="163">
                  <c:v>26.5</c:v>
                </c:pt>
                <c:pt idx="164">
                  <c:v>26</c:v>
                </c:pt>
                <c:pt idx="165">
                  <c:v>25.5</c:v>
                </c:pt>
                <c:pt idx="166">
                  <c:v>25</c:v>
                </c:pt>
                <c:pt idx="167">
                  <c:v>24.5</c:v>
                </c:pt>
                <c:pt idx="168">
                  <c:v>24</c:v>
                </c:pt>
                <c:pt idx="169">
                  <c:v>23.5</c:v>
                </c:pt>
                <c:pt idx="170">
                  <c:v>23</c:v>
                </c:pt>
                <c:pt idx="171">
                  <c:v>22.4</c:v>
                </c:pt>
                <c:pt idx="172">
                  <c:v>21.7</c:v>
                </c:pt>
                <c:pt idx="173">
                  <c:v>20.9</c:v>
                </c:pt>
                <c:pt idx="17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0-4014-A4AD-5DEE22E8B1E4}"/>
            </c:ext>
          </c:extLst>
        </c:ser>
        <c:ser>
          <c:idx val="6"/>
          <c:order val="6"/>
          <c:tx>
            <c:strRef>
              <c:f>Data!$J$2</c:f>
              <c:strCache>
                <c:ptCount val="1"/>
                <c:pt idx="0">
                  <c:v>AII Src 2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Data!$J$3:$J$177</c:f>
              <c:numCache>
                <c:formatCode>0.0</c:formatCode>
                <c:ptCount val="175"/>
                <c:pt idx="0">
                  <c:v>41.4</c:v>
                </c:pt>
                <c:pt idx="1">
                  <c:v>41.1</c:v>
                </c:pt>
                <c:pt idx="2">
                  <c:v>40.799999999999997</c:v>
                </c:pt>
                <c:pt idx="3">
                  <c:v>40.700000000000003</c:v>
                </c:pt>
                <c:pt idx="4">
                  <c:v>41</c:v>
                </c:pt>
                <c:pt idx="5">
                  <c:v>41.6</c:v>
                </c:pt>
                <c:pt idx="6">
                  <c:v>42.1</c:v>
                </c:pt>
                <c:pt idx="7">
                  <c:v>42.3</c:v>
                </c:pt>
                <c:pt idx="8">
                  <c:v>42.4</c:v>
                </c:pt>
                <c:pt idx="9">
                  <c:v>42.7</c:v>
                </c:pt>
                <c:pt idx="10">
                  <c:v>43.3</c:v>
                </c:pt>
                <c:pt idx="11">
                  <c:v>44.3</c:v>
                </c:pt>
                <c:pt idx="12">
                  <c:v>45.7</c:v>
                </c:pt>
                <c:pt idx="13">
                  <c:v>46.8</c:v>
                </c:pt>
                <c:pt idx="14">
                  <c:v>47.4</c:v>
                </c:pt>
                <c:pt idx="15">
                  <c:v>47.2</c:v>
                </c:pt>
                <c:pt idx="16">
                  <c:v>46.6</c:v>
                </c:pt>
                <c:pt idx="17">
                  <c:v>46.1</c:v>
                </c:pt>
                <c:pt idx="18">
                  <c:v>45.9</c:v>
                </c:pt>
                <c:pt idx="19">
                  <c:v>46.3</c:v>
                </c:pt>
                <c:pt idx="20">
                  <c:v>47.2</c:v>
                </c:pt>
                <c:pt idx="21">
                  <c:v>47.9</c:v>
                </c:pt>
                <c:pt idx="22">
                  <c:v>48.5</c:v>
                </c:pt>
                <c:pt idx="23">
                  <c:v>48.8</c:v>
                </c:pt>
                <c:pt idx="24">
                  <c:v>48.9</c:v>
                </c:pt>
                <c:pt idx="25">
                  <c:v>49.3</c:v>
                </c:pt>
                <c:pt idx="26">
                  <c:v>49.9</c:v>
                </c:pt>
                <c:pt idx="27">
                  <c:v>50.7</c:v>
                </c:pt>
                <c:pt idx="28">
                  <c:v>51.4</c:v>
                </c:pt>
                <c:pt idx="29">
                  <c:v>51.5</c:v>
                </c:pt>
                <c:pt idx="30">
                  <c:v>51.1</c:v>
                </c:pt>
                <c:pt idx="31">
                  <c:v>50.3</c:v>
                </c:pt>
                <c:pt idx="32">
                  <c:v>49.6</c:v>
                </c:pt>
                <c:pt idx="33">
                  <c:v>49.5</c:v>
                </c:pt>
                <c:pt idx="34">
                  <c:v>50</c:v>
                </c:pt>
                <c:pt idx="35">
                  <c:v>51</c:v>
                </c:pt>
                <c:pt idx="36">
                  <c:v>52.2</c:v>
                </c:pt>
                <c:pt idx="37">
                  <c:v>53</c:v>
                </c:pt>
                <c:pt idx="38">
                  <c:v>53.4</c:v>
                </c:pt>
                <c:pt idx="39">
                  <c:v>53.4</c:v>
                </c:pt>
                <c:pt idx="40">
                  <c:v>53.4</c:v>
                </c:pt>
                <c:pt idx="41">
                  <c:v>53.3</c:v>
                </c:pt>
                <c:pt idx="42">
                  <c:v>53.4</c:v>
                </c:pt>
                <c:pt idx="43">
                  <c:v>53.5</c:v>
                </c:pt>
                <c:pt idx="44">
                  <c:v>53.4</c:v>
                </c:pt>
                <c:pt idx="45">
                  <c:v>52.8</c:v>
                </c:pt>
                <c:pt idx="46">
                  <c:v>52</c:v>
                </c:pt>
                <c:pt idx="47">
                  <c:v>51.3</c:v>
                </c:pt>
                <c:pt idx="48">
                  <c:v>51.1</c:v>
                </c:pt>
                <c:pt idx="49">
                  <c:v>51.7</c:v>
                </c:pt>
                <c:pt idx="50">
                  <c:v>52.6</c:v>
                </c:pt>
                <c:pt idx="51">
                  <c:v>53.6</c:v>
                </c:pt>
                <c:pt idx="52">
                  <c:v>54.2</c:v>
                </c:pt>
                <c:pt idx="53">
                  <c:v>54.2</c:v>
                </c:pt>
                <c:pt idx="54">
                  <c:v>53.6</c:v>
                </c:pt>
                <c:pt idx="55">
                  <c:v>52.9</c:v>
                </c:pt>
                <c:pt idx="56">
                  <c:v>52.4</c:v>
                </c:pt>
                <c:pt idx="57">
                  <c:v>52.2</c:v>
                </c:pt>
                <c:pt idx="58">
                  <c:v>52.3</c:v>
                </c:pt>
                <c:pt idx="59">
                  <c:v>52.3</c:v>
                </c:pt>
                <c:pt idx="60">
                  <c:v>52.1</c:v>
                </c:pt>
                <c:pt idx="61">
                  <c:v>51.7</c:v>
                </c:pt>
                <c:pt idx="62">
                  <c:v>51.3</c:v>
                </c:pt>
                <c:pt idx="63">
                  <c:v>51.3</c:v>
                </c:pt>
                <c:pt idx="64">
                  <c:v>51.9</c:v>
                </c:pt>
                <c:pt idx="65">
                  <c:v>52.7</c:v>
                </c:pt>
                <c:pt idx="66">
                  <c:v>53.6</c:v>
                </c:pt>
                <c:pt idx="67">
                  <c:v>53.9</c:v>
                </c:pt>
                <c:pt idx="68">
                  <c:v>53.5</c:v>
                </c:pt>
                <c:pt idx="69">
                  <c:v>52.6</c:v>
                </c:pt>
                <c:pt idx="70">
                  <c:v>51.6</c:v>
                </c:pt>
                <c:pt idx="71">
                  <c:v>50.8</c:v>
                </c:pt>
                <c:pt idx="72">
                  <c:v>50.6</c:v>
                </c:pt>
                <c:pt idx="73">
                  <c:v>50.9</c:v>
                </c:pt>
                <c:pt idx="74">
                  <c:v>51.3</c:v>
                </c:pt>
                <c:pt idx="75">
                  <c:v>51.5</c:v>
                </c:pt>
                <c:pt idx="76">
                  <c:v>51.4</c:v>
                </c:pt>
                <c:pt idx="77">
                  <c:v>51.3</c:v>
                </c:pt>
                <c:pt idx="78">
                  <c:v>51.3</c:v>
                </c:pt>
                <c:pt idx="79">
                  <c:v>51.4</c:v>
                </c:pt>
                <c:pt idx="80">
                  <c:v>51.7</c:v>
                </c:pt>
                <c:pt idx="81">
                  <c:v>52</c:v>
                </c:pt>
                <c:pt idx="82">
                  <c:v>51.8</c:v>
                </c:pt>
                <c:pt idx="83">
                  <c:v>51</c:v>
                </c:pt>
                <c:pt idx="84">
                  <c:v>50.2</c:v>
                </c:pt>
                <c:pt idx="85">
                  <c:v>49.5</c:v>
                </c:pt>
                <c:pt idx="86">
                  <c:v>49.1</c:v>
                </c:pt>
                <c:pt idx="87">
                  <c:v>49.4</c:v>
                </c:pt>
                <c:pt idx="88">
                  <c:v>50.3</c:v>
                </c:pt>
                <c:pt idx="89">
                  <c:v>51.4</c:v>
                </c:pt>
                <c:pt idx="90">
                  <c:v>50.4</c:v>
                </c:pt>
                <c:pt idx="91">
                  <c:v>49</c:v>
                </c:pt>
                <c:pt idx="92">
                  <c:v>47.3</c:v>
                </c:pt>
                <c:pt idx="93">
                  <c:v>45.3</c:v>
                </c:pt>
                <c:pt idx="94">
                  <c:v>43.9</c:v>
                </c:pt>
                <c:pt idx="95">
                  <c:v>44.6</c:v>
                </c:pt>
                <c:pt idx="96">
                  <c:v>45.3</c:v>
                </c:pt>
                <c:pt idx="97">
                  <c:v>45.7</c:v>
                </c:pt>
                <c:pt idx="98">
                  <c:v>45.7</c:v>
                </c:pt>
                <c:pt idx="99">
                  <c:v>45.4</c:v>
                </c:pt>
                <c:pt idx="100">
                  <c:v>45.1</c:v>
                </c:pt>
                <c:pt idx="101">
                  <c:v>44.7</c:v>
                </c:pt>
                <c:pt idx="102">
                  <c:v>45</c:v>
                </c:pt>
                <c:pt idx="103">
                  <c:v>45.8</c:v>
                </c:pt>
                <c:pt idx="104">
                  <c:v>46.8</c:v>
                </c:pt>
                <c:pt idx="105">
                  <c:v>47.5</c:v>
                </c:pt>
                <c:pt idx="106">
                  <c:v>47.6</c:v>
                </c:pt>
                <c:pt idx="107">
                  <c:v>47.2</c:v>
                </c:pt>
                <c:pt idx="108">
                  <c:v>46.6</c:v>
                </c:pt>
                <c:pt idx="109">
                  <c:v>46</c:v>
                </c:pt>
                <c:pt idx="110">
                  <c:v>45.8</c:v>
                </c:pt>
                <c:pt idx="111">
                  <c:v>45.7</c:v>
                </c:pt>
                <c:pt idx="112">
                  <c:v>45.5</c:v>
                </c:pt>
                <c:pt idx="113">
                  <c:v>45.1</c:v>
                </c:pt>
                <c:pt idx="114">
                  <c:v>44.5</c:v>
                </c:pt>
                <c:pt idx="115">
                  <c:v>43.8</c:v>
                </c:pt>
                <c:pt idx="116">
                  <c:v>43.5</c:v>
                </c:pt>
                <c:pt idx="117">
                  <c:v>43.8</c:v>
                </c:pt>
                <c:pt idx="118">
                  <c:v>44.5</c:v>
                </c:pt>
                <c:pt idx="119">
                  <c:v>45.3</c:v>
                </c:pt>
                <c:pt idx="120">
                  <c:v>45.7</c:v>
                </c:pt>
                <c:pt idx="121">
                  <c:v>45.5</c:v>
                </c:pt>
                <c:pt idx="122">
                  <c:v>44.6</c:v>
                </c:pt>
                <c:pt idx="123">
                  <c:v>43.4</c:v>
                </c:pt>
                <c:pt idx="124">
                  <c:v>42.5</c:v>
                </c:pt>
                <c:pt idx="125">
                  <c:v>42</c:v>
                </c:pt>
                <c:pt idx="126">
                  <c:v>41.7</c:v>
                </c:pt>
                <c:pt idx="127">
                  <c:v>41.7</c:v>
                </c:pt>
                <c:pt idx="128">
                  <c:v>41.5</c:v>
                </c:pt>
                <c:pt idx="129">
                  <c:v>41.1</c:v>
                </c:pt>
                <c:pt idx="130">
                  <c:v>40.6</c:v>
                </c:pt>
                <c:pt idx="131">
                  <c:v>40.200000000000003</c:v>
                </c:pt>
                <c:pt idx="132">
                  <c:v>40.1</c:v>
                </c:pt>
                <c:pt idx="133">
                  <c:v>40.4</c:v>
                </c:pt>
                <c:pt idx="134">
                  <c:v>40.700000000000003</c:v>
                </c:pt>
                <c:pt idx="135">
                  <c:v>40.6</c:v>
                </c:pt>
                <c:pt idx="136">
                  <c:v>39.9</c:v>
                </c:pt>
                <c:pt idx="137">
                  <c:v>38.6</c:v>
                </c:pt>
                <c:pt idx="138">
                  <c:v>37.1</c:v>
                </c:pt>
                <c:pt idx="139">
                  <c:v>35.9</c:v>
                </c:pt>
                <c:pt idx="140">
                  <c:v>35.4</c:v>
                </c:pt>
                <c:pt idx="141">
                  <c:v>35.5</c:v>
                </c:pt>
                <c:pt idx="142">
                  <c:v>35.9</c:v>
                </c:pt>
                <c:pt idx="143">
                  <c:v>36.200000000000003</c:v>
                </c:pt>
                <c:pt idx="144">
                  <c:v>36.1</c:v>
                </c:pt>
                <c:pt idx="145">
                  <c:v>35.700000000000003</c:v>
                </c:pt>
                <c:pt idx="146">
                  <c:v>35.200000000000003</c:v>
                </c:pt>
                <c:pt idx="147">
                  <c:v>34.799999999999997</c:v>
                </c:pt>
                <c:pt idx="148">
                  <c:v>34.6</c:v>
                </c:pt>
                <c:pt idx="149">
                  <c:v>34.4</c:v>
                </c:pt>
                <c:pt idx="150">
                  <c:v>34</c:v>
                </c:pt>
                <c:pt idx="151">
                  <c:v>33.299999999999997</c:v>
                </c:pt>
                <c:pt idx="152">
                  <c:v>32.5</c:v>
                </c:pt>
                <c:pt idx="153">
                  <c:v>31.7</c:v>
                </c:pt>
                <c:pt idx="154">
                  <c:v>31.1</c:v>
                </c:pt>
                <c:pt idx="155">
                  <c:v>30.8</c:v>
                </c:pt>
                <c:pt idx="156">
                  <c:v>30.6</c:v>
                </c:pt>
                <c:pt idx="157">
                  <c:v>30.4</c:v>
                </c:pt>
                <c:pt idx="158">
                  <c:v>30</c:v>
                </c:pt>
                <c:pt idx="159">
                  <c:v>29.5</c:v>
                </c:pt>
                <c:pt idx="160">
                  <c:v>29</c:v>
                </c:pt>
                <c:pt idx="161">
                  <c:v>28.5</c:v>
                </c:pt>
                <c:pt idx="162">
                  <c:v>28</c:v>
                </c:pt>
                <c:pt idx="163">
                  <c:v>27.5</c:v>
                </c:pt>
                <c:pt idx="164">
                  <c:v>27</c:v>
                </c:pt>
                <c:pt idx="165">
                  <c:v>26.5</c:v>
                </c:pt>
                <c:pt idx="166">
                  <c:v>26</c:v>
                </c:pt>
                <c:pt idx="167">
                  <c:v>25.5</c:v>
                </c:pt>
                <c:pt idx="168">
                  <c:v>25</c:v>
                </c:pt>
                <c:pt idx="169">
                  <c:v>24.5</c:v>
                </c:pt>
                <c:pt idx="170">
                  <c:v>24</c:v>
                </c:pt>
                <c:pt idx="171">
                  <c:v>23.4</c:v>
                </c:pt>
                <c:pt idx="172">
                  <c:v>22.8</c:v>
                </c:pt>
                <c:pt idx="173">
                  <c:v>22.4</c:v>
                </c:pt>
                <c:pt idx="174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90-4014-A4AD-5DEE22E8B1E4}"/>
            </c:ext>
          </c:extLst>
        </c:ser>
        <c:ser>
          <c:idx val="7"/>
          <c:order val="7"/>
          <c:tx>
            <c:strRef>
              <c:f>Data!$K$2</c:f>
              <c:strCache>
                <c:ptCount val="1"/>
                <c:pt idx="0">
                  <c:v>AII Src 3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Data!$K$3:$K$177</c:f>
              <c:numCache>
                <c:formatCode>0.0</c:formatCode>
                <c:ptCount val="175"/>
                <c:pt idx="0">
                  <c:v>42.7</c:v>
                </c:pt>
                <c:pt idx="1">
                  <c:v>42.1</c:v>
                </c:pt>
                <c:pt idx="2">
                  <c:v>41.8</c:v>
                </c:pt>
                <c:pt idx="3">
                  <c:v>42.7</c:v>
                </c:pt>
                <c:pt idx="4">
                  <c:v>43.6</c:v>
                </c:pt>
                <c:pt idx="5">
                  <c:v>43.3</c:v>
                </c:pt>
                <c:pt idx="6">
                  <c:v>42.3</c:v>
                </c:pt>
                <c:pt idx="7">
                  <c:v>42.4</c:v>
                </c:pt>
                <c:pt idx="8">
                  <c:v>43.6</c:v>
                </c:pt>
                <c:pt idx="9">
                  <c:v>44.4</c:v>
                </c:pt>
                <c:pt idx="10">
                  <c:v>44</c:v>
                </c:pt>
                <c:pt idx="11">
                  <c:v>43.9</c:v>
                </c:pt>
                <c:pt idx="12">
                  <c:v>45.1</c:v>
                </c:pt>
                <c:pt idx="13">
                  <c:v>46.8</c:v>
                </c:pt>
                <c:pt idx="14">
                  <c:v>47.4</c:v>
                </c:pt>
                <c:pt idx="15">
                  <c:v>47.1</c:v>
                </c:pt>
                <c:pt idx="16">
                  <c:v>47.5</c:v>
                </c:pt>
                <c:pt idx="17">
                  <c:v>48.9</c:v>
                </c:pt>
                <c:pt idx="18">
                  <c:v>50</c:v>
                </c:pt>
                <c:pt idx="19">
                  <c:v>49.6</c:v>
                </c:pt>
                <c:pt idx="20">
                  <c:v>48.9</c:v>
                </c:pt>
                <c:pt idx="21">
                  <c:v>49</c:v>
                </c:pt>
                <c:pt idx="22">
                  <c:v>49.9</c:v>
                </c:pt>
                <c:pt idx="23">
                  <c:v>50</c:v>
                </c:pt>
                <c:pt idx="24">
                  <c:v>49</c:v>
                </c:pt>
                <c:pt idx="25">
                  <c:v>48.5</c:v>
                </c:pt>
                <c:pt idx="26">
                  <c:v>49.4</c:v>
                </c:pt>
                <c:pt idx="27">
                  <c:v>50.6</c:v>
                </c:pt>
                <c:pt idx="28">
                  <c:v>50.7</c:v>
                </c:pt>
                <c:pt idx="29">
                  <c:v>50.2</c:v>
                </c:pt>
                <c:pt idx="30">
                  <c:v>50.8</c:v>
                </c:pt>
                <c:pt idx="31">
                  <c:v>52.4</c:v>
                </c:pt>
                <c:pt idx="32">
                  <c:v>53.4</c:v>
                </c:pt>
                <c:pt idx="33">
                  <c:v>53.1</c:v>
                </c:pt>
                <c:pt idx="34">
                  <c:v>52.7</c:v>
                </c:pt>
                <c:pt idx="35">
                  <c:v>53.4</c:v>
                </c:pt>
                <c:pt idx="36">
                  <c:v>54.5</c:v>
                </c:pt>
                <c:pt idx="37">
                  <c:v>54.4</c:v>
                </c:pt>
                <c:pt idx="38">
                  <c:v>53.3</c:v>
                </c:pt>
                <c:pt idx="39">
                  <c:v>52.9</c:v>
                </c:pt>
                <c:pt idx="40">
                  <c:v>53.7</c:v>
                </c:pt>
                <c:pt idx="41">
                  <c:v>54</c:v>
                </c:pt>
                <c:pt idx="42">
                  <c:v>53.2</c:v>
                </c:pt>
                <c:pt idx="43">
                  <c:v>52.2</c:v>
                </c:pt>
                <c:pt idx="44">
                  <c:v>52.5</c:v>
                </c:pt>
                <c:pt idx="45">
                  <c:v>53.7</c:v>
                </c:pt>
                <c:pt idx="46">
                  <c:v>54.1</c:v>
                </c:pt>
                <c:pt idx="47">
                  <c:v>53.5</c:v>
                </c:pt>
                <c:pt idx="48">
                  <c:v>53.3</c:v>
                </c:pt>
                <c:pt idx="49">
                  <c:v>54.3</c:v>
                </c:pt>
                <c:pt idx="50">
                  <c:v>55.4</c:v>
                </c:pt>
                <c:pt idx="51">
                  <c:v>55.1</c:v>
                </c:pt>
                <c:pt idx="52">
                  <c:v>54.1</c:v>
                </c:pt>
                <c:pt idx="53">
                  <c:v>53.9</c:v>
                </c:pt>
                <c:pt idx="54">
                  <c:v>54.6</c:v>
                </c:pt>
                <c:pt idx="55">
                  <c:v>54.7</c:v>
                </c:pt>
                <c:pt idx="56">
                  <c:v>53.5</c:v>
                </c:pt>
                <c:pt idx="57">
                  <c:v>52.3</c:v>
                </c:pt>
                <c:pt idx="58">
                  <c:v>52.5</c:v>
                </c:pt>
                <c:pt idx="59">
                  <c:v>53.3</c:v>
                </c:pt>
                <c:pt idx="60">
                  <c:v>53.1</c:v>
                </c:pt>
                <c:pt idx="61">
                  <c:v>52.1</c:v>
                </c:pt>
                <c:pt idx="62">
                  <c:v>51.9</c:v>
                </c:pt>
                <c:pt idx="63">
                  <c:v>53</c:v>
                </c:pt>
                <c:pt idx="64">
                  <c:v>54</c:v>
                </c:pt>
                <c:pt idx="65">
                  <c:v>53.7</c:v>
                </c:pt>
                <c:pt idx="66">
                  <c:v>53</c:v>
                </c:pt>
                <c:pt idx="67">
                  <c:v>53.5</c:v>
                </c:pt>
                <c:pt idx="68">
                  <c:v>54.6</c:v>
                </c:pt>
                <c:pt idx="69">
                  <c:v>54.7</c:v>
                </c:pt>
                <c:pt idx="70">
                  <c:v>53.5</c:v>
                </c:pt>
                <c:pt idx="71">
                  <c:v>52.7</c:v>
                </c:pt>
                <c:pt idx="72">
                  <c:v>53</c:v>
                </c:pt>
                <c:pt idx="73">
                  <c:v>53.5</c:v>
                </c:pt>
                <c:pt idx="74">
                  <c:v>52.7</c:v>
                </c:pt>
                <c:pt idx="75">
                  <c:v>51.3</c:v>
                </c:pt>
                <c:pt idx="76">
                  <c:v>51</c:v>
                </c:pt>
                <c:pt idx="77">
                  <c:v>51.9</c:v>
                </c:pt>
                <c:pt idx="78">
                  <c:v>52.4</c:v>
                </c:pt>
                <c:pt idx="79">
                  <c:v>51.4</c:v>
                </c:pt>
                <c:pt idx="80">
                  <c:v>50.7</c:v>
                </c:pt>
                <c:pt idx="81">
                  <c:v>51.2</c:v>
                </c:pt>
                <c:pt idx="82">
                  <c:v>52.3</c:v>
                </c:pt>
                <c:pt idx="83">
                  <c:v>52.2</c:v>
                </c:pt>
                <c:pt idx="84">
                  <c:v>51.6</c:v>
                </c:pt>
                <c:pt idx="85">
                  <c:v>51.7</c:v>
                </c:pt>
                <c:pt idx="86">
                  <c:v>52.9</c:v>
                </c:pt>
                <c:pt idx="87">
                  <c:v>53.6</c:v>
                </c:pt>
                <c:pt idx="88">
                  <c:v>53</c:v>
                </c:pt>
                <c:pt idx="89">
                  <c:v>52</c:v>
                </c:pt>
                <c:pt idx="90">
                  <c:v>50.3</c:v>
                </c:pt>
                <c:pt idx="91">
                  <c:v>49.4</c:v>
                </c:pt>
                <c:pt idx="92">
                  <c:v>47.7</c:v>
                </c:pt>
                <c:pt idx="93">
                  <c:v>45.6</c:v>
                </c:pt>
                <c:pt idx="94">
                  <c:v>42.7</c:v>
                </c:pt>
                <c:pt idx="95">
                  <c:v>44</c:v>
                </c:pt>
                <c:pt idx="96">
                  <c:v>45.5</c:v>
                </c:pt>
                <c:pt idx="97">
                  <c:v>46</c:v>
                </c:pt>
                <c:pt idx="98">
                  <c:v>45.8</c:v>
                </c:pt>
                <c:pt idx="99">
                  <c:v>46.6</c:v>
                </c:pt>
                <c:pt idx="100">
                  <c:v>48.5</c:v>
                </c:pt>
                <c:pt idx="101">
                  <c:v>49.1</c:v>
                </c:pt>
                <c:pt idx="102">
                  <c:v>48.3</c:v>
                </c:pt>
                <c:pt idx="103">
                  <c:v>47.5</c:v>
                </c:pt>
                <c:pt idx="104">
                  <c:v>47.8</c:v>
                </c:pt>
                <c:pt idx="105">
                  <c:v>48.5</c:v>
                </c:pt>
                <c:pt idx="106">
                  <c:v>48</c:v>
                </c:pt>
                <c:pt idx="107">
                  <c:v>46.6</c:v>
                </c:pt>
                <c:pt idx="108">
                  <c:v>45.9</c:v>
                </c:pt>
                <c:pt idx="109">
                  <c:v>46.5</c:v>
                </c:pt>
                <c:pt idx="110">
                  <c:v>46.9</c:v>
                </c:pt>
                <c:pt idx="111">
                  <c:v>46</c:v>
                </c:pt>
                <c:pt idx="112">
                  <c:v>44.9</c:v>
                </c:pt>
                <c:pt idx="113">
                  <c:v>45.2</c:v>
                </c:pt>
                <c:pt idx="114">
                  <c:v>46.3</c:v>
                </c:pt>
                <c:pt idx="115">
                  <c:v>46.6</c:v>
                </c:pt>
                <c:pt idx="116">
                  <c:v>45.8</c:v>
                </c:pt>
                <c:pt idx="117">
                  <c:v>45.4</c:v>
                </c:pt>
                <c:pt idx="118">
                  <c:v>46.2</c:v>
                </c:pt>
                <c:pt idx="119">
                  <c:v>46.9</c:v>
                </c:pt>
                <c:pt idx="120">
                  <c:v>46.4</c:v>
                </c:pt>
                <c:pt idx="121">
                  <c:v>45</c:v>
                </c:pt>
                <c:pt idx="122">
                  <c:v>44.6</c:v>
                </c:pt>
                <c:pt idx="123">
                  <c:v>45</c:v>
                </c:pt>
                <c:pt idx="124">
                  <c:v>44.9</c:v>
                </c:pt>
                <c:pt idx="125">
                  <c:v>43.5</c:v>
                </c:pt>
                <c:pt idx="126">
                  <c:v>42.1</c:v>
                </c:pt>
                <c:pt idx="127">
                  <c:v>42</c:v>
                </c:pt>
                <c:pt idx="128">
                  <c:v>42.5</c:v>
                </c:pt>
                <c:pt idx="129">
                  <c:v>42</c:v>
                </c:pt>
                <c:pt idx="130">
                  <c:v>40.799999999999997</c:v>
                </c:pt>
                <c:pt idx="131">
                  <c:v>40.4</c:v>
                </c:pt>
                <c:pt idx="132">
                  <c:v>41.3</c:v>
                </c:pt>
                <c:pt idx="133">
                  <c:v>41.9</c:v>
                </c:pt>
                <c:pt idx="134">
                  <c:v>41.2</c:v>
                </c:pt>
                <c:pt idx="135">
                  <c:v>40.1</c:v>
                </c:pt>
                <c:pt idx="136">
                  <c:v>40.1</c:v>
                </c:pt>
                <c:pt idx="137">
                  <c:v>40.700000000000003</c:v>
                </c:pt>
                <c:pt idx="138">
                  <c:v>40.299999999999997</c:v>
                </c:pt>
                <c:pt idx="139">
                  <c:v>38.700000000000003</c:v>
                </c:pt>
                <c:pt idx="140">
                  <c:v>37.5</c:v>
                </c:pt>
                <c:pt idx="141">
                  <c:v>37.5</c:v>
                </c:pt>
                <c:pt idx="142">
                  <c:v>37.6</c:v>
                </c:pt>
                <c:pt idx="143">
                  <c:v>36.6</c:v>
                </c:pt>
                <c:pt idx="144">
                  <c:v>35.1</c:v>
                </c:pt>
                <c:pt idx="145">
                  <c:v>34.700000000000003</c:v>
                </c:pt>
                <c:pt idx="146">
                  <c:v>35.4</c:v>
                </c:pt>
                <c:pt idx="147">
                  <c:v>35.6</c:v>
                </c:pt>
                <c:pt idx="148">
                  <c:v>34.9</c:v>
                </c:pt>
                <c:pt idx="149">
                  <c:v>34.299999999999997</c:v>
                </c:pt>
                <c:pt idx="150">
                  <c:v>34.5</c:v>
                </c:pt>
                <c:pt idx="151">
                  <c:v>34.700000000000003</c:v>
                </c:pt>
                <c:pt idx="152">
                  <c:v>34.200000000000003</c:v>
                </c:pt>
                <c:pt idx="153">
                  <c:v>33.4</c:v>
                </c:pt>
                <c:pt idx="154">
                  <c:v>32.799999999999997</c:v>
                </c:pt>
                <c:pt idx="155">
                  <c:v>32.5</c:v>
                </c:pt>
                <c:pt idx="156">
                  <c:v>32.1</c:v>
                </c:pt>
                <c:pt idx="157">
                  <c:v>31.4</c:v>
                </c:pt>
                <c:pt idx="158">
                  <c:v>30.8</c:v>
                </c:pt>
                <c:pt idx="159">
                  <c:v>30.4</c:v>
                </c:pt>
                <c:pt idx="160">
                  <c:v>30</c:v>
                </c:pt>
                <c:pt idx="161">
                  <c:v>29.5</c:v>
                </c:pt>
                <c:pt idx="162">
                  <c:v>29</c:v>
                </c:pt>
                <c:pt idx="163">
                  <c:v>28.5</c:v>
                </c:pt>
                <c:pt idx="164">
                  <c:v>28</c:v>
                </c:pt>
                <c:pt idx="165">
                  <c:v>27.5</c:v>
                </c:pt>
                <c:pt idx="166">
                  <c:v>27</c:v>
                </c:pt>
                <c:pt idx="167">
                  <c:v>26.5</c:v>
                </c:pt>
                <c:pt idx="168">
                  <c:v>26</c:v>
                </c:pt>
                <c:pt idx="169">
                  <c:v>25.5</c:v>
                </c:pt>
                <c:pt idx="170">
                  <c:v>25</c:v>
                </c:pt>
                <c:pt idx="171">
                  <c:v>24.4</c:v>
                </c:pt>
                <c:pt idx="172">
                  <c:v>23.8</c:v>
                </c:pt>
                <c:pt idx="173">
                  <c:v>23.2</c:v>
                </c:pt>
                <c:pt idx="174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90-4014-A4AD-5DEE22E8B1E4}"/>
            </c:ext>
          </c:extLst>
        </c:ser>
        <c:ser>
          <c:idx val="8"/>
          <c:order val="8"/>
          <c:tx>
            <c:strRef>
              <c:f>Data!$L$2</c:f>
              <c:strCache>
                <c:ptCount val="1"/>
                <c:pt idx="0">
                  <c:v>AII Src 4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Data!$L$3:$L$177</c:f>
              <c:numCache>
                <c:formatCode>0.0</c:formatCode>
                <c:ptCount val="175"/>
                <c:pt idx="0">
                  <c:v>42.5</c:v>
                </c:pt>
                <c:pt idx="1">
                  <c:v>41.8</c:v>
                </c:pt>
                <c:pt idx="2">
                  <c:v>41.5</c:v>
                </c:pt>
                <c:pt idx="3">
                  <c:v>41.7</c:v>
                </c:pt>
                <c:pt idx="4">
                  <c:v>42.6</c:v>
                </c:pt>
                <c:pt idx="5">
                  <c:v>43.7</c:v>
                </c:pt>
                <c:pt idx="6">
                  <c:v>44.9</c:v>
                </c:pt>
                <c:pt idx="7">
                  <c:v>45.7</c:v>
                </c:pt>
                <c:pt idx="8">
                  <c:v>46.2</c:v>
                </c:pt>
                <c:pt idx="9">
                  <c:v>46.2</c:v>
                </c:pt>
                <c:pt idx="10">
                  <c:v>46.2</c:v>
                </c:pt>
                <c:pt idx="11">
                  <c:v>46.2</c:v>
                </c:pt>
                <c:pt idx="12">
                  <c:v>46.5</c:v>
                </c:pt>
                <c:pt idx="13">
                  <c:v>46.8</c:v>
                </c:pt>
                <c:pt idx="14">
                  <c:v>47.3</c:v>
                </c:pt>
                <c:pt idx="15">
                  <c:v>47.7</c:v>
                </c:pt>
                <c:pt idx="16">
                  <c:v>48</c:v>
                </c:pt>
                <c:pt idx="17">
                  <c:v>48.5</c:v>
                </c:pt>
                <c:pt idx="18">
                  <c:v>49</c:v>
                </c:pt>
                <c:pt idx="19">
                  <c:v>49.8</c:v>
                </c:pt>
                <c:pt idx="20">
                  <c:v>50.6</c:v>
                </c:pt>
                <c:pt idx="21">
                  <c:v>51.2</c:v>
                </c:pt>
                <c:pt idx="22">
                  <c:v>51.4</c:v>
                </c:pt>
                <c:pt idx="23">
                  <c:v>51.2</c:v>
                </c:pt>
                <c:pt idx="24">
                  <c:v>50.7</c:v>
                </c:pt>
                <c:pt idx="25">
                  <c:v>50.2</c:v>
                </c:pt>
                <c:pt idx="26">
                  <c:v>50</c:v>
                </c:pt>
                <c:pt idx="27">
                  <c:v>50.4</c:v>
                </c:pt>
                <c:pt idx="28">
                  <c:v>51.4</c:v>
                </c:pt>
                <c:pt idx="29">
                  <c:v>52.7</c:v>
                </c:pt>
                <c:pt idx="30">
                  <c:v>53.9</c:v>
                </c:pt>
                <c:pt idx="31">
                  <c:v>54.5</c:v>
                </c:pt>
                <c:pt idx="32">
                  <c:v>54.4</c:v>
                </c:pt>
                <c:pt idx="33">
                  <c:v>53.7</c:v>
                </c:pt>
                <c:pt idx="34">
                  <c:v>52.8</c:v>
                </c:pt>
                <c:pt idx="35">
                  <c:v>52.2</c:v>
                </c:pt>
                <c:pt idx="36">
                  <c:v>52.3</c:v>
                </c:pt>
                <c:pt idx="37">
                  <c:v>53</c:v>
                </c:pt>
                <c:pt idx="38">
                  <c:v>54.2</c:v>
                </c:pt>
                <c:pt idx="39">
                  <c:v>55.5</c:v>
                </c:pt>
                <c:pt idx="40">
                  <c:v>56.4</c:v>
                </c:pt>
                <c:pt idx="41">
                  <c:v>56.4</c:v>
                </c:pt>
                <c:pt idx="42">
                  <c:v>55.9</c:v>
                </c:pt>
                <c:pt idx="43">
                  <c:v>55</c:v>
                </c:pt>
                <c:pt idx="44">
                  <c:v>54.3</c:v>
                </c:pt>
                <c:pt idx="45">
                  <c:v>53.9</c:v>
                </c:pt>
                <c:pt idx="46">
                  <c:v>53.9</c:v>
                </c:pt>
                <c:pt idx="47">
                  <c:v>54.3</c:v>
                </c:pt>
                <c:pt idx="48">
                  <c:v>54.7</c:v>
                </c:pt>
                <c:pt idx="49">
                  <c:v>55</c:v>
                </c:pt>
                <c:pt idx="50">
                  <c:v>55.1</c:v>
                </c:pt>
                <c:pt idx="51">
                  <c:v>55.1</c:v>
                </c:pt>
                <c:pt idx="52">
                  <c:v>55</c:v>
                </c:pt>
                <c:pt idx="53">
                  <c:v>55</c:v>
                </c:pt>
                <c:pt idx="54">
                  <c:v>55</c:v>
                </c:pt>
                <c:pt idx="55">
                  <c:v>54.9</c:v>
                </c:pt>
                <c:pt idx="56">
                  <c:v>54.7</c:v>
                </c:pt>
                <c:pt idx="57">
                  <c:v>54.3</c:v>
                </c:pt>
                <c:pt idx="58">
                  <c:v>53.8</c:v>
                </c:pt>
                <c:pt idx="59">
                  <c:v>53.5</c:v>
                </c:pt>
                <c:pt idx="60">
                  <c:v>53.6</c:v>
                </c:pt>
                <c:pt idx="61">
                  <c:v>54.1</c:v>
                </c:pt>
                <c:pt idx="62">
                  <c:v>54.8</c:v>
                </c:pt>
                <c:pt idx="63">
                  <c:v>55.5</c:v>
                </c:pt>
                <c:pt idx="64">
                  <c:v>55.8</c:v>
                </c:pt>
                <c:pt idx="65">
                  <c:v>55.4</c:v>
                </c:pt>
                <c:pt idx="66">
                  <c:v>54.5</c:v>
                </c:pt>
                <c:pt idx="67">
                  <c:v>53.4</c:v>
                </c:pt>
                <c:pt idx="68">
                  <c:v>52.5</c:v>
                </c:pt>
                <c:pt idx="69">
                  <c:v>52.2</c:v>
                </c:pt>
                <c:pt idx="70">
                  <c:v>52.7</c:v>
                </c:pt>
                <c:pt idx="71">
                  <c:v>53.7</c:v>
                </c:pt>
                <c:pt idx="72">
                  <c:v>54.7</c:v>
                </c:pt>
                <c:pt idx="73">
                  <c:v>55.4</c:v>
                </c:pt>
                <c:pt idx="74">
                  <c:v>55.4</c:v>
                </c:pt>
                <c:pt idx="75">
                  <c:v>54.7</c:v>
                </c:pt>
                <c:pt idx="76">
                  <c:v>53.6</c:v>
                </c:pt>
                <c:pt idx="77">
                  <c:v>52.6</c:v>
                </c:pt>
                <c:pt idx="78">
                  <c:v>52</c:v>
                </c:pt>
                <c:pt idx="79">
                  <c:v>51.8</c:v>
                </c:pt>
                <c:pt idx="80">
                  <c:v>52.1</c:v>
                </c:pt>
                <c:pt idx="81">
                  <c:v>52.7</c:v>
                </c:pt>
                <c:pt idx="82">
                  <c:v>53</c:v>
                </c:pt>
                <c:pt idx="83">
                  <c:v>53</c:v>
                </c:pt>
                <c:pt idx="84">
                  <c:v>53.1</c:v>
                </c:pt>
                <c:pt idx="85">
                  <c:v>53</c:v>
                </c:pt>
                <c:pt idx="86">
                  <c:v>52.8</c:v>
                </c:pt>
                <c:pt idx="87">
                  <c:v>52.7</c:v>
                </c:pt>
                <c:pt idx="88">
                  <c:v>52.9</c:v>
                </c:pt>
                <c:pt idx="89">
                  <c:v>53.2</c:v>
                </c:pt>
                <c:pt idx="90">
                  <c:v>51.6</c:v>
                </c:pt>
                <c:pt idx="91">
                  <c:v>50</c:v>
                </c:pt>
                <c:pt idx="92">
                  <c:v>48.3</c:v>
                </c:pt>
                <c:pt idx="93">
                  <c:v>47</c:v>
                </c:pt>
                <c:pt idx="94">
                  <c:v>45.5</c:v>
                </c:pt>
                <c:pt idx="95">
                  <c:v>46.4</c:v>
                </c:pt>
                <c:pt idx="96">
                  <c:v>47.3</c:v>
                </c:pt>
                <c:pt idx="97">
                  <c:v>48</c:v>
                </c:pt>
                <c:pt idx="98">
                  <c:v>48.3</c:v>
                </c:pt>
                <c:pt idx="99">
                  <c:v>48.2</c:v>
                </c:pt>
                <c:pt idx="100">
                  <c:v>47.9</c:v>
                </c:pt>
                <c:pt idx="101">
                  <c:v>47.2</c:v>
                </c:pt>
                <c:pt idx="102">
                  <c:v>46.9</c:v>
                </c:pt>
                <c:pt idx="103">
                  <c:v>47.3</c:v>
                </c:pt>
                <c:pt idx="104">
                  <c:v>48.1</c:v>
                </c:pt>
                <c:pt idx="105">
                  <c:v>49.1</c:v>
                </c:pt>
                <c:pt idx="106">
                  <c:v>49.8</c:v>
                </c:pt>
                <c:pt idx="107">
                  <c:v>49.9</c:v>
                </c:pt>
                <c:pt idx="108">
                  <c:v>49.2</c:v>
                </c:pt>
                <c:pt idx="109">
                  <c:v>48</c:v>
                </c:pt>
                <c:pt idx="110">
                  <c:v>46.9</c:v>
                </c:pt>
                <c:pt idx="111">
                  <c:v>46.1</c:v>
                </c:pt>
                <c:pt idx="112">
                  <c:v>46</c:v>
                </c:pt>
                <c:pt idx="113">
                  <c:v>46.5</c:v>
                </c:pt>
                <c:pt idx="114">
                  <c:v>47.4</c:v>
                </c:pt>
                <c:pt idx="115">
                  <c:v>48.1</c:v>
                </c:pt>
                <c:pt idx="116">
                  <c:v>48.3</c:v>
                </c:pt>
                <c:pt idx="117">
                  <c:v>47.9</c:v>
                </c:pt>
                <c:pt idx="118">
                  <c:v>47</c:v>
                </c:pt>
                <c:pt idx="119">
                  <c:v>46</c:v>
                </c:pt>
                <c:pt idx="120">
                  <c:v>45.2</c:v>
                </c:pt>
                <c:pt idx="121">
                  <c:v>44.8</c:v>
                </c:pt>
                <c:pt idx="122">
                  <c:v>44.8</c:v>
                </c:pt>
                <c:pt idx="123">
                  <c:v>45</c:v>
                </c:pt>
                <c:pt idx="124">
                  <c:v>45.2</c:v>
                </c:pt>
                <c:pt idx="125">
                  <c:v>45.3</c:v>
                </c:pt>
                <c:pt idx="126">
                  <c:v>45</c:v>
                </c:pt>
                <c:pt idx="127">
                  <c:v>44.5</c:v>
                </c:pt>
                <c:pt idx="128">
                  <c:v>44.1</c:v>
                </c:pt>
                <c:pt idx="129">
                  <c:v>43.8</c:v>
                </c:pt>
                <c:pt idx="130">
                  <c:v>43.4</c:v>
                </c:pt>
                <c:pt idx="131">
                  <c:v>42.9</c:v>
                </c:pt>
                <c:pt idx="132">
                  <c:v>42.2</c:v>
                </c:pt>
                <c:pt idx="133">
                  <c:v>41.3</c:v>
                </c:pt>
                <c:pt idx="134">
                  <c:v>40.5</c:v>
                </c:pt>
                <c:pt idx="135">
                  <c:v>40</c:v>
                </c:pt>
                <c:pt idx="136">
                  <c:v>39.9</c:v>
                </c:pt>
                <c:pt idx="137">
                  <c:v>40.1</c:v>
                </c:pt>
                <c:pt idx="138">
                  <c:v>40.6</c:v>
                </c:pt>
                <c:pt idx="139">
                  <c:v>40.799999999999997</c:v>
                </c:pt>
                <c:pt idx="140">
                  <c:v>40.5</c:v>
                </c:pt>
                <c:pt idx="141">
                  <c:v>39.6</c:v>
                </c:pt>
                <c:pt idx="142">
                  <c:v>38.299999999999997</c:v>
                </c:pt>
                <c:pt idx="143">
                  <c:v>36.9</c:v>
                </c:pt>
                <c:pt idx="144">
                  <c:v>35.9</c:v>
                </c:pt>
                <c:pt idx="145">
                  <c:v>35.700000000000003</c:v>
                </c:pt>
                <c:pt idx="146">
                  <c:v>36.1</c:v>
                </c:pt>
                <c:pt idx="147">
                  <c:v>36.700000000000003</c:v>
                </c:pt>
                <c:pt idx="148">
                  <c:v>37.1</c:v>
                </c:pt>
                <c:pt idx="149">
                  <c:v>37</c:v>
                </c:pt>
                <c:pt idx="150">
                  <c:v>36.299999999999997</c:v>
                </c:pt>
                <c:pt idx="151">
                  <c:v>35.4</c:v>
                </c:pt>
                <c:pt idx="152">
                  <c:v>34.4</c:v>
                </c:pt>
                <c:pt idx="153">
                  <c:v>33.700000000000003</c:v>
                </c:pt>
                <c:pt idx="154">
                  <c:v>33.200000000000003</c:v>
                </c:pt>
                <c:pt idx="155">
                  <c:v>32.9</c:v>
                </c:pt>
                <c:pt idx="156">
                  <c:v>32.700000000000003</c:v>
                </c:pt>
                <c:pt idx="157">
                  <c:v>32.4</c:v>
                </c:pt>
                <c:pt idx="158">
                  <c:v>32</c:v>
                </c:pt>
                <c:pt idx="159">
                  <c:v>31.5</c:v>
                </c:pt>
                <c:pt idx="160">
                  <c:v>31</c:v>
                </c:pt>
                <c:pt idx="161">
                  <c:v>30.5</c:v>
                </c:pt>
                <c:pt idx="162">
                  <c:v>30</c:v>
                </c:pt>
                <c:pt idx="163">
                  <c:v>29.5</c:v>
                </c:pt>
                <c:pt idx="164">
                  <c:v>29</c:v>
                </c:pt>
                <c:pt idx="165">
                  <c:v>28.5</c:v>
                </c:pt>
                <c:pt idx="166">
                  <c:v>28</c:v>
                </c:pt>
                <c:pt idx="167">
                  <c:v>27.5</c:v>
                </c:pt>
                <c:pt idx="168">
                  <c:v>27</c:v>
                </c:pt>
                <c:pt idx="169">
                  <c:v>26.5</c:v>
                </c:pt>
                <c:pt idx="170">
                  <c:v>26</c:v>
                </c:pt>
                <c:pt idx="171">
                  <c:v>25.4</c:v>
                </c:pt>
                <c:pt idx="172">
                  <c:v>24.8</c:v>
                </c:pt>
                <c:pt idx="173">
                  <c:v>24.3</c:v>
                </c:pt>
                <c:pt idx="174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90-4014-A4AD-5DEE22E8B1E4}"/>
            </c:ext>
          </c:extLst>
        </c:ser>
        <c:ser>
          <c:idx val="9"/>
          <c:order val="9"/>
          <c:tx>
            <c:strRef>
              <c:f>Data!$M$2</c:f>
              <c:strCache>
                <c:ptCount val="1"/>
                <c:pt idx="0">
                  <c:v>AI Src 1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Data!$M$3:$M$177</c:f>
              <c:numCache>
                <c:formatCode>0.0</c:formatCode>
                <c:ptCount val="175"/>
                <c:pt idx="0">
                  <c:v>54.5</c:v>
                </c:pt>
                <c:pt idx="1">
                  <c:v>53.8</c:v>
                </c:pt>
                <c:pt idx="2">
                  <c:v>53.5</c:v>
                </c:pt>
                <c:pt idx="3">
                  <c:v>53.8</c:v>
                </c:pt>
                <c:pt idx="4">
                  <c:v>54.7</c:v>
                </c:pt>
                <c:pt idx="5">
                  <c:v>55.9</c:v>
                </c:pt>
                <c:pt idx="6">
                  <c:v>57</c:v>
                </c:pt>
                <c:pt idx="7">
                  <c:v>57.9</c:v>
                </c:pt>
                <c:pt idx="8">
                  <c:v>58.4</c:v>
                </c:pt>
                <c:pt idx="9">
                  <c:v>58.5</c:v>
                </c:pt>
                <c:pt idx="10">
                  <c:v>58.4</c:v>
                </c:pt>
                <c:pt idx="11">
                  <c:v>58.5</c:v>
                </c:pt>
                <c:pt idx="12">
                  <c:v>58.8</c:v>
                </c:pt>
                <c:pt idx="13">
                  <c:v>59.2</c:v>
                </c:pt>
                <c:pt idx="14">
                  <c:v>59.6</c:v>
                </c:pt>
                <c:pt idx="15">
                  <c:v>60</c:v>
                </c:pt>
                <c:pt idx="16">
                  <c:v>60.4</c:v>
                </c:pt>
                <c:pt idx="17">
                  <c:v>60.9</c:v>
                </c:pt>
                <c:pt idx="18">
                  <c:v>61.5</c:v>
                </c:pt>
                <c:pt idx="19">
                  <c:v>62.3</c:v>
                </c:pt>
                <c:pt idx="20">
                  <c:v>63.1</c:v>
                </c:pt>
                <c:pt idx="21">
                  <c:v>63.8</c:v>
                </c:pt>
                <c:pt idx="22">
                  <c:v>64.099999999999994</c:v>
                </c:pt>
                <c:pt idx="23">
                  <c:v>64</c:v>
                </c:pt>
                <c:pt idx="24">
                  <c:v>63.5</c:v>
                </c:pt>
                <c:pt idx="25">
                  <c:v>63.1</c:v>
                </c:pt>
                <c:pt idx="26">
                  <c:v>63</c:v>
                </c:pt>
                <c:pt idx="27">
                  <c:v>63.5</c:v>
                </c:pt>
                <c:pt idx="28">
                  <c:v>64.5</c:v>
                </c:pt>
                <c:pt idx="29">
                  <c:v>65.900000000000006</c:v>
                </c:pt>
                <c:pt idx="30">
                  <c:v>67.099999999999994</c:v>
                </c:pt>
                <c:pt idx="31">
                  <c:v>67.8</c:v>
                </c:pt>
                <c:pt idx="32">
                  <c:v>67.8</c:v>
                </c:pt>
                <c:pt idx="33">
                  <c:v>67.2</c:v>
                </c:pt>
                <c:pt idx="34">
                  <c:v>66.400000000000006</c:v>
                </c:pt>
                <c:pt idx="35">
                  <c:v>65.8</c:v>
                </c:pt>
                <c:pt idx="36">
                  <c:v>66</c:v>
                </c:pt>
                <c:pt idx="37">
                  <c:v>66.8</c:v>
                </c:pt>
                <c:pt idx="38">
                  <c:v>68.099999999999994</c:v>
                </c:pt>
                <c:pt idx="39">
                  <c:v>69.400000000000006</c:v>
                </c:pt>
                <c:pt idx="40">
                  <c:v>70.400000000000006</c:v>
                </c:pt>
                <c:pt idx="41">
                  <c:v>70.400000000000006</c:v>
                </c:pt>
                <c:pt idx="42">
                  <c:v>69.900000000000006</c:v>
                </c:pt>
                <c:pt idx="43">
                  <c:v>69.099999999999994</c:v>
                </c:pt>
                <c:pt idx="44">
                  <c:v>68.400000000000006</c:v>
                </c:pt>
                <c:pt idx="45">
                  <c:v>68</c:v>
                </c:pt>
                <c:pt idx="46">
                  <c:v>68.099999999999994</c:v>
                </c:pt>
                <c:pt idx="47">
                  <c:v>68.400000000000006</c:v>
                </c:pt>
                <c:pt idx="48">
                  <c:v>68.900000000000006</c:v>
                </c:pt>
                <c:pt idx="49">
                  <c:v>69.2</c:v>
                </c:pt>
                <c:pt idx="50">
                  <c:v>69.400000000000006</c:v>
                </c:pt>
                <c:pt idx="51">
                  <c:v>69.400000000000006</c:v>
                </c:pt>
                <c:pt idx="52">
                  <c:v>69.3</c:v>
                </c:pt>
                <c:pt idx="53">
                  <c:v>69.3</c:v>
                </c:pt>
                <c:pt idx="54">
                  <c:v>69.400000000000006</c:v>
                </c:pt>
                <c:pt idx="55">
                  <c:v>69.3</c:v>
                </c:pt>
                <c:pt idx="56">
                  <c:v>69.099999999999994</c:v>
                </c:pt>
                <c:pt idx="57">
                  <c:v>68.7</c:v>
                </c:pt>
                <c:pt idx="58">
                  <c:v>68.3</c:v>
                </c:pt>
                <c:pt idx="59">
                  <c:v>68</c:v>
                </c:pt>
                <c:pt idx="60">
                  <c:v>68.099999999999994</c:v>
                </c:pt>
                <c:pt idx="61">
                  <c:v>68.599999999999994</c:v>
                </c:pt>
                <c:pt idx="62">
                  <c:v>69.3</c:v>
                </c:pt>
                <c:pt idx="63">
                  <c:v>70</c:v>
                </c:pt>
                <c:pt idx="64">
                  <c:v>70.3</c:v>
                </c:pt>
                <c:pt idx="65">
                  <c:v>69.900000000000006</c:v>
                </c:pt>
                <c:pt idx="66">
                  <c:v>69</c:v>
                </c:pt>
                <c:pt idx="67">
                  <c:v>67.900000000000006</c:v>
                </c:pt>
                <c:pt idx="68">
                  <c:v>67</c:v>
                </c:pt>
                <c:pt idx="69">
                  <c:v>66.7</c:v>
                </c:pt>
                <c:pt idx="70">
                  <c:v>67.2</c:v>
                </c:pt>
                <c:pt idx="71">
                  <c:v>68.2</c:v>
                </c:pt>
                <c:pt idx="72">
                  <c:v>69.2</c:v>
                </c:pt>
                <c:pt idx="73">
                  <c:v>69.900000000000006</c:v>
                </c:pt>
                <c:pt idx="74">
                  <c:v>69.900000000000006</c:v>
                </c:pt>
                <c:pt idx="75">
                  <c:v>69.2</c:v>
                </c:pt>
                <c:pt idx="76">
                  <c:v>68.099999999999994</c:v>
                </c:pt>
                <c:pt idx="77">
                  <c:v>67.099999999999994</c:v>
                </c:pt>
                <c:pt idx="78">
                  <c:v>66.5</c:v>
                </c:pt>
                <c:pt idx="79">
                  <c:v>66</c:v>
                </c:pt>
                <c:pt idx="80">
                  <c:v>66</c:v>
                </c:pt>
                <c:pt idx="81">
                  <c:v>66.3</c:v>
                </c:pt>
                <c:pt idx="82">
                  <c:v>66.3</c:v>
                </c:pt>
                <c:pt idx="83">
                  <c:v>66</c:v>
                </c:pt>
                <c:pt idx="84">
                  <c:v>66.5</c:v>
                </c:pt>
                <c:pt idx="85">
                  <c:v>66.8</c:v>
                </c:pt>
                <c:pt idx="86">
                  <c:v>67</c:v>
                </c:pt>
                <c:pt idx="87">
                  <c:v>67.400000000000006</c:v>
                </c:pt>
                <c:pt idx="88">
                  <c:v>68</c:v>
                </c:pt>
                <c:pt idx="89">
                  <c:v>68.7</c:v>
                </c:pt>
                <c:pt idx="90">
                  <c:v>64.2</c:v>
                </c:pt>
                <c:pt idx="91">
                  <c:v>59.7</c:v>
                </c:pt>
                <c:pt idx="92">
                  <c:v>55.1</c:v>
                </c:pt>
                <c:pt idx="93">
                  <c:v>50.9</c:v>
                </c:pt>
                <c:pt idx="94">
                  <c:v>51.9</c:v>
                </c:pt>
                <c:pt idx="95">
                  <c:v>53.2</c:v>
                </c:pt>
                <c:pt idx="96">
                  <c:v>54.6</c:v>
                </c:pt>
                <c:pt idx="97">
                  <c:v>55.7</c:v>
                </c:pt>
                <c:pt idx="98">
                  <c:v>56.5</c:v>
                </c:pt>
                <c:pt idx="99">
                  <c:v>56.8</c:v>
                </c:pt>
                <c:pt idx="100">
                  <c:v>56.9</c:v>
                </c:pt>
                <c:pt idx="101">
                  <c:v>56.2</c:v>
                </c:pt>
                <c:pt idx="102">
                  <c:v>55.9</c:v>
                </c:pt>
                <c:pt idx="103">
                  <c:v>56.3</c:v>
                </c:pt>
                <c:pt idx="104">
                  <c:v>57.1</c:v>
                </c:pt>
                <c:pt idx="105">
                  <c:v>58.1</c:v>
                </c:pt>
                <c:pt idx="106">
                  <c:v>58.8</c:v>
                </c:pt>
                <c:pt idx="107">
                  <c:v>58.9</c:v>
                </c:pt>
                <c:pt idx="108">
                  <c:v>58.2</c:v>
                </c:pt>
                <c:pt idx="109">
                  <c:v>57</c:v>
                </c:pt>
                <c:pt idx="110">
                  <c:v>55.9</c:v>
                </c:pt>
                <c:pt idx="111">
                  <c:v>55.2</c:v>
                </c:pt>
                <c:pt idx="112">
                  <c:v>55.1</c:v>
                </c:pt>
                <c:pt idx="113">
                  <c:v>55.7</c:v>
                </c:pt>
                <c:pt idx="114">
                  <c:v>56.6</c:v>
                </c:pt>
                <c:pt idx="115">
                  <c:v>57.4</c:v>
                </c:pt>
                <c:pt idx="116">
                  <c:v>57.7</c:v>
                </c:pt>
                <c:pt idx="117">
                  <c:v>57.3</c:v>
                </c:pt>
                <c:pt idx="118">
                  <c:v>56.5</c:v>
                </c:pt>
                <c:pt idx="119">
                  <c:v>55.6</c:v>
                </c:pt>
                <c:pt idx="120">
                  <c:v>54.9</c:v>
                </c:pt>
                <c:pt idx="121">
                  <c:v>54.5</c:v>
                </c:pt>
                <c:pt idx="122">
                  <c:v>54.6</c:v>
                </c:pt>
                <c:pt idx="123">
                  <c:v>54.9</c:v>
                </c:pt>
                <c:pt idx="124">
                  <c:v>55.2</c:v>
                </c:pt>
                <c:pt idx="125">
                  <c:v>55.3</c:v>
                </c:pt>
                <c:pt idx="126">
                  <c:v>54.8</c:v>
                </c:pt>
                <c:pt idx="127">
                  <c:v>54.3</c:v>
                </c:pt>
                <c:pt idx="128">
                  <c:v>53.7</c:v>
                </c:pt>
                <c:pt idx="129">
                  <c:v>53.2</c:v>
                </c:pt>
                <c:pt idx="130">
                  <c:v>52.7</c:v>
                </c:pt>
                <c:pt idx="131">
                  <c:v>52.1</c:v>
                </c:pt>
                <c:pt idx="132">
                  <c:v>51.2</c:v>
                </c:pt>
                <c:pt idx="133">
                  <c:v>50.3</c:v>
                </c:pt>
                <c:pt idx="134">
                  <c:v>49.3</c:v>
                </c:pt>
                <c:pt idx="135">
                  <c:v>48.7</c:v>
                </c:pt>
                <c:pt idx="136">
                  <c:v>48.4</c:v>
                </c:pt>
                <c:pt idx="137">
                  <c:v>48.5</c:v>
                </c:pt>
                <c:pt idx="138">
                  <c:v>48.8</c:v>
                </c:pt>
                <c:pt idx="139">
                  <c:v>48.9</c:v>
                </c:pt>
                <c:pt idx="140">
                  <c:v>48.5</c:v>
                </c:pt>
                <c:pt idx="141">
                  <c:v>47.2</c:v>
                </c:pt>
                <c:pt idx="142">
                  <c:v>45.6</c:v>
                </c:pt>
                <c:pt idx="143">
                  <c:v>43.8</c:v>
                </c:pt>
                <c:pt idx="144">
                  <c:v>42.5</c:v>
                </c:pt>
                <c:pt idx="145">
                  <c:v>42</c:v>
                </c:pt>
                <c:pt idx="146">
                  <c:v>42</c:v>
                </c:pt>
                <c:pt idx="147">
                  <c:v>42.3</c:v>
                </c:pt>
                <c:pt idx="148">
                  <c:v>42.3</c:v>
                </c:pt>
                <c:pt idx="149">
                  <c:v>41.8</c:v>
                </c:pt>
                <c:pt idx="150">
                  <c:v>40.799999999999997</c:v>
                </c:pt>
                <c:pt idx="151">
                  <c:v>39.6</c:v>
                </c:pt>
                <c:pt idx="152">
                  <c:v>38.4</c:v>
                </c:pt>
                <c:pt idx="153">
                  <c:v>37.4</c:v>
                </c:pt>
                <c:pt idx="154">
                  <c:v>36.700000000000003</c:v>
                </c:pt>
                <c:pt idx="155">
                  <c:v>36.200000000000003</c:v>
                </c:pt>
                <c:pt idx="156">
                  <c:v>35.700000000000003</c:v>
                </c:pt>
                <c:pt idx="157">
                  <c:v>35.200000000000003</c:v>
                </c:pt>
                <c:pt idx="158">
                  <c:v>34.5</c:v>
                </c:pt>
                <c:pt idx="159">
                  <c:v>33.799999999999997</c:v>
                </c:pt>
                <c:pt idx="160">
                  <c:v>33</c:v>
                </c:pt>
                <c:pt idx="161">
                  <c:v>32.4</c:v>
                </c:pt>
                <c:pt idx="162">
                  <c:v>31.8</c:v>
                </c:pt>
                <c:pt idx="163">
                  <c:v>31.2</c:v>
                </c:pt>
                <c:pt idx="164">
                  <c:v>30.6</c:v>
                </c:pt>
                <c:pt idx="165">
                  <c:v>30</c:v>
                </c:pt>
                <c:pt idx="166">
                  <c:v>29.4</c:v>
                </c:pt>
                <c:pt idx="167">
                  <c:v>28.8</c:v>
                </c:pt>
                <c:pt idx="168">
                  <c:v>28.2</c:v>
                </c:pt>
                <c:pt idx="169">
                  <c:v>27.6</c:v>
                </c:pt>
                <c:pt idx="170">
                  <c:v>27</c:v>
                </c:pt>
                <c:pt idx="171">
                  <c:v>27</c:v>
                </c:pt>
                <c:pt idx="172">
                  <c:v>27.1</c:v>
                </c:pt>
                <c:pt idx="173">
                  <c:v>27.2</c:v>
                </c:pt>
                <c:pt idx="174">
                  <c:v>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90-4014-A4AD-5DEE22E8B1E4}"/>
            </c:ext>
          </c:extLst>
        </c:ser>
        <c:ser>
          <c:idx val="10"/>
          <c:order val="10"/>
          <c:tx>
            <c:strRef>
              <c:f>Data!$N$2</c:f>
              <c:strCache>
                <c:ptCount val="1"/>
                <c:pt idx="0">
                  <c:v>AI Src 2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Data!$N$3:$N$177</c:f>
              <c:numCache>
                <c:formatCode>0.0</c:formatCode>
                <c:ptCount val="175"/>
                <c:pt idx="0">
                  <c:v>57.4</c:v>
                </c:pt>
                <c:pt idx="1">
                  <c:v>56.8</c:v>
                </c:pt>
                <c:pt idx="2">
                  <c:v>56.6</c:v>
                </c:pt>
                <c:pt idx="3">
                  <c:v>57.5</c:v>
                </c:pt>
                <c:pt idx="4">
                  <c:v>58.4</c:v>
                </c:pt>
                <c:pt idx="5">
                  <c:v>58.1</c:v>
                </c:pt>
                <c:pt idx="6">
                  <c:v>57.2</c:v>
                </c:pt>
                <c:pt idx="7">
                  <c:v>57.3</c:v>
                </c:pt>
                <c:pt idx="8">
                  <c:v>58.5</c:v>
                </c:pt>
                <c:pt idx="9">
                  <c:v>59.3</c:v>
                </c:pt>
                <c:pt idx="10">
                  <c:v>59</c:v>
                </c:pt>
                <c:pt idx="11">
                  <c:v>58.8</c:v>
                </c:pt>
                <c:pt idx="12">
                  <c:v>60.1</c:v>
                </c:pt>
                <c:pt idx="13">
                  <c:v>61.8</c:v>
                </c:pt>
                <c:pt idx="14">
                  <c:v>62.5</c:v>
                </c:pt>
                <c:pt idx="15">
                  <c:v>62.2</c:v>
                </c:pt>
                <c:pt idx="16">
                  <c:v>62.6</c:v>
                </c:pt>
                <c:pt idx="17">
                  <c:v>64</c:v>
                </c:pt>
                <c:pt idx="18">
                  <c:v>65.099999999999994</c:v>
                </c:pt>
                <c:pt idx="19">
                  <c:v>64.8</c:v>
                </c:pt>
                <c:pt idx="20">
                  <c:v>64.099999999999994</c:v>
                </c:pt>
                <c:pt idx="21">
                  <c:v>64.3</c:v>
                </c:pt>
                <c:pt idx="22">
                  <c:v>65.3</c:v>
                </c:pt>
                <c:pt idx="23">
                  <c:v>65.400000000000006</c:v>
                </c:pt>
                <c:pt idx="24">
                  <c:v>64.5</c:v>
                </c:pt>
                <c:pt idx="25">
                  <c:v>64.099999999999994</c:v>
                </c:pt>
                <c:pt idx="26">
                  <c:v>65.099999999999994</c:v>
                </c:pt>
                <c:pt idx="27">
                  <c:v>66.3</c:v>
                </c:pt>
                <c:pt idx="28">
                  <c:v>66.5</c:v>
                </c:pt>
                <c:pt idx="29">
                  <c:v>66.099999999999994</c:v>
                </c:pt>
                <c:pt idx="30">
                  <c:v>66.7</c:v>
                </c:pt>
                <c:pt idx="31">
                  <c:v>68.400000000000006</c:v>
                </c:pt>
                <c:pt idx="32">
                  <c:v>69.5</c:v>
                </c:pt>
                <c:pt idx="33">
                  <c:v>69.2</c:v>
                </c:pt>
                <c:pt idx="34">
                  <c:v>68.900000000000006</c:v>
                </c:pt>
                <c:pt idx="35">
                  <c:v>69.8</c:v>
                </c:pt>
                <c:pt idx="36">
                  <c:v>70.900000000000006</c:v>
                </c:pt>
                <c:pt idx="37">
                  <c:v>70.900000000000006</c:v>
                </c:pt>
                <c:pt idx="38">
                  <c:v>69.900000000000006</c:v>
                </c:pt>
                <c:pt idx="39">
                  <c:v>69.5</c:v>
                </c:pt>
                <c:pt idx="40">
                  <c:v>70.400000000000006</c:v>
                </c:pt>
                <c:pt idx="41">
                  <c:v>70.8</c:v>
                </c:pt>
                <c:pt idx="42">
                  <c:v>70</c:v>
                </c:pt>
                <c:pt idx="43">
                  <c:v>69</c:v>
                </c:pt>
                <c:pt idx="44">
                  <c:v>69.3</c:v>
                </c:pt>
                <c:pt idx="45">
                  <c:v>70.5</c:v>
                </c:pt>
                <c:pt idx="46">
                  <c:v>71</c:v>
                </c:pt>
                <c:pt idx="47">
                  <c:v>70.400000000000006</c:v>
                </c:pt>
                <c:pt idx="48">
                  <c:v>70.2</c:v>
                </c:pt>
                <c:pt idx="49">
                  <c:v>71.2</c:v>
                </c:pt>
                <c:pt idx="50">
                  <c:v>72.3</c:v>
                </c:pt>
                <c:pt idx="51">
                  <c:v>72.099999999999994</c:v>
                </c:pt>
                <c:pt idx="52">
                  <c:v>71.099999999999994</c:v>
                </c:pt>
                <c:pt idx="53">
                  <c:v>70.900000000000006</c:v>
                </c:pt>
                <c:pt idx="54">
                  <c:v>71.599999999999994</c:v>
                </c:pt>
                <c:pt idx="55">
                  <c:v>71.8</c:v>
                </c:pt>
                <c:pt idx="56">
                  <c:v>70.599999999999994</c:v>
                </c:pt>
                <c:pt idx="57">
                  <c:v>69.5</c:v>
                </c:pt>
                <c:pt idx="58">
                  <c:v>69.7</c:v>
                </c:pt>
                <c:pt idx="59">
                  <c:v>70.5</c:v>
                </c:pt>
                <c:pt idx="60">
                  <c:v>70.3</c:v>
                </c:pt>
                <c:pt idx="61">
                  <c:v>69.3</c:v>
                </c:pt>
                <c:pt idx="62">
                  <c:v>69.099999999999994</c:v>
                </c:pt>
                <c:pt idx="63">
                  <c:v>70.2</c:v>
                </c:pt>
                <c:pt idx="64">
                  <c:v>71.2</c:v>
                </c:pt>
                <c:pt idx="65">
                  <c:v>70.900000000000006</c:v>
                </c:pt>
                <c:pt idx="66">
                  <c:v>70.2</c:v>
                </c:pt>
                <c:pt idx="67">
                  <c:v>70.7</c:v>
                </c:pt>
                <c:pt idx="68">
                  <c:v>71.8</c:v>
                </c:pt>
                <c:pt idx="69">
                  <c:v>71.900000000000006</c:v>
                </c:pt>
                <c:pt idx="70">
                  <c:v>70.7</c:v>
                </c:pt>
                <c:pt idx="71">
                  <c:v>69.900000000000006</c:v>
                </c:pt>
                <c:pt idx="72">
                  <c:v>70.2</c:v>
                </c:pt>
                <c:pt idx="73">
                  <c:v>70.7</c:v>
                </c:pt>
                <c:pt idx="74">
                  <c:v>69.900000000000006</c:v>
                </c:pt>
                <c:pt idx="75">
                  <c:v>68.5</c:v>
                </c:pt>
                <c:pt idx="76">
                  <c:v>68.2</c:v>
                </c:pt>
                <c:pt idx="77">
                  <c:v>69.099999999999994</c:v>
                </c:pt>
                <c:pt idx="78">
                  <c:v>69.599999999999994</c:v>
                </c:pt>
                <c:pt idx="79">
                  <c:v>68.3</c:v>
                </c:pt>
                <c:pt idx="80">
                  <c:v>67.3</c:v>
                </c:pt>
                <c:pt idx="81">
                  <c:v>67.5</c:v>
                </c:pt>
                <c:pt idx="82">
                  <c:v>68.3</c:v>
                </c:pt>
                <c:pt idx="83">
                  <c:v>67.900000000000006</c:v>
                </c:pt>
                <c:pt idx="84">
                  <c:v>67.8</c:v>
                </c:pt>
                <c:pt idx="85">
                  <c:v>68.3</c:v>
                </c:pt>
                <c:pt idx="86">
                  <c:v>69.8</c:v>
                </c:pt>
                <c:pt idx="87">
                  <c:v>71</c:v>
                </c:pt>
                <c:pt idx="88">
                  <c:v>70.8</c:v>
                </c:pt>
                <c:pt idx="89">
                  <c:v>70.2</c:v>
                </c:pt>
                <c:pt idx="90">
                  <c:v>65.599999999999994</c:v>
                </c:pt>
                <c:pt idx="91">
                  <c:v>61.8</c:v>
                </c:pt>
                <c:pt idx="92">
                  <c:v>57.2</c:v>
                </c:pt>
                <c:pt idx="93">
                  <c:v>52.2</c:v>
                </c:pt>
                <c:pt idx="94">
                  <c:v>51.9</c:v>
                </c:pt>
                <c:pt idx="95">
                  <c:v>53.6</c:v>
                </c:pt>
                <c:pt idx="96">
                  <c:v>55.5</c:v>
                </c:pt>
                <c:pt idx="97">
                  <c:v>56.4</c:v>
                </c:pt>
                <c:pt idx="98">
                  <c:v>56.6</c:v>
                </c:pt>
                <c:pt idx="99">
                  <c:v>57.9</c:v>
                </c:pt>
                <c:pt idx="100">
                  <c:v>60.2</c:v>
                </c:pt>
                <c:pt idx="101">
                  <c:v>60.8</c:v>
                </c:pt>
                <c:pt idx="102">
                  <c:v>60</c:v>
                </c:pt>
                <c:pt idx="103">
                  <c:v>59.2</c:v>
                </c:pt>
                <c:pt idx="104">
                  <c:v>59.5</c:v>
                </c:pt>
                <c:pt idx="105">
                  <c:v>60.2</c:v>
                </c:pt>
                <c:pt idx="106">
                  <c:v>59.7</c:v>
                </c:pt>
                <c:pt idx="107">
                  <c:v>58.3</c:v>
                </c:pt>
                <c:pt idx="108">
                  <c:v>57.6</c:v>
                </c:pt>
                <c:pt idx="109">
                  <c:v>58.2</c:v>
                </c:pt>
                <c:pt idx="110">
                  <c:v>58.6</c:v>
                </c:pt>
                <c:pt idx="111">
                  <c:v>57.8</c:v>
                </c:pt>
                <c:pt idx="112">
                  <c:v>56.8</c:v>
                </c:pt>
                <c:pt idx="113">
                  <c:v>57.1</c:v>
                </c:pt>
                <c:pt idx="114">
                  <c:v>58.3</c:v>
                </c:pt>
                <c:pt idx="115">
                  <c:v>58.6</c:v>
                </c:pt>
                <c:pt idx="116">
                  <c:v>57.9</c:v>
                </c:pt>
                <c:pt idx="117">
                  <c:v>57.6</c:v>
                </c:pt>
                <c:pt idx="118">
                  <c:v>58.4</c:v>
                </c:pt>
                <c:pt idx="119">
                  <c:v>59.2</c:v>
                </c:pt>
                <c:pt idx="120">
                  <c:v>58.7</c:v>
                </c:pt>
                <c:pt idx="121">
                  <c:v>57.5</c:v>
                </c:pt>
                <c:pt idx="122">
                  <c:v>57.1</c:v>
                </c:pt>
                <c:pt idx="123">
                  <c:v>57.6</c:v>
                </c:pt>
                <c:pt idx="124">
                  <c:v>57.5</c:v>
                </c:pt>
                <c:pt idx="125">
                  <c:v>56.2</c:v>
                </c:pt>
                <c:pt idx="126">
                  <c:v>54.6</c:v>
                </c:pt>
                <c:pt idx="127">
                  <c:v>54.4</c:v>
                </c:pt>
                <c:pt idx="128">
                  <c:v>54.8</c:v>
                </c:pt>
                <c:pt idx="129">
                  <c:v>54.2</c:v>
                </c:pt>
                <c:pt idx="130">
                  <c:v>52.9</c:v>
                </c:pt>
                <c:pt idx="131">
                  <c:v>52.3</c:v>
                </c:pt>
                <c:pt idx="132">
                  <c:v>53</c:v>
                </c:pt>
                <c:pt idx="133">
                  <c:v>53.5</c:v>
                </c:pt>
                <c:pt idx="134">
                  <c:v>52.7</c:v>
                </c:pt>
                <c:pt idx="135">
                  <c:v>51.5</c:v>
                </c:pt>
                <c:pt idx="136">
                  <c:v>51.3</c:v>
                </c:pt>
                <c:pt idx="137">
                  <c:v>51.8</c:v>
                </c:pt>
                <c:pt idx="138">
                  <c:v>51.3</c:v>
                </c:pt>
                <c:pt idx="139">
                  <c:v>49.6</c:v>
                </c:pt>
                <c:pt idx="140">
                  <c:v>48.2</c:v>
                </c:pt>
                <c:pt idx="141">
                  <c:v>47.8</c:v>
                </c:pt>
                <c:pt idx="142">
                  <c:v>47.6</c:v>
                </c:pt>
                <c:pt idx="143">
                  <c:v>46.3</c:v>
                </c:pt>
                <c:pt idx="144">
                  <c:v>44.4</c:v>
                </c:pt>
                <c:pt idx="145">
                  <c:v>43.7</c:v>
                </c:pt>
                <c:pt idx="146">
                  <c:v>44</c:v>
                </c:pt>
                <c:pt idx="147">
                  <c:v>43.8</c:v>
                </c:pt>
                <c:pt idx="148">
                  <c:v>42.8</c:v>
                </c:pt>
                <c:pt idx="149">
                  <c:v>41.8</c:v>
                </c:pt>
                <c:pt idx="150">
                  <c:v>41.7</c:v>
                </c:pt>
                <c:pt idx="151">
                  <c:v>41.6</c:v>
                </c:pt>
                <c:pt idx="152">
                  <c:v>40.9</c:v>
                </c:pt>
                <c:pt idx="153">
                  <c:v>39.799999999999997</c:v>
                </c:pt>
                <c:pt idx="154">
                  <c:v>39</c:v>
                </c:pt>
                <c:pt idx="155">
                  <c:v>38.5</c:v>
                </c:pt>
                <c:pt idx="156">
                  <c:v>37.799999999999997</c:v>
                </c:pt>
                <c:pt idx="157">
                  <c:v>36.9</c:v>
                </c:pt>
                <c:pt idx="158">
                  <c:v>36</c:v>
                </c:pt>
                <c:pt idx="159">
                  <c:v>35.299999999999997</c:v>
                </c:pt>
                <c:pt idx="160">
                  <c:v>34.700000000000003</c:v>
                </c:pt>
                <c:pt idx="161">
                  <c:v>34.1</c:v>
                </c:pt>
                <c:pt idx="162">
                  <c:v>33.5</c:v>
                </c:pt>
                <c:pt idx="163">
                  <c:v>32.9</c:v>
                </c:pt>
                <c:pt idx="164">
                  <c:v>32.299999999999997</c:v>
                </c:pt>
                <c:pt idx="165">
                  <c:v>31.7</c:v>
                </c:pt>
                <c:pt idx="166">
                  <c:v>31.1</c:v>
                </c:pt>
                <c:pt idx="167">
                  <c:v>30.5</c:v>
                </c:pt>
                <c:pt idx="168">
                  <c:v>29.9</c:v>
                </c:pt>
                <c:pt idx="169">
                  <c:v>29.3</c:v>
                </c:pt>
                <c:pt idx="170">
                  <c:v>28.7</c:v>
                </c:pt>
                <c:pt idx="171">
                  <c:v>28.7</c:v>
                </c:pt>
                <c:pt idx="172">
                  <c:v>28.7</c:v>
                </c:pt>
                <c:pt idx="173">
                  <c:v>28.8</c:v>
                </c:pt>
                <c:pt idx="17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90-4014-A4AD-5DEE22E8B1E4}"/>
            </c:ext>
          </c:extLst>
        </c:ser>
        <c:ser>
          <c:idx val="11"/>
          <c:order val="11"/>
          <c:tx>
            <c:strRef>
              <c:f>Data!$O$2</c:f>
              <c:strCache>
                <c:ptCount val="1"/>
                <c:pt idx="0">
                  <c:v>AI Src 3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Data!$O$3:$O$177</c:f>
              <c:numCache>
                <c:formatCode>0.0</c:formatCode>
                <c:ptCount val="175"/>
                <c:pt idx="0">
                  <c:v>58.7</c:v>
                </c:pt>
                <c:pt idx="1">
                  <c:v>58.5</c:v>
                </c:pt>
                <c:pt idx="2">
                  <c:v>58.1</c:v>
                </c:pt>
                <c:pt idx="3">
                  <c:v>58.1</c:v>
                </c:pt>
                <c:pt idx="4">
                  <c:v>58.4</c:v>
                </c:pt>
                <c:pt idx="5">
                  <c:v>59</c:v>
                </c:pt>
                <c:pt idx="6">
                  <c:v>59.5</c:v>
                </c:pt>
                <c:pt idx="7">
                  <c:v>59.8</c:v>
                </c:pt>
                <c:pt idx="8">
                  <c:v>59.9</c:v>
                </c:pt>
                <c:pt idx="9">
                  <c:v>60.2</c:v>
                </c:pt>
                <c:pt idx="10">
                  <c:v>60.8</c:v>
                </c:pt>
                <c:pt idx="11">
                  <c:v>61.9</c:v>
                </c:pt>
                <c:pt idx="12">
                  <c:v>63.3</c:v>
                </c:pt>
                <c:pt idx="13">
                  <c:v>64.400000000000006</c:v>
                </c:pt>
                <c:pt idx="14">
                  <c:v>65</c:v>
                </c:pt>
                <c:pt idx="15">
                  <c:v>64.900000000000006</c:v>
                </c:pt>
                <c:pt idx="16">
                  <c:v>64.3</c:v>
                </c:pt>
                <c:pt idx="17">
                  <c:v>63.8</c:v>
                </c:pt>
                <c:pt idx="18">
                  <c:v>63.7</c:v>
                </c:pt>
                <c:pt idx="19">
                  <c:v>64.099999999999994</c:v>
                </c:pt>
                <c:pt idx="20">
                  <c:v>65</c:v>
                </c:pt>
                <c:pt idx="21">
                  <c:v>65.8</c:v>
                </c:pt>
                <c:pt idx="22">
                  <c:v>66.400000000000006</c:v>
                </c:pt>
                <c:pt idx="23">
                  <c:v>66.8</c:v>
                </c:pt>
                <c:pt idx="24">
                  <c:v>67</c:v>
                </c:pt>
                <c:pt idx="25">
                  <c:v>67.400000000000006</c:v>
                </c:pt>
                <c:pt idx="26">
                  <c:v>68.2</c:v>
                </c:pt>
                <c:pt idx="27">
                  <c:v>69</c:v>
                </c:pt>
                <c:pt idx="28">
                  <c:v>69.8</c:v>
                </c:pt>
                <c:pt idx="29">
                  <c:v>70</c:v>
                </c:pt>
                <c:pt idx="30">
                  <c:v>69.7</c:v>
                </c:pt>
                <c:pt idx="31">
                  <c:v>69</c:v>
                </c:pt>
                <c:pt idx="32">
                  <c:v>68.3</c:v>
                </c:pt>
                <c:pt idx="33">
                  <c:v>68.3</c:v>
                </c:pt>
                <c:pt idx="34">
                  <c:v>68.900000000000006</c:v>
                </c:pt>
                <c:pt idx="35">
                  <c:v>70</c:v>
                </c:pt>
                <c:pt idx="36">
                  <c:v>71.2</c:v>
                </c:pt>
                <c:pt idx="37">
                  <c:v>72.099999999999994</c:v>
                </c:pt>
                <c:pt idx="38">
                  <c:v>72.599999999999994</c:v>
                </c:pt>
                <c:pt idx="39">
                  <c:v>72.7</c:v>
                </c:pt>
                <c:pt idx="40">
                  <c:v>72.7</c:v>
                </c:pt>
                <c:pt idx="41">
                  <c:v>72.599999999999994</c:v>
                </c:pt>
                <c:pt idx="42">
                  <c:v>72.8</c:v>
                </c:pt>
                <c:pt idx="43">
                  <c:v>72.900000000000006</c:v>
                </c:pt>
                <c:pt idx="44">
                  <c:v>72.8</c:v>
                </c:pt>
                <c:pt idx="45">
                  <c:v>72.2</c:v>
                </c:pt>
                <c:pt idx="46">
                  <c:v>71.400000000000006</c:v>
                </c:pt>
                <c:pt idx="47">
                  <c:v>70.8</c:v>
                </c:pt>
                <c:pt idx="48">
                  <c:v>70.599999999999994</c:v>
                </c:pt>
                <c:pt idx="49">
                  <c:v>71.2</c:v>
                </c:pt>
                <c:pt idx="50">
                  <c:v>72.2</c:v>
                </c:pt>
                <c:pt idx="51">
                  <c:v>73.2</c:v>
                </c:pt>
                <c:pt idx="52">
                  <c:v>73.8</c:v>
                </c:pt>
                <c:pt idx="53">
                  <c:v>73.8</c:v>
                </c:pt>
                <c:pt idx="54">
                  <c:v>73.2</c:v>
                </c:pt>
                <c:pt idx="55">
                  <c:v>72.5</c:v>
                </c:pt>
                <c:pt idx="56">
                  <c:v>72.099999999999994</c:v>
                </c:pt>
                <c:pt idx="57">
                  <c:v>71.900000000000006</c:v>
                </c:pt>
                <c:pt idx="58">
                  <c:v>72</c:v>
                </c:pt>
                <c:pt idx="59">
                  <c:v>72.099999999999994</c:v>
                </c:pt>
                <c:pt idx="60">
                  <c:v>71.900000000000006</c:v>
                </c:pt>
                <c:pt idx="61">
                  <c:v>71.5</c:v>
                </c:pt>
                <c:pt idx="62">
                  <c:v>71.099999999999994</c:v>
                </c:pt>
                <c:pt idx="63">
                  <c:v>71.099999999999994</c:v>
                </c:pt>
                <c:pt idx="64">
                  <c:v>71.7</c:v>
                </c:pt>
                <c:pt idx="65">
                  <c:v>72.5</c:v>
                </c:pt>
                <c:pt idx="66">
                  <c:v>73.400000000000006</c:v>
                </c:pt>
                <c:pt idx="67">
                  <c:v>73.7</c:v>
                </c:pt>
                <c:pt idx="68">
                  <c:v>73.3</c:v>
                </c:pt>
                <c:pt idx="69">
                  <c:v>72.400000000000006</c:v>
                </c:pt>
                <c:pt idx="70">
                  <c:v>71.400000000000006</c:v>
                </c:pt>
                <c:pt idx="71">
                  <c:v>70.599999999999994</c:v>
                </c:pt>
                <c:pt idx="72">
                  <c:v>70.400000000000006</c:v>
                </c:pt>
                <c:pt idx="73">
                  <c:v>70.7</c:v>
                </c:pt>
                <c:pt idx="74">
                  <c:v>71.099999999999994</c:v>
                </c:pt>
                <c:pt idx="75">
                  <c:v>71.3</c:v>
                </c:pt>
                <c:pt idx="76">
                  <c:v>71.2</c:v>
                </c:pt>
                <c:pt idx="77">
                  <c:v>71.099999999999994</c:v>
                </c:pt>
                <c:pt idx="78">
                  <c:v>71.099999999999994</c:v>
                </c:pt>
                <c:pt idx="79">
                  <c:v>70.900000000000006</c:v>
                </c:pt>
                <c:pt idx="80">
                  <c:v>70.900000000000006</c:v>
                </c:pt>
                <c:pt idx="81">
                  <c:v>70.900000000000006</c:v>
                </c:pt>
                <c:pt idx="82">
                  <c:v>70.400000000000006</c:v>
                </c:pt>
                <c:pt idx="83">
                  <c:v>69.3</c:v>
                </c:pt>
                <c:pt idx="84">
                  <c:v>69</c:v>
                </c:pt>
                <c:pt idx="85">
                  <c:v>68.599999999999994</c:v>
                </c:pt>
                <c:pt idx="86">
                  <c:v>68.599999999999994</c:v>
                </c:pt>
                <c:pt idx="87">
                  <c:v>69.400000000000006</c:v>
                </c:pt>
                <c:pt idx="88">
                  <c:v>70.7</c:v>
                </c:pt>
                <c:pt idx="89">
                  <c:v>72.2</c:v>
                </c:pt>
                <c:pt idx="90">
                  <c:v>68.3</c:v>
                </c:pt>
                <c:pt idx="91">
                  <c:v>64</c:v>
                </c:pt>
                <c:pt idx="92">
                  <c:v>59.4</c:v>
                </c:pt>
                <c:pt idx="93">
                  <c:v>54.5</c:v>
                </c:pt>
                <c:pt idx="94">
                  <c:v>55.6</c:v>
                </c:pt>
                <c:pt idx="95">
                  <c:v>56.7</c:v>
                </c:pt>
                <c:pt idx="96">
                  <c:v>57.9</c:v>
                </c:pt>
                <c:pt idx="97">
                  <c:v>58.7</c:v>
                </c:pt>
                <c:pt idx="98">
                  <c:v>59.2</c:v>
                </c:pt>
                <c:pt idx="99">
                  <c:v>59.3</c:v>
                </c:pt>
                <c:pt idx="100">
                  <c:v>59.4</c:v>
                </c:pt>
                <c:pt idx="101">
                  <c:v>59</c:v>
                </c:pt>
                <c:pt idx="102">
                  <c:v>59.3</c:v>
                </c:pt>
                <c:pt idx="103">
                  <c:v>60.1</c:v>
                </c:pt>
                <c:pt idx="104">
                  <c:v>61.1</c:v>
                </c:pt>
                <c:pt idx="105">
                  <c:v>61.8</c:v>
                </c:pt>
                <c:pt idx="106">
                  <c:v>61.9</c:v>
                </c:pt>
                <c:pt idx="107">
                  <c:v>61.5</c:v>
                </c:pt>
                <c:pt idx="108">
                  <c:v>60.9</c:v>
                </c:pt>
                <c:pt idx="109">
                  <c:v>60.3</c:v>
                </c:pt>
                <c:pt idx="110">
                  <c:v>60.1</c:v>
                </c:pt>
                <c:pt idx="111">
                  <c:v>60.1</c:v>
                </c:pt>
                <c:pt idx="112">
                  <c:v>60</c:v>
                </c:pt>
                <c:pt idx="113">
                  <c:v>59.6</c:v>
                </c:pt>
                <c:pt idx="114">
                  <c:v>59</c:v>
                </c:pt>
                <c:pt idx="115">
                  <c:v>58.5</c:v>
                </c:pt>
                <c:pt idx="116">
                  <c:v>58.2</c:v>
                </c:pt>
                <c:pt idx="117">
                  <c:v>58.6</c:v>
                </c:pt>
                <c:pt idx="118">
                  <c:v>59.4</c:v>
                </c:pt>
                <c:pt idx="119">
                  <c:v>60.2</c:v>
                </c:pt>
                <c:pt idx="120">
                  <c:v>60.7</c:v>
                </c:pt>
                <c:pt idx="121">
                  <c:v>60.5</c:v>
                </c:pt>
                <c:pt idx="122">
                  <c:v>59.7</c:v>
                </c:pt>
                <c:pt idx="123">
                  <c:v>58.6</c:v>
                </c:pt>
                <c:pt idx="124">
                  <c:v>57.7</c:v>
                </c:pt>
                <c:pt idx="125">
                  <c:v>57.3</c:v>
                </c:pt>
                <c:pt idx="126">
                  <c:v>56.9</c:v>
                </c:pt>
                <c:pt idx="127">
                  <c:v>56.7</c:v>
                </c:pt>
                <c:pt idx="128">
                  <c:v>56.4</c:v>
                </c:pt>
                <c:pt idx="129">
                  <c:v>55.9</c:v>
                </c:pt>
                <c:pt idx="130">
                  <c:v>55.2</c:v>
                </c:pt>
                <c:pt idx="131">
                  <c:v>54.7</c:v>
                </c:pt>
                <c:pt idx="132">
                  <c:v>54.5</c:v>
                </c:pt>
                <c:pt idx="133">
                  <c:v>54.7</c:v>
                </c:pt>
                <c:pt idx="134">
                  <c:v>54.8</c:v>
                </c:pt>
                <c:pt idx="135">
                  <c:v>54.6</c:v>
                </c:pt>
                <c:pt idx="136">
                  <c:v>53.7</c:v>
                </c:pt>
                <c:pt idx="137">
                  <c:v>52.3</c:v>
                </c:pt>
                <c:pt idx="138">
                  <c:v>50.7</c:v>
                </c:pt>
                <c:pt idx="139">
                  <c:v>49.4</c:v>
                </c:pt>
                <c:pt idx="140">
                  <c:v>48.7</c:v>
                </c:pt>
                <c:pt idx="141">
                  <c:v>48.4</c:v>
                </c:pt>
                <c:pt idx="142">
                  <c:v>48.5</c:v>
                </c:pt>
                <c:pt idx="143">
                  <c:v>48.4</c:v>
                </c:pt>
                <c:pt idx="144">
                  <c:v>48</c:v>
                </c:pt>
                <c:pt idx="145">
                  <c:v>47.2</c:v>
                </c:pt>
                <c:pt idx="146">
                  <c:v>46.4</c:v>
                </c:pt>
                <c:pt idx="147">
                  <c:v>45.7</c:v>
                </c:pt>
                <c:pt idx="148">
                  <c:v>45.1</c:v>
                </c:pt>
                <c:pt idx="149">
                  <c:v>44.6</c:v>
                </c:pt>
                <c:pt idx="150">
                  <c:v>43.8</c:v>
                </c:pt>
                <c:pt idx="151">
                  <c:v>42.9</c:v>
                </c:pt>
                <c:pt idx="152">
                  <c:v>41.8</c:v>
                </c:pt>
                <c:pt idx="153">
                  <c:v>40.700000000000003</c:v>
                </c:pt>
                <c:pt idx="154">
                  <c:v>39.9</c:v>
                </c:pt>
                <c:pt idx="155">
                  <c:v>39.299999999999997</c:v>
                </c:pt>
                <c:pt idx="156">
                  <c:v>38.9</c:v>
                </c:pt>
                <c:pt idx="157">
                  <c:v>38.4</c:v>
                </c:pt>
                <c:pt idx="158">
                  <c:v>37.799999999999997</c:v>
                </c:pt>
                <c:pt idx="159">
                  <c:v>37.1</c:v>
                </c:pt>
                <c:pt idx="160">
                  <c:v>36.299999999999997</c:v>
                </c:pt>
                <c:pt idx="161">
                  <c:v>35.700000000000003</c:v>
                </c:pt>
                <c:pt idx="162">
                  <c:v>35.1</c:v>
                </c:pt>
                <c:pt idx="163">
                  <c:v>34.5</c:v>
                </c:pt>
                <c:pt idx="164">
                  <c:v>33.9</c:v>
                </c:pt>
                <c:pt idx="165">
                  <c:v>33.299999999999997</c:v>
                </c:pt>
                <c:pt idx="166">
                  <c:v>32.700000000000003</c:v>
                </c:pt>
                <c:pt idx="167">
                  <c:v>32.1</c:v>
                </c:pt>
                <c:pt idx="168">
                  <c:v>31.5</c:v>
                </c:pt>
                <c:pt idx="169">
                  <c:v>30.9</c:v>
                </c:pt>
                <c:pt idx="170">
                  <c:v>30.3</c:v>
                </c:pt>
                <c:pt idx="171">
                  <c:v>30.3</c:v>
                </c:pt>
                <c:pt idx="172">
                  <c:v>30.3</c:v>
                </c:pt>
                <c:pt idx="173">
                  <c:v>30.6</c:v>
                </c:pt>
                <c:pt idx="174">
                  <c:v>30.9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90-4014-A4AD-5DEE22E8B1E4}"/>
            </c:ext>
          </c:extLst>
        </c:ser>
        <c:ser>
          <c:idx val="12"/>
          <c:order val="12"/>
          <c:tx>
            <c:strRef>
              <c:f>Data!$P$2</c:f>
              <c:strCache>
                <c:ptCount val="1"/>
                <c:pt idx="0">
                  <c:v>AI Src 4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Data!$P$3:$P$177</c:f>
              <c:numCache>
                <c:formatCode>0.0</c:formatCode>
                <c:ptCount val="175"/>
                <c:pt idx="0">
                  <c:v>57.7</c:v>
                </c:pt>
                <c:pt idx="1">
                  <c:v>58.8</c:v>
                </c:pt>
                <c:pt idx="2">
                  <c:v>59.5</c:v>
                </c:pt>
                <c:pt idx="3">
                  <c:v>59.8</c:v>
                </c:pt>
                <c:pt idx="4">
                  <c:v>60.1</c:v>
                </c:pt>
                <c:pt idx="5">
                  <c:v>61</c:v>
                </c:pt>
                <c:pt idx="6">
                  <c:v>62.4</c:v>
                </c:pt>
                <c:pt idx="7">
                  <c:v>63.6</c:v>
                </c:pt>
                <c:pt idx="8">
                  <c:v>64.099999999999994</c:v>
                </c:pt>
                <c:pt idx="9">
                  <c:v>63.8</c:v>
                </c:pt>
                <c:pt idx="10">
                  <c:v>63.4</c:v>
                </c:pt>
                <c:pt idx="11">
                  <c:v>63.4</c:v>
                </c:pt>
                <c:pt idx="12">
                  <c:v>64</c:v>
                </c:pt>
                <c:pt idx="13">
                  <c:v>64.400000000000006</c:v>
                </c:pt>
                <c:pt idx="14">
                  <c:v>64.400000000000006</c:v>
                </c:pt>
                <c:pt idx="15">
                  <c:v>64</c:v>
                </c:pt>
                <c:pt idx="16">
                  <c:v>64.099999999999994</c:v>
                </c:pt>
                <c:pt idx="17">
                  <c:v>65</c:v>
                </c:pt>
                <c:pt idx="18">
                  <c:v>66.5</c:v>
                </c:pt>
                <c:pt idx="19">
                  <c:v>67.8</c:v>
                </c:pt>
                <c:pt idx="20">
                  <c:v>68.400000000000006</c:v>
                </c:pt>
                <c:pt idx="21">
                  <c:v>68.400000000000006</c:v>
                </c:pt>
                <c:pt idx="22">
                  <c:v>68.7</c:v>
                </c:pt>
                <c:pt idx="23">
                  <c:v>69.3</c:v>
                </c:pt>
                <c:pt idx="24">
                  <c:v>70.099999999999994</c:v>
                </c:pt>
                <c:pt idx="25">
                  <c:v>70.3</c:v>
                </c:pt>
                <c:pt idx="26">
                  <c:v>69.7</c:v>
                </c:pt>
                <c:pt idx="27">
                  <c:v>68.900000000000006</c:v>
                </c:pt>
                <c:pt idx="28">
                  <c:v>68.599999999999994</c:v>
                </c:pt>
                <c:pt idx="29">
                  <c:v>69.2</c:v>
                </c:pt>
                <c:pt idx="30">
                  <c:v>70.099999999999994</c:v>
                </c:pt>
                <c:pt idx="31">
                  <c:v>70.7</c:v>
                </c:pt>
                <c:pt idx="32">
                  <c:v>70.8</c:v>
                </c:pt>
                <c:pt idx="33">
                  <c:v>71</c:v>
                </c:pt>
                <c:pt idx="34">
                  <c:v>71.8</c:v>
                </c:pt>
                <c:pt idx="35">
                  <c:v>73.099999999999994</c:v>
                </c:pt>
                <c:pt idx="36">
                  <c:v>74.3</c:v>
                </c:pt>
                <c:pt idx="37">
                  <c:v>74.7</c:v>
                </c:pt>
                <c:pt idx="38">
                  <c:v>74.400000000000006</c:v>
                </c:pt>
                <c:pt idx="39">
                  <c:v>73.900000000000006</c:v>
                </c:pt>
                <c:pt idx="40">
                  <c:v>73.900000000000006</c:v>
                </c:pt>
                <c:pt idx="41">
                  <c:v>74</c:v>
                </c:pt>
                <c:pt idx="42">
                  <c:v>74</c:v>
                </c:pt>
                <c:pt idx="43">
                  <c:v>73.5</c:v>
                </c:pt>
                <c:pt idx="44">
                  <c:v>72.599999999999994</c:v>
                </c:pt>
                <c:pt idx="45">
                  <c:v>72.3</c:v>
                </c:pt>
                <c:pt idx="46">
                  <c:v>72.7</c:v>
                </c:pt>
                <c:pt idx="47">
                  <c:v>73.8</c:v>
                </c:pt>
                <c:pt idx="48">
                  <c:v>74.599999999999994</c:v>
                </c:pt>
                <c:pt idx="49">
                  <c:v>74.8</c:v>
                </c:pt>
                <c:pt idx="50">
                  <c:v>74.599999999999994</c:v>
                </c:pt>
                <c:pt idx="51">
                  <c:v>74.5</c:v>
                </c:pt>
                <c:pt idx="52">
                  <c:v>74.900000000000006</c:v>
                </c:pt>
                <c:pt idx="53">
                  <c:v>75.400000000000006</c:v>
                </c:pt>
                <c:pt idx="54">
                  <c:v>75.2</c:v>
                </c:pt>
                <c:pt idx="55">
                  <c:v>74.400000000000006</c:v>
                </c:pt>
                <c:pt idx="56">
                  <c:v>73.2</c:v>
                </c:pt>
                <c:pt idx="57">
                  <c:v>72.599999999999994</c:v>
                </c:pt>
                <c:pt idx="58">
                  <c:v>72.8</c:v>
                </c:pt>
                <c:pt idx="59">
                  <c:v>73.3</c:v>
                </c:pt>
                <c:pt idx="60">
                  <c:v>73.5</c:v>
                </c:pt>
                <c:pt idx="61">
                  <c:v>73.3</c:v>
                </c:pt>
                <c:pt idx="62">
                  <c:v>73.099999999999994</c:v>
                </c:pt>
                <c:pt idx="63">
                  <c:v>73.5</c:v>
                </c:pt>
                <c:pt idx="64">
                  <c:v>74.400000000000006</c:v>
                </c:pt>
                <c:pt idx="65">
                  <c:v>75.3</c:v>
                </c:pt>
                <c:pt idx="66">
                  <c:v>75.400000000000006</c:v>
                </c:pt>
                <c:pt idx="67">
                  <c:v>74.7</c:v>
                </c:pt>
                <c:pt idx="68">
                  <c:v>73.8</c:v>
                </c:pt>
                <c:pt idx="69">
                  <c:v>73.5</c:v>
                </c:pt>
                <c:pt idx="70">
                  <c:v>73.5</c:v>
                </c:pt>
                <c:pt idx="71">
                  <c:v>73.5</c:v>
                </c:pt>
                <c:pt idx="72">
                  <c:v>72.8</c:v>
                </c:pt>
                <c:pt idx="73">
                  <c:v>71.900000000000006</c:v>
                </c:pt>
                <c:pt idx="74">
                  <c:v>71.5</c:v>
                </c:pt>
                <c:pt idx="75">
                  <c:v>71.8</c:v>
                </c:pt>
                <c:pt idx="76">
                  <c:v>72.8</c:v>
                </c:pt>
                <c:pt idx="77">
                  <c:v>73.599999999999994</c:v>
                </c:pt>
                <c:pt idx="78">
                  <c:v>73.7</c:v>
                </c:pt>
                <c:pt idx="79">
                  <c:v>72.900000000000006</c:v>
                </c:pt>
                <c:pt idx="80">
                  <c:v>72.3</c:v>
                </c:pt>
                <c:pt idx="81">
                  <c:v>72.099999999999994</c:v>
                </c:pt>
                <c:pt idx="82">
                  <c:v>72</c:v>
                </c:pt>
                <c:pt idx="83">
                  <c:v>71.3</c:v>
                </c:pt>
                <c:pt idx="84">
                  <c:v>71.099999999999994</c:v>
                </c:pt>
                <c:pt idx="85">
                  <c:v>70.7</c:v>
                </c:pt>
                <c:pt idx="86">
                  <c:v>70.7</c:v>
                </c:pt>
                <c:pt idx="87">
                  <c:v>71.5</c:v>
                </c:pt>
                <c:pt idx="88">
                  <c:v>72.599999999999994</c:v>
                </c:pt>
                <c:pt idx="89">
                  <c:v>73.5</c:v>
                </c:pt>
                <c:pt idx="90">
                  <c:v>68.7</c:v>
                </c:pt>
                <c:pt idx="91">
                  <c:v>64.099999999999994</c:v>
                </c:pt>
                <c:pt idx="92">
                  <c:v>60</c:v>
                </c:pt>
                <c:pt idx="93">
                  <c:v>56.2</c:v>
                </c:pt>
                <c:pt idx="94">
                  <c:v>58.4</c:v>
                </c:pt>
                <c:pt idx="95">
                  <c:v>59.5</c:v>
                </c:pt>
                <c:pt idx="96">
                  <c:v>59.9</c:v>
                </c:pt>
                <c:pt idx="97">
                  <c:v>60</c:v>
                </c:pt>
                <c:pt idx="98">
                  <c:v>60.7</c:v>
                </c:pt>
                <c:pt idx="99">
                  <c:v>61.8</c:v>
                </c:pt>
                <c:pt idx="100">
                  <c:v>62.7</c:v>
                </c:pt>
                <c:pt idx="101">
                  <c:v>62</c:v>
                </c:pt>
                <c:pt idx="102">
                  <c:v>61.1</c:v>
                </c:pt>
                <c:pt idx="103">
                  <c:v>60.6</c:v>
                </c:pt>
                <c:pt idx="104">
                  <c:v>60.9</c:v>
                </c:pt>
                <c:pt idx="105">
                  <c:v>61.9</c:v>
                </c:pt>
                <c:pt idx="106">
                  <c:v>62.6</c:v>
                </c:pt>
                <c:pt idx="107">
                  <c:v>62.8</c:v>
                </c:pt>
                <c:pt idx="108">
                  <c:v>62.5</c:v>
                </c:pt>
                <c:pt idx="109">
                  <c:v>62.5</c:v>
                </c:pt>
                <c:pt idx="110">
                  <c:v>62.9</c:v>
                </c:pt>
                <c:pt idx="111">
                  <c:v>63.3</c:v>
                </c:pt>
                <c:pt idx="112">
                  <c:v>63.1</c:v>
                </c:pt>
                <c:pt idx="113">
                  <c:v>62.1</c:v>
                </c:pt>
                <c:pt idx="114">
                  <c:v>60.9</c:v>
                </c:pt>
                <c:pt idx="115">
                  <c:v>60.1</c:v>
                </c:pt>
                <c:pt idx="116">
                  <c:v>60.1</c:v>
                </c:pt>
                <c:pt idx="117">
                  <c:v>60.4</c:v>
                </c:pt>
                <c:pt idx="118">
                  <c:v>60.4</c:v>
                </c:pt>
                <c:pt idx="119">
                  <c:v>60</c:v>
                </c:pt>
                <c:pt idx="120">
                  <c:v>59.7</c:v>
                </c:pt>
                <c:pt idx="121">
                  <c:v>60</c:v>
                </c:pt>
                <c:pt idx="122">
                  <c:v>60.9</c:v>
                </c:pt>
                <c:pt idx="123">
                  <c:v>61.7</c:v>
                </c:pt>
                <c:pt idx="124">
                  <c:v>61.8</c:v>
                </c:pt>
                <c:pt idx="125">
                  <c:v>61.1</c:v>
                </c:pt>
                <c:pt idx="126">
                  <c:v>59.9</c:v>
                </c:pt>
                <c:pt idx="127">
                  <c:v>59.1</c:v>
                </c:pt>
                <c:pt idx="128">
                  <c:v>58.7</c:v>
                </c:pt>
                <c:pt idx="129">
                  <c:v>58.1</c:v>
                </c:pt>
                <c:pt idx="130">
                  <c:v>57</c:v>
                </c:pt>
                <c:pt idx="131">
                  <c:v>55.5</c:v>
                </c:pt>
                <c:pt idx="132">
                  <c:v>54.5</c:v>
                </c:pt>
                <c:pt idx="133">
                  <c:v>54.3</c:v>
                </c:pt>
                <c:pt idx="134">
                  <c:v>54.7</c:v>
                </c:pt>
                <c:pt idx="135">
                  <c:v>55</c:v>
                </c:pt>
                <c:pt idx="136">
                  <c:v>54.7</c:v>
                </c:pt>
                <c:pt idx="137">
                  <c:v>53.9</c:v>
                </c:pt>
                <c:pt idx="138">
                  <c:v>53.4</c:v>
                </c:pt>
                <c:pt idx="139">
                  <c:v>53.4</c:v>
                </c:pt>
                <c:pt idx="140">
                  <c:v>53.5</c:v>
                </c:pt>
                <c:pt idx="141">
                  <c:v>52.8</c:v>
                </c:pt>
                <c:pt idx="142">
                  <c:v>51.2</c:v>
                </c:pt>
                <c:pt idx="143">
                  <c:v>49.4</c:v>
                </c:pt>
                <c:pt idx="144">
                  <c:v>48.1</c:v>
                </c:pt>
                <c:pt idx="145">
                  <c:v>47.5</c:v>
                </c:pt>
                <c:pt idx="146">
                  <c:v>47.2</c:v>
                </c:pt>
                <c:pt idx="147">
                  <c:v>46.7</c:v>
                </c:pt>
                <c:pt idx="148">
                  <c:v>45.8</c:v>
                </c:pt>
                <c:pt idx="149">
                  <c:v>45</c:v>
                </c:pt>
                <c:pt idx="150">
                  <c:v>44.6</c:v>
                </c:pt>
                <c:pt idx="151">
                  <c:v>44.5</c:v>
                </c:pt>
                <c:pt idx="152">
                  <c:v>44.2</c:v>
                </c:pt>
                <c:pt idx="153">
                  <c:v>43.5</c:v>
                </c:pt>
                <c:pt idx="154">
                  <c:v>42.6</c:v>
                </c:pt>
                <c:pt idx="155">
                  <c:v>41.6</c:v>
                </c:pt>
                <c:pt idx="156">
                  <c:v>40.799999999999997</c:v>
                </c:pt>
                <c:pt idx="157">
                  <c:v>40.200000000000003</c:v>
                </c:pt>
                <c:pt idx="158">
                  <c:v>39.4</c:v>
                </c:pt>
                <c:pt idx="159">
                  <c:v>38.700000000000003</c:v>
                </c:pt>
                <c:pt idx="160">
                  <c:v>38</c:v>
                </c:pt>
                <c:pt idx="161">
                  <c:v>37.4</c:v>
                </c:pt>
                <c:pt idx="162">
                  <c:v>36.799999999999997</c:v>
                </c:pt>
                <c:pt idx="163">
                  <c:v>36.200000000000003</c:v>
                </c:pt>
                <c:pt idx="164">
                  <c:v>35.6</c:v>
                </c:pt>
                <c:pt idx="165">
                  <c:v>35</c:v>
                </c:pt>
                <c:pt idx="166">
                  <c:v>34.4</c:v>
                </c:pt>
                <c:pt idx="167">
                  <c:v>33.799999999999997</c:v>
                </c:pt>
                <c:pt idx="168">
                  <c:v>33.200000000000003</c:v>
                </c:pt>
                <c:pt idx="169">
                  <c:v>32.6</c:v>
                </c:pt>
                <c:pt idx="170">
                  <c:v>32</c:v>
                </c:pt>
                <c:pt idx="171">
                  <c:v>32</c:v>
                </c:pt>
                <c:pt idx="172">
                  <c:v>32</c:v>
                </c:pt>
                <c:pt idx="173">
                  <c:v>31.8</c:v>
                </c:pt>
                <c:pt idx="174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crossAx val="1513166271"/>
        <c:crosses val="autoZero"/>
        <c:auto val="1"/>
        <c:lblAlgn val="ctr"/>
        <c:lblOffset val="100"/>
        <c:tickLblSkip val="2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Cumulative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9B6EA-BC2A-3762-B61B-1B8513C07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40777-1CE6-8BED-B5A7-C90BCC70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CA58-BD07-4FB2-B3AF-83AF85AB1728}">
  <sheetPr>
    <tabColor rgb="FF0B4C5B"/>
  </sheetPr>
  <dimension ref="A1:Q179"/>
  <sheetViews>
    <sheetView workbookViewId="0"/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7" ht="30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17" x14ac:dyDescent="0.35">
      <c r="A3" s="9">
        <v>1850</v>
      </c>
      <c r="B3" s="10">
        <f>IFERROR(_xlfn.AGGREGATE(5,6,I3:L3),NA())</f>
        <v>37.700000000000003</v>
      </c>
      <c r="C3" s="10">
        <f>IFERROR(_xlfn.AGGREGATE(4,6,I3:L3),NA())</f>
        <v>42.7</v>
      </c>
      <c r="D3" s="10">
        <f>IFERROR(_xlfn.AGGREGATE(5,6,M3:P3),NA())</f>
        <v>54.5</v>
      </c>
      <c r="E3" s="10">
        <f>IFERROR(_xlfn.AGGREGATE(4,6,M3:P3),NA())</f>
        <v>58.7</v>
      </c>
      <c r="F3" s="10">
        <f>IFERROR(MIN(C3,D3)-B3,NA())</f>
        <v>5</v>
      </c>
      <c r="G3" s="10">
        <f>IFERROR(MAX(0,C3-D3),NA())</f>
        <v>0</v>
      </c>
      <c r="H3" s="10">
        <f>IFERROR(MAX(0,D3-C3),NA())</f>
        <v>11.799999999999997</v>
      </c>
      <c r="I3" s="11">
        <v>37.700000000000003</v>
      </c>
      <c r="J3" s="11">
        <v>41.4</v>
      </c>
      <c r="K3" s="11">
        <v>42.7</v>
      </c>
      <c r="L3" s="11">
        <v>42.5</v>
      </c>
      <c r="M3" s="11">
        <v>54.5</v>
      </c>
      <c r="N3" s="11">
        <v>57.4</v>
      </c>
      <c r="O3" s="11">
        <v>58.7</v>
      </c>
      <c r="P3" s="11">
        <v>57.7</v>
      </c>
      <c r="Q3" s="5">
        <f>IFERROR(MAX(0,E3-MAX(C3,D3)),NA())</f>
        <v>4.2000000000000028</v>
      </c>
    </row>
    <row r="4" spans="1:17" x14ac:dyDescent="0.35">
      <c r="A4" s="6">
        <v>1851</v>
      </c>
      <c r="B4" s="7">
        <f t="shared" ref="B4:B67" si="0">IFERROR(_xlfn.AGGREGATE(5,6,I4:L4),NA())</f>
        <v>38.700000000000003</v>
      </c>
      <c r="C4" s="7">
        <f t="shared" ref="C4:C67" si="1">IFERROR(_xlfn.AGGREGATE(4,6,I4:L4),NA())</f>
        <v>42.1</v>
      </c>
      <c r="D4" s="7">
        <f t="shared" ref="D4:D67" si="2">IFERROR(_xlfn.AGGREGATE(5,6,M4:P4),NA())</f>
        <v>53.8</v>
      </c>
      <c r="E4" s="7">
        <f t="shared" ref="E4:E67" si="3">IFERROR(_xlfn.AGGREGATE(4,6,M4:P4),NA())</f>
        <v>58.8</v>
      </c>
      <c r="F4" s="7">
        <f t="shared" ref="F4:F67" si="4">IFERROR(MIN(C4,D4)-B4,NA())</f>
        <v>3.3999999999999986</v>
      </c>
      <c r="G4" s="7">
        <f t="shared" ref="G4:G67" si="5">IFERROR(MAX(0,C4-D4),NA())</f>
        <v>0</v>
      </c>
      <c r="H4" s="7">
        <f t="shared" ref="H4:H67" si="6">IFERROR(MAX(0,D4-C4),NA())</f>
        <v>11.699999999999996</v>
      </c>
      <c r="I4" s="8">
        <v>38.700000000000003</v>
      </c>
      <c r="J4" s="8">
        <v>41.1</v>
      </c>
      <c r="K4" s="8">
        <v>42.1</v>
      </c>
      <c r="L4" s="8">
        <v>41.8</v>
      </c>
      <c r="M4" s="8">
        <v>53.8</v>
      </c>
      <c r="N4" s="8">
        <v>56.8</v>
      </c>
      <c r="O4" s="8">
        <v>58.5</v>
      </c>
      <c r="P4" s="8">
        <v>58.8</v>
      </c>
      <c r="Q4" s="5">
        <f t="shared" ref="Q4:Q67" si="7">IFERROR(MAX(0,E4-MAX(C4,D4)),NA())</f>
        <v>5</v>
      </c>
    </row>
    <row r="5" spans="1:17" x14ac:dyDescent="0.35">
      <c r="A5" s="9">
        <v>1852</v>
      </c>
      <c r="B5" s="10">
        <f t="shared" si="0"/>
        <v>39.4</v>
      </c>
      <c r="C5" s="10">
        <f t="shared" si="1"/>
        <v>41.8</v>
      </c>
      <c r="D5" s="10">
        <f t="shared" si="2"/>
        <v>53.5</v>
      </c>
      <c r="E5" s="10">
        <f t="shared" si="3"/>
        <v>59.5</v>
      </c>
      <c r="F5" s="10">
        <f t="shared" si="4"/>
        <v>2.3999999999999986</v>
      </c>
      <c r="G5" s="10">
        <f t="shared" si="5"/>
        <v>0</v>
      </c>
      <c r="H5" s="10">
        <f t="shared" si="6"/>
        <v>11.700000000000003</v>
      </c>
      <c r="I5" s="11">
        <v>39.4</v>
      </c>
      <c r="J5" s="11">
        <v>40.799999999999997</v>
      </c>
      <c r="K5" s="11">
        <v>41.8</v>
      </c>
      <c r="L5" s="11">
        <v>41.5</v>
      </c>
      <c r="M5" s="11">
        <v>53.5</v>
      </c>
      <c r="N5" s="11">
        <v>56.6</v>
      </c>
      <c r="O5" s="11">
        <v>58.1</v>
      </c>
      <c r="P5" s="11">
        <v>59.5</v>
      </c>
      <c r="Q5" s="5">
        <f t="shared" si="7"/>
        <v>6</v>
      </c>
    </row>
    <row r="6" spans="1:17" x14ac:dyDescent="0.35">
      <c r="A6" s="6">
        <v>1853</v>
      </c>
      <c r="B6" s="7">
        <f t="shared" si="0"/>
        <v>39.700000000000003</v>
      </c>
      <c r="C6" s="7">
        <f t="shared" si="1"/>
        <v>42.7</v>
      </c>
      <c r="D6" s="7">
        <f t="shared" si="2"/>
        <v>53.8</v>
      </c>
      <c r="E6" s="7">
        <f t="shared" si="3"/>
        <v>59.8</v>
      </c>
      <c r="F6" s="7">
        <f t="shared" si="4"/>
        <v>3</v>
      </c>
      <c r="G6" s="7">
        <f t="shared" si="5"/>
        <v>0</v>
      </c>
      <c r="H6" s="7">
        <f t="shared" si="6"/>
        <v>11.099999999999994</v>
      </c>
      <c r="I6" s="8">
        <v>39.700000000000003</v>
      </c>
      <c r="J6" s="8">
        <v>40.700000000000003</v>
      </c>
      <c r="K6" s="8">
        <v>42.7</v>
      </c>
      <c r="L6" s="8">
        <v>41.7</v>
      </c>
      <c r="M6" s="8">
        <v>53.8</v>
      </c>
      <c r="N6" s="8">
        <v>57.5</v>
      </c>
      <c r="O6" s="8">
        <v>58.1</v>
      </c>
      <c r="P6" s="8">
        <v>59.8</v>
      </c>
      <c r="Q6" s="5">
        <f t="shared" si="7"/>
        <v>6</v>
      </c>
    </row>
    <row r="7" spans="1:17" x14ac:dyDescent="0.35">
      <c r="A7" s="9">
        <v>1854</v>
      </c>
      <c r="B7" s="10">
        <f t="shared" si="0"/>
        <v>40</v>
      </c>
      <c r="C7" s="10">
        <f t="shared" si="1"/>
        <v>43.6</v>
      </c>
      <c r="D7" s="10">
        <f t="shared" si="2"/>
        <v>54.7</v>
      </c>
      <c r="E7" s="10">
        <f t="shared" si="3"/>
        <v>60.1</v>
      </c>
      <c r="F7" s="10">
        <f t="shared" si="4"/>
        <v>3.6000000000000014</v>
      </c>
      <c r="G7" s="10">
        <f t="shared" si="5"/>
        <v>0</v>
      </c>
      <c r="H7" s="10">
        <f t="shared" si="6"/>
        <v>11.100000000000001</v>
      </c>
      <c r="I7" s="11">
        <v>40</v>
      </c>
      <c r="J7" s="11">
        <v>41</v>
      </c>
      <c r="K7" s="11">
        <v>43.6</v>
      </c>
      <c r="L7" s="11">
        <v>42.6</v>
      </c>
      <c r="M7" s="11">
        <v>54.7</v>
      </c>
      <c r="N7" s="11">
        <v>58.4</v>
      </c>
      <c r="O7" s="11">
        <v>58.4</v>
      </c>
      <c r="P7" s="11">
        <v>60.1</v>
      </c>
      <c r="Q7" s="5">
        <f t="shared" si="7"/>
        <v>5.3999999999999986</v>
      </c>
    </row>
    <row r="8" spans="1:17" x14ac:dyDescent="0.35">
      <c r="A8" s="6">
        <v>1855</v>
      </c>
      <c r="B8" s="7">
        <f t="shared" si="0"/>
        <v>40.799999999999997</v>
      </c>
      <c r="C8" s="7">
        <f t="shared" si="1"/>
        <v>43.7</v>
      </c>
      <c r="D8" s="7">
        <f t="shared" si="2"/>
        <v>55.9</v>
      </c>
      <c r="E8" s="7">
        <f t="shared" si="3"/>
        <v>61</v>
      </c>
      <c r="F8" s="7">
        <f t="shared" si="4"/>
        <v>2.9000000000000057</v>
      </c>
      <c r="G8" s="7">
        <f t="shared" si="5"/>
        <v>0</v>
      </c>
      <c r="H8" s="7">
        <f t="shared" si="6"/>
        <v>12.199999999999996</v>
      </c>
      <c r="I8" s="8">
        <v>40.799999999999997</v>
      </c>
      <c r="J8" s="8">
        <v>41.6</v>
      </c>
      <c r="K8" s="8">
        <v>43.3</v>
      </c>
      <c r="L8" s="8">
        <v>43.7</v>
      </c>
      <c r="M8" s="8">
        <v>55.9</v>
      </c>
      <c r="N8" s="8">
        <v>58.1</v>
      </c>
      <c r="O8" s="8">
        <v>59</v>
      </c>
      <c r="P8" s="8">
        <v>61</v>
      </c>
      <c r="Q8" s="5">
        <f t="shared" si="7"/>
        <v>5.1000000000000014</v>
      </c>
    </row>
    <row r="9" spans="1:17" x14ac:dyDescent="0.35">
      <c r="A9" s="9">
        <v>1856</v>
      </c>
      <c r="B9" s="10">
        <f t="shared" si="0"/>
        <v>42.1</v>
      </c>
      <c r="C9" s="10">
        <f t="shared" si="1"/>
        <v>44.9</v>
      </c>
      <c r="D9" s="10">
        <f t="shared" si="2"/>
        <v>57</v>
      </c>
      <c r="E9" s="10">
        <f t="shared" si="3"/>
        <v>62.4</v>
      </c>
      <c r="F9" s="10">
        <f t="shared" si="4"/>
        <v>2.7999999999999972</v>
      </c>
      <c r="G9" s="10">
        <f t="shared" si="5"/>
        <v>0</v>
      </c>
      <c r="H9" s="10">
        <f t="shared" si="6"/>
        <v>12.100000000000001</v>
      </c>
      <c r="I9" s="11">
        <v>42.2</v>
      </c>
      <c r="J9" s="11">
        <v>42.1</v>
      </c>
      <c r="K9" s="11">
        <v>42.3</v>
      </c>
      <c r="L9" s="11">
        <v>44.9</v>
      </c>
      <c r="M9" s="11">
        <v>57</v>
      </c>
      <c r="N9" s="11">
        <v>57.2</v>
      </c>
      <c r="O9" s="11">
        <v>59.5</v>
      </c>
      <c r="P9" s="11">
        <v>62.4</v>
      </c>
      <c r="Q9" s="5">
        <f t="shared" si="7"/>
        <v>5.3999999999999986</v>
      </c>
    </row>
    <row r="10" spans="1:17" x14ac:dyDescent="0.35">
      <c r="A10" s="6">
        <v>1857</v>
      </c>
      <c r="B10" s="7">
        <f t="shared" si="0"/>
        <v>42.3</v>
      </c>
      <c r="C10" s="7">
        <f t="shared" si="1"/>
        <v>45.7</v>
      </c>
      <c r="D10" s="7">
        <f t="shared" si="2"/>
        <v>57.3</v>
      </c>
      <c r="E10" s="7">
        <f t="shared" si="3"/>
        <v>63.6</v>
      </c>
      <c r="F10" s="7">
        <f t="shared" si="4"/>
        <v>3.4000000000000057</v>
      </c>
      <c r="G10" s="7">
        <f t="shared" si="5"/>
        <v>0</v>
      </c>
      <c r="H10" s="7">
        <f t="shared" si="6"/>
        <v>11.599999999999994</v>
      </c>
      <c r="I10" s="8">
        <v>43.4</v>
      </c>
      <c r="J10" s="8">
        <v>42.3</v>
      </c>
      <c r="K10" s="8">
        <v>42.4</v>
      </c>
      <c r="L10" s="8">
        <v>45.7</v>
      </c>
      <c r="M10" s="8">
        <v>57.9</v>
      </c>
      <c r="N10" s="8">
        <v>57.3</v>
      </c>
      <c r="O10" s="8">
        <v>59.8</v>
      </c>
      <c r="P10" s="8">
        <v>63.6</v>
      </c>
      <c r="Q10" s="5">
        <f t="shared" si="7"/>
        <v>6.3000000000000043</v>
      </c>
    </row>
    <row r="11" spans="1:17" x14ac:dyDescent="0.35">
      <c r="A11" s="9">
        <v>1858</v>
      </c>
      <c r="B11" s="10">
        <f t="shared" si="0"/>
        <v>42.4</v>
      </c>
      <c r="C11" s="10">
        <f t="shared" si="1"/>
        <v>46.2</v>
      </c>
      <c r="D11" s="10">
        <f t="shared" si="2"/>
        <v>58.4</v>
      </c>
      <c r="E11" s="10">
        <f t="shared" si="3"/>
        <v>64.099999999999994</v>
      </c>
      <c r="F11" s="10">
        <f t="shared" si="4"/>
        <v>3.8000000000000043</v>
      </c>
      <c r="G11" s="10">
        <f t="shared" si="5"/>
        <v>0</v>
      </c>
      <c r="H11" s="10">
        <f t="shared" si="6"/>
        <v>12.199999999999996</v>
      </c>
      <c r="I11" s="11">
        <v>43.9</v>
      </c>
      <c r="J11" s="11">
        <v>42.4</v>
      </c>
      <c r="K11" s="11">
        <v>43.6</v>
      </c>
      <c r="L11" s="11">
        <v>46.2</v>
      </c>
      <c r="M11" s="11">
        <v>58.4</v>
      </c>
      <c r="N11" s="11">
        <v>58.5</v>
      </c>
      <c r="O11" s="11">
        <v>59.9</v>
      </c>
      <c r="P11" s="11">
        <v>64.099999999999994</v>
      </c>
      <c r="Q11" s="5">
        <f t="shared" si="7"/>
        <v>5.6999999999999957</v>
      </c>
    </row>
    <row r="12" spans="1:17" x14ac:dyDescent="0.35">
      <c r="A12" s="6">
        <v>1859</v>
      </c>
      <c r="B12" s="7">
        <f t="shared" si="0"/>
        <v>42.7</v>
      </c>
      <c r="C12" s="7">
        <f t="shared" si="1"/>
        <v>46.2</v>
      </c>
      <c r="D12" s="7">
        <f t="shared" si="2"/>
        <v>58.5</v>
      </c>
      <c r="E12" s="7">
        <f t="shared" si="3"/>
        <v>63.8</v>
      </c>
      <c r="F12" s="7">
        <f t="shared" si="4"/>
        <v>3.5</v>
      </c>
      <c r="G12" s="7">
        <f t="shared" si="5"/>
        <v>0</v>
      </c>
      <c r="H12" s="7">
        <f t="shared" si="6"/>
        <v>12.299999999999997</v>
      </c>
      <c r="I12" s="8">
        <v>43.6</v>
      </c>
      <c r="J12" s="8">
        <v>42.7</v>
      </c>
      <c r="K12" s="8">
        <v>44.4</v>
      </c>
      <c r="L12" s="8">
        <v>46.2</v>
      </c>
      <c r="M12" s="8">
        <v>58.5</v>
      </c>
      <c r="N12" s="8">
        <v>59.3</v>
      </c>
      <c r="O12" s="8">
        <v>60.2</v>
      </c>
      <c r="P12" s="8">
        <v>63.8</v>
      </c>
      <c r="Q12" s="5">
        <f t="shared" si="7"/>
        <v>5.2999999999999972</v>
      </c>
    </row>
    <row r="13" spans="1:17" x14ac:dyDescent="0.35">
      <c r="A13" s="9">
        <v>1860</v>
      </c>
      <c r="B13" s="10">
        <f t="shared" si="0"/>
        <v>43.1</v>
      </c>
      <c r="C13" s="10">
        <f t="shared" si="1"/>
        <v>46.2</v>
      </c>
      <c r="D13" s="10">
        <f t="shared" si="2"/>
        <v>58.4</v>
      </c>
      <c r="E13" s="10">
        <f t="shared" si="3"/>
        <v>63.4</v>
      </c>
      <c r="F13" s="10">
        <f t="shared" si="4"/>
        <v>3.1000000000000014</v>
      </c>
      <c r="G13" s="10">
        <f t="shared" si="5"/>
        <v>0</v>
      </c>
      <c r="H13" s="10">
        <f t="shared" si="6"/>
        <v>12.199999999999996</v>
      </c>
      <c r="I13" s="11">
        <v>43.1</v>
      </c>
      <c r="J13" s="11">
        <v>43.3</v>
      </c>
      <c r="K13" s="11">
        <v>44</v>
      </c>
      <c r="L13" s="11">
        <v>46.2</v>
      </c>
      <c r="M13" s="11">
        <v>58.4</v>
      </c>
      <c r="N13" s="11">
        <v>59</v>
      </c>
      <c r="O13" s="11">
        <v>60.8</v>
      </c>
      <c r="P13" s="11">
        <v>63.4</v>
      </c>
      <c r="Q13" s="5">
        <f t="shared" si="7"/>
        <v>5</v>
      </c>
    </row>
    <row r="14" spans="1:17" x14ac:dyDescent="0.35">
      <c r="A14" s="6">
        <v>1861</v>
      </c>
      <c r="B14" s="7">
        <f t="shared" si="0"/>
        <v>43.2</v>
      </c>
      <c r="C14" s="7">
        <f t="shared" si="1"/>
        <v>46.2</v>
      </c>
      <c r="D14" s="7">
        <f t="shared" si="2"/>
        <v>58.5</v>
      </c>
      <c r="E14" s="7">
        <f t="shared" si="3"/>
        <v>63.4</v>
      </c>
      <c r="F14" s="7">
        <f t="shared" si="4"/>
        <v>3</v>
      </c>
      <c r="G14" s="7">
        <f t="shared" si="5"/>
        <v>0</v>
      </c>
      <c r="H14" s="7">
        <f t="shared" si="6"/>
        <v>12.299999999999997</v>
      </c>
      <c r="I14" s="8">
        <v>43.2</v>
      </c>
      <c r="J14" s="8">
        <v>44.3</v>
      </c>
      <c r="K14" s="8">
        <v>43.9</v>
      </c>
      <c r="L14" s="8">
        <v>46.2</v>
      </c>
      <c r="M14" s="8">
        <v>58.5</v>
      </c>
      <c r="N14" s="8">
        <v>58.8</v>
      </c>
      <c r="O14" s="8">
        <v>61.9</v>
      </c>
      <c r="P14" s="8">
        <v>63.4</v>
      </c>
      <c r="Q14" s="5">
        <f t="shared" si="7"/>
        <v>4.8999999999999986</v>
      </c>
    </row>
    <row r="15" spans="1:17" x14ac:dyDescent="0.35">
      <c r="A15" s="9">
        <v>1862</v>
      </c>
      <c r="B15" s="10">
        <f t="shared" si="0"/>
        <v>43.7</v>
      </c>
      <c r="C15" s="10">
        <f t="shared" si="1"/>
        <v>46.5</v>
      </c>
      <c r="D15" s="10">
        <f t="shared" si="2"/>
        <v>58.8</v>
      </c>
      <c r="E15" s="10">
        <f t="shared" si="3"/>
        <v>64</v>
      </c>
      <c r="F15" s="10">
        <f t="shared" si="4"/>
        <v>2.7999999999999972</v>
      </c>
      <c r="G15" s="10">
        <f t="shared" si="5"/>
        <v>0</v>
      </c>
      <c r="H15" s="10">
        <f t="shared" si="6"/>
        <v>12.299999999999997</v>
      </c>
      <c r="I15" s="11">
        <v>43.7</v>
      </c>
      <c r="J15" s="11">
        <v>45.7</v>
      </c>
      <c r="K15" s="11">
        <v>45.1</v>
      </c>
      <c r="L15" s="11">
        <v>46.5</v>
      </c>
      <c r="M15" s="11">
        <v>58.8</v>
      </c>
      <c r="N15" s="11">
        <v>60.1</v>
      </c>
      <c r="O15" s="11">
        <v>63.3</v>
      </c>
      <c r="P15" s="11">
        <v>64</v>
      </c>
      <c r="Q15" s="5">
        <f t="shared" si="7"/>
        <v>5.2000000000000028</v>
      </c>
    </row>
    <row r="16" spans="1:17" x14ac:dyDescent="0.35">
      <c r="A16" s="6">
        <v>1863</v>
      </c>
      <c r="B16" s="7">
        <f t="shared" si="0"/>
        <v>44.1</v>
      </c>
      <c r="C16" s="7">
        <f t="shared" si="1"/>
        <v>46.8</v>
      </c>
      <c r="D16" s="7">
        <f t="shared" si="2"/>
        <v>59.2</v>
      </c>
      <c r="E16" s="7">
        <f t="shared" si="3"/>
        <v>64.400000000000006</v>
      </c>
      <c r="F16" s="7">
        <f t="shared" si="4"/>
        <v>2.6999999999999957</v>
      </c>
      <c r="G16" s="7">
        <f t="shared" si="5"/>
        <v>0</v>
      </c>
      <c r="H16" s="7">
        <f t="shared" si="6"/>
        <v>12.400000000000006</v>
      </c>
      <c r="I16" s="8">
        <v>44.1</v>
      </c>
      <c r="J16" s="8">
        <v>46.8</v>
      </c>
      <c r="K16" s="8">
        <v>46.8</v>
      </c>
      <c r="L16" s="8">
        <v>46.8</v>
      </c>
      <c r="M16" s="8">
        <v>59.2</v>
      </c>
      <c r="N16" s="8">
        <v>61.8</v>
      </c>
      <c r="O16" s="8">
        <v>64.400000000000006</v>
      </c>
      <c r="P16" s="8">
        <v>64.400000000000006</v>
      </c>
      <c r="Q16" s="5">
        <f t="shared" si="7"/>
        <v>5.2000000000000028</v>
      </c>
    </row>
    <row r="17" spans="1:17" x14ac:dyDescent="0.35">
      <c r="A17" s="9">
        <v>1864</v>
      </c>
      <c r="B17" s="10">
        <f t="shared" si="0"/>
        <v>44</v>
      </c>
      <c r="C17" s="10">
        <f t="shared" si="1"/>
        <v>47.4</v>
      </c>
      <c r="D17" s="10">
        <f t="shared" si="2"/>
        <v>59.6</v>
      </c>
      <c r="E17" s="10">
        <f t="shared" si="3"/>
        <v>65</v>
      </c>
      <c r="F17" s="10">
        <f t="shared" si="4"/>
        <v>3.3999999999999986</v>
      </c>
      <c r="G17" s="10">
        <f t="shared" si="5"/>
        <v>0</v>
      </c>
      <c r="H17" s="10">
        <f t="shared" si="6"/>
        <v>12.200000000000003</v>
      </c>
      <c r="I17" s="11">
        <v>44</v>
      </c>
      <c r="J17" s="11">
        <v>47.4</v>
      </c>
      <c r="K17" s="11">
        <v>47.4</v>
      </c>
      <c r="L17" s="11">
        <v>47.3</v>
      </c>
      <c r="M17" s="11">
        <v>59.6</v>
      </c>
      <c r="N17" s="11">
        <v>62.5</v>
      </c>
      <c r="O17" s="11">
        <v>65</v>
      </c>
      <c r="P17" s="11">
        <v>64.400000000000006</v>
      </c>
      <c r="Q17" s="5">
        <f t="shared" si="7"/>
        <v>5.3999999999999986</v>
      </c>
    </row>
    <row r="18" spans="1:17" x14ac:dyDescent="0.35">
      <c r="A18" s="6">
        <v>1865</v>
      </c>
      <c r="B18" s="7">
        <f t="shared" si="0"/>
        <v>43.6</v>
      </c>
      <c r="C18" s="7">
        <f t="shared" si="1"/>
        <v>47.7</v>
      </c>
      <c r="D18" s="7">
        <f t="shared" si="2"/>
        <v>60</v>
      </c>
      <c r="E18" s="7">
        <f t="shared" si="3"/>
        <v>64.900000000000006</v>
      </c>
      <c r="F18" s="7">
        <f t="shared" si="4"/>
        <v>4.1000000000000014</v>
      </c>
      <c r="G18" s="7">
        <f t="shared" si="5"/>
        <v>0</v>
      </c>
      <c r="H18" s="7">
        <f t="shared" si="6"/>
        <v>12.299999999999997</v>
      </c>
      <c r="I18" s="8">
        <v>43.6</v>
      </c>
      <c r="J18" s="8">
        <v>47.2</v>
      </c>
      <c r="K18" s="8">
        <v>47.1</v>
      </c>
      <c r="L18" s="8">
        <v>47.7</v>
      </c>
      <c r="M18" s="8">
        <v>60</v>
      </c>
      <c r="N18" s="8">
        <v>62.2</v>
      </c>
      <c r="O18" s="8">
        <v>64.900000000000006</v>
      </c>
      <c r="P18" s="8">
        <v>64</v>
      </c>
      <c r="Q18" s="5">
        <f t="shared" si="7"/>
        <v>4.9000000000000057</v>
      </c>
    </row>
    <row r="19" spans="1:17" x14ac:dyDescent="0.35">
      <c r="A19" s="9">
        <v>1866</v>
      </c>
      <c r="B19" s="10">
        <f t="shared" si="0"/>
        <v>43.7</v>
      </c>
      <c r="C19" s="10">
        <f t="shared" si="1"/>
        <v>48</v>
      </c>
      <c r="D19" s="10">
        <f t="shared" si="2"/>
        <v>60.4</v>
      </c>
      <c r="E19" s="10">
        <f t="shared" si="3"/>
        <v>64.3</v>
      </c>
      <c r="F19" s="10">
        <f t="shared" si="4"/>
        <v>4.2999999999999972</v>
      </c>
      <c r="G19" s="10">
        <f t="shared" si="5"/>
        <v>0</v>
      </c>
      <c r="H19" s="10">
        <f t="shared" si="6"/>
        <v>12.399999999999999</v>
      </c>
      <c r="I19" s="11">
        <v>43.7</v>
      </c>
      <c r="J19" s="11">
        <v>46.6</v>
      </c>
      <c r="K19" s="11">
        <v>47.5</v>
      </c>
      <c r="L19" s="11">
        <v>48</v>
      </c>
      <c r="M19" s="11">
        <v>60.4</v>
      </c>
      <c r="N19" s="11">
        <v>62.6</v>
      </c>
      <c r="O19" s="11">
        <v>64.3</v>
      </c>
      <c r="P19" s="11">
        <v>64.099999999999994</v>
      </c>
      <c r="Q19" s="5">
        <f t="shared" si="7"/>
        <v>3.8999999999999986</v>
      </c>
    </row>
    <row r="20" spans="1:17" x14ac:dyDescent="0.35">
      <c r="A20" s="6">
        <v>1867</v>
      </c>
      <c r="B20" s="7">
        <f t="shared" si="0"/>
        <v>44.6</v>
      </c>
      <c r="C20" s="7">
        <f t="shared" si="1"/>
        <v>48.9</v>
      </c>
      <c r="D20" s="7">
        <f t="shared" si="2"/>
        <v>60.9</v>
      </c>
      <c r="E20" s="7">
        <f t="shared" si="3"/>
        <v>65</v>
      </c>
      <c r="F20" s="7">
        <f t="shared" si="4"/>
        <v>4.2999999999999972</v>
      </c>
      <c r="G20" s="7">
        <f t="shared" si="5"/>
        <v>0</v>
      </c>
      <c r="H20" s="7">
        <f t="shared" si="6"/>
        <v>12</v>
      </c>
      <c r="I20" s="8">
        <v>44.6</v>
      </c>
      <c r="J20" s="8">
        <v>46.1</v>
      </c>
      <c r="K20" s="8">
        <v>48.9</v>
      </c>
      <c r="L20" s="8">
        <v>48.5</v>
      </c>
      <c r="M20" s="8">
        <v>60.9</v>
      </c>
      <c r="N20" s="8">
        <v>64</v>
      </c>
      <c r="O20" s="8">
        <v>63.8</v>
      </c>
      <c r="P20" s="8">
        <v>65</v>
      </c>
      <c r="Q20" s="5">
        <f t="shared" si="7"/>
        <v>4.1000000000000014</v>
      </c>
    </row>
    <row r="21" spans="1:17" x14ac:dyDescent="0.35">
      <c r="A21" s="9">
        <v>1868</v>
      </c>
      <c r="B21" s="10">
        <f t="shared" si="0"/>
        <v>45.9</v>
      </c>
      <c r="C21" s="10">
        <f t="shared" si="1"/>
        <v>50</v>
      </c>
      <c r="D21" s="10">
        <f t="shared" si="2"/>
        <v>61.5</v>
      </c>
      <c r="E21" s="10">
        <f t="shared" si="3"/>
        <v>66.5</v>
      </c>
      <c r="F21" s="10">
        <f t="shared" si="4"/>
        <v>4.1000000000000014</v>
      </c>
      <c r="G21" s="10">
        <f t="shared" si="5"/>
        <v>0</v>
      </c>
      <c r="H21" s="10">
        <f t="shared" si="6"/>
        <v>11.5</v>
      </c>
      <c r="I21" s="11">
        <v>46.1</v>
      </c>
      <c r="J21" s="11">
        <v>45.9</v>
      </c>
      <c r="K21" s="11">
        <v>50</v>
      </c>
      <c r="L21" s="11">
        <v>49</v>
      </c>
      <c r="M21" s="11">
        <v>61.5</v>
      </c>
      <c r="N21" s="11">
        <v>65.099999999999994</v>
      </c>
      <c r="O21" s="11">
        <v>63.7</v>
      </c>
      <c r="P21" s="11">
        <v>66.5</v>
      </c>
      <c r="Q21" s="5">
        <f t="shared" si="7"/>
        <v>5</v>
      </c>
    </row>
    <row r="22" spans="1:17" x14ac:dyDescent="0.35">
      <c r="A22" s="6">
        <v>1869</v>
      </c>
      <c r="B22" s="7">
        <f t="shared" si="0"/>
        <v>46.3</v>
      </c>
      <c r="C22" s="7">
        <f t="shared" si="1"/>
        <v>49.8</v>
      </c>
      <c r="D22" s="7">
        <f t="shared" si="2"/>
        <v>62.3</v>
      </c>
      <c r="E22" s="7">
        <f t="shared" si="3"/>
        <v>67.8</v>
      </c>
      <c r="F22" s="7">
        <f t="shared" si="4"/>
        <v>3.5</v>
      </c>
      <c r="G22" s="7">
        <f t="shared" si="5"/>
        <v>0</v>
      </c>
      <c r="H22" s="7">
        <f t="shared" si="6"/>
        <v>12.5</v>
      </c>
      <c r="I22" s="8">
        <v>47.3</v>
      </c>
      <c r="J22" s="8">
        <v>46.3</v>
      </c>
      <c r="K22" s="8">
        <v>49.6</v>
      </c>
      <c r="L22" s="8">
        <v>49.8</v>
      </c>
      <c r="M22" s="8">
        <v>62.3</v>
      </c>
      <c r="N22" s="8">
        <v>64.8</v>
      </c>
      <c r="O22" s="8">
        <v>64.099999999999994</v>
      </c>
      <c r="P22" s="8">
        <v>67.8</v>
      </c>
      <c r="Q22" s="5">
        <f t="shared" si="7"/>
        <v>5.5</v>
      </c>
    </row>
    <row r="23" spans="1:17" x14ac:dyDescent="0.35">
      <c r="A23" s="9">
        <v>1870</v>
      </c>
      <c r="B23" s="10">
        <f t="shared" si="0"/>
        <v>47.2</v>
      </c>
      <c r="C23" s="10">
        <f t="shared" si="1"/>
        <v>50.6</v>
      </c>
      <c r="D23" s="10">
        <f t="shared" si="2"/>
        <v>63.1</v>
      </c>
      <c r="E23" s="10">
        <f t="shared" si="3"/>
        <v>68.400000000000006</v>
      </c>
      <c r="F23" s="10">
        <f t="shared" si="4"/>
        <v>3.3999999999999986</v>
      </c>
      <c r="G23" s="10">
        <f t="shared" si="5"/>
        <v>0</v>
      </c>
      <c r="H23" s="10">
        <f t="shared" si="6"/>
        <v>12.5</v>
      </c>
      <c r="I23" s="11">
        <v>47.9</v>
      </c>
      <c r="J23" s="11">
        <v>47.2</v>
      </c>
      <c r="K23" s="11">
        <v>48.9</v>
      </c>
      <c r="L23" s="11">
        <v>50.6</v>
      </c>
      <c r="M23" s="11">
        <v>63.1</v>
      </c>
      <c r="N23" s="11">
        <v>64.099999999999994</v>
      </c>
      <c r="O23" s="11">
        <v>65</v>
      </c>
      <c r="P23" s="11">
        <v>68.400000000000006</v>
      </c>
      <c r="Q23" s="5">
        <f t="shared" si="7"/>
        <v>5.3000000000000043</v>
      </c>
    </row>
    <row r="24" spans="1:17" x14ac:dyDescent="0.35">
      <c r="A24" s="6">
        <v>1871</v>
      </c>
      <c r="B24" s="7">
        <f t="shared" si="0"/>
        <v>47.9</v>
      </c>
      <c r="C24" s="7">
        <f t="shared" si="1"/>
        <v>51.2</v>
      </c>
      <c r="D24" s="7">
        <f t="shared" si="2"/>
        <v>63.8</v>
      </c>
      <c r="E24" s="7">
        <f t="shared" si="3"/>
        <v>68.400000000000006</v>
      </c>
      <c r="F24" s="7">
        <f t="shared" si="4"/>
        <v>3.3000000000000043</v>
      </c>
      <c r="G24" s="7">
        <f t="shared" si="5"/>
        <v>0</v>
      </c>
      <c r="H24" s="7">
        <f t="shared" si="6"/>
        <v>12.599999999999994</v>
      </c>
      <c r="I24" s="8">
        <v>47.9</v>
      </c>
      <c r="J24" s="8">
        <v>47.9</v>
      </c>
      <c r="K24" s="8">
        <v>49</v>
      </c>
      <c r="L24" s="8">
        <v>51.2</v>
      </c>
      <c r="M24" s="8">
        <v>63.8</v>
      </c>
      <c r="N24" s="8">
        <v>64.3</v>
      </c>
      <c r="O24" s="8">
        <v>65.8</v>
      </c>
      <c r="P24" s="8">
        <v>68.400000000000006</v>
      </c>
      <c r="Q24" s="5">
        <f t="shared" si="7"/>
        <v>4.6000000000000085</v>
      </c>
    </row>
    <row r="25" spans="1:17" x14ac:dyDescent="0.35">
      <c r="A25" s="9">
        <v>1872</v>
      </c>
      <c r="B25" s="10">
        <f t="shared" si="0"/>
        <v>48</v>
      </c>
      <c r="C25" s="10">
        <f t="shared" si="1"/>
        <v>51.4</v>
      </c>
      <c r="D25" s="10">
        <f t="shared" si="2"/>
        <v>64.099999999999994</v>
      </c>
      <c r="E25" s="10">
        <f t="shared" si="3"/>
        <v>68.7</v>
      </c>
      <c r="F25" s="10">
        <f t="shared" si="4"/>
        <v>3.3999999999999986</v>
      </c>
      <c r="G25" s="10">
        <f t="shared" si="5"/>
        <v>0</v>
      </c>
      <c r="H25" s="10">
        <f t="shared" si="6"/>
        <v>12.699999999999996</v>
      </c>
      <c r="I25" s="11">
        <v>48</v>
      </c>
      <c r="J25" s="11">
        <v>48.5</v>
      </c>
      <c r="K25" s="11">
        <v>49.9</v>
      </c>
      <c r="L25" s="11">
        <v>51.4</v>
      </c>
      <c r="M25" s="11">
        <v>64.099999999999994</v>
      </c>
      <c r="N25" s="11">
        <v>65.3</v>
      </c>
      <c r="O25" s="11">
        <v>66.400000000000006</v>
      </c>
      <c r="P25" s="11">
        <v>68.7</v>
      </c>
      <c r="Q25" s="5">
        <f t="shared" si="7"/>
        <v>4.6000000000000085</v>
      </c>
    </row>
    <row r="26" spans="1:17" x14ac:dyDescent="0.35">
      <c r="A26" s="6">
        <v>1873</v>
      </c>
      <c r="B26" s="7">
        <f t="shared" si="0"/>
        <v>48.6</v>
      </c>
      <c r="C26" s="7">
        <f t="shared" si="1"/>
        <v>51.2</v>
      </c>
      <c r="D26" s="7">
        <f t="shared" si="2"/>
        <v>64</v>
      </c>
      <c r="E26" s="7">
        <f t="shared" si="3"/>
        <v>69.3</v>
      </c>
      <c r="F26" s="7">
        <f t="shared" si="4"/>
        <v>2.6000000000000014</v>
      </c>
      <c r="G26" s="7">
        <f t="shared" si="5"/>
        <v>0</v>
      </c>
      <c r="H26" s="7">
        <f t="shared" si="6"/>
        <v>12.799999999999997</v>
      </c>
      <c r="I26" s="8">
        <v>48.6</v>
      </c>
      <c r="J26" s="8">
        <v>48.8</v>
      </c>
      <c r="K26" s="8">
        <v>50</v>
      </c>
      <c r="L26" s="8">
        <v>51.2</v>
      </c>
      <c r="M26" s="8">
        <v>64</v>
      </c>
      <c r="N26" s="8">
        <v>65.400000000000006</v>
      </c>
      <c r="O26" s="8">
        <v>66.8</v>
      </c>
      <c r="P26" s="8">
        <v>69.3</v>
      </c>
      <c r="Q26" s="5">
        <f t="shared" si="7"/>
        <v>5.2999999999999972</v>
      </c>
    </row>
    <row r="27" spans="1:17" x14ac:dyDescent="0.35">
      <c r="A27" s="9">
        <v>1874</v>
      </c>
      <c r="B27" s="10">
        <f t="shared" si="0"/>
        <v>48.9</v>
      </c>
      <c r="C27" s="10">
        <f t="shared" si="1"/>
        <v>50.7</v>
      </c>
      <c r="D27" s="10">
        <f t="shared" si="2"/>
        <v>63.5</v>
      </c>
      <c r="E27" s="10">
        <f t="shared" si="3"/>
        <v>70.099999999999994</v>
      </c>
      <c r="F27" s="10">
        <f t="shared" si="4"/>
        <v>1.8000000000000043</v>
      </c>
      <c r="G27" s="10">
        <f t="shared" si="5"/>
        <v>0</v>
      </c>
      <c r="H27" s="10">
        <f t="shared" si="6"/>
        <v>12.799999999999997</v>
      </c>
      <c r="I27" s="11">
        <v>49.3</v>
      </c>
      <c r="J27" s="11">
        <v>48.9</v>
      </c>
      <c r="K27" s="11">
        <v>49</v>
      </c>
      <c r="L27" s="11">
        <v>50.7</v>
      </c>
      <c r="M27" s="11">
        <v>63.5</v>
      </c>
      <c r="N27" s="11">
        <v>64.5</v>
      </c>
      <c r="O27" s="11">
        <v>67</v>
      </c>
      <c r="P27" s="11">
        <v>70.099999999999994</v>
      </c>
      <c r="Q27" s="5">
        <f t="shared" si="7"/>
        <v>6.5999999999999943</v>
      </c>
    </row>
    <row r="28" spans="1:17" x14ac:dyDescent="0.35">
      <c r="A28" s="6">
        <v>1875</v>
      </c>
      <c r="B28" s="7">
        <f t="shared" si="0"/>
        <v>48.5</v>
      </c>
      <c r="C28" s="7">
        <f t="shared" si="1"/>
        <v>50.2</v>
      </c>
      <c r="D28" s="7">
        <f t="shared" si="2"/>
        <v>63.1</v>
      </c>
      <c r="E28" s="7">
        <f t="shared" si="3"/>
        <v>70.3</v>
      </c>
      <c r="F28" s="7">
        <f t="shared" si="4"/>
        <v>1.7000000000000028</v>
      </c>
      <c r="G28" s="7">
        <f t="shared" si="5"/>
        <v>0</v>
      </c>
      <c r="H28" s="7">
        <f t="shared" si="6"/>
        <v>12.899999999999999</v>
      </c>
      <c r="I28" s="8">
        <v>49.4</v>
      </c>
      <c r="J28" s="8">
        <v>49.3</v>
      </c>
      <c r="K28" s="8">
        <v>48.5</v>
      </c>
      <c r="L28" s="8">
        <v>50.2</v>
      </c>
      <c r="M28" s="8">
        <v>63.1</v>
      </c>
      <c r="N28" s="8">
        <v>64.099999999999994</v>
      </c>
      <c r="O28" s="8">
        <v>67.400000000000006</v>
      </c>
      <c r="P28" s="8">
        <v>70.3</v>
      </c>
      <c r="Q28" s="5">
        <f t="shared" si="7"/>
        <v>7.1999999999999957</v>
      </c>
    </row>
    <row r="29" spans="1:17" x14ac:dyDescent="0.35">
      <c r="A29" s="9">
        <v>1876</v>
      </c>
      <c r="B29" s="10">
        <f t="shared" si="0"/>
        <v>48.8</v>
      </c>
      <c r="C29" s="10">
        <f t="shared" si="1"/>
        <v>50</v>
      </c>
      <c r="D29" s="10">
        <f t="shared" si="2"/>
        <v>63</v>
      </c>
      <c r="E29" s="10">
        <f t="shared" si="3"/>
        <v>69.7</v>
      </c>
      <c r="F29" s="10">
        <f t="shared" si="4"/>
        <v>1.2000000000000028</v>
      </c>
      <c r="G29" s="10">
        <f t="shared" si="5"/>
        <v>0</v>
      </c>
      <c r="H29" s="10">
        <f t="shared" si="6"/>
        <v>13</v>
      </c>
      <c r="I29" s="11">
        <v>48.8</v>
      </c>
      <c r="J29" s="11">
        <v>49.9</v>
      </c>
      <c r="K29" s="11">
        <v>49.4</v>
      </c>
      <c r="L29" s="11">
        <v>50</v>
      </c>
      <c r="M29" s="11">
        <v>63</v>
      </c>
      <c r="N29" s="11">
        <v>65.099999999999994</v>
      </c>
      <c r="O29" s="11">
        <v>68.2</v>
      </c>
      <c r="P29" s="11">
        <v>69.7</v>
      </c>
      <c r="Q29" s="5">
        <f t="shared" si="7"/>
        <v>6.7000000000000028</v>
      </c>
    </row>
    <row r="30" spans="1:17" x14ac:dyDescent="0.35">
      <c r="A30" s="6">
        <v>1877</v>
      </c>
      <c r="B30" s="7">
        <f t="shared" si="0"/>
        <v>47.9</v>
      </c>
      <c r="C30" s="7">
        <f t="shared" si="1"/>
        <v>50.7</v>
      </c>
      <c r="D30" s="7">
        <f t="shared" si="2"/>
        <v>63.5</v>
      </c>
      <c r="E30" s="7">
        <f t="shared" si="3"/>
        <v>69</v>
      </c>
      <c r="F30" s="7">
        <f t="shared" si="4"/>
        <v>2.8000000000000043</v>
      </c>
      <c r="G30" s="7">
        <f t="shared" si="5"/>
        <v>0</v>
      </c>
      <c r="H30" s="7">
        <f t="shared" si="6"/>
        <v>12.799999999999997</v>
      </c>
      <c r="I30" s="8">
        <v>47.9</v>
      </c>
      <c r="J30" s="8">
        <v>50.7</v>
      </c>
      <c r="K30" s="8">
        <v>50.6</v>
      </c>
      <c r="L30" s="8">
        <v>50.4</v>
      </c>
      <c r="M30" s="8">
        <v>63.5</v>
      </c>
      <c r="N30" s="8">
        <v>66.3</v>
      </c>
      <c r="O30" s="8">
        <v>69</v>
      </c>
      <c r="P30" s="8">
        <v>68.900000000000006</v>
      </c>
      <c r="Q30" s="5">
        <f t="shared" si="7"/>
        <v>5.5</v>
      </c>
    </row>
    <row r="31" spans="1:17" x14ac:dyDescent="0.35">
      <c r="A31" s="9">
        <v>1878</v>
      </c>
      <c r="B31" s="10">
        <f t="shared" si="0"/>
        <v>47.5</v>
      </c>
      <c r="C31" s="10">
        <f t="shared" si="1"/>
        <v>51.4</v>
      </c>
      <c r="D31" s="10">
        <f t="shared" si="2"/>
        <v>64.5</v>
      </c>
      <c r="E31" s="10">
        <f t="shared" si="3"/>
        <v>69.8</v>
      </c>
      <c r="F31" s="10">
        <f t="shared" si="4"/>
        <v>3.8999999999999986</v>
      </c>
      <c r="G31" s="10">
        <f t="shared" si="5"/>
        <v>0</v>
      </c>
      <c r="H31" s="10">
        <f t="shared" si="6"/>
        <v>13.100000000000001</v>
      </c>
      <c r="I31" s="11">
        <v>47.5</v>
      </c>
      <c r="J31" s="11">
        <v>51.4</v>
      </c>
      <c r="K31" s="11">
        <v>50.7</v>
      </c>
      <c r="L31" s="11">
        <v>51.4</v>
      </c>
      <c r="M31" s="11">
        <v>64.5</v>
      </c>
      <c r="N31" s="11">
        <v>66.5</v>
      </c>
      <c r="O31" s="11">
        <v>69.8</v>
      </c>
      <c r="P31" s="11">
        <v>68.599999999999994</v>
      </c>
      <c r="Q31" s="5">
        <f t="shared" si="7"/>
        <v>5.2999999999999972</v>
      </c>
    </row>
    <row r="32" spans="1:17" x14ac:dyDescent="0.35">
      <c r="A32" s="6">
        <v>1879</v>
      </c>
      <c r="B32" s="7">
        <f t="shared" si="0"/>
        <v>48</v>
      </c>
      <c r="C32" s="7">
        <f t="shared" si="1"/>
        <v>52.7</v>
      </c>
      <c r="D32" s="7">
        <f t="shared" si="2"/>
        <v>65.900000000000006</v>
      </c>
      <c r="E32" s="7">
        <f t="shared" si="3"/>
        <v>70</v>
      </c>
      <c r="F32" s="7">
        <f t="shared" si="4"/>
        <v>4.7000000000000028</v>
      </c>
      <c r="G32" s="7">
        <f t="shared" si="5"/>
        <v>0</v>
      </c>
      <c r="H32" s="7">
        <f t="shared" si="6"/>
        <v>13.200000000000003</v>
      </c>
      <c r="I32" s="8">
        <v>48</v>
      </c>
      <c r="J32" s="8">
        <v>51.5</v>
      </c>
      <c r="K32" s="8">
        <v>50.2</v>
      </c>
      <c r="L32" s="8">
        <v>52.7</v>
      </c>
      <c r="M32" s="8">
        <v>65.900000000000006</v>
      </c>
      <c r="N32" s="8">
        <v>66.099999999999994</v>
      </c>
      <c r="O32" s="8">
        <v>70</v>
      </c>
      <c r="P32" s="8">
        <v>69.2</v>
      </c>
      <c r="Q32" s="5">
        <f t="shared" si="7"/>
        <v>4.0999999999999943</v>
      </c>
    </row>
    <row r="33" spans="1:17" x14ac:dyDescent="0.35">
      <c r="A33" s="9">
        <v>1880</v>
      </c>
      <c r="B33" s="10">
        <f t="shared" si="0"/>
        <v>48.8</v>
      </c>
      <c r="C33" s="10">
        <f t="shared" si="1"/>
        <v>53.9</v>
      </c>
      <c r="D33" s="10">
        <f t="shared" si="2"/>
        <v>66.7</v>
      </c>
      <c r="E33" s="10">
        <f t="shared" si="3"/>
        <v>70.099999999999994</v>
      </c>
      <c r="F33" s="10">
        <f t="shared" si="4"/>
        <v>5.1000000000000014</v>
      </c>
      <c r="G33" s="10">
        <f t="shared" si="5"/>
        <v>0</v>
      </c>
      <c r="H33" s="10">
        <f t="shared" si="6"/>
        <v>12.800000000000004</v>
      </c>
      <c r="I33" s="11">
        <v>48.8</v>
      </c>
      <c r="J33" s="11">
        <v>51.1</v>
      </c>
      <c r="K33" s="11">
        <v>50.8</v>
      </c>
      <c r="L33" s="11">
        <v>53.9</v>
      </c>
      <c r="M33" s="11">
        <v>67.099999999999994</v>
      </c>
      <c r="N33" s="11">
        <v>66.7</v>
      </c>
      <c r="O33" s="11">
        <v>69.7</v>
      </c>
      <c r="P33" s="11">
        <v>70.099999999999994</v>
      </c>
      <c r="Q33" s="5">
        <f t="shared" si="7"/>
        <v>3.3999999999999915</v>
      </c>
    </row>
    <row r="34" spans="1:17" x14ac:dyDescent="0.35">
      <c r="A34" s="6">
        <v>1881</v>
      </c>
      <c r="B34" s="7">
        <f t="shared" si="0"/>
        <v>49.3</v>
      </c>
      <c r="C34" s="7">
        <f t="shared" si="1"/>
        <v>54.5</v>
      </c>
      <c r="D34" s="7">
        <f t="shared" si="2"/>
        <v>67.8</v>
      </c>
      <c r="E34" s="7">
        <f t="shared" si="3"/>
        <v>70.7</v>
      </c>
      <c r="F34" s="7">
        <f t="shared" si="4"/>
        <v>5.2000000000000028</v>
      </c>
      <c r="G34" s="7">
        <f t="shared" si="5"/>
        <v>0</v>
      </c>
      <c r="H34" s="7">
        <f t="shared" si="6"/>
        <v>13.299999999999997</v>
      </c>
      <c r="I34" s="8">
        <v>49.3</v>
      </c>
      <c r="J34" s="8">
        <v>50.3</v>
      </c>
      <c r="K34" s="8">
        <v>52.4</v>
      </c>
      <c r="L34" s="8">
        <v>54.5</v>
      </c>
      <c r="M34" s="8">
        <v>67.8</v>
      </c>
      <c r="N34" s="8">
        <v>68.400000000000006</v>
      </c>
      <c r="O34" s="8">
        <v>69</v>
      </c>
      <c r="P34" s="8">
        <v>70.7</v>
      </c>
      <c r="Q34" s="5">
        <f t="shared" si="7"/>
        <v>2.9000000000000057</v>
      </c>
    </row>
    <row r="35" spans="1:17" x14ac:dyDescent="0.35">
      <c r="A35" s="9">
        <v>1882</v>
      </c>
      <c r="B35" s="10">
        <f t="shared" si="0"/>
        <v>49.4</v>
      </c>
      <c r="C35" s="10">
        <f t="shared" si="1"/>
        <v>54.4</v>
      </c>
      <c r="D35" s="10">
        <f t="shared" si="2"/>
        <v>67.8</v>
      </c>
      <c r="E35" s="10">
        <f t="shared" si="3"/>
        <v>70.8</v>
      </c>
      <c r="F35" s="10">
        <f t="shared" si="4"/>
        <v>5</v>
      </c>
      <c r="G35" s="10">
        <f t="shared" si="5"/>
        <v>0</v>
      </c>
      <c r="H35" s="10">
        <f t="shared" si="6"/>
        <v>13.399999999999999</v>
      </c>
      <c r="I35" s="11">
        <v>49.4</v>
      </c>
      <c r="J35" s="11">
        <v>49.6</v>
      </c>
      <c r="K35" s="11">
        <v>53.4</v>
      </c>
      <c r="L35" s="11">
        <v>54.4</v>
      </c>
      <c r="M35" s="11">
        <v>67.8</v>
      </c>
      <c r="N35" s="11">
        <v>69.5</v>
      </c>
      <c r="O35" s="11">
        <v>68.3</v>
      </c>
      <c r="P35" s="11">
        <v>70.8</v>
      </c>
      <c r="Q35" s="5">
        <f t="shared" si="7"/>
        <v>3</v>
      </c>
    </row>
    <row r="36" spans="1:17" x14ac:dyDescent="0.35">
      <c r="A36" s="6">
        <v>1883</v>
      </c>
      <c r="B36" s="7">
        <f t="shared" si="0"/>
        <v>49.5</v>
      </c>
      <c r="C36" s="7">
        <f t="shared" si="1"/>
        <v>53.7</v>
      </c>
      <c r="D36" s="7">
        <f t="shared" si="2"/>
        <v>67.2</v>
      </c>
      <c r="E36" s="7">
        <f t="shared" si="3"/>
        <v>71</v>
      </c>
      <c r="F36" s="7">
        <f t="shared" si="4"/>
        <v>4.2000000000000028</v>
      </c>
      <c r="G36" s="7">
        <f t="shared" si="5"/>
        <v>0</v>
      </c>
      <c r="H36" s="7">
        <f t="shared" si="6"/>
        <v>13.5</v>
      </c>
      <c r="I36" s="8">
        <v>49.5</v>
      </c>
      <c r="J36" s="8">
        <v>49.5</v>
      </c>
      <c r="K36" s="8">
        <v>53.1</v>
      </c>
      <c r="L36" s="8">
        <v>53.7</v>
      </c>
      <c r="M36" s="8">
        <v>67.2</v>
      </c>
      <c r="N36" s="8">
        <v>69.2</v>
      </c>
      <c r="O36" s="8">
        <v>68.3</v>
      </c>
      <c r="P36" s="8">
        <v>71</v>
      </c>
      <c r="Q36" s="5">
        <f t="shared" si="7"/>
        <v>3.7999999999999972</v>
      </c>
    </row>
    <row r="37" spans="1:17" x14ac:dyDescent="0.35">
      <c r="A37" s="9">
        <v>1884</v>
      </c>
      <c r="B37" s="10">
        <f t="shared" si="0"/>
        <v>50</v>
      </c>
      <c r="C37" s="10">
        <f t="shared" si="1"/>
        <v>52.8</v>
      </c>
      <c r="D37" s="10">
        <f t="shared" si="2"/>
        <v>66.400000000000006</v>
      </c>
      <c r="E37" s="10">
        <f t="shared" si="3"/>
        <v>71.8</v>
      </c>
      <c r="F37" s="10">
        <f t="shared" si="4"/>
        <v>2.7999999999999972</v>
      </c>
      <c r="G37" s="10">
        <f t="shared" si="5"/>
        <v>0</v>
      </c>
      <c r="H37" s="10">
        <f t="shared" si="6"/>
        <v>13.600000000000009</v>
      </c>
      <c r="I37" s="11">
        <v>50.2</v>
      </c>
      <c r="J37" s="11">
        <v>50</v>
      </c>
      <c r="K37" s="11">
        <v>52.7</v>
      </c>
      <c r="L37" s="11">
        <v>52.8</v>
      </c>
      <c r="M37" s="11">
        <v>66.400000000000006</v>
      </c>
      <c r="N37" s="11">
        <v>68.900000000000006</v>
      </c>
      <c r="O37" s="11">
        <v>68.900000000000006</v>
      </c>
      <c r="P37" s="11">
        <v>71.8</v>
      </c>
      <c r="Q37" s="5">
        <f t="shared" si="7"/>
        <v>5.3999999999999915</v>
      </c>
    </row>
    <row r="38" spans="1:17" x14ac:dyDescent="0.35">
      <c r="A38" s="6">
        <v>1885</v>
      </c>
      <c r="B38" s="7">
        <f t="shared" si="0"/>
        <v>51</v>
      </c>
      <c r="C38" s="7">
        <f t="shared" si="1"/>
        <v>53.4</v>
      </c>
      <c r="D38" s="7">
        <f t="shared" si="2"/>
        <v>65.8</v>
      </c>
      <c r="E38" s="7">
        <f t="shared" si="3"/>
        <v>73.099999999999994</v>
      </c>
      <c r="F38" s="7">
        <f t="shared" si="4"/>
        <v>2.3999999999999986</v>
      </c>
      <c r="G38" s="7">
        <f t="shared" si="5"/>
        <v>0</v>
      </c>
      <c r="H38" s="7">
        <f t="shared" si="6"/>
        <v>12.399999999999999</v>
      </c>
      <c r="I38" s="8">
        <v>51.5</v>
      </c>
      <c r="J38" s="8">
        <v>51</v>
      </c>
      <c r="K38" s="8">
        <v>53.4</v>
      </c>
      <c r="L38" s="8">
        <v>52.2</v>
      </c>
      <c r="M38" s="8">
        <v>65.8</v>
      </c>
      <c r="N38" s="8">
        <v>69.8</v>
      </c>
      <c r="O38" s="8">
        <v>70</v>
      </c>
      <c r="P38" s="8">
        <v>73.099999999999994</v>
      </c>
      <c r="Q38" s="5">
        <f t="shared" si="7"/>
        <v>7.2999999999999972</v>
      </c>
    </row>
    <row r="39" spans="1:17" x14ac:dyDescent="0.35">
      <c r="A39" s="9">
        <v>1886</v>
      </c>
      <c r="B39" s="10">
        <f t="shared" si="0"/>
        <v>52.2</v>
      </c>
      <c r="C39" s="10">
        <f t="shared" si="1"/>
        <v>54.5</v>
      </c>
      <c r="D39" s="10">
        <f t="shared" si="2"/>
        <v>66</v>
      </c>
      <c r="E39" s="10">
        <f t="shared" si="3"/>
        <v>74.3</v>
      </c>
      <c r="F39" s="10">
        <f t="shared" si="4"/>
        <v>2.2999999999999972</v>
      </c>
      <c r="G39" s="10">
        <f t="shared" si="5"/>
        <v>0</v>
      </c>
      <c r="H39" s="10">
        <f t="shared" si="6"/>
        <v>11.5</v>
      </c>
      <c r="I39" s="11">
        <v>52.6</v>
      </c>
      <c r="J39" s="11">
        <v>52.2</v>
      </c>
      <c r="K39" s="11">
        <v>54.5</v>
      </c>
      <c r="L39" s="11">
        <v>52.3</v>
      </c>
      <c r="M39" s="11">
        <v>66</v>
      </c>
      <c r="N39" s="11">
        <v>70.900000000000006</v>
      </c>
      <c r="O39" s="11">
        <v>71.2</v>
      </c>
      <c r="P39" s="11">
        <v>74.3</v>
      </c>
      <c r="Q39" s="5">
        <f t="shared" si="7"/>
        <v>8.2999999999999972</v>
      </c>
    </row>
    <row r="40" spans="1:17" x14ac:dyDescent="0.35">
      <c r="A40" s="6">
        <v>1887</v>
      </c>
      <c r="B40" s="7">
        <f t="shared" si="0"/>
        <v>52.9</v>
      </c>
      <c r="C40" s="7">
        <f t="shared" si="1"/>
        <v>54.4</v>
      </c>
      <c r="D40" s="7">
        <f t="shared" si="2"/>
        <v>66.8</v>
      </c>
      <c r="E40" s="7">
        <f t="shared" si="3"/>
        <v>74.7</v>
      </c>
      <c r="F40" s="7">
        <f t="shared" si="4"/>
        <v>1.5</v>
      </c>
      <c r="G40" s="7">
        <f t="shared" si="5"/>
        <v>0</v>
      </c>
      <c r="H40" s="7">
        <f t="shared" si="6"/>
        <v>12.399999999999999</v>
      </c>
      <c r="I40" s="8">
        <v>52.9</v>
      </c>
      <c r="J40" s="8">
        <v>53</v>
      </c>
      <c r="K40" s="8">
        <v>54.4</v>
      </c>
      <c r="L40" s="8">
        <v>53</v>
      </c>
      <c r="M40" s="8">
        <v>66.8</v>
      </c>
      <c r="N40" s="8">
        <v>70.900000000000006</v>
      </c>
      <c r="O40" s="8">
        <v>72.099999999999994</v>
      </c>
      <c r="P40" s="8">
        <v>74.7</v>
      </c>
      <c r="Q40" s="5">
        <f t="shared" si="7"/>
        <v>7.9000000000000057</v>
      </c>
    </row>
    <row r="41" spans="1:17" x14ac:dyDescent="0.35">
      <c r="A41" s="9">
        <v>1888</v>
      </c>
      <c r="B41" s="10">
        <f t="shared" si="0"/>
        <v>52.5</v>
      </c>
      <c r="C41" s="10">
        <f t="shared" si="1"/>
        <v>54.2</v>
      </c>
      <c r="D41" s="10">
        <f t="shared" si="2"/>
        <v>68.099999999999994</v>
      </c>
      <c r="E41" s="10">
        <f t="shared" si="3"/>
        <v>74.400000000000006</v>
      </c>
      <c r="F41" s="10">
        <f t="shared" si="4"/>
        <v>1.7000000000000028</v>
      </c>
      <c r="G41" s="10">
        <f t="shared" si="5"/>
        <v>0</v>
      </c>
      <c r="H41" s="10">
        <f t="shared" si="6"/>
        <v>13.899999999999991</v>
      </c>
      <c r="I41" s="11">
        <v>52.5</v>
      </c>
      <c r="J41" s="11">
        <v>53.4</v>
      </c>
      <c r="K41" s="11">
        <v>53.3</v>
      </c>
      <c r="L41" s="11">
        <v>54.2</v>
      </c>
      <c r="M41" s="11">
        <v>68.099999999999994</v>
      </c>
      <c r="N41" s="11">
        <v>69.900000000000006</v>
      </c>
      <c r="O41" s="11">
        <v>72.599999999999994</v>
      </c>
      <c r="P41" s="11">
        <v>74.400000000000006</v>
      </c>
      <c r="Q41" s="5">
        <f t="shared" si="7"/>
        <v>6.3000000000000114</v>
      </c>
    </row>
    <row r="42" spans="1:17" x14ac:dyDescent="0.35">
      <c r="A42" s="6">
        <v>1889</v>
      </c>
      <c r="B42" s="7">
        <f t="shared" si="0"/>
        <v>51.9</v>
      </c>
      <c r="C42" s="7">
        <f t="shared" si="1"/>
        <v>55.5</v>
      </c>
      <c r="D42" s="7">
        <f t="shared" si="2"/>
        <v>69.400000000000006</v>
      </c>
      <c r="E42" s="7">
        <f t="shared" si="3"/>
        <v>73.900000000000006</v>
      </c>
      <c r="F42" s="7">
        <f t="shared" si="4"/>
        <v>3.6000000000000014</v>
      </c>
      <c r="G42" s="7">
        <f t="shared" si="5"/>
        <v>0</v>
      </c>
      <c r="H42" s="7">
        <f t="shared" si="6"/>
        <v>13.900000000000006</v>
      </c>
      <c r="I42" s="8">
        <v>51.9</v>
      </c>
      <c r="J42" s="8">
        <v>53.4</v>
      </c>
      <c r="K42" s="8">
        <v>52.9</v>
      </c>
      <c r="L42" s="8">
        <v>55.5</v>
      </c>
      <c r="M42" s="8">
        <v>69.400000000000006</v>
      </c>
      <c r="N42" s="8">
        <v>69.5</v>
      </c>
      <c r="O42" s="8">
        <v>72.7</v>
      </c>
      <c r="P42" s="8">
        <v>73.900000000000006</v>
      </c>
      <c r="Q42" s="5">
        <f t="shared" si="7"/>
        <v>4.5</v>
      </c>
    </row>
    <row r="43" spans="1:17" x14ac:dyDescent="0.35">
      <c r="A43" s="9">
        <v>1890</v>
      </c>
      <c r="B43" s="10">
        <f t="shared" si="0"/>
        <v>51.9</v>
      </c>
      <c r="C43" s="10">
        <f t="shared" si="1"/>
        <v>56.4</v>
      </c>
      <c r="D43" s="10">
        <f t="shared" si="2"/>
        <v>70.400000000000006</v>
      </c>
      <c r="E43" s="10">
        <f t="shared" si="3"/>
        <v>73.900000000000006</v>
      </c>
      <c r="F43" s="10">
        <f t="shared" si="4"/>
        <v>4.5</v>
      </c>
      <c r="G43" s="10">
        <f t="shared" si="5"/>
        <v>0</v>
      </c>
      <c r="H43" s="10">
        <f t="shared" si="6"/>
        <v>14.000000000000007</v>
      </c>
      <c r="I43" s="11">
        <v>51.9</v>
      </c>
      <c r="J43" s="11">
        <v>53.4</v>
      </c>
      <c r="K43" s="11">
        <v>53.7</v>
      </c>
      <c r="L43" s="11">
        <v>56.4</v>
      </c>
      <c r="M43" s="11">
        <v>70.400000000000006</v>
      </c>
      <c r="N43" s="11">
        <v>70.400000000000006</v>
      </c>
      <c r="O43" s="11">
        <v>72.7</v>
      </c>
      <c r="P43" s="11">
        <v>73.900000000000006</v>
      </c>
      <c r="Q43" s="5">
        <f t="shared" si="7"/>
        <v>3.5</v>
      </c>
    </row>
    <row r="44" spans="1:17" x14ac:dyDescent="0.35">
      <c r="A44" s="6">
        <v>1891</v>
      </c>
      <c r="B44" s="7">
        <f t="shared" si="0"/>
        <v>52</v>
      </c>
      <c r="C44" s="7">
        <f t="shared" si="1"/>
        <v>56.4</v>
      </c>
      <c r="D44" s="7">
        <f t="shared" si="2"/>
        <v>70.400000000000006</v>
      </c>
      <c r="E44" s="7">
        <f t="shared" si="3"/>
        <v>74</v>
      </c>
      <c r="F44" s="7">
        <f t="shared" si="4"/>
        <v>4.3999999999999986</v>
      </c>
      <c r="G44" s="7">
        <f t="shared" si="5"/>
        <v>0</v>
      </c>
      <c r="H44" s="7">
        <f t="shared" si="6"/>
        <v>14.000000000000007</v>
      </c>
      <c r="I44" s="8">
        <v>52</v>
      </c>
      <c r="J44" s="8">
        <v>53.3</v>
      </c>
      <c r="K44" s="8">
        <v>54</v>
      </c>
      <c r="L44" s="8">
        <v>56.4</v>
      </c>
      <c r="M44" s="8">
        <v>70.400000000000006</v>
      </c>
      <c r="N44" s="8">
        <v>70.8</v>
      </c>
      <c r="O44" s="8">
        <v>72.599999999999994</v>
      </c>
      <c r="P44" s="8">
        <v>74</v>
      </c>
      <c r="Q44" s="5">
        <f t="shared" si="7"/>
        <v>3.5999999999999943</v>
      </c>
    </row>
    <row r="45" spans="1:17" x14ac:dyDescent="0.35">
      <c r="A45" s="9">
        <v>1892</v>
      </c>
      <c r="B45" s="10">
        <f t="shared" si="0"/>
        <v>51.9</v>
      </c>
      <c r="C45" s="10">
        <f t="shared" si="1"/>
        <v>55.9</v>
      </c>
      <c r="D45" s="10">
        <f t="shared" si="2"/>
        <v>69.900000000000006</v>
      </c>
      <c r="E45" s="10">
        <f t="shared" si="3"/>
        <v>74</v>
      </c>
      <c r="F45" s="10">
        <f t="shared" si="4"/>
        <v>4</v>
      </c>
      <c r="G45" s="10">
        <f t="shared" si="5"/>
        <v>0</v>
      </c>
      <c r="H45" s="10">
        <f t="shared" si="6"/>
        <v>14.000000000000007</v>
      </c>
      <c r="I45" s="11">
        <v>51.9</v>
      </c>
      <c r="J45" s="11">
        <v>53.4</v>
      </c>
      <c r="K45" s="11">
        <v>53.2</v>
      </c>
      <c r="L45" s="11">
        <v>55.9</v>
      </c>
      <c r="M45" s="11">
        <v>69.900000000000006</v>
      </c>
      <c r="N45" s="11">
        <v>70</v>
      </c>
      <c r="O45" s="11">
        <v>72.8</v>
      </c>
      <c r="P45" s="11">
        <v>74</v>
      </c>
      <c r="Q45" s="5">
        <f t="shared" si="7"/>
        <v>4.0999999999999943</v>
      </c>
    </row>
    <row r="46" spans="1:17" x14ac:dyDescent="0.35">
      <c r="A46" s="6">
        <v>1893</v>
      </c>
      <c r="B46" s="7">
        <f t="shared" si="0"/>
        <v>51.4</v>
      </c>
      <c r="C46" s="7">
        <f t="shared" si="1"/>
        <v>55</v>
      </c>
      <c r="D46" s="7">
        <f t="shared" si="2"/>
        <v>69</v>
      </c>
      <c r="E46" s="7">
        <f t="shared" si="3"/>
        <v>73.5</v>
      </c>
      <c r="F46" s="7">
        <f t="shared" si="4"/>
        <v>3.6000000000000014</v>
      </c>
      <c r="G46" s="7">
        <f t="shared" si="5"/>
        <v>0</v>
      </c>
      <c r="H46" s="7">
        <f t="shared" si="6"/>
        <v>14</v>
      </c>
      <c r="I46" s="8">
        <v>51.4</v>
      </c>
      <c r="J46" s="8">
        <v>53.5</v>
      </c>
      <c r="K46" s="8">
        <v>52.2</v>
      </c>
      <c r="L46" s="8">
        <v>55</v>
      </c>
      <c r="M46" s="8">
        <v>69.099999999999994</v>
      </c>
      <c r="N46" s="8">
        <v>69</v>
      </c>
      <c r="O46" s="8">
        <v>72.900000000000006</v>
      </c>
      <c r="P46" s="8">
        <v>73.5</v>
      </c>
      <c r="Q46" s="5">
        <f t="shared" si="7"/>
        <v>4.5</v>
      </c>
    </row>
    <row r="47" spans="1:17" x14ac:dyDescent="0.35">
      <c r="A47" s="9">
        <v>1894</v>
      </c>
      <c r="B47" s="10">
        <f t="shared" si="0"/>
        <v>50.5</v>
      </c>
      <c r="C47" s="10">
        <f t="shared" si="1"/>
        <v>54.3</v>
      </c>
      <c r="D47" s="10">
        <f t="shared" si="2"/>
        <v>68.400000000000006</v>
      </c>
      <c r="E47" s="10">
        <f t="shared" si="3"/>
        <v>72.8</v>
      </c>
      <c r="F47" s="10">
        <f t="shared" si="4"/>
        <v>3.7999999999999972</v>
      </c>
      <c r="G47" s="10">
        <f t="shared" si="5"/>
        <v>0</v>
      </c>
      <c r="H47" s="10">
        <f t="shared" si="6"/>
        <v>14.100000000000009</v>
      </c>
      <c r="I47" s="11">
        <v>50.5</v>
      </c>
      <c r="J47" s="11">
        <v>53.4</v>
      </c>
      <c r="K47" s="11">
        <v>52.5</v>
      </c>
      <c r="L47" s="11">
        <v>54.3</v>
      </c>
      <c r="M47" s="11">
        <v>68.400000000000006</v>
      </c>
      <c r="N47" s="11">
        <v>69.3</v>
      </c>
      <c r="O47" s="11">
        <v>72.8</v>
      </c>
      <c r="P47" s="11">
        <v>72.599999999999994</v>
      </c>
      <c r="Q47" s="5">
        <f t="shared" si="7"/>
        <v>4.3999999999999915</v>
      </c>
    </row>
    <row r="48" spans="1:17" x14ac:dyDescent="0.35">
      <c r="A48" s="6">
        <v>1895</v>
      </c>
      <c r="B48" s="7">
        <f t="shared" si="0"/>
        <v>50.1</v>
      </c>
      <c r="C48" s="7">
        <f t="shared" si="1"/>
        <v>53.9</v>
      </c>
      <c r="D48" s="7">
        <f t="shared" si="2"/>
        <v>68</v>
      </c>
      <c r="E48" s="7">
        <f t="shared" si="3"/>
        <v>72.3</v>
      </c>
      <c r="F48" s="7">
        <f t="shared" si="4"/>
        <v>3.7999999999999972</v>
      </c>
      <c r="G48" s="7">
        <f t="shared" si="5"/>
        <v>0</v>
      </c>
      <c r="H48" s="7">
        <f t="shared" si="6"/>
        <v>14.100000000000001</v>
      </c>
      <c r="I48" s="8">
        <v>50.1</v>
      </c>
      <c r="J48" s="8">
        <v>52.8</v>
      </c>
      <c r="K48" s="8">
        <v>53.7</v>
      </c>
      <c r="L48" s="8">
        <v>53.9</v>
      </c>
      <c r="M48" s="8">
        <v>68</v>
      </c>
      <c r="N48" s="8">
        <v>70.5</v>
      </c>
      <c r="O48" s="8">
        <v>72.2</v>
      </c>
      <c r="P48" s="8">
        <v>72.3</v>
      </c>
      <c r="Q48" s="5">
        <f t="shared" si="7"/>
        <v>4.2999999999999972</v>
      </c>
    </row>
    <row r="49" spans="1:17" x14ac:dyDescent="0.35">
      <c r="A49" s="9">
        <v>1896</v>
      </c>
      <c r="B49" s="10">
        <f t="shared" si="0"/>
        <v>50.6</v>
      </c>
      <c r="C49" s="10">
        <f t="shared" si="1"/>
        <v>54.1</v>
      </c>
      <c r="D49" s="10">
        <f t="shared" si="2"/>
        <v>68.099999999999994</v>
      </c>
      <c r="E49" s="10">
        <f t="shared" si="3"/>
        <v>72.7</v>
      </c>
      <c r="F49" s="10">
        <f t="shared" si="4"/>
        <v>3.5</v>
      </c>
      <c r="G49" s="10">
        <f t="shared" si="5"/>
        <v>0</v>
      </c>
      <c r="H49" s="10">
        <f t="shared" si="6"/>
        <v>13.999999999999993</v>
      </c>
      <c r="I49" s="11">
        <v>50.6</v>
      </c>
      <c r="J49" s="11">
        <v>52</v>
      </c>
      <c r="K49" s="11">
        <v>54.1</v>
      </c>
      <c r="L49" s="11">
        <v>53.9</v>
      </c>
      <c r="M49" s="11">
        <v>68.099999999999994</v>
      </c>
      <c r="N49" s="11">
        <v>71</v>
      </c>
      <c r="O49" s="11">
        <v>71.400000000000006</v>
      </c>
      <c r="P49" s="11">
        <v>72.7</v>
      </c>
      <c r="Q49" s="5">
        <f t="shared" si="7"/>
        <v>4.6000000000000085</v>
      </c>
    </row>
    <row r="50" spans="1:17" x14ac:dyDescent="0.35">
      <c r="A50" s="6">
        <v>1897</v>
      </c>
      <c r="B50" s="7">
        <f t="shared" si="0"/>
        <v>51.3</v>
      </c>
      <c r="C50" s="7">
        <f t="shared" si="1"/>
        <v>54.3</v>
      </c>
      <c r="D50" s="7">
        <f t="shared" si="2"/>
        <v>68.400000000000006</v>
      </c>
      <c r="E50" s="7">
        <f t="shared" si="3"/>
        <v>73.8</v>
      </c>
      <c r="F50" s="7">
        <f t="shared" si="4"/>
        <v>3</v>
      </c>
      <c r="G50" s="7">
        <f t="shared" si="5"/>
        <v>0</v>
      </c>
      <c r="H50" s="7">
        <f t="shared" si="6"/>
        <v>14.100000000000009</v>
      </c>
      <c r="I50" s="8">
        <v>51.6</v>
      </c>
      <c r="J50" s="8">
        <v>51.3</v>
      </c>
      <c r="K50" s="8">
        <v>53.5</v>
      </c>
      <c r="L50" s="8">
        <v>54.3</v>
      </c>
      <c r="M50" s="8">
        <v>68.400000000000006</v>
      </c>
      <c r="N50" s="8">
        <v>70.400000000000006</v>
      </c>
      <c r="O50" s="8">
        <v>70.8</v>
      </c>
      <c r="P50" s="8">
        <v>73.8</v>
      </c>
      <c r="Q50" s="5">
        <f t="shared" si="7"/>
        <v>5.3999999999999915</v>
      </c>
    </row>
    <row r="51" spans="1:17" x14ac:dyDescent="0.35">
      <c r="A51" s="9">
        <v>1898</v>
      </c>
      <c r="B51" s="10">
        <f t="shared" si="0"/>
        <v>51.1</v>
      </c>
      <c r="C51" s="10">
        <f t="shared" si="1"/>
        <v>54.7</v>
      </c>
      <c r="D51" s="10">
        <f t="shared" si="2"/>
        <v>68.900000000000006</v>
      </c>
      <c r="E51" s="10">
        <f t="shared" si="3"/>
        <v>74.599999999999994</v>
      </c>
      <c r="F51" s="10">
        <f t="shared" si="4"/>
        <v>3.6000000000000014</v>
      </c>
      <c r="G51" s="10">
        <f t="shared" si="5"/>
        <v>0</v>
      </c>
      <c r="H51" s="10">
        <f t="shared" si="6"/>
        <v>14.200000000000003</v>
      </c>
      <c r="I51" s="11">
        <v>52.4</v>
      </c>
      <c r="J51" s="11">
        <v>51.1</v>
      </c>
      <c r="K51" s="11">
        <v>53.3</v>
      </c>
      <c r="L51" s="11">
        <v>54.7</v>
      </c>
      <c r="M51" s="11">
        <v>68.900000000000006</v>
      </c>
      <c r="N51" s="11">
        <v>70.2</v>
      </c>
      <c r="O51" s="11">
        <v>70.599999999999994</v>
      </c>
      <c r="P51" s="11">
        <v>74.599999999999994</v>
      </c>
      <c r="Q51" s="5">
        <f t="shared" si="7"/>
        <v>5.6999999999999886</v>
      </c>
    </row>
    <row r="52" spans="1:17" x14ac:dyDescent="0.35">
      <c r="A52" s="6">
        <v>1899</v>
      </c>
      <c r="B52" s="7">
        <f t="shared" si="0"/>
        <v>51.7</v>
      </c>
      <c r="C52" s="7">
        <f t="shared" si="1"/>
        <v>55</v>
      </c>
      <c r="D52" s="7">
        <f t="shared" si="2"/>
        <v>69.2</v>
      </c>
      <c r="E52" s="7">
        <f t="shared" si="3"/>
        <v>74.8</v>
      </c>
      <c r="F52" s="7">
        <f t="shared" si="4"/>
        <v>3.2999999999999972</v>
      </c>
      <c r="G52" s="7">
        <f t="shared" si="5"/>
        <v>0</v>
      </c>
      <c r="H52" s="7">
        <f t="shared" si="6"/>
        <v>14.200000000000003</v>
      </c>
      <c r="I52" s="8">
        <v>52.6</v>
      </c>
      <c r="J52" s="8">
        <v>51.7</v>
      </c>
      <c r="K52" s="8">
        <v>54.3</v>
      </c>
      <c r="L52" s="8">
        <v>55</v>
      </c>
      <c r="M52" s="8">
        <v>69.2</v>
      </c>
      <c r="N52" s="8">
        <v>71.2</v>
      </c>
      <c r="O52" s="8">
        <v>71.2</v>
      </c>
      <c r="P52" s="8">
        <v>74.8</v>
      </c>
      <c r="Q52" s="5">
        <f t="shared" si="7"/>
        <v>5.5999999999999943</v>
      </c>
    </row>
    <row r="53" spans="1:17" x14ac:dyDescent="0.35">
      <c r="A53" s="9">
        <v>1900</v>
      </c>
      <c r="B53" s="10">
        <f t="shared" si="0"/>
        <v>52.3</v>
      </c>
      <c r="C53" s="10">
        <f t="shared" si="1"/>
        <v>55.4</v>
      </c>
      <c r="D53" s="10">
        <f t="shared" si="2"/>
        <v>69.400000000000006</v>
      </c>
      <c r="E53" s="10">
        <f t="shared" si="3"/>
        <v>74.599999999999994</v>
      </c>
      <c r="F53" s="10">
        <f t="shared" si="4"/>
        <v>3.1000000000000014</v>
      </c>
      <c r="G53" s="10">
        <f t="shared" si="5"/>
        <v>0</v>
      </c>
      <c r="H53" s="10">
        <f t="shared" si="6"/>
        <v>14.000000000000007</v>
      </c>
      <c r="I53" s="11">
        <v>52.3</v>
      </c>
      <c r="J53" s="11">
        <v>52.6</v>
      </c>
      <c r="K53" s="11">
        <v>55.4</v>
      </c>
      <c r="L53" s="11">
        <v>55.1</v>
      </c>
      <c r="M53" s="11">
        <v>69.400000000000006</v>
      </c>
      <c r="N53" s="11">
        <v>72.3</v>
      </c>
      <c r="O53" s="11">
        <v>72.2</v>
      </c>
      <c r="P53" s="11">
        <v>74.599999999999994</v>
      </c>
      <c r="Q53" s="5">
        <f t="shared" si="7"/>
        <v>5.1999999999999886</v>
      </c>
    </row>
    <row r="54" spans="1:17" x14ac:dyDescent="0.35">
      <c r="A54" s="6">
        <v>1901</v>
      </c>
      <c r="B54" s="7">
        <f t="shared" si="0"/>
        <v>52.2</v>
      </c>
      <c r="C54" s="7">
        <f t="shared" si="1"/>
        <v>55.1</v>
      </c>
      <c r="D54" s="7">
        <f t="shared" si="2"/>
        <v>69.400000000000006</v>
      </c>
      <c r="E54" s="7">
        <f t="shared" si="3"/>
        <v>74.5</v>
      </c>
      <c r="F54" s="7">
        <f t="shared" si="4"/>
        <v>2.8999999999999986</v>
      </c>
      <c r="G54" s="7">
        <f t="shared" si="5"/>
        <v>0</v>
      </c>
      <c r="H54" s="7">
        <f t="shared" si="6"/>
        <v>14.300000000000004</v>
      </c>
      <c r="I54" s="8">
        <v>52.2</v>
      </c>
      <c r="J54" s="8">
        <v>53.6</v>
      </c>
      <c r="K54" s="8">
        <v>55.1</v>
      </c>
      <c r="L54" s="8">
        <v>55.1</v>
      </c>
      <c r="M54" s="8">
        <v>69.400000000000006</v>
      </c>
      <c r="N54" s="8">
        <v>72.099999999999994</v>
      </c>
      <c r="O54" s="8">
        <v>73.2</v>
      </c>
      <c r="P54" s="8">
        <v>74.5</v>
      </c>
      <c r="Q54" s="5">
        <f t="shared" si="7"/>
        <v>5.0999999999999943</v>
      </c>
    </row>
    <row r="55" spans="1:17" x14ac:dyDescent="0.35">
      <c r="A55" s="9">
        <v>1902</v>
      </c>
      <c r="B55" s="10">
        <f t="shared" si="0"/>
        <v>52.6</v>
      </c>
      <c r="C55" s="10">
        <f t="shared" si="1"/>
        <v>55</v>
      </c>
      <c r="D55" s="10">
        <f t="shared" si="2"/>
        <v>69.3</v>
      </c>
      <c r="E55" s="10">
        <f t="shared" si="3"/>
        <v>74.900000000000006</v>
      </c>
      <c r="F55" s="10">
        <f t="shared" si="4"/>
        <v>2.3999999999999986</v>
      </c>
      <c r="G55" s="10">
        <f t="shared" si="5"/>
        <v>0</v>
      </c>
      <c r="H55" s="10">
        <f t="shared" si="6"/>
        <v>14.299999999999997</v>
      </c>
      <c r="I55" s="11">
        <v>52.6</v>
      </c>
      <c r="J55" s="11">
        <v>54.2</v>
      </c>
      <c r="K55" s="11">
        <v>54.1</v>
      </c>
      <c r="L55" s="11">
        <v>55</v>
      </c>
      <c r="M55" s="11">
        <v>69.3</v>
      </c>
      <c r="N55" s="11">
        <v>71.099999999999994</v>
      </c>
      <c r="O55" s="11">
        <v>73.8</v>
      </c>
      <c r="P55" s="11">
        <v>74.900000000000006</v>
      </c>
      <c r="Q55" s="5">
        <f t="shared" si="7"/>
        <v>5.6000000000000085</v>
      </c>
    </row>
    <row r="56" spans="1:17" x14ac:dyDescent="0.35">
      <c r="A56" s="6">
        <v>1903</v>
      </c>
      <c r="B56" s="7">
        <f t="shared" si="0"/>
        <v>53</v>
      </c>
      <c r="C56" s="7">
        <f t="shared" si="1"/>
        <v>55</v>
      </c>
      <c r="D56" s="7">
        <f t="shared" si="2"/>
        <v>69.3</v>
      </c>
      <c r="E56" s="7">
        <f t="shared" si="3"/>
        <v>75.400000000000006</v>
      </c>
      <c r="F56" s="7">
        <f t="shared" si="4"/>
        <v>2</v>
      </c>
      <c r="G56" s="7">
        <f t="shared" si="5"/>
        <v>0</v>
      </c>
      <c r="H56" s="7">
        <f t="shared" si="6"/>
        <v>14.299999999999997</v>
      </c>
      <c r="I56" s="8">
        <v>53</v>
      </c>
      <c r="J56" s="8">
        <v>54.2</v>
      </c>
      <c r="K56" s="8">
        <v>53.9</v>
      </c>
      <c r="L56" s="8">
        <v>55</v>
      </c>
      <c r="M56" s="8">
        <v>69.3</v>
      </c>
      <c r="N56" s="8">
        <v>70.900000000000006</v>
      </c>
      <c r="O56" s="8">
        <v>73.8</v>
      </c>
      <c r="P56" s="8">
        <v>75.400000000000006</v>
      </c>
      <c r="Q56" s="5">
        <f t="shared" si="7"/>
        <v>6.1000000000000085</v>
      </c>
    </row>
    <row r="57" spans="1:17" x14ac:dyDescent="0.35">
      <c r="A57" s="9">
        <v>1904</v>
      </c>
      <c r="B57" s="10">
        <f t="shared" si="0"/>
        <v>52.9</v>
      </c>
      <c r="C57" s="10">
        <f t="shared" si="1"/>
        <v>55</v>
      </c>
      <c r="D57" s="10">
        <f t="shared" si="2"/>
        <v>69.400000000000006</v>
      </c>
      <c r="E57" s="10">
        <f t="shared" si="3"/>
        <v>75.2</v>
      </c>
      <c r="F57" s="10">
        <f t="shared" si="4"/>
        <v>2.1000000000000014</v>
      </c>
      <c r="G57" s="10">
        <f t="shared" si="5"/>
        <v>0</v>
      </c>
      <c r="H57" s="10">
        <f t="shared" si="6"/>
        <v>14.400000000000006</v>
      </c>
      <c r="I57" s="11">
        <v>52.9</v>
      </c>
      <c r="J57" s="11">
        <v>53.6</v>
      </c>
      <c r="K57" s="11">
        <v>54.6</v>
      </c>
      <c r="L57" s="11">
        <v>55</v>
      </c>
      <c r="M57" s="11">
        <v>69.400000000000006</v>
      </c>
      <c r="N57" s="11">
        <v>71.599999999999994</v>
      </c>
      <c r="O57" s="11">
        <v>73.2</v>
      </c>
      <c r="P57" s="11">
        <v>75.2</v>
      </c>
      <c r="Q57" s="5">
        <f t="shared" si="7"/>
        <v>5.7999999999999972</v>
      </c>
    </row>
    <row r="58" spans="1:17" x14ac:dyDescent="0.35">
      <c r="A58" s="6">
        <v>1905</v>
      </c>
      <c r="B58" s="7">
        <f t="shared" si="0"/>
        <v>52</v>
      </c>
      <c r="C58" s="7">
        <f t="shared" si="1"/>
        <v>54.9</v>
      </c>
      <c r="D58" s="7">
        <f t="shared" si="2"/>
        <v>69.3</v>
      </c>
      <c r="E58" s="7">
        <f t="shared" si="3"/>
        <v>74.400000000000006</v>
      </c>
      <c r="F58" s="7">
        <f t="shared" si="4"/>
        <v>2.8999999999999986</v>
      </c>
      <c r="G58" s="7">
        <f t="shared" si="5"/>
        <v>0</v>
      </c>
      <c r="H58" s="7">
        <f t="shared" si="6"/>
        <v>14.399999999999999</v>
      </c>
      <c r="I58" s="8">
        <v>52</v>
      </c>
      <c r="J58" s="8">
        <v>52.9</v>
      </c>
      <c r="K58" s="8">
        <v>54.7</v>
      </c>
      <c r="L58" s="8">
        <v>54.9</v>
      </c>
      <c r="M58" s="8">
        <v>69.3</v>
      </c>
      <c r="N58" s="8">
        <v>71.8</v>
      </c>
      <c r="O58" s="8">
        <v>72.5</v>
      </c>
      <c r="P58" s="8">
        <v>74.400000000000006</v>
      </c>
      <c r="Q58" s="5">
        <f t="shared" si="7"/>
        <v>5.1000000000000085</v>
      </c>
    </row>
    <row r="59" spans="1:17" x14ac:dyDescent="0.35">
      <c r="A59" s="9">
        <v>1906</v>
      </c>
      <c r="B59" s="10">
        <f t="shared" si="0"/>
        <v>50.8</v>
      </c>
      <c r="C59" s="10">
        <f t="shared" si="1"/>
        <v>54.7</v>
      </c>
      <c r="D59" s="10">
        <f t="shared" si="2"/>
        <v>69.099999999999994</v>
      </c>
      <c r="E59" s="10">
        <f t="shared" si="3"/>
        <v>73.2</v>
      </c>
      <c r="F59" s="10">
        <f t="shared" si="4"/>
        <v>3.9000000000000057</v>
      </c>
      <c r="G59" s="10">
        <f t="shared" si="5"/>
        <v>0</v>
      </c>
      <c r="H59" s="10">
        <f t="shared" si="6"/>
        <v>14.399999999999991</v>
      </c>
      <c r="I59" s="11">
        <v>50.8</v>
      </c>
      <c r="J59" s="11">
        <v>52.4</v>
      </c>
      <c r="K59" s="11">
        <v>53.5</v>
      </c>
      <c r="L59" s="11">
        <v>54.7</v>
      </c>
      <c r="M59" s="11">
        <v>69.099999999999994</v>
      </c>
      <c r="N59" s="11">
        <v>70.599999999999994</v>
      </c>
      <c r="O59" s="11">
        <v>72.099999999999994</v>
      </c>
      <c r="P59" s="11">
        <v>73.2</v>
      </c>
      <c r="Q59" s="5">
        <f t="shared" si="7"/>
        <v>4.1000000000000085</v>
      </c>
    </row>
    <row r="60" spans="1:17" x14ac:dyDescent="0.35">
      <c r="A60" s="6">
        <v>1907</v>
      </c>
      <c r="B60" s="7">
        <f t="shared" si="0"/>
        <v>50.2</v>
      </c>
      <c r="C60" s="7">
        <f t="shared" si="1"/>
        <v>54.3</v>
      </c>
      <c r="D60" s="7">
        <f t="shared" si="2"/>
        <v>68.7</v>
      </c>
      <c r="E60" s="7">
        <f t="shared" si="3"/>
        <v>72.599999999999994</v>
      </c>
      <c r="F60" s="7">
        <f t="shared" si="4"/>
        <v>4.0999999999999943</v>
      </c>
      <c r="G60" s="7">
        <f t="shared" si="5"/>
        <v>0</v>
      </c>
      <c r="H60" s="7">
        <f t="shared" si="6"/>
        <v>14.400000000000006</v>
      </c>
      <c r="I60" s="8">
        <v>50.2</v>
      </c>
      <c r="J60" s="8">
        <v>52.2</v>
      </c>
      <c r="K60" s="8">
        <v>52.3</v>
      </c>
      <c r="L60" s="8">
        <v>54.3</v>
      </c>
      <c r="M60" s="8">
        <v>68.7</v>
      </c>
      <c r="N60" s="8">
        <v>69.5</v>
      </c>
      <c r="O60" s="8">
        <v>71.900000000000006</v>
      </c>
      <c r="P60" s="8">
        <v>72.599999999999994</v>
      </c>
      <c r="Q60" s="5">
        <f t="shared" si="7"/>
        <v>3.8999999999999915</v>
      </c>
    </row>
    <row r="61" spans="1:17" x14ac:dyDescent="0.35">
      <c r="A61" s="9">
        <v>1908</v>
      </c>
      <c r="B61" s="10">
        <f t="shared" si="0"/>
        <v>50.3</v>
      </c>
      <c r="C61" s="10">
        <f t="shared" si="1"/>
        <v>53.8</v>
      </c>
      <c r="D61" s="10">
        <f t="shared" si="2"/>
        <v>68.3</v>
      </c>
      <c r="E61" s="10">
        <f t="shared" si="3"/>
        <v>72.8</v>
      </c>
      <c r="F61" s="10">
        <f t="shared" si="4"/>
        <v>3.5</v>
      </c>
      <c r="G61" s="10">
        <f t="shared" si="5"/>
        <v>0</v>
      </c>
      <c r="H61" s="10">
        <f t="shared" si="6"/>
        <v>14.5</v>
      </c>
      <c r="I61" s="11">
        <v>50.3</v>
      </c>
      <c r="J61" s="11">
        <v>52.3</v>
      </c>
      <c r="K61" s="11">
        <v>52.5</v>
      </c>
      <c r="L61" s="11">
        <v>53.8</v>
      </c>
      <c r="M61" s="11">
        <v>68.3</v>
      </c>
      <c r="N61" s="11">
        <v>69.7</v>
      </c>
      <c r="O61" s="11">
        <v>72</v>
      </c>
      <c r="P61" s="11">
        <v>72.8</v>
      </c>
      <c r="Q61" s="5">
        <f t="shared" si="7"/>
        <v>4.5</v>
      </c>
    </row>
    <row r="62" spans="1:17" x14ac:dyDescent="0.35">
      <c r="A62" s="6">
        <v>1909</v>
      </c>
      <c r="B62" s="7">
        <f t="shared" si="0"/>
        <v>50.8</v>
      </c>
      <c r="C62" s="7">
        <f t="shared" si="1"/>
        <v>53.5</v>
      </c>
      <c r="D62" s="7">
        <f t="shared" si="2"/>
        <v>68</v>
      </c>
      <c r="E62" s="7">
        <f t="shared" si="3"/>
        <v>73.3</v>
      </c>
      <c r="F62" s="7">
        <f t="shared" si="4"/>
        <v>2.7000000000000028</v>
      </c>
      <c r="G62" s="7">
        <f t="shared" si="5"/>
        <v>0</v>
      </c>
      <c r="H62" s="7">
        <f t="shared" si="6"/>
        <v>14.5</v>
      </c>
      <c r="I62" s="8">
        <v>50.8</v>
      </c>
      <c r="J62" s="8">
        <v>52.3</v>
      </c>
      <c r="K62" s="8">
        <v>53.3</v>
      </c>
      <c r="L62" s="8">
        <v>53.5</v>
      </c>
      <c r="M62" s="8">
        <v>68</v>
      </c>
      <c r="N62" s="8">
        <v>70.5</v>
      </c>
      <c r="O62" s="8">
        <v>72.099999999999994</v>
      </c>
      <c r="P62" s="8">
        <v>73.3</v>
      </c>
      <c r="Q62" s="5">
        <f t="shared" si="7"/>
        <v>5.2999999999999972</v>
      </c>
    </row>
    <row r="63" spans="1:17" x14ac:dyDescent="0.35">
      <c r="A63" s="9">
        <v>1910</v>
      </c>
      <c r="B63" s="10">
        <f t="shared" si="0"/>
        <v>51</v>
      </c>
      <c r="C63" s="10">
        <f t="shared" si="1"/>
        <v>53.6</v>
      </c>
      <c r="D63" s="10">
        <f t="shared" si="2"/>
        <v>68.099999999999994</v>
      </c>
      <c r="E63" s="10">
        <f t="shared" si="3"/>
        <v>73.5</v>
      </c>
      <c r="F63" s="10">
        <f t="shared" si="4"/>
        <v>2.6000000000000014</v>
      </c>
      <c r="G63" s="10">
        <f t="shared" si="5"/>
        <v>0</v>
      </c>
      <c r="H63" s="10">
        <f t="shared" si="6"/>
        <v>14.499999999999993</v>
      </c>
      <c r="I63" s="11">
        <v>51</v>
      </c>
      <c r="J63" s="11">
        <v>52.1</v>
      </c>
      <c r="K63" s="11">
        <v>53.1</v>
      </c>
      <c r="L63" s="11">
        <v>53.6</v>
      </c>
      <c r="M63" s="11">
        <v>68.099999999999994</v>
      </c>
      <c r="N63" s="11">
        <v>70.3</v>
      </c>
      <c r="O63" s="11">
        <v>71.900000000000006</v>
      </c>
      <c r="P63" s="11">
        <v>73.5</v>
      </c>
      <c r="Q63" s="5">
        <f t="shared" si="7"/>
        <v>5.4000000000000057</v>
      </c>
    </row>
    <row r="64" spans="1:17" x14ac:dyDescent="0.35">
      <c r="A64" s="6">
        <v>1911</v>
      </c>
      <c r="B64" s="7">
        <f t="shared" si="0"/>
        <v>50.8</v>
      </c>
      <c r="C64" s="7">
        <f t="shared" si="1"/>
        <v>54.1</v>
      </c>
      <c r="D64" s="7">
        <f t="shared" si="2"/>
        <v>68.599999999999994</v>
      </c>
      <c r="E64" s="7">
        <f t="shared" si="3"/>
        <v>73.3</v>
      </c>
      <c r="F64" s="7">
        <f t="shared" si="4"/>
        <v>3.3000000000000043</v>
      </c>
      <c r="G64" s="7">
        <f t="shared" si="5"/>
        <v>0</v>
      </c>
      <c r="H64" s="7">
        <f t="shared" si="6"/>
        <v>14.499999999999993</v>
      </c>
      <c r="I64" s="8">
        <v>50.8</v>
      </c>
      <c r="J64" s="8">
        <v>51.7</v>
      </c>
      <c r="K64" s="8">
        <v>52.1</v>
      </c>
      <c r="L64" s="8">
        <v>54.1</v>
      </c>
      <c r="M64" s="8">
        <v>68.599999999999994</v>
      </c>
      <c r="N64" s="8">
        <v>69.3</v>
      </c>
      <c r="O64" s="8">
        <v>71.5</v>
      </c>
      <c r="P64" s="8">
        <v>73.3</v>
      </c>
      <c r="Q64" s="5">
        <f t="shared" si="7"/>
        <v>4.7000000000000028</v>
      </c>
    </row>
    <row r="65" spans="1:17" x14ac:dyDescent="0.35">
      <c r="A65" s="9">
        <v>1912</v>
      </c>
      <c r="B65" s="10">
        <f t="shared" si="0"/>
        <v>50.6</v>
      </c>
      <c r="C65" s="10">
        <f t="shared" si="1"/>
        <v>54.8</v>
      </c>
      <c r="D65" s="10">
        <f t="shared" si="2"/>
        <v>69.099999999999994</v>
      </c>
      <c r="E65" s="10">
        <f t="shared" si="3"/>
        <v>73.099999999999994</v>
      </c>
      <c r="F65" s="10">
        <f t="shared" si="4"/>
        <v>4.1999999999999957</v>
      </c>
      <c r="G65" s="10">
        <f t="shared" si="5"/>
        <v>0</v>
      </c>
      <c r="H65" s="10">
        <f t="shared" si="6"/>
        <v>14.299999999999997</v>
      </c>
      <c r="I65" s="11">
        <v>50.6</v>
      </c>
      <c r="J65" s="11">
        <v>51.3</v>
      </c>
      <c r="K65" s="11">
        <v>51.9</v>
      </c>
      <c r="L65" s="11">
        <v>54.8</v>
      </c>
      <c r="M65" s="11">
        <v>69.3</v>
      </c>
      <c r="N65" s="11">
        <v>69.099999999999994</v>
      </c>
      <c r="O65" s="11">
        <v>71.099999999999994</v>
      </c>
      <c r="P65" s="11">
        <v>73.099999999999994</v>
      </c>
      <c r="Q65" s="5">
        <f t="shared" si="7"/>
        <v>4</v>
      </c>
    </row>
    <row r="66" spans="1:17" x14ac:dyDescent="0.35">
      <c r="A66" s="6">
        <v>1913</v>
      </c>
      <c r="B66" s="7">
        <f t="shared" si="0"/>
        <v>51</v>
      </c>
      <c r="C66" s="7">
        <f t="shared" si="1"/>
        <v>55.5</v>
      </c>
      <c r="D66" s="7">
        <f t="shared" si="2"/>
        <v>70</v>
      </c>
      <c r="E66" s="7">
        <f t="shared" si="3"/>
        <v>73.5</v>
      </c>
      <c r="F66" s="7">
        <f t="shared" si="4"/>
        <v>4.5</v>
      </c>
      <c r="G66" s="7">
        <f t="shared" si="5"/>
        <v>0</v>
      </c>
      <c r="H66" s="7">
        <f t="shared" si="6"/>
        <v>14.5</v>
      </c>
      <c r="I66" s="8">
        <v>51</v>
      </c>
      <c r="J66" s="8">
        <v>51.3</v>
      </c>
      <c r="K66" s="8">
        <v>53</v>
      </c>
      <c r="L66" s="8">
        <v>55.5</v>
      </c>
      <c r="M66" s="8">
        <v>70</v>
      </c>
      <c r="N66" s="8">
        <v>70.2</v>
      </c>
      <c r="O66" s="8">
        <v>71.099999999999994</v>
      </c>
      <c r="P66" s="8">
        <v>73.5</v>
      </c>
      <c r="Q66" s="5">
        <f t="shared" si="7"/>
        <v>3.5</v>
      </c>
    </row>
    <row r="67" spans="1:17" x14ac:dyDescent="0.35">
      <c r="A67" s="9">
        <v>1914</v>
      </c>
      <c r="B67" s="10">
        <f t="shared" si="0"/>
        <v>51.9</v>
      </c>
      <c r="C67" s="10">
        <f t="shared" si="1"/>
        <v>55.8</v>
      </c>
      <c r="D67" s="10">
        <f t="shared" si="2"/>
        <v>70.3</v>
      </c>
      <c r="E67" s="10">
        <f t="shared" si="3"/>
        <v>74.400000000000006</v>
      </c>
      <c r="F67" s="10">
        <f t="shared" si="4"/>
        <v>3.8999999999999986</v>
      </c>
      <c r="G67" s="10">
        <f t="shared" si="5"/>
        <v>0</v>
      </c>
      <c r="H67" s="10">
        <f t="shared" si="6"/>
        <v>14.5</v>
      </c>
      <c r="I67" s="11">
        <v>51.9</v>
      </c>
      <c r="J67" s="11">
        <v>51.9</v>
      </c>
      <c r="K67" s="11">
        <v>54</v>
      </c>
      <c r="L67" s="11">
        <v>55.8</v>
      </c>
      <c r="M67" s="11">
        <v>70.3</v>
      </c>
      <c r="N67" s="11">
        <v>71.2</v>
      </c>
      <c r="O67" s="11">
        <v>71.7</v>
      </c>
      <c r="P67" s="11">
        <v>74.400000000000006</v>
      </c>
      <c r="Q67" s="5">
        <f t="shared" si="7"/>
        <v>4.1000000000000085</v>
      </c>
    </row>
    <row r="68" spans="1:17" x14ac:dyDescent="0.35">
      <c r="A68" s="6">
        <v>1915</v>
      </c>
      <c r="B68" s="7">
        <f t="shared" ref="B68:B131" si="8">IFERROR(_xlfn.AGGREGATE(5,6,I68:L68),NA())</f>
        <v>52.7</v>
      </c>
      <c r="C68" s="7">
        <f t="shared" ref="C68:C131" si="9">IFERROR(_xlfn.AGGREGATE(4,6,I68:L68),NA())</f>
        <v>55.4</v>
      </c>
      <c r="D68" s="7">
        <f t="shared" ref="D68:D131" si="10">IFERROR(_xlfn.AGGREGATE(5,6,M68:P68),NA())</f>
        <v>69.900000000000006</v>
      </c>
      <c r="E68" s="7">
        <f t="shared" ref="E68:E131" si="11">IFERROR(_xlfn.AGGREGATE(4,6,M68:P68),NA())</f>
        <v>75.3</v>
      </c>
      <c r="F68" s="7">
        <f t="shared" ref="F68:F131" si="12">IFERROR(MIN(C68,D68)-B68,NA())</f>
        <v>2.6999999999999957</v>
      </c>
      <c r="G68" s="7">
        <f t="shared" ref="G68:G131" si="13">IFERROR(MAX(0,C68-D68),NA())</f>
        <v>0</v>
      </c>
      <c r="H68" s="7">
        <f t="shared" ref="H68:H131" si="14">IFERROR(MAX(0,D68-C68),NA())</f>
        <v>14.500000000000007</v>
      </c>
      <c r="I68" s="8">
        <v>52.8</v>
      </c>
      <c r="J68" s="8">
        <v>52.7</v>
      </c>
      <c r="K68" s="8">
        <v>53.7</v>
      </c>
      <c r="L68" s="8">
        <v>55.4</v>
      </c>
      <c r="M68" s="8">
        <v>69.900000000000006</v>
      </c>
      <c r="N68" s="8">
        <v>70.900000000000006</v>
      </c>
      <c r="O68" s="8">
        <v>72.5</v>
      </c>
      <c r="P68" s="8">
        <v>75.3</v>
      </c>
      <c r="Q68" s="5">
        <f t="shared" ref="Q68:Q131" si="15">IFERROR(MAX(0,E68-MAX(C68,D68)),NA())</f>
        <v>5.3999999999999915</v>
      </c>
    </row>
    <row r="69" spans="1:17" x14ac:dyDescent="0.35">
      <c r="A69" s="9">
        <v>1916</v>
      </c>
      <c r="B69" s="10">
        <f t="shared" si="8"/>
        <v>52.9</v>
      </c>
      <c r="C69" s="10">
        <f t="shared" si="9"/>
        <v>54.5</v>
      </c>
      <c r="D69" s="10">
        <f t="shared" si="10"/>
        <v>69</v>
      </c>
      <c r="E69" s="10">
        <f t="shared" si="11"/>
        <v>75.400000000000006</v>
      </c>
      <c r="F69" s="10">
        <f t="shared" si="12"/>
        <v>1.6000000000000014</v>
      </c>
      <c r="G69" s="10">
        <f t="shared" si="13"/>
        <v>0</v>
      </c>
      <c r="H69" s="10">
        <f t="shared" si="14"/>
        <v>14.5</v>
      </c>
      <c r="I69" s="11">
        <v>52.9</v>
      </c>
      <c r="J69" s="11">
        <v>53.6</v>
      </c>
      <c r="K69" s="11">
        <v>53</v>
      </c>
      <c r="L69" s="11">
        <v>54.5</v>
      </c>
      <c r="M69" s="11">
        <v>69</v>
      </c>
      <c r="N69" s="11">
        <v>70.2</v>
      </c>
      <c r="O69" s="11">
        <v>73.400000000000006</v>
      </c>
      <c r="P69" s="11">
        <v>75.400000000000006</v>
      </c>
      <c r="Q69" s="5">
        <f t="shared" si="15"/>
        <v>6.4000000000000057</v>
      </c>
    </row>
    <row r="70" spans="1:17" x14ac:dyDescent="0.35">
      <c r="A70" s="6">
        <v>1917</v>
      </c>
      <c r="B70" s="7">
        <f t="shared" si="8"/>
        <v>52.2</v>
      </c>
      <c r="C70" s="7">
        <f t="shared" si="9"/>
        <v>53.9</v>
      </c>
      <c r="D70" s="7">
        <f t="shared" si="10"/>
        <v>67.900000000000006</v>
      </c>
      <c r="E70" s="7">
        <f t="shared" si="11"/>
        <v>74.7</v>
      </c>
      <c r="F70" s="7">
        <f t="shared" si="12"/>
        <v>1.6999999999999957</v>
      </c>
      <c r="G70" s="7">
        <f t="shared" si="13"/>
        <v>0</v>
      </c>
      <c r="H70" s="7">
        <f t="shared" si="14"/>
        <v>14.000000000000007</v>
      </c>
      <c r="I70" s="8">
        <v>52.2</v>
      </c>
      <c r="J70" s="8">
        <v>53.9</v>
      </c>
      <c r="K70" s="8">
        <v>53.5</v>
      </c>
      <c r="L70" s="8">
        <v>53.4</v>
      </c>
      <c r="M70" s="8">
        <v>67.900000000000006</v>
      </c>
      <c r="N70" s="8">
        <v>70.7</v>
      </c>
      <c r="O70" s="8">
        <v>73.7</v>
      </c>
      <c r="P70" s="8">
        <v>74.7</v>
      </c>
      <c r="Q70" s="5">
        <f t="shared" si="15"/>
        <v>6.7999999999999972</v>
      </c>
    </row>
    <row r="71" spans="1:17" x14ac:dyDescent="0.35">
      <c r="A71" s="9">
        <v>1918</v>
      </c>
      <c r="B71" s="10">
        <f t="shared" si="8"/>
        <v>51.3</v>
      </c>
      <c r="C71" s="10">
        <f t="shared" si="9"/>
        <v>54.6</v>
      </c>
      <c r="D71" s="10">
        <f t="shared" si="10"/>
        <v>67</v>
      </c>
      <c r="E71" s="10">
        <f t="shared" si="11"/>
        <v>73.8</v>
      </c>
      <c r="F71" s="10">
        <f t="shared" si="12"/>
        <v>3.3000000000000043</v>
      </c>
      <c r="G71" s="10">
        <f t="shared" si="13"/>
        <v>0</v>
      </c>
      <c r="H71" s="10">
        <f t="shared" si="14"/>
        <v>12.399999999999999</v>
      </c>
      <c r="I71" s="11">
        <v>51.3</v>
      </c>
      <c r="J71" s="11">
        <v>53.5</v>
      </c>
      <c r="K71" s="11">
        <v>54.6</v>
      </c>
      <c r="L71" s="11">
        <v>52.5</v>
      </c>
      <c r="M71" s="11">
        <v>67</v>
      </c>
      <c r="N71" s="11">
        <v>71.8</v>
      </c>
      <c r="O71" s="11">
        <v>73.3</v>
      </c>
      <c r="P71" s="11">
        <v>73.8</v>
      </c>
      <c r="Q71" s="5">
        <f t="shared" si="15"/>
        <v>6.7999999999999972</v>
      </c>
    </row>
    <row r="72" spans="1:17" x14ac:dyDescent="0.35">
      <c r="A72" s="6">
        <v>1919</v>
      </c>
      <c r="B72" s="7">
        <f t="shared" si="8"/>
        <v>51</v>
      </c>
      <c r="C72" s="7">
        <f t="shared" si="9"/>
        <v>54.7</v>
      </c>
      <c r="D72" s="7">
        <f t="shared" si="10"/>
        <v>66.7</v>
      </c>
      <c r="E72" s="7">
        <f t="shared" si="11"/>
        <v>73.5</v>
      </c>
      <c r="F72" s="7">
        <f t="shared" si="12"/>
        <v>3.7000000000000028</v>
      </c>
      <c r="G72" s="7">
        <f t="shared" si="13"/>
        <v>0</v>
      </c>
      <c r="H72" s="7">
        <f t="shared" si="14"/>
        <v>12</v>
      </c>
      <c r="I72" s="8">
        <v>51</v>
      </c>
      <c r="J72" s="8">
        <v>52.6</v>
      </c>
      <c r="K72" s="8">
        <v>54.7</v>
      </c>
      <c r="L72" s="8">
        <v>52.2</v>
      </c>
      <c r="M72" s="8">
        <v>66.7</v>
      </c>
      <c r="N72" s="8">
        <v>71.900000000000006</v>
      </c>
      <c r="O72" s="8">
        <v>72.400000000000006</v>
      </c>
      <c r="P72" s="8">
        <v>73.5</v>
      </c>
      <c r="Q72" s="5">
        <f t="shared" si="15"/>
        <v>6.7999999999999972</v>
      </c>
    </row>
    <row r="73" spans="1:17" x14ac:dyDescent="0.35">
      <c r="A73" s="9">
        <v>1920</v>
      </c>
      <c r="B73" s="10">
        <f t="shared" si="8"/>
        <v>51</v>
      </c>
      <c r="C73" s="10">
        <f t="shared" si="9"/>
        <v>53.5</v>
      </c>
      <c r="D73" s="10">
        <f t="shared" si="10"/>
        <v>67.2</v>
      </c>
      <c r="E73" s="10">
        <f t="shared" si="11"/>
        <v>73.5</v>
      </c>
      <c r="F73" s="10">
        <f t="shared" si="12"/>
        <v>2.5</v>
      </c>
      <c r="G73" s="10">
        <f t="shared" si="13"/>
        <v>0</v>
      </c>
      <c r="H73" s="10">
        <f t="shared" si="14"/>
        <v>13.700000000000003</v>
      </c>
      <c r="I73" s="11">
        <v>51</v>
      </c>
      <c r="J73" s="11">
        <v>51.6</v>
      </c>
      <c r="K73" s="11">
        <v>53.5</v>
      </c>
      <c r="L73" s="11">
        <v>52.7</v>
      </c>
      <c r="M73" s="11">
        <v>67.2</v>
      </c>
      <c r="N73" s="11">
        <v>70.7</v>
      </c>
      <c r="O73" s="11">
        <v>71.400000000000006</v>
      </c>
      <c r="P73" s="11">
        <v>73.5</v>
      </c>
      <c r="Q73" s="5">
        <f t="shared" si="15"/>
        <v>6.2999999999999972</v>
      </c>
    </row>
    <row r="74" spans="1:17" x14ac:dyDescent="0.35">
      <c r="A74" s="6">
        <v>1921</v>
      </c>
      <c r="B74" s="7">
        <f t="shared" si="8"/>
        <v>50.8</v>
      </c>
      <c r="C74" s="7">
        <f t="shared" si="9"/>
        <v>53.7</v>
      </c>
      <c r="D74" s="7">
        <f t="shared" si="10"/>
        <v>68.2</v>
      </c>
      <c r="E74" s="7">
        <f t="shared" si="11"/>
        <v>73.5</v>
      </c>
      <c r="F74" s="7">
        <f t="shared" si="12"/>
        <v>2.9000000000000057</v>
      </c>
      <c r="G74" s="7">
        <f t="shared" si="13"/>
        <v>0</v>
      </c>
      <c r="H74" s="7">
        <f t="shared" si="14"/>
        <v>14.5</v>
      </c>
      <c r="I74" s="8">
        <v>51</v>
      </c>
      <c r="J74" s="8">
        <v>50.8</v>
      </c>
      <c r="K74" s="8">
        <v>52.7</v>
      </c>
      <c r="L74" s="8">
        <v>53.7</v>
      </c>
      <c r="M74" s="8">
        <v>68.2</v>
      </c>
      <c r="N74" s="8">
        <v>69.900000000000006</v>
      </c>
      <c r="O74" s="8">
        <v>70.599999999999994</v>
      </c>
      <c r="P74" s="8">
        <v>73.5</v>
      </c>
      <c r="Q74" s="5">
        <f t="shared" si="15"/>
        <v>5.2999999999999972</v>
      </c>
    </row>
    <row r="75" spans="1:17" x14ac:dyDescent="0.35">
      <c r="A75" s="9">
        <v>1922</v>
      </c>
      <c r="B75" s="10">
        <f t="shared" si="8"/>
        <v>50.3</v>
      </c>
      <c r="C75" s="10">
        <f t="shared" si="9"/>
        <v>54.7</v>
      </c>
      <c r="D75" s="10">
        <f t="shared" si="10"/>
        <v>69.2</v>
      </c>
      <c r="E75" s="10">
        <f t="shared" si="11"/>
        <v>72.8</v>
      </c>
      <c r="F75" s="10">
        <f t="shared" si="12"/>
        <v>4.4000000000000057</v>
      </c>
      <c r="G75" s="10">
        <f t="shared" si="13"/>
        <v>0</v>
      </c>
      <c r="H75" s="10">
        <f t="shared" si="14"/>
        <v>14.5</v>
      </c>
      <c r="I75" s="11">
        <v>50.3</v>
      </c>
      <c r="J75" s="11">
        <v>50.6</v>
      </c>
      <c r="K75" s="11">
        <v>53</v>
      </c>
      <c r="L75" s="11">
        <v>54.7</v>
      </c>
      <c r="M75" s="11">
        <v>69.2</v>
      </c>
      <c r="N75" s="11">
        <v>70.2</v>
      </c>
      <c r="O75" s="11">
        <v>70.400000000000006</v>
      </c>
      <c r="P75" s="11">
        <v>72.8</v>
      </c>
      <c r="Q75" s="5">
        <f t="shared" si="15"/>
        <v>3.5999999999999943</v>
      </c>
    </row>
    <row r="76" spans="1:17" x14ac:dyDescent="0.35">
      <c r="A76" s="6">
        <v>1923</v>
      </c>
      <c r="B76" s="7">
        <f t="shared" si="8"/>
        <v>49.4</v>
      </c>
      <c r="C76" s="7">
        <f t="shared" si="9"/>
        <v>55.4</v>
      </c>
      <c r="D76" s="7">
        <f t="shared" si="10"/>
        <v>69.900000000000006</v>
      </c>
      <c r="E76" s="7">
        <f t="shared" si="11"/>
        <v>71.900000000000006</v>
      </c>
      <c r="F76" s="7">
        <f t="shared" si="12"/>
        <v>6</v>
      </c>
      <c r="G76" s="7">
        <f t="shared" si="13"/>
        <v>0</v>
      </c>
      <c r="H76" s="7">
        <f t="shared" si="14"/>
        <v>14.500000000000007</v>
      </c>
      <c r="I76" s="8">
        <v>49.4</v>
      </c>
      <c r="J76" s="8">
        <v>50.9</v>
      </c>
      <c r="K76" s="8">
        <v>53.5</v>
      </c>
      <c r="L76" s="8">
        <v>55.4</v>
      </c>
      <c r="M76" s="8">
        <v>69.900000000000006</v>
      </c>
      <c r="N76" s="8">
        <v>70.7</v>
      </c>
      <c r="O76" s="8">
        <v>70.7</v>
      </c>
      <c r="P76" s="8">
        <v>71.900000000000006</v>
      </c>
      <c r="Q76" s="5">
        <f t="shared" si="15"/>
        <v>2</v>
      </c>
    </row>
    <row r="77" spans="1:17" x14ac:dyDescent="0.35">
      <c r="A77" s="9">
        <v>1924</v>
      </c>
      <c r="B77" s="10">
        <f t="shared" si="8"/>
        <v>49</v>
      </c>
      <c r="C77" s="10">
        <f t="shared" si="9"/>
        <v>55.4</v>
      </c>
      <c r="D77" s="10">
        <f t="shared" si="10"/>
        <v>69.900000000000006</v>
      </c>
      <c r="E77" s="10">
        <f t="shared" si="11"/>
        <v>71.5</v>
      </c>
      <c r="F77" s="10">
        <f t="shared" si="12"/>
        <v>6.3999999999999986</v>
      </c>
      <c r="G77" s="10">
        <f t="shared" si="13"/>
        <v>0</v>
      </c>
      <c r="H77" s="10">
        <f t="shared" si="14"/>
        <v>14.500000000000007</v>
      </c>
      <c r="I77" s="11">
        <v>49</v>
      </c>
      <c r="J77" s="11">
        <v>51.3</v>
      </c>
      <c r="K77" s="11">
        <v>52.7</v>
      </c>
      <c r="L77" s="11">
        <v>55.4</v>
      </c>
      <c r="M77" s="11">
        <v>69.900000000000006</v>
      </c>
      <c r="N77" s="11">
        <v>69.900000000000006</v>
      </c>
      <c r="O77" s="11">
        <v>71.099999999999994</v>
      </c>
      <c r="P77" s="11">
        <v>71.5</v>
      </c>
      <c r="Q77" s="5">
        <f t="shared" si="15"/>
        <v>1.5999999999999943</v>
      </c>
    </row>
    <row r="78" spans="1:17" x14ac:dyDescent="0.35">
      <c r="A78" s="6">
        <v>1925</v>
      </c>
      <c r="B78" s="7">
        <f t="shared" si="8"/>
        <v>49.3</v>
      </c>
      <c r="C78" s="7">
        <f t="shared" si="9"/>
        <v>54.7</v>
      </c>
      <c r="D78" s="7">
        <f t="shared" si="10"/>
        <v>68.5</v>
      </c>
      <c r="E78" s="7">
        <f t="shared" si="11"/>
        <v>71.8</v>
      </c>
      <c r="F78" s="7">
        <f t="shared" si="12"/>
        <v>5.4000000000000057</v>
      </c>
      <c r="G78" s="7">
        <f t="shared" si="13"/>
        <v>0</v>
      </c>
      <c r="H78" s="7">
        <f t="shared" si="14"/>
        <v>13.799999999999997</v>
      </c>
      <c r="I78" s="8">
        <v>49.3</v>
      </c>
      <c r="J78" s="8">
        <v>51.5</v>
      </c>
      <c r="K78" s="8">
        <v>51.3</v>
      </c>
      <c r="L78" s="8">
        <v>54.7</v>
      </c>
      <c r="M78" s="8">
        <v>69.2</v>
      </c>
      <c r="N78" s="8">
        <v>68.5</v>
      </c>
      <c r="O78" s="8">
        <v>71.3</v>
      </c>
      <c r="P78" s="8">
        <v>71.8</v>
      </c>
      <c r="Q78" s="5">
        <f t="shared" si="15"/>
        <v>3.2999999999999972</v>
      </c>
    </row>
    <row r="79" spans="1:17" x14ac:dyDescent="0.35">
      <c r="A79" s="9">
        <v>1926</v>
      </c>
      <c r="B79" s="10">
        <f t="shared" si="8"/>
        <v>50.3</v>
      </c>
      <c r="C79" s="10">
        <f t="shared" si="9"/>
        <v>53.6</v>
      </c>
      <c r="D79" s="10">
        <f t="shared" si="10"/>
        <v>68.099999999999994</v>
      </c>
      <c r="E79" s="10">
        <f t="shared" si="11"/>
        <v>72.8</v>
      </c>
      <c r="F79" s="10">
        <f t="shared" si="12"/>
        <v>3.3000000000000043</v>
      </c>
      <c r="G79" s="10">
        <f t="shared" si="13"/>
        <v>0</v>
      </c>
      <c r="H79" s="10">
        <f t="shared" si="14"/>
        <v>14.499999999999993</v>
      </c>
      <c r="I79" s="11">
        <v>50.3</v>
      </c>
      <c r="J79" s="11">
        <v>51.4</v>
      </c>
      <c r="K79" s="11">
        <v>51</v>
      </c>
      <c r="L79" s="11">
        <v>53.6</v>
      </c>
      <c r="M79" s="11">
        <v>68.099999999999994</v>
      </c>
      <c r="N79" s="11">
        <v>68.2</v>
      </c>
      <c r="O79" s="11">
        <v>71.2</v>
      </c>
      <c r="P79" s="11">
        <v>72.8</v>
      </c>
      <c r="Q79" s="5">
        <f t="shared" si="15"/>
        <v>4.7000000000000028</v>
      </c>
    </row>
    <row r="80" spans="1:17" x14ac:dyDescent="0.35">
      <c r="A80" s="6">
        <v>1927</v>
      </c>
      <c r="B80" s="7">
        <f t="shared" si="8"/>
        <v>51.1</v>
      </c>
      <c r="C80" s="7">
        <f t="shared" si="9"/>
        <v>52.6</v>
      </c>
      <c r="D80" s="7">
        <f t="shared" si="10"/>
        <v>67.099999999999994</v>
      </c>
      <c r="E80" s="7">
        <f t="shared" si="11"/>
        <v>73.599999999999994</v>
      </c>
      <c r="F80" s="7">
        <f t="shared" si="12"/>
        <v>1.5</v>
      </c>
      <c r="G80" s="7">
        <f t="shared" si="13"/>
        <v>0</v>
      </c>
      <c r="H80" s="7">
        <f t="shared" si="14"/>
        <v>14.499999999999993</v>
      </c>
      <c r="I80" s="8">
        <v>51.1</v>
      </c>
      <c r="J80" s="8">
        <v>51.3</v>
      </c>
      <c r="K80" s="8">
        <v>51.9</v>
      </c>
      <c r="L80" s="8">
        <v>52.6</v>
      </c>
      <c r="M80" s="8">
        <v>67.099999999999994</v>
      </c>
      <c r="N80" s="8">
        <v>69.099999999999994</v>
      </c>
      <c r="O80" s="8">
        <v>71.099999999999994</v>
      </c>
      <c r="P80" s="8">
        <v>73.599999999999994</v>
      </c>
      <c r="Q80" s="5">
        <f t="shared" si="15"/>
        <v>6.5</v>
      </c>
    </row>
    <row r="81" spans="1:17" x14ac:dyDescent="0.35">
      <c r="A81" s="9">
        <v>1928</v>
      </c>
      <c r="B81" s="10">
        <f t="shared" si="8"/>
        <v>51.2</v>
      </c>
      <c r="C81" s="10">
        <f t="shared" si="9"/>
        <v>52.4</v>
      </c>
      <c r="D81" s="10">
        <f t="shared" si="10"/>
        <v>66.5</v>
      </c>
      <c r="E81" s="10">
        <f t="shared" si="11"/>
        <v>73.7</v>
      </c>
      <c r="F81" s="10">
        <f t="shared" si="12"/>
        <v>1.1999999999999957</v>
      </c>
      <c r="G81" s="10">
        <f t="shared" si="13"/>
        <v>0</v>
      </c>
      <c r="H81" s="10">
        <f t="shared" si="14"/>
        <v>14.100000000000001</v>
      </c>
      <c r="I81" s="11">
        <v>51.2</v>
      </c>
      <c r="J81" s="11">
        <v>51.3</v>
      </c>
      <c r="K81" s="11">
        <v>52.4</v>
      </c>
      <c r="L81" s="11">
        <v>52</v>
      </c>
      <c r="M81" s="11">
        <v>66.5</v>
      </c>
      <c r="N81" s="11">
        <v>69.599999999999994</v>
      </c>
      <c r="O81" s="11">
        <v>71.099999999999994</v>
      </c>
      <c r="P81" s="11">
        <v>73.7</v>
      </c>
      <c r="Q81" s="5">
        <f t="shared" si="15"/>
        <v>7.2000000000000028</v>
      </c>
    </row>
    <row r="82" spans="1:17" x14ac:dyDescent="0.35">
      <c r="A82" s="6">
        <v>1929</v>
      </c>
      <c r="B82" s="7">
        <f t="shared" si="8"/>
        <v>50.7</v>
      </c>
      <c r="C82" s="7">
        <f t="shared" si="9"/>
        <v>51.8</v>
      </c>
      <c r="D82" s="7">
        <f t="shared" si="10"/>
        <v>66</v>
      </c>
      <c r="E82" s="7">
        <f t="shared" si="11"/>
        <v>72.900000000000006</v>
      </c>
      <c r="F82" s="7">
        <f t="shared" si="12"/>
        <v>1.0999999999999943</v>
      </c>
      <c r="G82" s="7">
        <f t="shared" si="13"/>
        <v>0</v>
      </c>
      <c r="H82" s="7">
        <f t="shared" si="14"/>
        <v>14.200000000000003</v>
      </c>
      <c r="I82" s="8">
        <v>50.7</v>
      </c>
      <c r="J82" s="8">
        <v>51.4</v>
      </c>
      <c r="K82" s="8">
        <v>51.4</v>
      </c>
      <c r="L82" s="8">
        <v>51.8</v>
      </c>
      <c r="M82" s="8">
        <v>66</v>
      </c>
      <c r="N82" s="8">
        <v>68.3</v>
      </c>
      <c r="O82" s="8">
        <v>70.900000000000006</v>
      </c>
      <c r="P82" s="8">
        <v>72.900000000000006</v>
      </c>
      <c r="Q82" s="5">
        <f t="shared" si="15"/>
        <v>6.9000000000000057</v>
      </c>
    </row>
    <row r="83" spans="1:17" x14ac:dyDescent="0.35">
      <c r="A83" s="9">
        <v>1930</v>
      </c>
      <c r="B83" s="10">
        <f t="shared" si="8"/>
        <v>50.4</v>
      </c>
      <c r="C83" s="10">
        <f t="shared" si="9"/>
        <v>52.1</v>
      </c>
      <c r="D83" s="10">
        <f t="shared" si="10"/>
        <v>66</v>
      </c>
      <c r="E83" s="10">
        <f t="shared" si="11"/>
        <v>72.3</v>
      </c>
      <c r="F83" s="10">
        <f t="shared" si="12"/>
        <v>1.7000000000000028</v>
      </c>
      <c r="G83" s="10">
        <f t="shared" si="13"/>
        <v>0</v>
      </c>
      <c r="H83" s="10">
        <f t="shared" si="14"/>
        <v>13.899999999999999</v>
      </c>
      <c r="I83" s="11">
        <v>50.4</v>
      </c>
      <c r="J83" s="11">
        <v>51.7</v>
      </c>
      <c r="K83" s="11">
        <v>50.7</v>
      </c>
      <c r="L83" s="11">
        <v>52.1</v>
      </c>
      <c r="M83" s="11">
        <v>66</v>
      </c>
      <c r="N83" s="11">
        <v>67.3</v>
      </c>
      <c r="O83" s="11">
        <v>70.900000000000006</v>
      </c>
      <c r="P83" s="11">
        <v>72.3</v>
      </c>
      <c r="Q83" s="5">
        <f t="shared" si="15"/>
        <v>6.2999999999999972</v>
      </c>
    </row>
    <row r="84" spans="1:17" x14ac:dyDescent="0.35">
      <c r="A84" s="6">
        <v>1931</v>
      </c>
      <c r="B84" s="7">
        <f t="shared" si="8"/>
        <v>50.5</v>
      </c>
      <c r="C84" s="7">
        <f t="shared" si="9"/>
        <v>52.7</v>
      </c>
      <c r="D84" s="7">
        <f t="shared" si="10"/>
        <v>66.3</v>
      </c>
      <c r="E84" s="7">
        <f t="shared" si="11"/>
        <v>72.099999999999994</v>
      </c>
      <c r="F84" s="7">
        <f t="shared" si="12"/>
        <v>2.2000000000000028</v>
      </c>
      <c r="G84" s="7">
        <f t="shared" si="13"/>
        <v>0</v>
      </c>
      <c r="H84" s="7">
        <f t="shared" si="14"/>
        <v>13.599999999999994</v>
      </c>
      <c r="I84" s="8">
        <v>50.5</v>
      </c>
      <c r="J84" s="8">
        <v>52</v>
      </c>
      <c r="K84" s="8">
        <v>51.2</v>
      </c>
      <c r="L84" s="8">
        <v>52.7</v>
      </c>
      <c r="M84" s="8">
        <v>66.3</v>
      </c>
      <c r="N84" s="8">
        <v>67.5</v>
      </c>
      <c r="O84" s="8">
        <v>70.900000000000006</v>
      </c>
      <c r="P84" s="8">
        <v>72.099999999999994</v>
      </c>
      <c r="Q84" s="5">
        <f t="shared" si="15"/>
        <v>5.7999999999999972</v>
      </c>
    </row>
    <row r="85" spans="1:17" x14ac:dyDescent="0.35">
      <c r="A85" s="9">
        <v>1932</v>
      </c>
      <c r="B85" s="10">
        <f t="shared" si="8"/>
        <v>50.7</v>
      </c>
      <c r="C85" s="10">
        <f t="shared" si="9"/>
        <v>53</v>
      </c>
      <c r="D85" s="10">
        <f t="shared" si="10"/>
        <v>66.3</v>
      </c>
      <c r="E85" s="10">
        <f t="shared" si="11"/>
        <v>72</v>
      </c>
      <c r="F85" s="10">
        <f t="shared" si="12"/>
        <v>2.2999999999999972</v>
      </c>
      <c r="G85" s="10">
        <f t="shared" si="13"/>
        <v>0</v>
      </c>
      <c r="H85" s="10">
        <f t="shared" si="14"/>
        <v>13.299999999999997</v>
      </c>
      <c r="I85" s="11">
        <v>50.7</v>
      </c>
      <c r="J85" s="11">
        <v>51.8</v>
      </c>
      <c r="K85" s="11">
        <v>52.3</v>
      </c>
      <c r="L85" s="11">
        <v>53</v>
      </c>
      <c r="M85" s="11">
        <v>66.3</v>
      </c>
      <c r="N85" s="11">
        <v>68.3</v>
      </c>
      <c r="O85" s="11">
        <v>70.400000000000006</v>
      </c>
      <c r="P85" s="11">
        <v>72</v>
      </c>
      <c r="Q85" s="5">
        <f t="shared" si="15"/>
        <v>5.7000000000000028</v>
      </c>
    </row>
    <row r="86" spans="1:17" x14ac:dyDescent="0.35">
      <c r="A86" s="6">
        <v>1933</v>
      </c>
      <c r="B86" s="7">
        <f t="shared" si="8"/>
        <v>50.3</v>
      </c>
      <c r="C86" s="7">
        <f t="shared" si="9"/>
        <v>53</v>
      </c>
      <c r="D86" s="7">
        <f t="shared" si="10"/>
        <v>66</v>
      </c>
      <c r="E86" s="7">
        <f t="shared" si="11"/>
        <v>71.3</v>
      </c>
      <c r="F86" s="7">
        <f t="shared" si="12"/>
        <v>2.7000000000000028</v>
      </c>
      <c r="G86" s="7">
        <f t="shared" si="13"/>
        <v>0</v>
      </c>
      <c r="H86" s="7">
        <f t="shared" si="14"/>
        <v>13</v>
      </c>
      <c r="I86" s="8">
        <v>50.3</v>
      </c>
      <c r="J86" s="8">
        <v>51</v>
      </c>
      <c r="K86" s="8">
        <v>52.2</v>
      </c>
      <c r="L86" s="8">
        <v>53</v>
      </c>
      <c r="M86" s="8">
        <v>66</v>
      </c>
      <c r="N86" s="8">
        <v>67.900000000000006</v>
      </c>
      <c r="O86" s="8">
        <v>69.3</v>
      </c>
      <c r="P86" s="8">
        <v>71.3</v>
      </c>
      <c r="Q86" s="5">
        <f t="shared" si="15"/>
        <v>5.2999999999999972</v>
      </c>
    </row>
    <row r="87" spans="1:17" x14ac:dyDescent="0.35">
      <c r="A87" s="9">
        <v>1934</v>
      </c>
      <c r="B87" s="10">
        <f t="shared" si="8"/>
        <v>49.7</v>
      </c>
      <c r="C87" s="10">
        <f t="shared" si="9"/>
        <v>53.1</v>
      </c>
      <c r="D87" s="10">
        <f t="shared" si="10"/>
        <v>66.5</v>
      </c>
      <c r="E87" s="10">
        <f t="shared" si="11"/>
        <v>71.099999999999994</v>
      </c>
      <c r="F87" s="10">
        <f t="shared" si="12"/>
        <v>3.3999999999999986</v>
      </c>
      <c r="G87" s="10">
        <f t="shared" si="13"/>
        <v>0</v>
      </c>
      <c r="H87" s="10">
        <f t="shared" si="14"/>
        <v>13.399999999999999</v>
      </c>
      <c r="I87" s="11">
        <v>49.7</v>
      </c>
      <c r="J87" s="11">
        <v>50.2</v>
      </c>
      <c r="K87" s="11">
        <v>51.6</v>
      </c>
      <c r="L87" s="11">
        <v>53.1</v>
      </c>
      <c r="M87" s="11">
        <v>66.5</v>
      </c>
      <c r="N87" s="11">
        <v>67.8</v>
      </c>
      <c r="O87" s="11">
        <v>69</v>
      </c>
      <c r="P87" s="11">
        <v>71.099999999999994</v>
      </c>
      <c r="Q87" s="5">
        <f t="shared" si="15"/>
        <v>4.5999999999999943</v>
      </c>
    </row>
    <row r="88" spans="1:17" x14ac:dyDescent="0.35">
      <c r="A88" s="6">
        <v>1935</v>
      </c>
      <c r="B88" s="7">
        <f t="shared" si="8"/>
        <v>48.8</v>
      </c>
      <c r="C88" s="7">
        <f t="shared" si="9"/>
        <v>53</v>
      </c>
      <c r="D88" s="7">
        <f t="shared" si="10"/>
        <v>66.8</v>
      </c>
      <c r="E88" s="7">
        <f t="shared" si="11"/>
        <v>70.7</v>
      </c>
      <c r="F88" s="7">
        <f t="shared" si="12"/>
        <v>4.2000000000000028</v>
      </c>
      <c r="G88" s="7">
        <f t="shared" si="13"/>
        <v>0</v>
      </c>
      <c r="H88" s="7">
        <f t="shared" si="14"/>
        <v>13.799999999999997</v>
      </c>
      <c r="I88" s="8">
        <v>48.8</v>
      </c>
      <c r="J88" s="8">
        <v>49.5</v>
      </c>
      <c r="K88" s="8">
        <v>51.7</v>
      </c>
      <c r="L88" s="8">
        <v>53</v>
      </c>
      <c r="M88" s="8">
        <v>66.8</v>
      </c>
      <c r="N88" s="8">
        <v>68.3</v>
      </c>
      <c r="O88" s="8">
        <v>68.599999999999994</v>
      </c>
      <c r="P88" s="8">
        <v>70.7</v>
      </c>
      <c r="Q88" s="5">
        <f t="shared" si="15"/>
        <v>3.9000000000000057</v>
      </c>
    </row>
    <row r="89" spans="1:17" x14ac:dyDescent="0.35">
      <c r="A89" s="9">
        <v>1936</v>
      </c>
      <c r="B89" s="10">
        <f t="shared" si="8"/>
        <v>48.4</v>
      </c>
      <c r="C89" s="10">
        <f t="shared" si="9"/>
        <v>52.9</v>
      </c>
      <c r="D89" s="10">
        <f t="shared" si="10"/>
        <v>67</v>
      </c>
      <c r="E89" s="10">
        <f t="shared" si="11"/>
        <v>70.7</v>
      </c>
      <c r="F89" s="10">
        <f t="shared" si="12"/>
        <v>4.5</v>
      </c>
      <c r="G89" s="10">
        <f t="shared" si="13"/>
        <v>0</v>
      </c>
      <c r="H89" s="10">
        <f t="shared" si="14"/>
        <v>14.100000000000001</v>
      </c>
      <c r="I89" s="11">
        <v>48.4</v>
      </c>
      <c r="J89" s="11">
        <v>49.1</v>
      </c>
      <c r="K89" s="11">
        <v>52.9</v>
      </c>
      <c r="L89" s="11">
        <v>52.8</v>
      </c>
      <c r="M89" s="11">
        <v>67</v>
      </c>
      <c r="N89" s="11">
        <v>69.8</v>
      </c>
      <c r="O89" s="11">
        <v>68.599999999999994</v>
      </c>
      <c r="P89" s="11">
        <v>70.7</v>
      </c>
      <c r="Q89" s="5">
        <f t="shared" si="15"/>
        <v>3.7000000000000028</v>
      </c>
    </row>
    <row r="90" spans="1:17" x14ac:dyDescent="0.35">
      <c r="A90" s="6">
        <v>1937</v>
      </c>
      <c r="B90" s="7">
        <f t="shared" si="8"/>
        <v>48.8</v>
      </c>
      <c r="C90" s="7">
        <f t="shared" si="9"/>
        <v>53.6</v>
      </c>
      <c r="D90" s="7">
        <f t="shared" si="10"/>
        <v>67.400000000000006</v>
      </c>
      <c r="E90" s="7">
        <f t="shared" si="11"/>
        <v>71.5</v>
      </c>
      <c r="F90" s="7">
        <f t="shared" si="12"/>
        <v>4.8000000000000043</v>
      </c>
      <c r="G90" s="7">
        <f t="shared" si="13"/>
        <v>0</v>
      </c>
      <c r="H90" s="7">
        <f t="shared" si="14"/>
        <v>13.800000000000004</v>
      </c>
      <c r="I90" s="8">
        <v>48.8</v>
      </c>
      <c r="J90" s="8">
        <v>49.4</v>
      </c>
      <c r="K90" s="8">
        <v>53.6</v>
      </c>
      <c r="L90" s="8">
        <v>52.7</v>
      </c>
      <c r="M90" s="8">
        <v>67.400000000000006</v>
      </c>
      <c r="N90" s="8">
        <v>71</v>
      </c>
      <c r="O90" s="8">
        <v>69.400000000000006</v>
      </c>
      <c r="P90" s="8">
        <v>71.5</v>
      </c>
      <c r="Q90" s="5">
        <f t="shared" si="15"/>
        <v>4.0999999999999943</v>
      </c>
    </row>
    <row r="91" spans="1:17" x14ac:dyDescent="0.35">
      <c r="A91" s="9">
        <v>1938</v>
      </c>
      <c r="B91" s="10">
        <f t="shared" si="8"/>
        <v>49.6</v>
      </c>
      <c r="C91" s="10">
        <f t="shared" si="9"/>
        <v>53</v>
      </c>
      <c r="D91" s="10">
        <f t="shared" si="10"/>
        <v>68</v>
      </c>
      <c r="E91" s="10">
        <f t="shared" si="11"/>
        <v>72.599999999999994</v>
      </c>
      <c r="F91" s="10">
        <f t="shared" si="12"/>
        <v>3.3999999999999986</v>
      </c>
      <c r="G91" s="10">
        <f t="shared" si="13"/>
        <v>0</v>
      </c>
      <c r="H91" s="10">
        <f t="shared" si="14"/>
        <v>15</v>
      </c>
      <c r="I91" s="11">
        <v>49.6</v>
      </c>
      <c r="J91" s="11">
        <v>50.3</v>
      </c>
      <c r="K91" s="11">
        <v>53</v>
      </c>
      <c r="L91" s="11">
        <v>52.9</v>
      </c>
      <c r="M91" s="11">
        <v>68</v>
      </c>
      <c r="N91" s="11">
        <v>70.8</v>
      </c>
      <c r="O91" s="11">
        <v>70.7</v>
      </c>
      <c r="P91" s="11">
        <v>72.599999999999994</v>
      </c>
      <c r="Q91" s="5">
        <f t="shared" si="15"/>
        <v>4.5999999999999943</v>
      </c>
    </row>
    <row r="92" spans="1:17" x14ac:dyDescent="0.35">
      <c r="A92" s="6">
        <v>1939</v>
      </c>
      <c r="B92" s="7">
        <f t="shared" si="8"/>
        <v>50</v>
      </c>
      <c r="C92" s="7">
        <f t="shared" si="9"/>
        <v>53.2</v>
      </c>
      <c r="D92" s="7">
        <f t="shared" si="10"/>
        <v>68.7</v>
      </c>
      <c r="E92" s="7">
        <f t="shared" si="11"/>
        <v>73.5</v>
      </c>
      <c r="F92" s="7">
        <f t="shared" si="12"/>
        <v>3.2000000000000028</v>
      </c>
      <c r="G92" s="7">
        <f t="shared" si="13"/>
        <v>0</v>
      </c>
      <c r="H92" s="7">
        <f t="shared" si="14"/>
        <v>15.5</v>
      </c>
      <c r="I92" s="8">
        <v>50</v>
      </c>
      <c r="J92" s="8">
        <v>51.4</v>
      </c>
      <c r="K92" s="8">
        <v>52</v>
      </c>
      <c r="L92" s="8">
        <v>53.2</v>
      </c>
      <c r="M92" s="8">
        <v>68.7</v>
      </c>
      <c r="N92" s="8">
        <v>70.2</v>
      </c>
      <c r="O92" s="8">
        <v>72.2</v>
      </c>
      <c r="P92" s="8">
        <v>73.5</v>
      </c>
      <c r="Q92" s="5">
        <f t="shared" si="15"/>
        <v>4.7999999999999972</v>
      </c>
    </row>
    <row r="93" spans="1:17" x14ac:dyDescent="0.35">
      <c r="A93" s="9">
        <v>1940</v>
      </c>
      <c r="B93" s="10">
        <f t="shared" si="8"/>
        <v>48.1</v>
      </c>
      <c r="C93" s="10">
        <f t="shared" si="9"/>
        <v>51.6</v>
      </c>
      <c r="D93" s="10">
        <f t="shared" si="10"/>
        <v>64.2</v>
      </c>
      <c r="E93" s="10">
        <f t="shared" si="11"/>
        <v>68.7</v>
      </c>
      <c r="F93" s="10">
        <f t="shared" si="12"/>
        <v>3.5</v>
      </c>
      <c r="G93" s="10">
        <f t="shared" si="13"/>
        <v>0</v>
      </c>
      <c r="H93" s="10">
        <f t="shared" si="14"/>
        <v>12.600000000000001</v>
      </c>
      <c r="I93" s="11">
        <v>48.1</v>
      </c>
      <c r="J93" s="11">
        <v>50.4</v>
      </c>
      <c r="K93" s="11">
        <v>50.3</v>
      </c>
      <c r="L93" s="11">
        <v>51.6</v>
      </c>
      <c r="M93" s="11">
        <v>64.2</v>
      </c>
      <c r="N93" s="11">
        <v>65.599999999999994</v>
      </c>
      <c r="O93" s="11">
        <v>68.3</v>
      </c>
      <c r="P93" s="11">
        <v>68.7</v>
      </c>
      <c r="Q93" s="5">
        <f t="shared" si="15"/>
        <v>4.5</v>
      </c>
    </row>
    <row r="94" spans="1:17" x14ac:dyDescent="0.35">
      <c r="A94" s="6">
        <v>1941</v>
      </c>
      <c r="B94" s="7">
        <f t="shared" si="8"/>
        <v>46.4</v>
      </c>
      <c r="C94" s="7">
        <f t="shared" si="9"/>
        <v>50</v>
      </c>
      <c r="D94" s="7">
        <f t="shared" si="10"/>
        <v>59.7</v>
      </c>
      <c r="E94" s="7">
        <f t="shared" si="11"/>
        <v>64.099999999999994</v>
      </c>
      <c r="F94" s="7">
        <f t="shared" si="12"/>
        <v>3.6000000000000014</v>
      </c>
      <c r="G94" s="7">
        <f t="shared" si="13"/>
        <v>0</v>
      </c>
      <c r="H94" s="7">
        <f t="shared" si="14"/>
        <v>9.7000000000000028</v>
      </c>
      <c r="I94" s="8">
        <v>46.4</v>
      </c>
      <c r="J94" s="8">
        <v>49</v>
      </c>
      <c r="K94" s="8">
        <v>49.4</v>
      </c>
      <c r="L94" s="8">
        <v>50</v>
      </c>
      <c r="M94" s="8">
        <v>59.7</v>
      </c>
      <c r="N94" s="8">
        <v>61.8</v>
      </c>
      <c r="O94" s="8">
        <v>64</v>
      </c>
      <c r="P94" s="8">
        <v>64.099999999999994</v>
      </c>
      <c r="Q94" s="5">
        <f t="shared" si="15"/>
        <v>4.3999999999999915</v>
      </c>
    </row>
    <row r="95" spans="1:17" x14ac:dyDescent="0.35">
      <c r="A95" s="9">
        <v>1942</v>
      </c>
      <c r="B95" s="10">
        <f t="shared" si="8"/>
        <v>45.2</v>
      </c>
      <c r="C95" s="10">
        <f t="shared" si="9"/>
        <v>48.3</v>
      </c>
      <c r="D95" s="10">
        <f t="shared" si="10"/>
        <v>55.1</v>
      </c>
      <c r="E95" s="10">
        <f t="shared" si="11"/>
        <v>60</v>
      </c>
      <c r="F95" s="10">
        <f t="shared" si="12"/>
        <v>3.0999999999999943</v>
      </c>
      <c r="G95" s="10">
        <f t="shared" si="13"/>
        <v>0</v>
      </c>
      <c r="H95" s="10">
        <f t="shared" si="14"/>
        <v>6.8000000000000043</v>
      </c>
      <c r="I95" s="11">
        <v>45.2</v>
      </c>
      <c r="J95" s="11">
        <v>47.3</v>
      </c>
      <c r="K95" s="11">
        <v>47.7</v>
      </c>
      <c r="L95" s="11">
        <v>48.3</v>
      </c>
      <c r="M95" s="11">
        <v>55.1</v>
      </c>
      <c r="N95" s="11">
        <v>57.2</v>
      </c>
      <c r="O95" s="11">
        <v>59.4</v>
      </c>
      <c r="P95" s="11">
        <v>60</v>
      </c>
      <c r="Q95" s="5">
        <f t="shared" si="15"/>
        <v>4.8999999999999986</v>
      </c>
    </row>
    <row r="96" spans="1:17" x14ac:dyDescent="0.35">
      <c r="A96" s="6">
        <v>1943</v>
      </c>
      <c r="B96" s="7">
        <f t="shared" si="8"/>
        <v>44.3</v>
      </c>
      <c r="C96" s="7">
        <f t="shared" si="9"/>
        <v>47</v>
      </c>
      <c r="D96" s="7">
        <f t="shared" si="10"/>
        <v>50.9</v>
      </c>
      <c r="E96" s="7">
        <f t="shared" si="11"/>
        <v>56.2</v>
      </c>
      <c r="F96" s="7">
        <f t="shared" si="12"/>
        <v>2.7000000000000028</v>
      </c>
      <c r="G96" s="7">
        <f t="shared" si="13"/>
        <v>0</v>
      </c>
      <c r="H96" s="7">
        <f t="shared" si="14"/>
        <v>3.8999999999999986</v>
      </c>
      <c r="I96" s="8">
        <v>44.3</v>
      </c>
      <c r="J96" s="8">
        <v>45.3</v>
      </c>
      <c r="K96" s="8">
        <v>45.6</v>
      </c>
      <c r="L96" s="8">
        <v>47</v>
      </c>
      <c r="M96" s="8">
        <v>50.9</v>
      </c>
      <c r="N96" s="8">
        <v>52.2</v>
      </c>
      <c r="O96" s="8">
        <v>54.5</v>
      </c>
      <c r="P96" s="8">
        <v>56.2</v>
      </c>
      <c r="Q96" s="5">
        <f t="shared" si="15"/>
        <v>5.3000000000000043</v>
      </c>
    </row>
    <row r="97" spans="1:17" x14ac:dyDescent="0.35">
      <c r="A97" s="9">
        <v>1944</v>
      </c>
      <c r="B97" s="10">
        <f t="shared" si="8"/>
        <v>42.7</v>
      </c>
      <c r="C97" s="10">
        <f t="shared" si="9"/>
        <v>45.5</v>
      </c>
      <c r="D97" s="10">
        <f t="shared" si="10"/>
        <v>51.9</v>
      </c>
      <c r="E97" s="10">
        <f t="shared" si="11"/>
        <v>58.4</v>
      </c>
      <c r="F97" s="10">
        <f t="shared" si="12"/>
        <v>2.7999999999999972</v>
      </c>
      <c r="G97" s="10">
        <f t="shared" si="13"/>
        <v>0</v>
      </c>
      <c r="H97" s="10">
        <f t="shared" si="14"/>
        <v>6.3999999999999986</v>
      </c>
      <c r="I97" s="11">
        <v>44</v>
      </c>
      <c r="J97" s="11">
        <v>43.9</v>
      </c>
      <c r="K97" s="11">
        <v>42.7</v>
      </c>
      <c r="L97" s="11">
        <v>45.5</v>
      </c>
      <c r="M97" s="11">
        <v>51.9</v>
      </c>
      <c r="N97" s="11">
        <v>51.9</v>
      </c>
      <c r="O97" s="11">
        <v>55.6</v>
      </c>
      <c r="P97" s="11">
        <v>58.4</v>
      </c>
      <c r="Q97" s="5">
        <f t="shared" si="15"/>
        <v>6.5</v>
      </c>
    </row>
    <row r="98" spans="1:17" x14ac:dyDescent="0.35">
      <c r="A98" s="6">
        <v>1945</v>
      </c>
      <c r="B98" s="7">
        <f t="shared" si="8"/>
        <v>44</v>
      </c>
      <c r="C98" s="7">
        <f t="shared" si="9"/>
        <v>46.4</v>
      </c>
      <c r="D98" s="7">
        <f t="shared" si="10"/>
        <v>53.2</v>
      </c>
      <c r="E98" s="7">
        <f t="shared" si="11"/>
        <v>59.5</v>
      </c>
      <c r="F98" s="7">
        <f t="shared" si="12"/>
        <v>2.3999999999999986</v>
      </c>
      <c r="G98" s="7">
        <f t="shared" si="13"/>
        <v>0</v>
      </c>
      <c r="H98" s="7">
        <f t="shared" si="14"/>
        <v>6.8000000000000043</v>
      </c>
      <c r="I98" s="8">
        <v>44.7</v>
      </c>
      <c r="J98" s="8">
        <v>44.6</v>
      </c>
      <c r="K98" s="8">
        <v>44</v>
      </c>
      <c r="L98" s="8">
        <v>46.4</v>
      </c>
      <c r="M98" s="8">
        <v>53.2</v>
      </c>
      <c r="N98" s="8">
        <v>53.6</v>
      </c>
      <c r="O98" s="8">
        <v>56.7</v>
      </c>
      <c r="P98" s="8">
        <v>59.5</v>
      </c>
      <c r="Q98" s="5">
        <f t="shared" si="15"/>
        <v>6.2999999999999972</v>
      </c>
    </row>
    <row r="99" spans="1:17" x14ac:dyDescent="0.35">
      <c r="A99" s="9">
        <v>1946</v>
      </c>
      <c r="B99" s="10">
        <f t="shared" si="8"/>
        <v>44.6</v>
      </c>
      <c r="C99" s="10">
        <f t="shared" si="9"/>
        <v>47.3</v>
      </c>
      <c r="D99" s="10">
        <f t="shared" si="10"/>
        <v>54.6</v>
      </c>
      <c r="E99" s="10">
        <f t="shared" si="11"/>
        <v>59.9</v>
      </c>
      <c r="F99" s="10">
        <f t="shared" si="12"/>
        <v>2.6999999999999957</v>
      </c>
      <c r="G99" s="10">
        <f t="shared" si="13"/>
        <v>0</v>
      </c>
      <c r="H99" s="10">
        <f t="shared" si="14"/>
        <v>7.3000000000000043</v>
      </c>
      <c r="I99" s="11">
        <v>44.6</v>
      </c>
      <c r="J99" s="11">
        <v>45.3</v>
      </c>
      <c r="K99" s="11">
        <v>45.5</v>
      </c>
      <c r="L99" s="11">
        <v>47.3</v>
      </c>
      <c r="M99" s="11">
        <v>54.6</v>
      </c>
      <c r="N99" s="11">
        <v>55.5</v>
      </c>
      <c r="O99" s="11">
        <v>57.9</v>
      </c>
      <c r="P99" s="11">
        <v>59.9</v>
      </c>
      <c r="Q99" s="5">
        <f t="shared" si="15"/>
        <v>5.2999999999999972</v>
      </c>
    </row>
    <row r="100" spans="1:17" x14ac:dyDescent="0.35">
      <c r="A100" s="6">
        <v>1947</v>
      </c>
      <c r="B100" s="7">
        <f t="shared" si="8"/>
        <v>44.3</v>
      </c>
      <c r="C100" s="7">
        <f t="shared" si="9"/>
        <v>48</v>
      </c>
      <c r="D100" s="7">
        <f t="shared" si="10"/>
        <v>55.7</v>
      </c>
      <c r="E100" s="7">
        <f t="shared" si="11"/>
        <v>60</v>
      </c>
      <c r="F100" s="7">
        <f t="shared" si="12"/>
        <v>3.7000000000000028</v>
      </c>
      <c r="G100" s="7">
        <f t="shared" si="13"/>
        <v>0</v>
      </c>
      <c r="H100" s="7">
        <f t="shared" si="14"/>
        <v>7.7000000000000028</v>
      </c>
      <c r="I100" s="8">
        <v>44.3</v>
      </c>
      <c r="J100" s="8">
        <v>45.7</v>
      </c>
      <c r="K100" s="8">
        <v>46</v>
      </c>
      <c r="L100" s="8">
        <v>48</v>
      </c>
      <c r="M100" s="8">
        <v>55.7</v>
      </c>
      <c r="N100" s="8">
        <v>56.4</v>
      </c>
      <c r="O100" s="8">
        <v>58.7</v>
      </c>
      <c r="P100" s="8">
        <v>60</v>
      </c>
      <c r="Q100" s="5">
        <f t="shared" si="15"/>
        <v>4.2999999999999972</v>
      </c>
    </row>
    <row r="101" spans="1:17" x14ac:dyDescent="0.35">
      <c r="A101" s="9">
        <v>1948</v>
      </c>
      <c r="B101" s="10">
        <f t="shared" si="8"/>
        <v>44.6</v>
      </c>
      <c r="C101" s="10">
        <f t="shared" si="9"/>
        <v>48.3</v>
      </c>
      <c r="D101" s="10">
        <f t="shared" si="10"/>
        <v>56.5</v>
      </c>
      <c r="E101" s="10">
        <f t="shared" si="11"/>
        <v>60.7</v>
      </c>
      <c r="F101" s="10">
        <f t="shared" si="12"/>
        <v>3.6999999999999957</v>
      </c>
      <c r="G101" s="10">
        <f t="shared" si="13"/>
        <v>0</v>
      </c>
      <c r="H101" s="10">
        <f t="shared" si="14"/>
        <v>8.2000000000000028</v>
      </c>
      <c r="I101" s="11">
        <v>44.6</v>
      </c>
      <c r="J101" s="11">
        <v>45.7</v>
      </c>
      <c r="K101" s="11">
        <v>45.8</v>
      </c>
      <c r="L101" s="11">
        <v>48.3</v>
      </c>
      <c r="M101" s="11">
        <v>56.5</v>
      </c>
      <c r="N101" s="11">
        <v>56.6</v>
      </c>
      <c r="O101" s="11">
        <v>59.2</v>
      </c>
      <c r="P101" s="11">
        <v>60.7</v>
      </c>
      <c r="Q101" s="5">
        <f t="shared" si="15"/>
        <v>4.2000000000000028</v>
      </c>
    </row>
    <row r="102" spans="1:17" x14ac:dyDescent="0.35">
      <c r="A102" s="6">
        <v>1949</v>
      </c>
      <c r="B102" s="7">
        <f t="shared" si="8"/>
        <v>45.2</v>
      </c>
      <c r="C102" s="7">
        <f t="shared" si="9"/>
        <v>48.2</v>
      </c>
      <c r="D102" s="7">
        <f t="shared" si="10"/>
        <v>56.8</v>
      </c>
      <c r="E102" s="7">
        <f t="shared" si="11"/>
        <v>61.8</v>
      </c>
      <c r="F102" s="7">
        <f t="shared" si="12"/>
        <v>3</v>
      </c>
      <c r="G102" s="7">
        <f t="shared" si="13"/>
        <v>0</v>
      </c>
      <c r="H102" s="7">
        <f t="shared" si="14"/>
        <v>8.5999999999999943</v>
      </c>
      <c r="I102" s="8">
        <v>45.2</v>
      </c>
      <c r="J102" s="8">
        <v>45.4</v>
      </c>
      <c r="K102" s="8">
        <v>46.6</v>
      </c>
      <c r="L102" s="8">
        <v>48.2</v>
      </c>
      <c r="M102" s="8">
        <v>56.8</v>
      </c>
      <c r="N102" s="8">
        <v>57.9</v>
      </c>
      <c r="O102" s="8">
        <v>59.3</v>
      </c>
      <c r="P102" s="8">
        <v>61.8</v>
      </c>
      <c r="Q102" s="5">
        <f t="shared" si="15"/>
        <v>5</v>
      </c>
    </row>
    <row r="103" spans="1:17" x14ac:dyDescent="0.35">
      <c r="A103" s="9">
        <v>1950</v>
      </c>
      <c r="B103" s="10">
        <f t="shared" si="8"/>
        <v>45.1</v>
      </c>
      <c r="C103" s="10">
        <f t="shared" si="9"/>
        <v>48.5</v>
      </c>
      <c r="D103" s="10">
        <f t="shared" si="10"/>
        <v>56.9</v>
      </c>
      <c r="E103" s="10">
        <f t="shared" si="11"/>
        <v>62.7</v>
      </c>
      <c r="F103" s="10">
        <f t="shared" si="12"/>
        <v>3.3999999999999986</v>
      </c>
      <c r="G103" s="10">
        <f t="shared" si="13"/>
        <v>0</v>
      </c>
      <c r="H103" s="10">
        <f t="shared" si="14"/>
        <v>8.3999999999999986</v>
      </c>
      <c r="I103" s="11">
        <v>45.7</v>
      </c>
      <c r="J103" s="11">
        <v>45.1</v>
      </c>
      <c r="K103" s="11">
        <v>48.5</v>
      </c>
      <c r="L103" s="11">
        <v>47.9</v>
      </c>
      <c r="M103" s="11">
        <v>56.9</v>
      </c>
      <c r="N103" s="11">
        <v>60.2</v>
      </c>
      <c r="O103" s="11">
        <v>59.4</v>
      </c>
      <c r="P103" s="11">
        <v>62.7</v>
      </c>
      <c r="Q103" s="5">
        <f t="shared" si="15"/>
        <v>5.8000000000000043</v>
      </c>
    </row>
    <row r="104" spans="1:17" x14ac:dyDescent="0.35">
      <c r="A104" s="6">
        <v>1951</v>
      </c>
      <c r="B104" s="7">
        <f t="shared" si="8"/>
        <v>44.7</v>
      </c>
      <c r="C104" s="7">
        <f t="shared" si="9"/>
        <v>49.1</v>
      </c>
      <c r="D104" s="7">
        <f t="shared" si="10"/>
        <v>56.2</v>
      </c>
      <c r="E104" s="7">
        <f t="shared" si="11"/>
        <v>62</v>
      </c>
      <c r="F104" s="7">
        <f t="shared" si="12"/>
        <v>4.3999999999999986</v>
      </c>
      <c r="G104" s="7">
        <f t="shared" si="13"/>
        <v>0</v>
      </c>
      <c r="H104" s="7">
        <f t="shared" si="14"/>
        <v>7.1000000000000014</v>
      </c>
      <c r="I104" s="8">
        <v>45</v>
      </c>
      <c r="J104" s="8">
        <v>44.7</v>
      </c>
      <c r="K104" s="8">
        <v>49.1</v>
      </c>
      <c r="L104" s="8">
        <v>47.2</v>
      </c>
      <c r="M104" s="8">
        <v>56.2</v>
      </c>
      <c r="N104" s="8">
        <v>60.8</v>
      </c>
      <c r="O104" s="8">
        <v>59</v>
      </c>
      <c r="P104" s="8">
        <v>62</v>
      </c>
      <c r="Q104" s="5">
        <f t="shared" si="15"/>
        <v>5.7999999999999972</v>
      </c>
    </row>
    <row r="105" spans="1:17" x14ac:dyDescent="0.35">
      <c r="A105" s="9">
        <v>1952</v>
      </c>
      <c r="B105" s="10">
        <f t="shared" si="8"/>
        <v>44.1</v>
      </c>
      <c r="C105" s="10">
        <f t="shared" si="9"/>
        <v>48.3</v>
      </c>
      <c r="D105" s="10">
        <f t="shared" si="10"/>
        <v>55.9</v>
      </c>
      <c r="E105" s="10">
        <f t="shared" si="11"/>
        <v>61.1</v>
      </c>
      <c r="F105" s="10">
        <f t="shared" si="12"/>
        <v>4.1999999999999957</v>
      </c>
      <c r="G105" s="10">
        <f t="shared" si="13"/>
        <v>0</v>
      </c>
      <c r="H105" s="10">
        <f t="shared" si="14"/>
        <v>7.6000000000000014</v>
      </c>
      <c r="I105" s="11">
        <v>44.1</v>
      </c>
      <c r="J105" s="11">
        <v>45</v>
      </c>
      <c r="K105" s="11">
        <v>48.3</v>
      </c>
      <c r="L105" s="11">
        <v>46.9</v>
      </c>
      <c r="M105" s="11">
        <v>55.9</v>
      </c>
      <c r="N105" s="11">
        <v>60</v>
      </c>
      <c r="O105" s="11">
        <v>59.3</v>
      </c>
      <c r="P105" s="11">
        <v>61.1</v>
      </c>
      <c r="Q105" s="5">
        <f t="shared" si="15"/>
        <v>5.2000000000000028</v>
      </c>
    </row>
    <row r="106" spans="1:17" x14ac:dyDescent="0.35">
      <c r="A106" s="6">
        <v>1953</v>
      </c>
      <c r="B106" s="7">
        <f t="shared" si="8"/>
        <v>43.6</v>
      </c>
      <c r="C106" s="7">
        <f t="shared" si="9"/>
        <v>47.5</v>
      </c>
      <c r="D106" s="7">
        <f t="shared" si="10"/>
        <v>56.3</v>
      </c>
      <c r="E106" s="7">
        <f t="shared" si="11"/>
        <v>60.6</v>
      </c>
      <c r="F106" s="7">
        <f t="shared" si="12"/>
        <v>3.8999999999999986</v>
      </c>
      <c r="G106" s="7">
        <f t="shared" si="13"/>
        <v>0</v>
      </c>
      <c r="H106" s="7">
        <f t="shared" si="14"/>
        <v>8.7999999999999972</v>
      </c>
      <c r="I106" s="8">
        <v>43.6</v>
      </c>
      <c r="J106" s="8">
        <v>45.8</v>
      </c>
      <c r="K106" s="8">
        <v>47.5</v>
      </c>
      <c r="L106" s="8">
        <v>47.3</v>
      </c>
      <c r="M106" s="8">
        <v>56.3</v>
      </c>
      <c r="N106" s="8">
        <v>59.2</v>
      </c>
      <c r="O106" s="8">
        <v>60.1</v>
      </c>
      <c r="P106" s="8">
        <v>60.6</v>
      </c>
      <c r="Q106" s="5">
        <f t="shared" si="15"/>
        <v>4.3000000000000043</v>
      </c>
    </row>
    <row r="107" spans="1:17" x14ac:dyDescent="0.35">
      <c r="A107" s="9">
        <v>1954</v>
      </c>
      <c r="B107" s="10">
        <f t="shared" si="8"/>
        <v>43.9</v>
      </c>
      <c r="C107" s="10">
        <f t="shared" si="9"/>
        <v>48.1</v>
      </c>
      <c r="D107" s="10">
        <f t="shared" si="10"/>
        <v>57.1</v>
      </c>
      <c r="E107" s="10">
        <f t="shared" si="11"/>
        <v>61.1</v>
      </c>
      <c r="F107" s="10">
        <f t="shared" si="12"/>
        <v>4.2000000000000028</v>
      </c>
      <c r="G107" s="10">
        <f t="shared" si="13"/>
        <v>0</v>
      </c>
      <c r="H107" s="10">
        <f t="shared" si="14"/>
        <v>9</v>
      </c>
      <c r="I107" s="11">
        <v>43.9</v>
      </c>
      <c r="J107" s="11">
        <v>46.8</v>
      </c>
      <c r="K107" s="11">
        <v>47.8</v>
      </c>
      <c r="L107" s="11">
        <v>48.1</v>
      </c>
      <c r="M107" s="11">
        <v>57.1</v>
      </c>
      <c r="N107" s="11">
        <v>59.5</v>
      </c>
      <c r="O107" s="11">
        <v>61.1</v>
      </c>
      <c r="P107" s="11">
        <v>60.9</v>
      </c>
      <c r="Q107" s="5">
        <f t="shared" si="15"/>
        <v>4</v>
      </c>
    </row>
    <row r="108" spans="1:17" x14ac:dyDescent="0.35">
      <c r="A108" s="6">
        <v>1955</v>
      </c>
      <c r="B108" s="7">
        <f t="shared" si="8"/>
        <v>44.9</v>
      </c>
      <c r="C108" s="7">
        <f t="shared" si="9"/>
        <v>49.1</v>
      </c>
      <c r="D108" s="7">
        <f t="shared" si="10"/>
        <v>58.1</v>
      </c>
      <c r="E108" s="7">
        <f t="shared" si="11"/>
        <v>61.9</v>
      </c>
      <c r="F108" s="7">
        <f t="shared" si="12"/>
        <v>4.2000000000000028</v>
      </c>
      <c r="G108" s="7">
        <f t="shared" si="13"/>
        <v>0</v>
      </c>
      <c r="H108" s="7">
        <f t="shared" si="14"/>
        <v>9</v>
      </c>
      <c r="I108" s="8">
        <v>44.9</v>
      </c>
      <c r="J108" s="8">
        <v>47.5</v>
      </c>
      <c r="K108" s="8">
        <v>48.5</v>
      </c>
      <c r="L108" s="8">
        <v>49.1</v>
      </c>
      <c r="M108" s="8">
        <v>58.1</v>
      </c>
      <c r="N108" s="8">
        <v>60.2</v>
      </c>
      <c r="O108" s="8">
        <v>61.8</v>
      </c>
      <c r="P108" s="8">
        <v>61.9</v>
      </c>
      <c r="Q108" s="5">
        <f t="shared" si="15"/>
        <v>3.7999999999999972</v>
      </c>
    </row>
    <row r="109" spans="1:17" x14ac:dyDescent="0.35">
      <c r="A109" s="9">
        <v>1956</v>
      </c>
      <c r="B109" s="10">
        <f t="shared" si="8"/>
        <v>45.6</v>
      </c>
      <c r="C109" s="10">
        <f t="shared" si="9"/>
        <v>49.8</v>
      </c>
      <c r="D109" s="10">
        <f t="shared" si="10"/>
        <v>58.8</v>
      </c>
      <c r="E109" s="10">
        <f t="shared" si="11"/>
        <v>62.6</v>
      </c>
      <c r="F109" s="10">
        <f t="shared" si="12"/>
        <v>4.1999999999999957</v>
      </c>
      <c r="G109" s="10">
        <f t="shared" si="13"/>
        <v>0</v>
      </c>
      <c r="H109" s="10">
        <f t="shared" si="14"/>
        <v>9</v>
      </c>
      <c r="I109" s="11">
        <v>45.6</v>
      </c>
      <c r="J109" s="11">
        <v>47.6</v>
      </c>
      <c r="K109" s="11">
        <v>48</v>
      </c>
      <c r="L109" s="11">
        <v>49.8</v>
      </c>
      <c r="M109" s="11">
        <v>58.8</v>
      </c>
      <c r="N109" s="11">
        <v>59.7</v>
      </c>
      <c r="O109" s="11">
        <v>61.9</v>
      </c>
      <c r="P109" s="11">
        <v>62.6</v>
      </c>
      <c r="Q109" s="5">
        <f t="shared" si="15"/>
        <v>3.8000000000000043</v>
      </c>
    </row>
    <row r="110" spans="1:17" x14ac:dyDescent="0.35">
      <c r="A110" s="6">
        <v>1957</v>
      </c>
      <c r="B110" s="7">
        <f t="shared" si="8"/>
        <v>45.8</v>
      </c>
      <c r="C110" s="7">
        <f t="shared" si="9"/>
        <v>49.9</v>
      </c>
      <c r="D110" s="7">
        <f t="shared" si="10"/>
        <v>58.3</v>
      </c>
      <c r="E110" s="7">
        <f t="shared" si="11"/>
        <v>62.8</v>
      </c>
      <c r="F110" s="7">
        <f t="shared" si="12"/>
        <v>4.1000000000000014</v>
      </c>
      <c r="G110" s="7">
        <f t="shared" si="13"/>
        <v>0</v>
      </c>
      <c r="H110" s="7">
        <f t="shared" si="14"/>
        <v>8.3999999999999986</v>
      </c>
      <c r="I110" s="8">
        <v>45.8</v>
      </c>
      <c r="J110" s="8">
        <v>47.2</v>
      </c>
      <c r="K110" s="8">
        <v>46.6</v>
      </c>
      <c r="L110" s="8">
        <v>49.9</v>
      </c>
      <c r="M110" s="8">
        <v>58.9</v>
      </c>
      <c r="N110" s="8">
        <v>58.3</v>
      </c>
      <c r="O110" s="8">
        <v>61.5</v>
      </c>
      <c r="P110" s="8">
        <v>62.8</v>
      </c>
      <c r="Q110" s="5">
        <f t="shared" si="15"/>
        <v>4.5</v>
      </c>
    </row>
    <row r="111" spans="1:17" x14ac:dyDescent="0.35">
      <c r="A111" s="9">
        <v>1958</v>
      </c>
      <c r="B111" s="10">
        <f t="shared" si="8"/>
        <v>45.5</v>
      </c>
      <c r="C111" s="10">
        <f t="shared" si="9"/>
        <v>49.2</v>
      </c>
      <c r="D111" s="10">
        <f t="shared" si="10"/>
        <v>57.6</v>
      </c>
      <c r="E111" s="10">
        <f t="shared" si="11"/>
        <v>62.5</v>
      </c>
      <c r="F111" s="10">
        <f t="shared" si="12"/>
        <v>3.7000000000000028</v>
      </c>
      <c r="G111" s="10">
        <f t="shared" si="13"/>
        <v>0</v>
      </c>
      <c r="H111" s="10">
        <f t="shared" si="14"/>
        <v>8.3999999999999986</v>
      </c>
      <c r="I111" s="11">
        <v>45.5</v>
      </c>
      <c r="J111" s="11">
        <v>46.6</v>
      </c>
      <c r="K111" s="11">
        <v>45.9</v>
      </c>
      <c r="L111" s="11">
        <v>49.2</v>
      </c>
      <c r="M111" s="11">
        <v>58.2</v>
      </c>
      <c r="N111" s="11">
        <v>57.6</v>
      </c>
      <c r="O111" s="11">
        <v>60.9</v>
      </c>
      <c r="P111" s="11">
        <v>62.5</v>
      </c>
      <c r="Q111" s="5">
        <f t="shared" si="15"/>
        <v>4.8999999999999986</v>
      </c>
    </row>
    <row r="112" spans="1:17" x14ac:dyDescent="0.35">
      <c r="A112" s="6">
        <v>1959</v>
      </c>
      <c r="B112" s="7">
        <f t="shared" si="8"/>
        <v>45.5</v>
      </c>
      <c r="C112" s="7">
        <f t="shared" si="9"/>
        <v>48</v>
      </c>
      <c r="D112" s="7">
        <f t="shared" si="10"/>
        <v>57</v>
      </c>
      <c r="E112" s="7">
        <f t="shared" si="11"/>
        <v>62.5</v>
      </c>
      <c r="F112" s="7">
        <f t="shared" si="12"/>
        <v>2.5</v>
      </c>
      <c r="G112" s="7">
        <f t="shared" si="13"/>
        <v>0</v>
      </c>
      <c r="H112" s="7">
        <f t="shared" si="14"/>
        <v>9</v>
      </c>
      <c r="I112" s="8">
        <v>45.5</v>
      </c>
      <c r="J112" s="8">
        <v>46</v>
      </c>
      <c r="K112" s="8">
        <v>46.5</v>
      </c>
      <c r="L112" s="8">
        <v>48</v>
      </c>
      <c r="M112" s="8">
        <v>57</v>
      </c>
      <c r="N112" s="8">
        <v>58.2</v>
      </c>
      <c r="O112" s="8">
        <v>60.3</v>
      </c>
      <c r="P112" s="8">
        <v>62.5</v>
      </c>
      <c r="Q112" s="5">
        <f t="shared" si="15"/>
        <v>5.5</v>
      </c>
    </row>
    <row r="113" spans="1:17" x14ac:dyDescent="0.35">
      <c r="A113" s="9">
        <v>1960</v>
      </c>
      <c r="B113" s="10">
        <f t="shared" si="8"/>
        <v>45.8</v>
      </c>
      <c r="C113" s="10">
        <f t="shared" si="9"/>
        <v>46.9</v>
      </c>
      <c r="D113" s="10">
        <f t="shared" si="10"/>
        <v>55.9</v>
      </c>
      <c r="E113" s="10">
        <f t="shared" si="11"/>
        <v>62.9</v>
      </c>
      <c r="F113" s="10">
        <f t="shared" si="12"/>
        <v>1.1000000000000014</v>
      </c>
      <c r="G113" s="10">
        <f t="shared" si="13"/>
        <v>0</v>
      </c>
      <c r="H113" s="10">
        <f t="shared" si="14"/>
        <v>9</v>
      </c>
      <c r="I113" s="11">
        <v>45.9</v>
      </c>
      <c r="J113" s="11">
        <v>45.8</v>
      </c>
      <c r="K113" s="11">
        <v>46.9</v>
      </c>
      <c r="L113" s="11">
        <v>46.9</v>
      </c>
      <c r="M113" s="11">
        <v>55.9</v>
      </c>
      <c r="N113" s="11">
        <v>58.6</v>
      </c>
      <c r="O113" s="11">
        <v>60.1</v>
      </c>
      <c r="P113" s="11">
        <v>62.9</v>
      </c>
      <c r="Q113" s="5">
        <f t="shared" si="15"/>
        <v>7</v>
      </c>
    </row>
    <row r="114" spans="1:17" x14ac:dyDescent="0.35">
      <c r="A114" s="6">
        <v>1961</v>
      </c>
      <c r="B114" s="7">
        <f t="shared" si="8"/>
        <v>45.7</v>
      </c>
      <c r="C114" s="7">
        <f t="shared" si="9"/>
        <v>46.3</v>
      </c>
      <c r="D114" s="7">
        <f t="shared" si="10"/>
        <v>55.2</v>
      </c>
      <c r="E114" s="7">
        <f t="shared" si="11"/>
        <v>63.3</v>
      </c>
      <c r="F114" s="7">
        <f t="shared" si="12"/>
        <v>0.59999999999999432</v>
      </c>
      <c r="G114" s="7">
        <f t="shared" si="13"/>
        <v>0</v>
      </c>
      <c r="H114" s="7">
        <f t="shared" si="14"/>
        <v>8.9000000000000057</v>
      </c>
      <c r="I114" s="8">
        <v>46.3</v>
      </c>
      <c r="J114" s="8">
        <v>45.7</v>
      </c>
      <c r="K114" s="8">
        <v>46</v>
      </c>
      <c r="L114" s="8">
        <v>46.1</v>
      </c>
      <c r="M114" s="8">
        <v>55.2</v>
      </c>
      <c r="N114" s="8">
        <v>57.8</v>
      </c>
      <c r="O114" s="8">
        <v>60.1</v>
      </c>
      <c r="P114" s="8">
        <v>63.3</v>
      </c>
      <c r="Q114" s="5">
        <f t="shared" si="15"/>
        <v>8.0999999999999943</v>
      </c>
    </row>
    <row r="115" spans="1:17" x14ac:dyDescent="0.35">
      <c r="A115" s="9">
        <v>1962</v>
      </c>
      <c r="B115" s="10">
        <f t="shared" si="8"/>
        <v>44.9</v>
      </c>
      <c r="C115" s="10">
        <f t="shared" si="9"/>
        <v>46</v>
      </c>
      <c r="D115" s="10">
        <f t="shared" si="10"/>
        <v>55.1</v>
      </c>
      <c r="E115" s="10">
        <f t="shared" si="11"/>
        <v>63.1</v>
      </c>
      <c r="F115" s="10">
        <f t="shared" si="12"/>
        <v>1.1000000000000014</v>
      </c>
      <c r="G115" s="10">
        <f t="shared" si="13"/>
        <v>0</v>
      </c>
      <c r="H115" s="10">
        <f t="shared" si="14"/>
        <v>9.1000000000000014</v>
      </c>
      <c r="I115" s="11">
        <v>46</v>
      </c>
      <c r="J115" s="11">
        <v>45.5</v>
      </c>
      <c r="K115" s="11">
        <v>44.9</v>
      </c>
      <c r="L115" s="11">
        <v>46</v>
      </c>
      <c r="M115" s="11">
        <v>55.1</v>
      </c>
      <c r="N115" s="11">
        <v>56.8</v>
      </c>
      <c r="O115" s="11">
        <v>60</v>
      </c>
      <c r="P115" s="11">
        <v>63.1</v>
      </c>
      <c r="Q115" s="5">
        <f t="shared" si="15"/>
        <v>8</v>
      </c>
    </row>
    <row r="116" spans="1:17" x14ac:dyDescent="0.35">
      <c r="A116" s="6">
        <v>1963</v>
      </c>
      <c r="B116" s="7">
        <f t="shared" si="8"/>
        <v>44.9</v>
      </c>
      <c r="C116" s="7">
        <f t="shared" si="9"/>
        <v>46.5</v>
      </c>
      <c r="D116" s="7">
        <f t="shared" si="10"/>
        <v>55.7</v>
      </c>
      <c r="E116" s="7">
        <f t="shared" si="11"/>
        <v>62.1</v>
      </c>
      <c r="F116" s="7">
        <f t="shared" si="12"/>
        <v>1.6000000000000014</v>
      </c>
      <c r="G116" s="7">
        <f t="shared" si="13"/>
        <v>0</v>
      </c>
      <c r="H116" s="7">
        <f t="shared" si="14"/>
        <v>9.2000000000000028</v>
      </c>
      <c r="I116" s="8">
        <v>44.9</v>
      </c>
      <c r="J116" s="8">
        <v>45.1</v>
      </c>
      <c r="K116" s="8">
        <v>45.2</v>
      </c>
      <c r="L116" s="8">
        <v>46.5</v>
      </c>
      <c r="M116" s="8">
        <v>55.7</v>
      </c>
      <c r="N116" s="8">
        <v>57.1</v>
      </c>
      <c r="O116" s="8">
        <v>59.6</v>
      </c>
      <c r="P116" s="8">
        <v>62.1</v>
      </c>
      <c r="Q116" s="5">
        <f t="shared" si="15"/>
        <v>6.3999999999999986</v>
      </c>
    </row>
    <row r="117" spans="1:17" x14ac:dyDescent="0.35">
      <c r="A117" s="9">
        <v>1964</v>
      </c>
      <c r="B117" s="10">
        <f t="shared" si="8"/>
        <v>43.6</v>
      </c>
      <c r="C117" s="10">
        <f t="shared" si="9"/>
        <v>47.4</v>
      </c>
      <c r="D117" s="10">
        <f t="shared" si="10"/>
        <v>56.6</v>
      </c>
      <c r="E117" s="10">
        <f t="shared" si="11"/>
        <v>60.9</v>
      </c>
      <c r="F117" s="10">
        <f t="shared" si="12"/>
        <v>3.7999999999999972</v>
      </c>
      <c r="G117" s="10">
        <f t="shared" si="13"/>
        <v>0</v>
      </c>
      <c r="H117" s="10">
        <f t="shared" si="14"/>
        <v>9.2000000000000028</v>
      </c>
      <c r="I117" s="11">
        <v>43.6</v>
      </c>
      <c r="J117" s="11">
        <v>44.5</v>
      </c>
      <c r="K117" s="11">
        <v>46.3</v>
      </c>
      <c r="L117" s="11">
        <v>47.4</v>
      </c>
      <c r="M117" s="11">
        <v>56.6</v>
      </c>
      <c r="N117" s="11">
        <v>58.3</v>
      </c>
      <c r="O117" s="11">
        <v>59</v>
      </c>
      <c r="P117" s="11">
        <v>60.9</v>
      </c>
      <c r="Q117" s="5">
        <f t="shared" si="15"/>
        <v>4.2999999999999972</v>
      </c>
    </row>
    <row r="118" spans="1:17" x14ac:dyDescent="0.35">
      <c r="A118" s="6">
        <v>1965</v>
      </c>
      <c r="B118" s="7">
        <f t="shared" si="8"/>
        <v>42.8</v>
      </c>
      <c r="C118" s="7">
        <f t="shared" si="9"/>
        <v>48.1</v>
      </c>
      <c r="D118" s="7">
        <f t="shared" si="10"/>
        <v>57.4</v>
      </c>
      <c r="E118" s="7">
        <f t="shared" si="11"/>
        <v>60.1</v>
      </c>
      <c r="F118" s="7">
        <f t="shared" si="12"/>
        <v>5.3000000000000043</v>
      </c>
      <c r="G118" s="7">
        <f t="shared" si="13"/>
        <v>0</v>
      </c>
      <c r="H118" s="7">
        <f t="shared" si="14"/>
        <v>9.2999999999999972</v>
      </c>
      <c r="I118" s="8">
        <v>42.8</v>
      </c>
      <c r="J118" s="8">
        <v>43.8</v>
      </c>
      <c r="K118" s="8">
        <v>46.6</v>
      </c>
      <c r="L118" s="8">
        <v>48.1</v>
      </c>
      <c r="M118" s="8">
        <v>57.4</v>
      </c>
      <c r="N118" s="8">
        <v>58.6</v>
      </c>
      <c r="O118" s="8">
        <v>58.5</v>
      </c>
      <c r="P118" s="8">
        <v>60.1</v>
      </c>
      <c r="Q118" s="5">
        <f t="shared" si="15"/>
        <v>2.7000000000000028</v>
      </c>
    </row>
    <row r="119" spans="1:17" x14ac:dyDescent="0.35">
      <c r="A119" s="9">
        <v>1966</v>
      </c>
      <c r="B119" s="10">
        <f t="shared" si="8"/>
        <v>42.7</v>
      </c>
      <c r="C119" s="10">
        <f t="shared" si="9"/>
        <v>48.3</v>
      </c>
      <c r="D119" s="10">
        <f t="shared" si="10"/>
        <v>57.7</v>
      </c>
      <c r="E119" s="10">
        <f t="shared" si="11"/>
        <v>60.1</v>
      </c>
      <c r="F119" s="10">
        <f t="shared" si="12"/>
        <v>5.5999999999999943</v>
      </c>
      <c r="G119" s="10">
        <f t="shared" si="13"/>
        <v>0</v>
      </c>
      <c r="H119" s="10">
        <f t="shared" si="14"/>
        <v>9.4000000000000057</v>
      </c>
      <c r="I119" s="11">
        <v>42.7</v>
      </c>
      <c r="J119" s="11">
        <v>43.5</v>
      </c>
      <c r="K119" s="11">
        <v>45.8</v>
      </c>
      <c r="L119" s="11">
        <v>48.3</v>
      </c>
      <c r="M119" s="11">
        <v>57.7</v>
      </c>
      <c r="N119" s="11">
        <v>57.9</v>
      </c>
      <c r="O119" s="11">
        <v>58.2</v>
      </c>
      <c r="P119" s="11">
        <v>60.1</v>
      </c>
      <c r="Q119" s="5">
        <f t="shared" si="15"/>
        <v>2.3999999999999986</v>
      </c>
    </row>
    <row r="120" spans="1:17" x14ac:dyDescent="0.35">
      <c r="A120" s="6">
        <v>1967</v>
      </c>
      <c r="B120" s="7">
        <f t="shared" si="8"/>
        <v>42.9</v>
      </c>
      <c r="C120" s="7">
        <f t="shared" si="9"/>
        <v>47.9</v>
      </c>
      <c r="D120" s="7">
        <f t="shared" si="10"/>
        <v>57.3</v>
      </c>
      <c r="E120" s="7">
        <f t="shared" si="11"/>
        <v>60.4</v>
      </c>
      <c r="F120" s="7">
        <f t="shared" si="12"/>
        <v>5</v>
      </c>
      <c r="G120" s="7">
        <f t="shared" si="13"/>
        <v>0</v>
      </c>
      <c r="H120" s="7">
        <f t="shared" si="14"/>
        <v>9.3999999999999986</v>
      </c>
      <c r="I120" s="8">
        <v>42.9</v>
      </c>
      <c r="J120" s="8">
        <v>43.8</v>
      </c>
      <c r="K120" s="8">
        <v>45.4</v>
      </c>
      <c r="L120" s="8">
        <v>47.9</v>
      </c>
      <c r="M120" s="8">
        <v>57.3</v>
      </c>
      <c r="N120" s="8">
        <v>57.6</v>
      </c>
      <c r="O120" s="8">
        <v>58.6</v>
      </c>
      <c r="P120" s="8">
        <v>60.4</v>
      </c>
      <c r="Q120" s="5">
        <f t="shared" si="15"/>
        <v>3.1000000000000014</v>
      </c>
    </row>
    <row r="121" spans="1:17" x14ac:dyDescent="0.35">
      <c r="A121" s="9">
        <v>1968</v>
      </c>
      <c r="B121" s="10">
        <f t="shared" si="8"/>
        <v>42.9</v>
      </c>
      <c r="C121" s="10">
        <f t="shared" si="9"/>
        <v>47</v>
      </c>
      <c r="D121" s="10">
        <f t="shared" si="10"/>
        <v>56.5</v>
      </c>
      <c r="E121" s="10">
        <f t="shared" si="11"/>
        <v>60.4</v>
      </c>
      <c r="F121" s="10">
        <f t="shared" si="12"/>
        <v>4.1000000000000014</v>
      </c>
      <c r="G121" s="10">
        <f t="shared" si="13"/>
        <v>0</v>
      </c>
      <c r="H121" s="10">
        <f t="shared" si="14"/>
        <v>9.5</v>
      </c>
      <c r="I121" s="11">
        <v>42.9</v>
      </c>
      <c r="J121" s="11">
        <v>44.5</v>
      </c>
      <c r="K121" s="11">
        <v>46.2</v>
      </c>
      <c r="L121" s="11">
        <v>47</v>
      </c>
      <c r="M121" s="11">
        <v>56.5</v>
      </c>
      <c r="N121" s="11">
        <v>58.4</v>
      </c>
      <c r="O121" s="11">
        <v>59.4</v>
      </c>
      <c r="P121" s="11">
        <v>60.4</v>
      </c>
      <c r="Q121" s="5">
        <f t="shared" si="15"/>
        <v>3.8999999999999986</v>
      </c>
    </row>
    <row r="122" spans="1:17" x14ac:dyDescent="0.35">
      <c r="A122" s="6">
        <v>1969</v>
      </c>
      <c r="B122" s="7">
        <f t="shared" si="8"/>
        <v>42.4</v>
      </c>
      <c r="C122" s="7">
        <f t="shared" si="9"/>
        <v>46.9</v>
      </c>
      <c r="D122" s="7">
        <f t="shared" si="10"/>
        <v>55.6</v>
      </c>
      <c r="E122" s="7">
        <f t="shared" si="11"/>
        <v>60.2</v>
      </c>
      <c r="F122" s="7">
        <f t="shared" si="12"/>
        <v>4.5</v>
      </c>
      <c r="G122" s="7">
        <f t="shared" si="13"/>
        <v>0</v>
      </c>
      <c r="H122" s="7">
        <f t="shared" si="14"/>
        <v>8.7000000000000028</v>
      </c>
      <c r="I122" s="8">
        <v>42.4</v>
      </c>
      <c r="J122" s="8">
        <v>45.3</v>
      </c>
      <c r="K122" s="8">
        <v>46.9</v>
      </c>
      <c r="L122" s="8">
        <v>46</v>
      </c>
      <c r="M122" s="8">
        <v>55.6</v>
      </c>
      <c r="N122" s="8">
        <v>59.2</v>
      </c>
      <c r="O122" s="8">
        <v>60.2</v>
      </c>
      <c r="P122" s="8">
        <v>60</v>
      </c>
      <c r="Q122" s="5">
        <f t="shared" si="15"/>
        <v>4.6000000000000014</v>
      </c>
    </row>
    <row r="123" spans="1:17" x14ac:dyDescent="0.35">
      <c r="A123" s="9">
        <v>1970</v>
      </c>
      <c r="B123" s="10">
        <f t="shared" si="8"/>
        <v>42</v>
      </c>
      <c r="C123" s="10">
        <f t="shared" si="9"/>
        <v>46.4</v>
      </c>
      <c r="D123" s="10">
        <f t="shared" si="10"/>
        <v>54.9</v>
      </c>
      <c r="E123" s="10">
        <f t="shared" si="11"/>
        <v>60.7</v>
      </c>
      <c r="F123" s="10">
        <f t="shared" si="12"/>
        <v>4.3999999999999986</v>
      </c>
      <c r="G123" s="10">
        <f t="shared" si="13"/>
        <v>0</v>
      </c>
      <c r="H123" s="10">
        <f t="shared" si="14"/>
        <v>8.5</v>
      </c>
      <c r="I123" s="11">
        <v>42</v>
      </c>
      <c r="J123" s="11">
        <v>45.7</v>
      </c>
      <c r="K123" s="11">
        <v>46.4</v>
      </c>
      <c r="L123" s="11">
        <v>45.2</v>
      </c>
      <c r="M123" s="11">
        <v>54.9</v>
      </c>
      <c r="N123" s="11">
        <v>58.7</v>
      </c>
      <c r="O123" s="11">
        <v>60.7</v>
      </c>
      <c r="P123" s="11">
        <v>59.7</v>
      </c>
      <c r="Q123" s="5">
        <f t="shared" si="15"/>
        <v>5.8000000000000043</v>
      </c>
    </row>
    <row r="124" spans="1:17" x14ac:dyDescent="0.35">
      <c r="A124" s="6">
        <v>1971</v>
      </c>
      <c r="B124" s="7">
        <f t="shared" si="8"/>
        <v>42.2</v>
      </c>
      <c r="C124" s="7">
        <f t="shared" si="9"/>
        <v>45.5</v>
      </c>
      <c r="D124" s="7">
        <f t="shared" si="10"/>
        <v>54.5</v>
      </c>
      <c r="E124" s="7">
        <f t="shared" si="11"/>
        <v>60.5</v>
      </c>
      <c r="F124" s="7">
        <f t="shared" si="12"/>
        <v>3.2999999999999972</v>
      </c>
      <c r="G124" s="7">
        <f t="shared" si="13"/>
        <v>0</v>
      </c>
      <c r="H124" s="7">
        <f t="shared" si="14"/>
        <v>9</v>
      </c>
      <c r="I124" s="8">
        <v>42.2</v>
      </c>
      <c r="J124" s="8">
        <v>45.5</v>
      </c>
      <c r="K124" s="8">
        <v>45</v>
      </c>
      <c r="L124" s="8">
        <v>44.8</v>
      </c>
      <c r="M124" s="8">
        <v>54.5</v>
      </c>
      <c r="N124" s="8">
        <v>57.5</v>
      </c>
      <c r="O124" s="8">
        <v>60.5</v>
      </c>
      <c r="P124" s="8">
        <v>60</v>
      </c>
      <c r="Q124" s="5">
        <f t="shared" si="15"/>
        <v>6</v>
      </c>
    </row>
    <row r="125" spans="1:17" x14ac:dyDescent="0.35">
      <c r="A125" s="9">
        <v>1972</v>
      </c>
      <c r="B125" s="10">
        <f t="shared" si="8"/>
        <v>43.1</v>
      </c>
      <c r="C125" s="10">
        <f t="shared" si="9"/>
        <v>44.8</v>
      </c>
      <c r="D125" s="10">
        <f t="shared" si="10"/>
        <v>54.6</v>
      </c>
      <c r="E125" s="10">
        <f t="shared" si="11"/>
        <v>60.9</v>
      </c>
      <c r="F125" s="10">
        <f t="shared" si="12"/>
        <v>1.6999999999999957</v>
      </c>
      <c r="G125" s="10">
        <f t="shared" si="13"/>
        <v>0</v>
      </c>
      <c r="H125" s="10">
        <f t="shared" si="14"/>
        <v>9.8000000000000043</v>
      </c>
      <c r="I125" s="11">
        <v>43.1</v>
      </c>
      <c r="J125" s="11">
        <v>44.6</v>
      </c>
      <c r="K125" s="11">
        <v>44.6</v>
      </c>
      <c r="L125" s="11">
        <v>44.8</v>
      </c>
      <c r="M125" s="11">
        <v>54.6</v>
      </c>
      <c r="N125" s="11">
        <v>57.1</v>
      </c>
      <c r="O125" s="11">
        <v>59.7</v>
      </c>
      <c r="P125" s="11">
        <v>60.9</v>
      </c>
      <c r="Q125" s="5">
        <f t="shared" si="15"/>
        <v>6.2999999999999972</v>
      </c>
    </row>
    <row r="126" spans="1:17" x14ac:dyDescent="0.35">
      <c r="A126" s="6">
        <v>1973</v>
      </c>
      <c r="B126" s="7">
        <f t="shared" si="8"/>
        <v>43.4</v>
      </c>
      <c r="C126" s="7">
        <f t="shared" si="9"/>
        <v>45</v>
      </c>
      <c r="D126" s="7">
        <f t="shared" si="10"/>
        <v>54.9</v>
      </c>
      <c r="E126" s="7">
        <f t="shared" si="11"/>
        <v>61.7</v>
      </c>
      <c r="F126" s="7">
        <f t="shared" si="12"/>
        <v>1.6000000000000014</v>
      </c>
      <c r="G126" s="7">
        <f t="shared" si="13"/>
        <v>0</v>
      </c>
      <c r="H126" s="7">
        <f t="shared" si="14"/>
        <v>9.8999999999999986</v>
      </c>
      <c r="I126" s="8">
        <v>43.8</v>
      </c>
      <c r="J126" s="8">
        <v>43.4</v>
      </c>
      <c r="K126" s="8">
        <v>45</v>
      </c>
      <c r="L126" s="8">
        <v>45</v>
      </c>
      <c r="M126" s="8">
        <v>54.9</v>
      </c>
      <c r="N126" s="8">
        <v>57.6</v>
      </c>
      <c r="O126" s="8">
        <v>58.6</v>
      </c>
      <c r="P126" s="8">
        <v>61.7</v>
      </c>
      <c r="Q126" s="5">
        <f t="shared" si="15"/>
        <v>6.8000000000000043</v>
      </c>
    </row>
    <row r="127" spans="1:17" x14ac:dyDescent="0.35">
      <c r="A127" s="9">
        <v>1974</v>
      </c>
      <c r="B127" s="10">
        <f t="shared" si="8"/>
        <v>42.5</v>
      </c>
      <c r="C127" s="10">
        <f t="shared" si="9"/>
        <v>45.2</v>
      </c>
      <c r="D127" s="10">
        <f t="shared" si="10"/>
        <v>55.2</v>
      </c>
      <c r="E127" s="10">
        <f t="shared" si="11"/>
        <v>61.8</v>
      </c>
      <c r="F127" s="10">
        <f t="shared" si="12"/>
        <v>2.7000000000000028</v>
      </c>
      <c r="G127" s="10">
        <f t="shared" si="13"/>
        <v>0</v>
      </c>
      <c r="H127" s="10">
        <f t="shared" si="14"/>
        <v>10</v>
      </c>
      <c r="I127" s="11">
        <v>43.8</v>
      </c>
      <c r="J127" s="11">
        <v>42.5</v>
      </c>
      <c r="K127" s="11">
        <v>44.9</v>
      </c>
      <c r="L127" s="11">
        <v>45.2</v>
      </c>
      <c r="M127" s="11">
        <v>55.2</v>
      </c>
      <c r="N127" s="11">
        <v>57.5</v>
      </c>
      <c r="O127" s="11">
        <v>57.7</v>
      </c>
      <c r="P127" s="11">
        <v>61.8</v>
      </c>
      <c r="Q127" s="5">
        <f t="shared" si="15"/>
        <v>6.5999999999999943</v>
      </c>
    </row>
    <row r="128" spans="1:17" x14ac:dyDescent="0.35">
      <c r="A128" s="6">
        <v>1975</v>
      </c>
      <c r="B128" s="7">
        <f t="shared" si="8"/>
        <v>42</v>
      </c>
      <c r="C128" s="7">
        <f t="shared" si="9"/>
        <v>45.3</v>
      </c>
      <c r="D128" s="7">
        <f t="shared" si="10"/>
        <v>55.3</v>
      </c>
      <c r="E128" s="7">
        <f t="shared" si="11"/>
        <v>61.1</v>
      </c>
      <c r="F128" s="7">
        <f t="shared" si="12"/>
        <v>3.2999999999999972</v>
      </c>
      <c r="G128" s="7">
        <f t="shared" si="13"/>
        <v>0</v>
      </c>
      <c r="H128" s="7">
        <f t="shared" si="14"/>
        <v>10</v>
      </c>
      <c r="I128" s="8">
        <v>43.1</v>
      </c>
      <c r="J128" s="8">
        <v>42</v>
      </c>
      <c r="K128" s="8">
        <v>43.5</v>
      </c>
      <c r="L128" s="8">
        <v>45.3</v>
      </c>
      <c r="M128" s="8">
        <v>55.3</v>
      </c>
      <c r="N128" s="8">
        <v>56.2</v>
      </c>
      <c r="O128" s="8">
        <v>57.3</v>
      </c>
      <c r="P128" s="8">
        <v>61.1</v>
      </c>
      <c r="Q128" s="5">
        <f t="shared" si="15"/>
        <v>5.8000000000000043</v>
      </c>
    </row>
    <row r="129" spans="1:17" x14ac:dyDescent="0.35">
      <c r="A129" s="9">
        <v>1976</v>
      </c>
      <c r="B129" s="10">
        <f t="shared" si="8"/>
        <v>41.7</v>
      </c>
      <c r="C129" s="10">
        <f t="shared" si="9"/>
        <v>45</v>
      </c>
      <c r="D129" s="10">
        <f t="shared" si="10"/>
        <v>54.6</v>
      </c>
      <c r="E129" s="10">
        <f t="shared" si="11"/>
        <v>59.9</v>
      </c>
      <c r="F129" s="10">
        <f t="shared" si="12"/>
        <v>3.2999999999999972</v>
      </c>
      <c r="G129" s="10">
        <f t="shared" si="13"/>
        <v>0</v>
      </c>
      <c r="H129" s="10">
        <f t="shared" si="14"/>
        <v>9.6000000000000014</v>
      </c>
      <c r="I129" s="11">
        <v>42</v>
      </c>
      <c r="J129" s="11">
        <v>41.7</v>
      </c>
      <c r="K129" s="11">
        <v>42.1</v>
      </c>
      <c r="L129" s="11">
        <v>45</v>
      </c>
      <c r="M129" s="11">
        <v>54.8</v>
      </c>
      <c r="N129" s="11">
        <v>54.6</v>
      </c>
      <c r="O129" s="11">
        <v>56.9</v>
      </c>
      <c r="P129" s="11">
        <v>59.9</v>
      </c>
      <c r="Q129" s="5">
        <f t="shared" si="15"/>
        <v>5.2999999999999972</v>
      </c>
    </row>
    <row r="130" spans="1:17" x14ac:dyDescent="0.35">
      <c r="A130" s="6">
        <v>1977</v>
      </c>
      <c r="B130" s="7">
        <f t="shared" si="8"/>
        <v>41.3</v>
      </c>
      <c r="C130" s="7">
        <f t="shared" si="9"/>
        <v>44.5</v>
      </c>
      <c r="D130" s="7">
        <f t="shared" si="10"/>
        <v>54.3</v>
      </c>
      <c r="E130" s="7">
        <f t="shared" si="11"/>
        <v>59.1</v>
      </c>
      <c r="F130" s="7">
        <f t="shared" si="12"/>
        <v>3.2000000000000028</v>
      </c>
      <c r="G130" s="7">
        <f t="shared" si="13"/>
        <v>0</v>
      </c>
      <c r="H130" s="7">
        <f t="shared" si="14"/>
        <v>9.7999999999999972</v>
      </c>
      <c r="I130" s="8">
        <v>41.3</v>
      </c>
      <c r="J130" s="8">
        <v>41.7</v>
      </c>
      <c r="K130" s="8">
        <v>42</v>
      </c>
      <c r="L130" s="8">
        <v>44.5</v>
      </c>
      <c r="M130" s="8">
        <v>54.3</v>
      </c>
      <c r="N130" s="8">
        <v>54.4</v>
      </c>
      <c r="O130" s="8">
        <v>56.7</v>
      </c>
      <c r="P130" s="8">
        <v>59.1</v>
      </c>
      <c r="Q130" s="5">
        <f t="shared" si="15"/>
        <v>4.8000000000000043</v>
      </c>
    </row>
    <row r="131" spans="1:17" x14ac:dyDescent="0.35">
      <c r="A131" s="9">
        <v>1978</v>
      </c>
      <c r="B131" s="10">
        <f t="shared" si="8"/>
        <v>41.1</v>
      </c>
      <c r="C131" s="10">
        <f t="shared" si="9"/>
        <v>44.1</v>
      </c>
      <c r="D131" s="10">
        <f t="shared" si="10"/>
        <v>53.7</v>
      </c>
      <c r="E131" s="10">
        <f t="shared" si="11"/>
        <v>58.7</v>
      </c>
      <c r="F131" s="10">
        <f t="shared" si="12"/>
        <v>3</v>
      </c>
      <c r="G131" s="10">
        <f t="shared" si="13"/>
        <v>0</v>
      </c>
      <c r="H131" s="10">
        <f t="shared" si="14"/>
        <v>9.6000000000000014</v>
      </c>
      <c r="I131" s="11">
        <v>41.1</v>
      </c>
      <c r="J131" s="11">
        <v>41.5</v>
      </c>
      <c r="K131" s="11">
        <v>42.5</v>
      </c>
      <c r="L131" s="11">
        <v>44.1</v>
      </c>
      <c r="M131" s="11">
        <v>53.7</v>
      </c>
      <c r="N131" s="11">
        <v>54.8</v>
      </c>
      <c r="O131" s="11">
        <v>56.4</v>
      </c>
      <c r="P131" s="11">
        <v>58.7</v>
      </c>
      <c r="Q131" s="5">
        <f t="shared" si="15"/>
        <v>5</v>
      </c>
    </row>
    <row r="132" spans="1:17" x14ac:dyDescent="0.35">
      <c r="A132" s="6">
        <v>1979</v>
      </c>
      <c r="B132" s="7">
        <f t="shared" ref="B132:B177" si="16">IFERROR(_xlfn.AGGREGATE(5,6,I132:L132),NA())</f>
        <v>40.700000000000003</v>
      </c>
      <c r="C132" s="7">
        <f t="shared" ref="C132:C177" si="17">IFERROR(_xlfn.AGGREGATE(4,6,I132:L132),NA())</f>
        <v>43.8</v>
      </c>
      <c r="D132" s="7">
        <f t="shared" ref="D132:D177" si="18">IFERROR(_xlfn.AGGREGATE(5,6,M132:P132),NA())</f>
        <v>53.2</v>
      </c>
      <c r="E132" s="7">
        <f t="shared" ref="E132:E177" si="19">IFERROR(_xlfn.AGGREGATE(4,6,M132:P132),NA())</f>
        <v>58.1</v>
      </c>
      <c r="F132" s="7">
        <f t="shared" ref="F132:F177" si="20">IFERROR(MIN(C132,D132)-B132,NA())</f>
        <v>3.0999999999999943</v>
      </c>
      <c r="G132" s="7">
        <f t="shared" ref="G132:G177" si="21">IFERROR(MAX(0,C132-D132),NA())</f>
        <v>0</v>
      </c>
      <c r="H132" s="7">
        <f t="shared" ref="H132:H177" si="22">IFERROR(MAX(0,D132-C132),NA())</f>
        <v>9.4000000000000057</v>
      </c>
      <c r="I132" s="8">
        <v>40.700000000000003</v>
      </c>
      <c r="J132" s="8">
        <v>41.1</v>
      </c>
      <c r="K132" s="8">
        <v>42</v>
      </c>
      <c r="L132" s="8">
        <v>43.8</v>
      </c>
      <c r="M132" s="8">
        <v>53.2</v>
      </c>
      <c r="N132" s="8">
        <v>54.2</v>
      </c>
      <c r="O132" s="8">
        <v>55.9</v>
      </c>
      <c r="P132" s="8">
        <v>58.1</v>
      </c>
      <c r="Q132" s="5">
        <f t="shared" ref="Q132:Q177" si="23">IFERROR(MAX(0,E132-MAX(C132,D132)),NA())</f>
        <v>4.8999999999999986</v>
      </c>
    </row>
    <row r="133" spans="1:17" x14ac:dyDescent="0.35">
      <c r="A133" s="9">
        <v>1980</v>
      </c>
      <c r="B133" s="10">
        <f t="shared" si="16"/>
        <v>39.700000000000003</v>
      </c>
      <c r="C133" s="10">
        <f t="shared" si="17"/>
        <v>43.4</v>
      </c>
      <c r="D133" s="10">
        <f t="shared" si="18"/>
        <v>52.7</v>
      </c>
      <c r="E133" s="10">
        <f t="shared" si="19"/>
        <v>57</v>
      </c>
      <c r="F133" s="10">
        <f t="shared" si="20"/>
        <v>3.6999999999999957</v>
      </c>
      <c r="G133" s="10">
        <f t="shared" si="21"/>
        <v>0</v>
      </c>
      <c r="H133" s="10">
        <f t="shared" si="22"/>
        <v>9.3000000000000043</v>
      </c>
      <c r="I133" s="11">
        <v>39.700000000000003</v>
      </c>
      <c r="J133" s="11">
        <v>40.6</v>
      </c>
      <c r="K133" s="11">
        <v>40.799999999999997</v>
      </c>
      <c r="L133" s="11">
        <v>43.4</v>
      </c>
      <c r="M133" s="11">
        <v>52.7</v>
      </c>
      <c r="N133" s="11">
        <v>52.9</v>
      </c>
      <c r="O133" s="11">
        <v>55.2</v>
      </c>
      <c r="P133" s="11">
        <v>57</v>
      </c>
      <c r="Q133" s="5">
        <f t="shared" si="23"/>
        <v>4.2999999999999972</v>
      </c>
    </row>
    <row r="134" spans="1:17" x14ac:dyDescent="0.35">
      <c r="A134" s="6">
        <v>1981</v>
      </c>
      <c r="B134" s="7">
        <f t="shared" si="16"/>
        <v>38.299999999999997</v>
      </c>
      <c r="C134" s="7">
        <f t="shared" si="17"/>
        <v>42.9</v>
      </c>
      <c r="D134" s="7">
        <f t="shared" si="18"/>
        <v>52.1</v>
      </c>
      <c r="E134" s="7">
        <f t="shared" si="19"/>
        <v>55.5</v>
      </c>
      <c r="F134" s="7">
        <f t="shared" si="20"/>
        <v>4.6000000000000014</v>
      </c>
      <c r="G134" s="7">
        <f t="shared" si="21"/>
        <v>0</v>
      </c>
      <c r="H134" s="7">
        <f t="shared" si="22"/>
        <v>9.2000000000000028</v>
      </c>
      <c r="I134" s="8">
        <v>38.299999999999997</v>
      </c>
      <c r="J134" s="8">
        <v>40.200000000000003</v>
      </c>
      <c r="K134" s="8">
        <v>40.4</v>
      </c>
      <c r="L134" s="8">
        <v>42.9</v>
      </c>
      <c r="M134" s="8">
        <v>52.1</v>
      </c>
      <c r="N134" s="8">
        <v>52.3</v>
      </c>
      <c r="O134" s="8">
        <v>54.7</v>
      </c>
      <c r="P134" s="8">
        <v>55.5</v>
      </c>
      <c r="Q134" s="5">
        <f t="shared" si="23"/>
        <v>3.3999999999999986</v>
      </c>
    </row>
    <row r="135" spans="1:17" x14ac:dyDescent="0.35">
      <c r="A135" s="9">
        <v>1982</v>
      </c>
      <c r="B135" s="10">
        <f t="shared" si="16"/>
        <v>37.4</v>
      </c>
      <c r="C135" s="10">
        <f t="shared" si="17"/>
        <v>42.2</v>
      </c>
      <c r="D135" s="10">
        <f t="shared" si="18"/>
        <v>51.2</v>
      </c>
      <c r="E135" s="10">
        <f t="shared" si="19"/>
        <v>54.5</v>
      </c>
      <c r="F135" s="10">
        <f t="shared" si="20"/>
        <v>4.8000000000000043</v>
      </c>
      <c r="G135" s="10">
        <f t="shared" si="21"/>
        <v>0</v>
      </c>
      <c r="H135" s="10">
        <f t="shared" si="22"/>
        <v>9</v>
      </c>
      <c r="I135" s="11">
        <v>37.4</v>
      </c>
      <c r="J135" s="11">
        <v>40.1</v>
      </c>
      <c r="K135" s="11">
        <v>41.3</v>
      </c>
      <c r="L135" s="11">
        <v>42.2</v>
      </c>
      <c r="M135" s="11">
        <v>51.2</v>
      </c>
      <c r="N135" s="11">
        <v>53</v>
      </c>
      <c r="O135" s="11">
        <v>54.5</v>
      </c>
      <c r="P135" s="11">
        <v>54.5</v>
      </c>
      <c r="Q135" s="5">
        <f t="shared" si="23"/>
        <v>3.2999999999999972</v>
      </c>
    </row>
    <row r="136" spans="1:17" x14ac:dyDescent="0.35">
      <c r="A136" s="6">
        <v>1983</v>
      </c>
      <c r="B136" s="7">
        <f t="shared" si="16"/>
        <v>37.4</v>
      </c>
      <c r="C136" s="7">
        <f t="shared" si="17"/>
        <v>41.9</v>
      </c>
      <c r="D136" s="7">
        <f t="shared" si="18"/>
        <v>50.3</v>
      </c>
      <c r="E136" s="7">
        <f t="shared" si="19"/>
        <v>54.7</v>
      </c>
      <c r="F136" s="7">
        <f t="shared" si="20"/>
        <v>4.5</v>
      </c>
      <c r="G136" s="7">
        <f t="shared" si="21"/>
        <v>0</v>
      </c>
      <c r="H136" s="7">
        <f t="shared" si="22"/>
        <v>8.3999999999999986</v>
      </c>
      <c r="I136" s="8">
        <v>37.4</v>
      </c>
      <c r="J136" s="8">
        <v>40.4</v>
      </c>
      <c r="K136" s="8">
        <v>41.9</v>
      </c>
      <c r="L136" s="8">
        <v>41.3</v>
      </c>
      <c r="M136" s="8">
        <v>50.3</v>
      </c>
      <c r="N136" s="8">
        <v>53.5</v>
      </c>
      <c r="O136" s="8">
        <v>54.7</v>
      </c>
      <c r="P136" s="8">
        <v>54.3</v>
      </c>
      <c r="Q136" s="5">
        <f t="shared" si="23"/>
        <v>4.4000000000000057</v>
      </c>
    </row>
    <row r="137" spans="1:17" x14ac:dyDescent="0.35">
      <c r="A137" s="9">
        <v>1984</v>
      </c>
      <c r="B137" s="10">
        <f t="shared" si="16"/>
        <v>37.9</v>
      </c>
      <c r="C137" s="10">
        <f t="shared" si="17"/>
        <v>41.2</v>
      </c>
      <c r="D137" s="10">
        <f t="shared" si="18"/>
        <v>49.3</v>
      </c>
      <c r="E137" s="10">
        <f t="shared" si="19"/>
        <v>54.8</v>
      </c>
      <c r="F137" s="10">
        <f t="shared" si="20"/>
        <v>3.3000000000000043</v>
      </c>
      <c r="G137" s="10">
        <f t="shared" si="21"/>
        <v>0</v>
      </c>
      <c r="H137" s="10">
        <f t="shared" si="22"/>
        <v>8.0999999999999943</v>
      </c>
      <c r="I137" s="11">
        <v>37.9</v>
      </c>
      <c r="J137" s="11">
        <v>40.700000000000003</v>
      </c>
      <c r="K137" s="11">
        <v>41.2</v>
      </c>
      <c r="L137" s="11">
        <v>40.5</v>
      </c>
      <c r="M137" s="11">
        <v>49.3</v>
      </c>
      <c r="N137" s="11">
        <v>52.7</v>
      </c>
      <c r="O137" s="11">
        <v>54.8</v>
      </c>
      <c r="P137" s="11">
        <v>54.7</v>
      </c>
      <c r="Q137" s="5">
        <f t="shared" si="23"/>
        <v>5.5</v>
      </c>
    </row>
    <row r="138" spans="1:17" x14ac:dyDescent="0.35">
      <c r="A138" s="6">
        <v>1985</v>
      </c>
      <c r="B138" s="7">
        <f t="shared" si="16"/>
        <v>38.299999999999997</v>
      </c>
      <c r="C138" s="7">
        <f t="shared" si="17"/>
        <v>40.6</v>
      </c>
      <c r="D138" s="7">
        <f t="shared" si="18"/>
        <v>48.7</v>
      </c>
      <c r="E138" s="7">
        <f t="shared" si="19"/>
        <v>55</v>
      </c>
      <c r="F138" s="7">
        <f t="shared" si="20"/>
        <v>2.3000000000000043</v>
      </c>
      <c r="G138" s="7">
        <f t="shared" si="21"/>
        <v>0</v>
      </c>
      <c r="H138" s="7">
        <f t="shared" si="22"/>
        <v>8.1000000000000014</v>
      </c>
      <c r="I138" s="8">
        <v>38.299999999999997</v>
      </c>
      <c r="J138" s="8">
        <v>40.6</v>
      </c>
      <c r="K138" s="8">
        <v>40.1</v>
      </c>
      <c r="L138" s="8">
        <v>40</v>
      </c>
      <c r="M138" s="8">
        <v>48.7</v>
      </c>
      <c r="N138" s="8">
        <v>51.5</v>
      </c>
      <c r="O138" s="8">
        <v>54.6</v>
      </c>
      <c r="P138" s="8">
        <v>55</v>
      </c>
      <c r="Q138" s="5">
        <f t="shared" si="23"/>
        <v>6.2999999999999972</v>
      </c>
    </row>
    <row r="139" spans="1:17" x14ac:dyDescent="0.35">
      <c r="A139" s="9">
        <v>1986</v>
      </c>
      <c r="B139" s="10">
        <f t="shared" si="16"/>
        <v>38.1</v>
      </c>
      <c r="C139" s="10">
        <f t="shared" si="17"/>
        <v>40.1</v>
      </c>
      <c r="D139" s="10">
        <f t="shared" si="18"/>
        <v>48.4</v>
      </c>
      <c r="E139" s="10">
        <f t="shared" si="19"/>
        <v>54.7</v>
      </c>
      <c r="F139" s="10">
        <f t="shared" si="20"/>
        <v>2</v>
      </c>
      <c r="G139" s="10">
        <f t="shared" si="21"/>
        <v>0</v>
      </c>
      <c r="H139" s="10">
        <f t="shared" si="22"/>
        <v>8.2999999999999972</v>
      </c>
      <c r="I139" s="11">
        <v>38.1</v>
      </c>
      <c r="J139" s="11">
        <v>39.9</v>
      </c>
      <c r="K139" s="11">
        <v>40.1</v>
      </c>
      <c r="L139" s="11">
        <v>39.9</v>
      </c>
      <c r="M139" s="11">
        <v>48.4</v>
      </c>
      <c r="N139" s="11">
        <v>51.3</v>
      </c>
      <c r="O139" s="11">
        <v>53.7</v>
      </c>
      <c r="P139" s="11">
        <v>54.7</v>
      </c>
      <c r="Q139" s="5">
        <f t="shared" si="23"/>
        <v>6.3000000000000043</v>
      </c>
    </row>
    <row r="140" spans="1:17" x14ac:dyDescent="0.35">
      <c r="A140" s="6">
        <v>1987</v>
      </c>
      <c r="B140" s="7">
        <f t="shared" si="16"/>
        <v>37.5</v>
      </c>
      <c r="C140" s="7">
        <f t="shared" si="17"/>
        <v>40.700000000000003</v>
      </c>
      <c r="D140" s="7">
        <f t="shared" si="18"/>
        <v>48.5</v>
      </c>
      <c r="E140" s="7">
        <f t="shared" si="19"/>
        <v>53.9</v>
      </c>
      <c r="F140" s="7">
        <f t="shared" si="20"/>
        <v>3.2000000000000028</v>
      </c>
      <c r="G140" s="7">
        <f t="shared" si="21"/>
        <v>0</v>
      </c>
      <c r="H140" s="7">
        <f t="shared" si="22"/>
        <v>7.7999999999999972</v>
      </c>
      <c r="I140" s="8">
        <v>37.5</v>
      </c>
      <c r="J140" s="8">
        <v>38.6</v>
      </c>
      <c r="K140" s="8">
        <v>40.700000000000003</v>
      </c>
      <c r="L140" s="8">
        <v>40.1</v>
      </c>
      <c r="M140" s="8">
        <v>48.5</v>
      </c>
      <c r="N140" s="8">
        <v>51.8</v>
      </c>
      <c r="O140" s="8">
        <v>52.3</v>
      </c>
      <c r="P140" s="8">
        <v>53.9</v>
      </c>
      <c r="Q140" s="5">
        <f t="shared" si="23"/>
        <v>5.3999999999999986</v>
      </c>
    </row>
    <row r="141" spans="1:17" x14ac:dyDescent="0.35">
      <c r="A141" s="9">
        <v>1988</v>
      </c>
      <c r="B141" s="10">
        <f t="shared" si="16"/>
        <v>37.1</v>
      </c>
      <c r="C141" s="10">
        <f t="shared" si="17"/>
        <v>40.6</v>
      </c>
      <c r="D141" s="10">
        <f t="shared" si="18"/>
        <v>48.8</v>
      </c>
      <c r="E141" s="10">
        <f t="shared" si="19"/>
        <v>53.4</v>
      </c>
      <c r="F141" s="10">
        <f t="shared" si="20"/>
        <v>3.5</v>
      </c>
      <c r="G141" s="10">
        <f t="shared" si="21"/>
        <v>0</v>
      </c>
      <c r="H141" s="10">
        <f t="shared" si="22"/>
        <v>8.1999999999999957</v>
      </c>
      <c r="I141" s="11">
        <v>37.200000000000003</v>
      </c>
      <c r="J141" s="11">
        <v>37.1</v>
      </c>
      <c r="K141" s="11">
        <v>40.299999999999997</v>
      </c>
      <c r="L141" s="11">
        <v>40.6</v>
      </c>
      <c r="M141" s="11">
        <v>48.8</v>
      </c>
      <c r="N141" s="11">
        <v>51.3</v>
      </c>
      <c r="O141" s="11">
        <v>50.7</v>
      </c>
      <c r="P141" s="11">
        <v>53.4</v>
      </c>
      <c r="Q141" s="5">
        <f t="shared" si="23"/>
        <v>4.6000000000000014</v>
      </c>
    </row>
    <row r="142" spans="1:17" x14ac:dyDescent="0.35">
      <c r="A142" s="6">
        <v>1989</v>
      </c>
      <c r="B142" s="7">
        <f t="shared" si="16"/>
        <v>35.9</v>
      </c>
      <c r="C142" s="7">
        <f t="shared" si="17"/>
        <v>40.799999999999997</v>
      </c>
      <c r="D142" s="7">
        <f t="shared" si="18"/>
        <v>48.9</v>
      </c>
      <c r="E142" s="7">
        <f t="shared" si="19"/>
        <v>53.4</v>
      </c>
      <c r="F142" s="7">
        <f t="shared" si="20"/>
        <v>4.8999999999999986</v>
      </c>
      <c r="G142" s="7">
        <f t="shared" si="21"/>
        <v>0</v>
      </c>
      <c r="H142" s="7">
        <f t="shared" si="22"/>
        <v>8.1000000000000014</v>
      </c>
      <c r="I142" s="8">
        <v>37.299999999999997</v>
      </c>
      <c r="J142" s="8">
        <v>35.9</v>
      </c>
      <c r="K142" s="8">
        <v>38.700000000000003</v>
      </c>
      <c r="L142" s="8">
        <v>40.799999999999997</v>
      </c>
      <c r="M142" s="8">
        <v>48.9</v>
      </c>
      <c r="N142" s="8">
        <v>49.6</v>
      </c>
      <c r="O142" s="8">
        <v>49.4</v>
      </c>
      <c r="P142" s="8">
        <v>53.4</v>
      </c>
      <c r="Q142" s="5">
        <f t="shared" si="23"/>
        <v>4.5</v>
      </c>
    </row>
    <row r="143" spans="1:17" x14ac:dyDescent="0.35">
      <c r="A143" s="9">
        <v>1990</v>
      </c>
      <c r="B143" s="10">
        <f t="shared" si="16"/>
        <v>35.4</v>
      </c>
      <c r="C143" s="10">
        <f t="shared" si="17"/>
        <v>40.5</v>
      </c>
      <c r="D143" s="10">
        <f t="shared" si="18"/>
        <v>48.2</v>
      </c>
      <c r="E143" s="10">
        <f t="shared" si="19"/>
        <v>53.5</v>
      </c>
      <c r="F143" s="10">
        <f t="shared" si="20"/>
        <v>5.1000000000000014</v>
      </c>
      <c r="G143" s="10">
        <f t="shared" si="21"/>
        <v>0</v>
      </c>
      <c r="H143" s="10">
        <f t="shared" si="22"/>
        <v>7.7000000000000028</v>
      </c>
      <c r="I143" s="11">
        <v>37.5</v>
      </c>
      <c r="J143" s="11">
        <v>35.4</v>
      </c>
      <c r="K143" s="11">
        <v>37.5</v>
      </c>
      <c r="L143" s="11">
        <v>40.5</v>
      </c>
      <c r="M143" s="11">
        <v>48.5</v>
      </c>
      <c r="N143" s="11">
        <v>48.2</v>
      </c>
      <c r="O143" s="11">
        <v>48.7</v>
      </c>
      <c r="P143" s="11">
        <v>53.5</v>
      </c>
      <c r="Q143" s="5">
        <f t="shared" si="23"/>
        <v>5.2999999999999972</v>
      </c>
    </row>
    <row r="144" spans="1:17" x14ac:dyDescent="0.35">
      <c r="A144" s="6">
        <v>1991</v>
      </c>
      <c r="B144" s="7">
        <f t="shared" si="16"/>
        <v>35.5</v>
      </c>
      <c r="C144" s="7">
        <f t="shared" si="17"/>
        <v>39.6</v>
      </c>
      <c r="D144" s="7">
        <f t="shared" si="18"/>
        <v>47.2</v>
      </c>
      <c r="E144" s="7">
        <f t="shared" si="19"/>
        <v>52.8</v>
      </c>
      <c r="F144" s="7">
        <f t="shared" si="20"/>
        <v>4.1000000000000014</v>
      </c>
      <c r="G144" s="7">
        <f t="shared" si="21"/>
        <v>0</v>
      </c>
      <c r="H144" s="7">
        <f t="shared" si="22"/>
        <v>7.6000000000000014</v>
      </c>
      <c r="I144" s="8">
        <v>37.1</v>
      </c>
      <c r="J144" s="8">
        <v>35.5</v>
      </c>
      <c r="K144" s="8">
        <v>37.5</v>
      </c>
      <c r="L144" s="8">
        <v>39.6</v>
      </c>
      <c r="M144" s="8">
        <v>47.2</v>
      </c>
      <c r="N144" s="8">
        <v>47.8</v>
      </c>
      <c r="O144" s="8">
        <v>48.4</v>
      </c>
      <c r="P144" s="8">
        <v>52.8</v>
      </c>
      <c r="Q144" s="5">
        <f t="shared" si="23"/>
        <v>5.5999999999999943</v>
      </c>
    </row>
    <row r="145" spans="1:17" x14ac:dyDescent="0.35">
      <c r="A145" s="9">
        <v>1992</v>
      </c>
      <c r="B145" s="10">
        <f t="shared" si="16"/>
        <v>35.9</v>
      </c>
      <c r="C145" s="10">
        <f t="shared" si="17"/>
        <v>38.299999999999997</v>
      </c>
      <c r="D145" s="10">
        <f t="shared" si="18"/>
        <v>45.6</v>
      </c>
      <c r="E145" s="10">
        <f t="shared" si="19"/>
        <v>51.2</v>
      </c>
      <c r="F145" s="10">
        <f t="shared" si="20"/>
        <v>2.3999999999999986</v>
      </c>
      <c r="G145" s="10">
        <f t="shared" si="21"/>
        <v>0</v>
      </c>
      <c r="H145" s="10">
        <f t="shared" si="22"/>
        <v>7.3000000000000043</v>
      </c>
      <c r="I145" s="11">
        <v>35.9</v>
      </c>
      <c r="J145" s="11">
        <v>35.9</v>
      </c>
      <c r="K145" s="11">
        <v>37.6</v>
      </c>
      <c r="L145" s="11">
        <v>38.299999999999997</v>
      </c>
      <c r="M145" s="11">
        <v>45.6</v>
      </c>
      <c r="N145" s="11">
        <v>47.6</v>
      </c>
      <c r="O145" s="11">
        <v>48.5</v>
      </c>
      <c r="P145" s="11">
        <v>51.2</v>
      </c>
      <c r="Q145" s="5">
        <f t="shared" si="23"/>
        <v>5.6000000000000014</v>
      </c>
    </row>
    <row r="146" spans="1:17" x14ac:dyDescent="0.35">
      <c r="A146" s="6">
        <v>1993</v>
      </c>
      <c r="B146" s="7">
        <f t="shared" si="16"/>
        <v>34.5</v>
      </c>
      <c r="C146" s="7">
        <f t="shared" si="17"/>
        <v>36.9</v>
      </c>
      <c r="D146" s="7">
        <f t="shared" si="18"/>
        <v>43.8</v>
      </c>
      <c r="E146" s="7">
        <f t="shared" si="19"/>
        <v>49.4</v>
      </c>
      <c r="F146" s="7">
        <f t="shared" si="20"/>
        <v>2.3999999999999986</v>
      </c>
      <c r="G146" s="7">
        <f t="shared" si="21"/>
        <v>0</v>
      </c>
      <c r="H146" s="7">
        <f t="shared" si="22"/>
        <v>6.8999999999999986</v>
      </c>
      <c r="I146" s="8">
        <v>34.5</v>
      </c>
      <c r="J146" s="8">
        <v>36.200000000000003</v>
      </c>
      <c r="K146" s="8">
        <v>36.6</v>
      </c>
      <c r="L146" s="8">
        <v>36.9</v>
      </c>
      <c r="M146" s="8">
        <v>43.8</v>
      </c>
      <c r="N146" s="8">
        <v>46.3</v>
      </c>
      <c r="O146" s="8">
        <v>48.4</v>
      </c>
      <c r="P146" s="8">
        <v>49.4</v>
      </c>
      <c r="Q146" s="5">
        <f t="shared" si="23"/>
        <v>5.6000000000000014</v>
      </c>
    </row>
    <row r="147" spans="1:17" x14ac:dyDescent="0.35">
      <c r="A147" s="9">
        <v>1994</v>
      </c>
      <c r="B147" s="10">
        <f t="shared" si="16"/>
        <v>33.5</v>
      </c>
      <c r="C147" s="10">
        <f t="shared" si="17"/>
        <v>36.1</v>
      </c>
      <c r="D147" s="10">
        <f t="shared" si="18"/>
        <v>42.5</v>
      </c>
      <c r="E147" s="10">
        <f t="shared" si="19"/>
        <v>48.1</v>
      </c>
      <c r="F147" s="10">
        <f t="shared" si="20"/>
        <v>2.6000000000000014</v>
      </c>
      <c r="G147" s="10">
        <f t="shared" si="21"/>
        <v>0</v>
      </c>
      <c r="H147" s="10">
        <f t="shared" si="22"/>
        <v>6.3999999999999986</v>
      </c>
      <c r="I147" s="11">
        <v>33.5</v>
      </c>
      <c r="J147" s="11">
        <v>36.1</v>
      </c>
      <c r="K147" s="11">
        <v>35.1</v>
      </c>
      <c r="L147" s="11">
        <v>35.9</v>
      </c>
      <c r="M147" s="11">
        <v>42.5</v>
      </c>
      <c r="N147" s="11">
        <v>44.4</v>
      </c>
      <c r="O147" s="11">
        <v>48</v>
      </c>
      <c r="P147" s="11">
        <v>48.1</v>
      </c>
      <c r="Q147" s="5">
        <f t="shared" si="23"/>
        <v>5.6000000000000014</v>
      </c>
    </row>
    <row r="148" spans="1:17" x14ac:dyDescent="0.35">
      <c r="A148" s="6">
        <v>1995</v>
      </c>
      <c r="B148" s="7">
        <f t="shared" si="16"/>
        <v>33.299999999999997</v>
      </c>
      <c r="C148" s="7">
        <f t="shared" si="17"/>
        <v>35.700000000000003</v>
      </c>
      <c r="D148" s="7">
        <f t="shared" si="18"/>
        <v>42</v>
      </c>
      <c r="E148" s="7">
        <f t="shared" si="19"/>
        <v>47.5</v>
      </c>
      <c r="F148" s="7">
        <f t="shared" si="20"/>
        <v>2.4000000000000057</v>
      </c>
      <c r="G148" s="7">
        <f t="shared" si="21"/>
        <v>0</v>
      </c>
      <c r="H148" s="7">
        <f t="shared" si="22"/>
        <v>6.2999999999999972</v>
      </c>
      <c r="I148" s="8">
        <v>33.299999999999997</v>
      </c>
      <c r="J148" s="8">
        <v>35.700000000000003</v>
      </c>
      <c r="K148" s="8">
        <v>34.700000000000003</v>
      </c>
      <c r="L148" s="8">
        <v>35.700000000000003</v>
      </c>
      <c r="M148" s="8">
        <v>42</v>
      </c>
      <c r="N148" s="8">
        <v>43.7</v>
      </c>
      <c r="O148" s="8">
        <v>47.2</v>
      </c>
      <c r="P148" s="8">
        <v>47.5</v>
      </c>
      <c r="Q148" s="5">
        <f t="shared" si="23"/>
        <v>5.5</v>
      </c>
    </row>
    <row r="149" spans="1:17" x14ac:dyDescent="0.35">
      <c r="A149" s="9">
        <v>1996</v>
      </c>
      <c r="B149" s="10">
        <f t="shared" si="16"/>
        <v>33.299999999999997</v>
      </c>
      <c r="C149" s="10">
        <f t="shared" si="17"/>
        <v>36.1</v>
      </c>
      <c r="D149" s="10">
        <f t="shared" si="18"/>
        <v>42</v>
      </c>
      <c r="E149" s="10">
        <f t="shared" si="19"/>
        <v>47.2</v>
      </c>
      <c r="F149" s="10">
        <f t="shared" si="20"/>
        <v>2.8000000000000043</v>
      </c>
      <c r="G149" s="10">
        <f t="shared" si="21"/>
        <v>0</v>
      </c>
      <c r="H149" s="10">
        <f t="shared" si="22"/>
        <v>5.8999999999999986</v>
      </c>
      <c r="I149" s="11">
        <v>33.299999999999997</v>
      </c>
      <c r="J149" s="11">
        <v>35.200000000000003</v>
      </c>
      <c r="K149" s="11">
        <v>35.4</v>
      </c>
      <c r="L149" s="11">
        <v>36.1</v>
      </c>
      <c r="M149" s="11">
        <v>42</v>
      </c>
      <c r="N149" s="11">
        <v>44</v>
      </c>
      <c r="O149" s="11">
        <v>46.4</v>
      </c>
      <c r="P149" s="11">
        <v>47.2</v>
      </c>
      <c r="Q149" s="5">
        <f t="shared" si="23"/>
        <v>5.2000000000000028</v>
      </c>
    </row>
    <row r="150" spans="1:17" x14ac:dyDescent="0.35">
      <c r="A150" s="6">
        <v>1997</v>
      </c>
      <c r="B150" s="7">
        <f t="shared" si="16"/>
        <v>33.1</v>
      </c>
      <c r="C150" s="7">
        <f t="shared" si="17"/>
        <v>36.700000000000003</v>
      </c>
      <c r="D150" s="7">
        <f t="shared" si="18"/>
        <v>42.3</v>
      </c>
      <c r="E150" s="7">
        <f t="shared" si="19"/>
        <v>46.7</v>
      </c>
      <c r="F150" s="7">
        <f t="shared" si="20"/>
        <v>3.6000000000000014</v>
      </c>
      <c r="G150" s="7">
        <f t="shared" si="21"/>
        <v>0</v>
      </c>
      <c r="H150" s="7">
        <f t="shared" si="22"/>
        <v>5.5999999999999943</v>
      </c>
      <c r="I150" s="8">
        <v>33.1</v>
      </c>
      <c r="J150" s="8">
        <v>34.799999999999997</v>
      </c>
      <c r="K150" s="8">
        <v>35.6</v>
      </c>
      <c r="L150" s="8">
        <v>36.700000000000003</v>
      </c>
      <c r="M150" s="8">
        <v>42.3</v>
      </c>
      <c r="N150" s="8">
        <v>43.8</v>
      </c>
      <c r="O150" s="8">
        <v>45.7</v>
      </c>
      <c r="P150" s="8">
        <v>46.7</v>
      </c>
      <c r="Q150" s="5">
        <f t="shared" si="23"/>
        <v>4.4000000000000057</v>
      </c>
    </row>
    <row r="151" spans="1:17" x14ac:dyDescent="0.35">
      <c r="A151" s="9">
        <v>1998</v>
      </c>
      <c r="B151" s="10">
        <f t="shared" si="16"/>
        <v>32.6</v>
      </c>
      <c r="C151" s="10">
        <f t="shared" si="17"/>
        <v>37.1</v>
      </c>
      <c r="D151" s="10">
        <f t="shared" si="18"/>
        <v>42.3</v>
      </c>
      <c r="E151" s="10">
        <f t="shared" si="19"/>
        <v>45.8</v>
      </c>
      <c r="F151" s="10">
        <f t="shared" si="20"/>
        <v>4.5</v>
      </c>
      <c r="G151" s="10">
        <f t="shared" si="21"/>
        <v>0</v>
      </c>
      <c r="H151" s="10">
        <f t="shared" si="22"/>
        <v>5.1999999999999957</v>
      </c>
      <c r="I151" s="11">
        <v>32.6</v>
      </c>
      <c r="J151" s="11">
        <v>34.6</v>
      </c>
      <c r="K151" s="11">
        <v>34.9</v>
      </c>
      <c r="L151" s="11">
        <v>37.1</v>
      </c>
      <c r="M151" s="11">
        <v>42.3</v>
      </c>
      <c r="N151" s="11">
        <v>42.8</v>
      </c>
      <c r="O151" s="11">
        <v>45.1</v>
      </c>
      <c r="P151" s="11">
        <v>45.8</v>
      </c>
      <c r="Q151" s="5">
        <f t="shared" si="23"/>
        <v>3.5</v>
      </c>
    </row>
    <row r="152" spans="1:17" x14ac:dyDescent="0.35">
      <c r="A152" s="6">
        <v>1999</v>
      </c>
      <c r="B152" s="7">
        <f t="shared" si="16"/>
        <v>32.200000000000003</v>
      </c>
      <c r="C152" s="7">
        <f t="shared" si="17"/>
        <v>37</v>
      </c>
      <c r="D152" s="7">
        <f t="shared" si="18"/>
        <v>41.8</v>
      </c>
      <c r="E152" s="7">
        <f t="shared" si="19"/>
        <v>45</v>
      </c>
      <c r="F152" s="7">
        <f t="shared" si="20"/>
        <v>4.7999999999999972</v>
      </c>
      <c r="G152" s="7">
        <f t="shared" si="21"/>
        <v>0</v>
      </c>
      <c r="H152" s="7">
        <f t="shared" si="22"/>
        <v>4.7999999999999972</v>
      </c>
      <c r="I152" s="8">
        <v>32.200000000000003</v>
      </c>
      <c r="J152" s="8">
        <v>34.4</v>
      </c>
      <c r="K152" s="8">
        <v>34.299999999999997</v>
      </c>
      <c r="L152" s="8">
        <v>37</v>
      </c>
      <c r="M152" s="8">
        <v>41.8</v>
      </c>
      <c r="N152" s="8">
        <v>41.8</v>
      </c>
      <c r="O152" s="8">
        <v>44.6</v>
      </c>
      <c r="P152" s="8">
        <v>45</v>
      </c>
      <c r="Q152" s="5">
        <f t="shared" si="23"/>
        <v>3.2000000000000028</v>
      </c>
    </row>
    <row r="153" spans="1:17" x14ac:dyDescent="0.35">
      <c r="A153" s="9">
        <v>2000</v>
      </c>
      <c r="B153" s="10">
        <f t="shared" si="16"/>
        <v>32.1</v>
      </c>
      <c r="C153" s="10">
        <f t="shared" si="17"/>
        <v>36.299999999999997</v>
      </c>
      <c r="D153" s="10">
        <f t="shared" si="18"/>
        <v>40.799999999999997</v>
      </c>
      <c r="E153" s="10">
        <f t="shared" si="19"/>
        <v>44.6</v>
      </c>
      <c r="F153" s="10">
        <f t="shared" si="20"/>
        <v>4.1999999999999957</v>
      </c>
      <c r="G153" s="10">
        <f t="shared" si="21"/>
        <v>0</v>
      </c>
      <c r="H153" s="10">
        <f t="shared" si="22"/>
        <v>4.5</v>
      </c>
      <c r="I153" s="11">
        <v>32.1</v>
      </c>
      <c r="J153" s="11">
        <v>34</v>
      </c>
      <c r="K153" s="11">
        <v>34.5</v>
      </c>
      <c r="L153" s="11">
        <v>36.299999999999997</v>
      </c>
      <c r="M153" s="11">
        <v>40.799999999999997</v>
      </c>
      <c r="N153" s="11">
        <v>41.7</v>
      </c>
      <c r="O153" s="11">
        <v>43.8</v>
      </c>
      <c r="P153" s="11">
        <v>44.6</v>
      </c>
      <c r="Q153" s="5">
        <f t="shared" si="23"/>
        <v>3.8000000000000043</v>
      </c>
    </row>
    <row r="154" spans="1:17" x14ac:dyDescent="0.35">
      <c r="A154" s="6">
        <v>2001</v>
      </c>
      <c r="B154" s="7">
        <f t="shared" si="16"/>
        <v>32.200000000000003</v>
      </c>
      <c r="C154" s="7">
        <f t="shared" si="17"/>
        <v>35.4</v>
      </c>
      <c r="D154" s="7">
        <f t="shared" si="18"/>
        <v>39.6</v>
      </c>
      <c r="E154" s="7">
        <f t="shared" si="19"/>
        <v>44.5</v>
      </c>
      <c r="F154" s="7">
        <f t="shared" si="20"/>
        <v>3.1999999999999957</v>
      </c>
      <c r="G154" s="7">
        <f t="shared" si="21"/>
        <v>0</v>
      </c>
      <c r="H154" s="7">
        <f t="shared" si="22"/>
        <v>4.2000000000000028</v>
      </c>
      <c r="I154" s="8">
        <v>32.200000000000003</v>
      </c>
      <c r="J154" s="8">
        <v>33.299999999999997</v>
      </c>
      <c r="K154" s="8">
        <v>34.700000000000003</v>
      </c>
      <c r="L154" s="8">
        <v>35.4</v>
      </c>
      <c r="M154" s="8">
        <v>39.6</v>
      </c>
      <c r="N154" s="8">
        <v>41.6</v>
      </c>
      <c r="O154" s="8">
        <v>42.9</v>
      </c>
      <c r="P154" s="8">
        <v>44.5</v>
      </c>
      <c r="Q154" s="5">
        <f t="shared" si="23"/>
        <v>4.8999999999999986</v>
      </c>
    </row>
    <row r="155" spans="1:17" x14ac:dyDescent="0.35">
      <c r="A155" s="9">
        <v>2002</v>
      </c>
      <c r="B155" s="10">
        <f t="shared" si="16"/>
        <v>32.200000000000003</v>
      </c>
      <c r="C155" s="10">
        <f t="shared" si="17"/>
        <v>34.4</v>
      </c>
      <c r="D155" s="10">
        <f t="shared" si="18"/>
        <v>38.4</v>
      </c>
      <c r="E155" s="10">
        <f t="shared" si="19"/>
        <v>44.2</v>
      </c>
      <c r="F155" s="10">
        <f t="shared" si="20"/>
        <v>2.1999999999999957</v>
      </c>
      <c r="G155" s="10">
        <f t="shared" si="21"/>
        <v>0</v>
      </c>
      <c r="H155" s="10">
        <f t="shared" si="22"/>
        <v>4</v>
      </c>
      <c r="I155" s="11">
        <v>32.200000000000003</v>
      </c>
      <c r="J155" s="11">
        <v>32.5</v>
      </c>
      <c r="K155" s="11">
        <v>34.200000000000003</v>
      </c>
      <c r="L155" s="11">
        <v>34.4</v>
      </c>
      <c r="M155" s="11">
        <v>38.4</v>
      </c>
      <c r="N155" s="11">
        <v>40.9</v>
      </c>
      <c r="O155" s="11">
        <v>41.8</v>
      </c>
      <c r="P155" s="11">
        <v>44.2</v>
      </c>
      <c r="Q155" s="5">
        <f t="shared" si="23"/>
        <v>5.8000000000000043</v>
      </c>
    </row>
    <row r="156" spans="1:17" x14ac:dyDescent="0.35">
      <c r="A156" s="6">
        <v>2003</v>
      </c>
      <c r="B156" s="7">
        <f t="shared" si="16"/>
        <v>31.7</v>
      </c>
      <c r="C156" s="7">
        <f t="shared" si="17"/>
        <v>33.700000000000003</v>
      </c>
      <c r="D156" s="7">
        <f t="shared" si="18"/>
        <v>37.4</v>
      </c>
      <c r="E156" s="7">
        <f t="shared" si="19"/>
        <v>43.5</v>
      </c>
      <c r="F156" s="7">
        <f t="shared" si="20"/>
        <v>2.0000000000000036</v>
      </c>
      <c r="G156" s="7">
        <f t="shared" si="21"/>
        <v>0</v>
      </c>
      <c r="H156" s="7">
        <f t="shared" si="22"/>
        <v>3.6999999999999957</v>
      </c>
      <c r="I156" s="8">
        <v>31.8</v>
      </c>
      <c r="J156" s="8">
        <v>31.7</v>
      </c>
      <c r="K156" s="8">
        <v>33.4</v>
      </c>
      <c r="L156" s="8">
        <v>33.700000000000003</v>
      </c>
      <c r="M156" s="8">
        <v>37.4</v>
      </c>
      <c r="N156" s="8">
        <v>39.799999999999997</v>
      </c>
      <c r="O156" s="8">
        <v>40.700000000000003</v>
      </c>
      <c r="P156" s="8">
        <v>43.5</v>
      </c>
      <c r="Q156" s="5">
        <f t="shared" si="23"/>
        <v>6.1000000000000014</v>
      </c>
    </row>
    <row r="157" spans="1:17" x14ac:dyDescent="0.35">
      <c r="A157" s="9">
        <v>2004</v>
      </c>
      <c r="B157" s="10">
        <f t="shared" si="16"/>
        <v>31.1</v>
      </c>
      <c r="C157" s="10">
        <f t="shared" si="17"/>
        <v>33.200000000000003</v>
      </c>
      <c r="D157" s="10">
        <f t="shared" si="18"/>
        <v>36.700000000000003</v>
      </c>
      <c r="E157" s="10">
        <f t="shared" si="19"/>
        <v>42.6</v>
      </c>
      <c r="F157" s="10">
        <f t="shared" si="20"/>
        <v>2.1000000000000014</v>
      </c>
      <c r="G157" s="10">
        <f t="shared" si="21"/>
        <v>0</v>
      </c>
      <c r="H157" s="10">
        <f t="shared" si="22"/>
        <v>3.5</v>
      </c>
      <c r="I157" s="11">
        <v>31.1</v>
      </c>
      <c r="J157" s="11">
        <v>31.1</v>
      </c>
      <c r="K157" s="11">
        <v>32.799999999999997</v>
      </c>
      <c r="L157" s="11">
        <v>33.200000000000003</v>
      </c>
      <c r="M157" s="11">
        <v>36.700000000000003</v>
      </c>
      <c r="N157" s="11">
        <v>39</v>
      </c>
      <c r="O157" s="11">
        <v>39.9</v>
      </c>
      <c r="P157" s="11">
        <v>42.6</v>
      </c>
      <c r="Q157" s="5">
        <f t="shared" si="23"/>
        <v>5.8999999999999986</v>
      </c>
    </row>
    <row r="158" spans="1:17" x14ac:dyDescent="0.35">
      <c r="A158" s="6">
        <v>2005</v>
      </c>
      <c r="B158" s="7">
        <f t="shared" si="16"/>
        <v>30.4</v>
      </c>
      <c r="C158" s="7">
        <f t="shared" si="17"/>
        <v>32.9</v>
      </c>
      <c r="D158" s="7">
        <f t="shared" si="18"/>
        <v>36.200000000000003</v>
      </c>
      <c r="E158" s="7">
        <f t="shared" si="19"/>
        <v>41.6</v>
      </c>
      <c r="F158" s="7">
        <f t="shared" si="20"/>
        <v>2.5</v>
      </c>
      <c r="G158" s="7">
        <f t="shared" si="21"/>
        <v>0</v>
      </c>
      <c r="H158" s="7">
        <f t="shared" si="22"/>
        <v>3.3000000000000043</v>
      </c>
      <c r="I158" s="8">
        <v>30.4</v>
      </c>
      <c r="J158" s="8">
        <v>30.8</v>
      </c>
      <c r="K158" s="8">
        <v>32.5</v>
      </c>
      <c r="L158" s="8">
        <v>32.9</v>
      </c>
      <c r="M158" s="8">
        <v>36.200000000000003</v>
      </c>
      <c r="N158" s="8">
        <v>38.5</v>
      </c>
      <c r="O158" s="8">
        <v>39.299999999999997</v>
      </c>
      <c r="P158" s="8">
        <v>41.6</v>
      </c>
      <c r="Q158" s="5">
        <f t="shared" si="23"/>
        <v>5.3999999999999986</v>
      </c>
    </row>
    <row r="159" spans="1:17" x14ac:dyDescent="0.35">
      <c r="A159" s="9">
        <v>2006</v>
      </c>
      <c r="B159" s="10">
        <f t="shared" si="16"/>
        <v>29.8</v>
      </c>
      <c r="C159" s="10">
        <f t="shared" si="17"/>
        <v>32.700000000000003</v>
      </c>
      <c r="D159" s="10">
        <f t="shared" si="18"/>
        <v>35.700000000000003</v>
      </c>
      <c r="E159" s="10">
        <f t="shared" si="19"/>
        <v>40.799999999999997</v>
      </c>
      <c r="F159" s="10">
        <f t="shared" si="20"/>
        <v>2.9000000000000021</v>
      </c>
      <c r="G159" s="10">
        <f t="shared" si="21"/>
        <v>0</v>
      </c>
      <c r="H159" s="10">
        <f t="shared" si="22"/>
        <v>3</v>
      </c>
      <c r="I159" s="11">
        <v>29.8</v>
      </c>
      <c r="J159" s="11">
        <v>30.6</v>
      </c>
      <c r="K159" s="11">
        <v>32.1</v>
      </c>
      <c r="L159" s="11">
        <v>32.700000000000003</v>
      </c>
      <c r="M159" s="11">
        <v>35.700000000000003</v>
      </c>
      <c r="N159" s="11">
        <v>37.799999999999997</v>
      </c>
      <c r="O159" s="11">
        <v>38.9</v>
      </c>
      <c r="P159" s="11">
        <v>40.799999999999997</v>
      </c>
      <c r="Q159" s="5">
        <f t="shared" si="23"/>
        <v>5.0999999999999943</v>
      </c>
    </row>
    <row r="160" spans="1:17" x14ac:dyDescent="0.35">
      <c r="A160" s="6">
        <v>2007</v>
      </c>
      <c r="B160" s="7">
        <f t="shared" si="16"/>
        <v>29.4</v>
      </c>
      <c r="C160" s="7">
        <f t="shared" si="17"/>
        <v>32.4</v>
      </c>
      <c r="D160" s="7">
        <f t="shared" si="18"/>
        <v>35.200000000000003</v>
      </c>
      <c r="E160" s="7">
        <f t="shared" si="19"/>
        <v>40.200000000000003</v>
      </c>
      <c r="F160" s="7">
        <f t="shared" si="20"/>
        <v>3</v>
      </c>
      <c r="G160" s="7">
        <f t="shared" si="21"/>
        <v>0</v>
      </c>
      <c r="H160" s="7">
        <f t="shared" si="22"/>
        <v>2.8000000000000043</v>
      </c>
      <c r="I160" s="8">
        <v>29.4</v>
      </c>
      <c r="J160" s="8">
        <v>30.4</v>
      </c>
      <c r="K160" s="8">
        <v>31.4</v>
      </c>
      <c r="L160" s="8">
        <v>32.4</v>
      </c>
      <c r="M160" s="8">
        <v>35.200000000000003</v>
      </c>
      <c r="N160" s="8">
        <v>36.9</v>
      </c>
      <c r="O160" s="8">
        <v>38.4</v>
      </c>
      <c r="P160" s="8">
        <v>40.200000000000003</v>
      </c>
      <c r="Q160" s="5">
        <f t="shared" si="23"/>
        <v>5</v>
      </c>
    </row>
    <row r="161" spans="1:17" x14ac:dyDescent="0.35">
      <c r="A161" s="9">
        <v>2008</v>
      </c>
      <c r="B161" s="10">
        <f t="shared" si="16"/>
        <v>28.9</v>
      </c>
      <c r="C161" s="10">
        <f t="shared" si="17"/>
        <v>32</v>
      </c>
      <c r="D161" s="10">
        <f t="shared" si="18"/>
        <v>34.5</v>
      </c>
      <c r="E161" s="10">
        <f t="shared" si="19"/>
        <v>39.4</v>
      </c>
      <c r="F161" s="10">
        <f t="shared" si="20"/>
        <v>3.1000000000000014</v>
      </c>
      <c r="G161" s="10">
        <f t="shared" si="21"/>
        <v>0</v>
      </c>
      <c r="H161" s="10">
        <f t="shared" si="22"/>
        <v>2.5</v>
      </c>
      <c r="I161" s="11">
        <v>28.9</v>
      </c>
      <c r="J161" s="11">
        <v>30</v>
      </c>
      <c r="K161" s="11">
        <v>30.8</v>
      </c>
      <c r="L161" s="11">
        <v>32</v>
      </c>
      <c r="M161" s="11">
        <v>34.5</v>
      </c>
      <c r="N161" s="11">
        <v>36</v>
      </c>
      <c r="O161" s="11">
        <v>37.799999999999997</v>
      </c>
      <c r="P161" s="11">
        <v>39.4</v>
      </c>
      <c r="Q161" s="5">
        <f t="shared" si="23"/>
        <v>4.8999999999999986</v>
      </c>
    </row>
    <row r="162" spans="1:17" x14ac:dyDescent="0.35">
      <c r="A162" s="6">
        <v>2009</v>
      </c>
      <c r="B162" s="7">
        <f t="shared" si="16"/>
        <v>28.4</v>
      </c>
      <c r="C162" s="7">
        <f t="shared" si="17"/>
        <v>31.5</v>
      </c>
      <c r="D162" s="7">
        <f t="shared" si="18"/>
        <v>33.799999999999997</v>
      </c>
      <c r="E162" s="7">
        <f t="shared" si="19"/>
        <v>38.700000000000003</v>
      </c>
      <c r="F162" s="7">
        <f t="shared" si="20"/>
        <v>3.1000000000000014</v>
      </c>
      <c r="G162" s="7">
        <f t="shared" si="21"/>
        <v>0</v>
      </c>
      <c r="H162" s="7">
        <f t="shared" si="22"/>
        <v>2.2999999999999972</v>
      </c>
      <c r="I162" s="8">
        <v>28.4</v>
      </c>
      <c r="J162" s="8">
        <v>29.5</v>
      </c>
      <c r="K162" s="8">
        <v>30.4</v>
      </c>
      <c r="L162" s="8">
        <v>31.5</v>
      </c>
      <c r="M162" s="8">
        <v>33.799999999999997</v>
      </c>
      <c r="N162" s="8">
        <v>35.299999999999997</v>
      </c>
      <c r="O162" s="8">
        <v>37.1</v>
      </c>
      <c r="P162" s="8">
        <v>38.700000000000003</v>
      </c>
      <c r="Q162" s="5">
        <f t="shared" si="23"/>
        <v>4.9000000000000057</v>
      </c>
    </row>
    <row r="163" spans="1:17" x14ac:dyDescent="0.35">
      <c r="A163" s="9">
        <v>2010</v>
      </c>
      <c r="B163" s="10">
        <f t="shared" si="16"/>
        <v>28</v>
      </c>
      <c r="C163" s="10">
        <f t="shared" si="17"/>
        <v>31</v>
      </c>
      <c r="D163" s="10">
        <f t="shared" si="18"/>
        <v>33</v>
      </c>
      <c r="E163" s="10">
        <f t="shared" si="19"/>
        <v>38</v>
      </c>
      <c r="F163" s="10">
        <f t="shared" si="20"/>
        <v>3</v>
      </c>
      <c r="G163" s="10">
        <f t="shared" si="21"/>
        <v>0</v>
      </c>
      <c r="H163" s="10">
        <f t="shared" si="22"/>
        <v>2</v>
      </c>
      <c r="I163" s="11">
        <v>28</v>
      </c>
      <c r="J163" s="11">
        <v>29</v>
      </c>
      <c r="K163" s="11">
        <v>30</v>
      </c>
      <c r="L163" s="11">
        <v>31</v>
      </c>
      <c r="M163" s="11">
        <v>33</v>
      </c>
      <c r="N163" s="11">
        <v>34.700000000000003</v>
      </c>
      <c r="O163" s="11">
        <v>36.299999999999997</v>
      </c>
      <c r="P163" s="11">
        <v>38</v>
      </c>
      <c r="Q163" s="5">
        <f t="shared" si="23"/>
        <v>5</v>
      </c>
    </row>
    <row r="164" spans="1:17" x14ac:dyDescent="0.35">
      <c r="A164" s="6">
        <v>2011</v>
      </c>
      <c r="B164" s="7">
        <f t="shared" si="16"/>
        <v>27.5</v>
      </c>
      <c r="C164" s="7">
        <f t="shared" si="17"/>
        <v>30.5</v>
      </c>
      <c r="D164" s="7">
        <f t="shared" si="18"/>
        <v>32.4</v>
      </c>
      <c r="E164" s="7">
        <f t="shared" si="19"/>
        <v>37.4</v>
      </c>
      <c r="F164" s="7">
        <f t="shared" si="20"/>
        <v>3</v>
      </c>
      <c r="G164" s="7">
        <f t="shared" si="21"/>
        <v>0</v>
      </c>
      <c r="H164" s="7">
        <f t="shared" si="22"/>
        <v>1.8999999999999986</v>
      </c>
      <c r="I164" s="8">
        <v>27.5</v>
      </c>
      <c r="J164" s="8">
        <v>28.5</v>
      </c>
      <c r="K164" s="8">
        <v>29.5</v>
      </c>
      <c r="L164" s="8">
        <v>30.5</v>
      </c>
      <c r="M164" s="8">
        <v>32.4</v>
      </c>
      <c r="N164" s="8">
        <v>34.1</v>
      </c>
      <c r="O164" s="8">
        <v>35.700000000000003</v>
      </c>
      <c r="P164" s="8">
        <v>37.4</v>
      </c>
      <c r="Q164" s="5">
        <f t="shared" si="23"/>
        <v>5</v>
      </c>
    </row>
    <row r="165" spans="1:17" x14ac:dyDescent="0.35">
      <c r="A165" s="9">
        <v>2012</v>
      </c>
      <c r="B165" s="10">
        <f t="shared" si="16"/>
        <v>27</v>
      </c>
      <c r="C165" s="10">
        <f t="shared" si="17"/>
        <v>30</v>
      </c>
      <c r="D165" s="10">
        <f t="shared" si="18"/>
        <v>31.8</v>
      </c>
      <c r="E165" s="10">
        <f t="shared" si="19"/>
        <v>36.799999999999997</v>
      </c>
      <c r="F165" s="10">
        <f t="shared" si="20"/>
        <v>3</v>
      </c>
      <c r="G165" s="10">
        <f t="shared" si="21"/>
        <v>0</v>
      </c>
      <c r="H165" s="10">
        <f t="shared" si="22"/>
        <v>1.8000000000000007</v>
      </c>
      <c r="I165" s="11">
        <v>27</v>
      </c>
      <c r="J165" s="11">
        <v>28</v>
      </c>
      <c r="K165" s="11">
        <v>29</v>
      </c>
      <c r="L165" s="11">
        <v>30</v>
      </c>
      <c r="M165" s="11">
        <v>31.8</v>
      </c>
      <c r="N165" s="11">
        <v>33.5</v>
      </c>
      <c r="O165" s="11">
        <v>35.1</v>
      </c>
      <c r="P165" s="11">
        <v>36.799999999999997</v>
      </c>
      <c r="Q165" s="5">
        <f t="shared" si="23"/>
        <v>4.9999999999999964</v>
      </c>
    </row>
    <row r="166" spans="1:17" x14ac:dyDescent="0.35">
      <c r="A166" s="6">
        <v>2013</v>
      </c>
      <c r="B166" s="7">
        <f t="shared" si="16"/>
        <v>26.5</v>
      </c>
      <c r="C166" s="7">
        <f t="shared" si="17"/>
        <v>29.5</v>
      </c>
      <c r="D166" s="7">
        <f t="shared" si="18"/>
        <v>31.2</v>
      </c>
      <c r="E166" s="7">
        <f t="shared" si="19"/>
        <v>36.200000000000003</v>
      </c>
      <c r="F166" s="7">
        <f t="shared" si="20"/>
        <v>3</v>
      </c>
      <c r="G166" s="7">
        <f t="shared" si="21"/>
        <v>0</v>
      </c>
      <c r="H166" s="7">
        <f t="shared" si="22"/>
        <v>1.6999999999999993</v>
      </c>
      <c r="I166" s="8">
        <v>26.5</v>
      </c>
      <c r="J166" s="8">
        <v>27.5</v>
      </c>
      <c r="K166" s="8">
        <v>28.5</v>
      </c>
      <c r="L166" s="8">
        <v>29.5</v>
      </c>
      <c r="M166" s="8">
        <v>31.2</v>
      </c>
      <c r="N166" s="8">
        <v>32.9</v>
      </c>
      <c r="O166" s="8">
        <v>34.5</v>
      </c>
      <c r="P166" s="8">
        <v>36.200000000000003</v>
      </c>
      <c r="Q166" s="5">
        <f t="shared" si="23"/>
        <v>5.0000000000000036</v>
      </c>
    </row>
    <row r="167" spans="1:17" x14ac:dyDescent="0.35">
      <c r="A167" s="9">
        <v>2014</v>
      </c>
      <c r="B167" s="10">
        <f t="shared" si="16"/>
        <v>26</v>
      </c>
      <c r="C167" s="10">
        <f t="shared" si="17"/>
        <v>29</v>
      </c>
      <c r="D167" s="10">
        <f t="shared" si="18"/>
        <v>30.6</v>
      </c>
      <c r="E167" s="10">
        <f t="shared" si="19"/>
        <v>35.6</v>
      </c>
      <c r="F167" s="10">
        <f t="shared" si="20"/>
        <v>3</v>
      </c>
      <c r="G167" s="10">
        <f t="shared" si="21"/>
        <v>0</v>
      </c>
      <c r="H167" s="10">
        <f t="shared" si="22"/>
        <v>1.6000000000000014</v>
      </c>
      <c r="I167" s="11">
        <v>26</v>
      </c>
      <c r="J167" s="11">
        <v>27</v>
      </c>
      <c r="K167" s="11">
        <v>28</v>
      </c>
      <c r="L167" s="11">
        <v>29</v>
      </c>
      <c r="M167" s="11">
        <v>30.6</v>
      </c>
      <c r="N167" s="11">
        <v>32.299999999999997</v>
      </c>
      <c r="O167" s="11">
        <v>33.9</v>
      </c>
      <c r="P167" s="11">
        <v>35.6</v>
      </c>
      <c r="Q167" s="5">
        <f t="shared" si="23"/>
        <v>5</v>
      </c>
    </row>
    <row r="168" spans="1:17" x14ac:dyDescent="0.35">
      <c r="A168" s="6">
        <v>2015</v>
      </c>
      <c r="B168" s="7">
        <f t="shared" si="16"/>
        <v>25.5</v>
      </c>
      <c r="C168" s="7">
        <f t="shared" si="17"/>
        <v>28.5</v>
      </c>
      <c r="D168" s="7">
        <f t="shared" si="18"/>
        <v>30</v>
      </c>
      <c r="E168" s="7">
        <f t="shared" si="19"/>
        <v>35</v>
      </c>
      <c r="F168" s="7">
        <f t="shared" si="20"/>
        <v>3</v>
      </c>
      <c r="G168" s="7">
        <f t="shared" si="21"/>
        <v>0</v>
      </c>
      <c r="H168" s="7">
        <f t="shared" si="22"/>
        <v>1.5</v>
      </c>
      <c r="I168" s="8">
        <v>25.5</v>
      </c>
      <c r="J168" s="8">
        <v>26.5</v>
      </c>
      <c r="K168" s="8">
        <v>27.5</v>
      </c>
      <c r="L168" s="8">
        <v>28.5</v>
      </c>
      <c r="M168" s="8">
        <v>30</v>
      </c>
      <c r="N168" s="8">
        <v>31.7</v>
      </c>
      <c r="O168" s="8">
        <v>33.299999999999997</v>
      </c>
      <c r="P168" s="8">
        <v>35</v>
      </c>
      <c r="Q168" s="5">
        <f t="shared" si="23"/>
        <v>5</v>
      </c>
    </row>
    <row r="169" spans="1:17" x14ac:dyDescent="0.35">
      <c r="A169" s="9">
        <v>2016</v>
      </c>
      <c r="B169" s="10">
        <f t="shared" si="16"/>
        <v>25</v>
      </c>
      <c r="C169" s="10">
        <f t="shared" si="17"/>
        <v>28</v>
      </c>
      <c r="D169" s="10">
        <f t="shared" si="18"/>
        <v>29.4</v>
      </c>
      <c r="E169" s="10">
        <f t="shared" si="19"/>
        <v>34.4</v>
      </c>
      <c r="F169" s="10">
        <f t="shared" si="20"/>
        <v>3</v>
      </c>
      <c r="G169" s="10">
        <f t="shared" si="21"/>
        <v>0</v>
      </c>
      <c r="H169" s="10">
        <f t="shared" si="22"/>
        <v>1.3999999999999986</v>
      </c>
      <c r="I169" s="11">
        <v>25</v>
      </c>
      <c r="J169" s="11">
        <v>26</v>
      </c>
      <c r="K169" s="11">
        <v>27</v>
      </c>
      <c r="L169" s="11">
        <v>28</v>
      </c>
      <c r="M169" s="11">
        <v>29.4</v>
      </c>
      <c r="N169" s="11">
        <v>31.1</v>
      </c>
      <c r="O169" s="11">
        <v>32.700000000000003</v>
      </c>
      <c r="P169" s="11">
        <v>34.4</v>
      </c>
      <c r="Q169" s="5">
        <f t="shared" si="23"/>
        <v>5</v>
      </c>
    </row>
    <row r="170" spans="1:17" x14ac:dyDescent="0.35">
      <c r="A170" s="6">
        <v>2017</v>
      </c>
      <c r="B170" s="7">
        <f t="shared" si="16"/>
        <v>24.5</v>
      </c>
      <c r="C170" s="7">
        <f t="shared" si="17"/>
        <v>27.5</v>
      </c>
      <c r="D170" s="7">
        <f t="shared" si="18"/>
        <v>28.8</v>
      </c>
      <c r="E170" s="7">
        <f t="shared" si="19"/>
        <v>33.799999999999997</v>
      </c>
      <c r="F170" s="7">
        <f t="shared" si="20"/>
        <v>3</v>
      </c>
      <c r="G170" s="7">
        <f t="shared" si="21"/>
        <v>0</v>
      </c>
      <c r="H170" s="7">
        <f t="shared" si="22"/>
        <v>1.3000000000000007</v>
      </c>
      <c r="I170" s="8">
        <v>24.5</v>
      </c>
      <c r="J170" s="8">
        <v>25.5</v>
      </c>
      <c r="K170" s="8">
        <v>26.5</v>
      </c>
      <c r="L170" s="8">
        <v>27.5</v>
      </c>
      <c r="M170" s="8">
        <v>28.8</v>
      </c>
      <c r="N170" s="8">
        <v>30.5</v>
      </c>
      <c r="O170" s="8">
        <v>32.1</v>
      </c>
      <c r="P170" s="8">
        <v>33.799999999999997</v>
      </c>
      <c r="Q170" s="5">
        <f t="shared" si="23"/>
        <v>4.9999999999999964</v>
      </c>
    </row>
    <row r="171" spans="1:17" x14ac:dyDescent="0.35">
      <c r="A171" s="9">
        <v>2018</v>
      </c>
      <c r="B171" s="10">
        <f t="shared" si="16"/>
        <v>24</v>
      </c>
      <c r="C171" s="10">
        <f t="shared" si="17"/>
        <v>27</v>
      </c>
      <c r="D171" s="10">
        <f t="shared" si="18"/>
        <v>28.2</v>
      </c>
      <c r="E171" s="10">
        <f t="shared" si="19"/>
        <v>33.200000000000003</v>
      </c>
      <c r="F171" s="10">
        <f t="shared" si="20"/>
        <v>3</v>
      </c>
      <c r="G171" s="10">
        <f t="shared" si="21"/>
        <v>0</v>
      </c>
      <c r="H171" s="10">
        <f t="shared" si="22"/>
        <v>1.1999999999999993</v>
      </c>
      <c r="I171" s="11">
        <v>24</v>
      </c>
      <c r="J171" s="11">
        <v>25</v>
      </c>
      <c r="K171" s="11">
        <v>26</v>
      </c>
      <c r="L171" s="11">
        <v>27</v>
      </c>
      <c r="M171" s="11">
        <v>28.2</v>
      </c>
      <c r="N171" s="11">
        <v>29.9</v>
      </c>
      <c r="O171" s="11">
        <v>31.5</v>
      </c>
      <c r="P171" s="11">
        <v>33.200000000000003</v>
      </c>
      <c r="Q171" s="5">
        <f t="shared" si="23"/>
        <v>5.0000000000000036</v>
      </c>
    </row>
    <row r="172" spans="1:17" x14ac:dyDescent="0.35">
      <c r="A172" s="6">
        <v>2019</v>
      </c>
      <c r="B172" s="7">
        <f t="shared" si="16"/>
        <v>23.5</v>
      </c>
      <c r="C172" s="7">
        <f t="shared" si="17"/>
        <v>26.5</v>
      </c>
      <c r="D172" s="7">
        <f t="shared" si="18"/>
        <v>27.6</v>
      </c>
      <c r="E172" s="7">
        <f t="shared" si="19"/>
        <v>32.6</v>
      </c>
      <c r="F172" s="7">
        <f t="shared" si="20"/>
        <v>3</v>
      </c>
      <c r="G172" s="7">
        <f t="shared" si="21"/>
        <v>0</v>
      </c>
      <c r="H172" s="7">
        <f t="shared" si="22"/>
        <v>1.1000000000000014</v>
      </c>
      <c r="I172" s="8">
        <v>23.5</v>
      </c>
      <c r="J172" s="8">
        <v>24.5</v>
      </c>
      <c r="K172" s="8">
        <v>25.5</v>
      </c>
      <c r="L172" s="8">
        <v>26.5</v>
      </c>
      <c r="M172" s="8">
        <v>27.6</v>
      </c>
      <c r="N172" s="8">
        <v>29.3</v>
      </c>
      <c r="O172" s="8">
        <v>30.9</v>
      </c>
      <c r="P172" s="8">
        <v>32.6</v>
      </c>
      <c r="Q172" s="5">
        <f t="shared" si="23"/>
        <v>5</v>
      </c>
    </row>
    <row r="173" spans="1:17" x14ac:dyDescent="0.35">
      <c r="A173" s="9">
        <v>2020</v>
      </c>
      <c r="B173" s="10">
        <f t="shared" si="16"/>
        <v>23</v>
      </c>
      <c r="C173" s="10">
        <f t="shared" si="17"/>
        <v>26</v>
      </c>
      <c r="D173" s="10">
        <f t="shared" si="18"/>
        <v>27</v>
      </c>
      <c r="E173" s="10">
        <f t="shared" si="19"/>
        <v>32</v>
      </c>
      <c r="F173" s="10">
        <f t="shared" si="20"/>
        <v>3</v>
      </c>
      <c r="G173" s="10">
        <f t="shared" si="21"/>
        <v>0</v>
      </c>
      <c r="H173" s="10">
        <f t="shared" si="22"/>
        <v>1</v>
      </c>
      <c r="I173" s="11">
        <v>23</v>
      </c>
      <c r="J173" s="11">
        <v>24</v>
      </c>
      <c r="K173" s="11">
        <v>25</v>
      </c>
      <c r="L173" s="11">
        <v>26</v>
      </c>
      <c r="M173" s="11">
        <v>27</v>
      </c>
      <c r="N173" s="11">
        <v>28.7</v>
      </c>
      <c r="O173" s="11">
        <v>30.3</v>
      </c>
      <c r="P173" s="11">
        <v>32</v>
      </c>
      <c r="Q173" s="5">
        <f t="shared" si="23"/>
        <v>5</v>
      </c>
    </row>
    <row r="174" spans="1:17" x14ac:dyDescent="0.35">
      <c r="A174" s="6">
        <v>2021</v>
      </c>
      <c r="B174" s="7">
        <f t="shared" si="16"/>
        <v>22.4</v>
      </c>
      <c r="C174" s="7">
        <f t="shared" si="17"/>
        <v>25.4</v>
      </c>
      <c r="D174" s="7">
        <f t="shared" si="18"/>
        <v>27</v>
      </c>
      <c r="E174" s="7">
        <f t="shared" si="19"/>
        <v>32</v>
      </c>
      <c r="F174" s="7">
        <f t="shared" si="20"/>
        <v>3</v>
      </c>
      <c r="G174" s="7">
        <f t="shared" si="21"/>
        <v>0</v>
      </c>
      <c r="H174" s="7">
        <f t="shared" si="22"/>
        <v>1.6000000000000014</v>
      </c>
      <c r="I174" s="8">
        <v>22.4</v>
      </c>
      <c r="J174" s="8">
        <v>23.4</v>
      </c>
      <c r="K174" s="8">
        <v>24.4</v>
      </c>
      <c r="L174" s="8">
        <v>25.4</v>
      </c>
      <c r="M174" s="8">
        <v>27</v>
      </c>
      <c r="N174" s="8">
        <v>28.7</v>
      </c>
      <c r="O174" s="8">
        <v>30.3</v>
      </c>
      <c r="P174" s="8">
        <v>32</v>
      </c>
      <c r="Q174" s="5">
        <f t="shared" si="23"/>
        <v>5</v>
      </c>
    </row>
    <row r="175" spans="1:17" x14ac:dyDescent="0.35">
      <c r="A175" s="9">
        <v>2022</v>
      </c>
      <c r="B175" s="10">
        <f t="shared" si="16"/>
        <v>21.7</v>
      </c>
      <c r="C175" s="10">
        <f t="shared" si="17"/>
        <v>24.8</v>
      </c>
      <c r="D175" s="10">
        <f t="shared" si="18"/>
        <v>27.1</v>
      </c>
      <c r="E175" s="10">
        <f t="shared" si="19"/>
        <v>32</v>
      </c>
      <c r="F175" s="10">
        <f t="shared" si="20"/>
        <v>3.1000000000000014</v>
      </c>
      <c r="G175" s="10">
        <f t="shared" si="21"/>
        <v>0</v>
      </c>
      <c r="H175" s="10">
        <f t="shared" si="22"/>
        <v>2.3000000000000007</v>
      </c>
      <c r="I175" s="11">
        <v>21.7</v>
      </c>
      <c r="J175" s="11">
        <v>22.8</v>
      </c>
      <c r="K175" s="11">
        <v>23.8</v>
      </c>
      <c r="L175" s="11">
        <v>24.8</v>
      </c>
      <c r="M175" s="11">
        <v>27.1</v>
      </c>
      <c r="N175" s="11">
        <v>28.7</v>
      </c>
      <c r="O175" s="11">
        <v>30.3</v>
      </c>
      <c r="P175" s="11">
        <v>32</v>
      </c>
      <c r="Q175" s="5">
        <f t="shared" si="23"/>
        <v>4.8999999999999986</v>
      </c>
    </row>
    <row r="176" spans="1:17" x14ac:dyDescent="0.35">
      <c r="A176" s="6">
        <v>2023</v>
      </c>
      <c r="B176" s="7">
        <f t="shared" si="16"/>
        <v>20.9</v>
      </c>
      <c r="C176" s="7">
        <f t="shared" si="17"/>
        <v>24.3</v>
      </c>
      <c r="D176" s="7">
        <f t="shared" si="18"/>
        <v>27.2</v>
      </c>
      <c r="E176" s="7">
        <f t="shared" si="19"/>
        <v>31.8</v>
      </c>
      <c r="F176" s="7">
        <f t="shared" si="20"/>
        <v>3.4000000000000021</v>
      </c>
      <c r="G176" s="7">
        <f t="shared" si="21"/>
        <v>0</v>
      </c>
      <c r="H176" s="7">
        <f t="shared" si="22"/>
        <v>2.8999999999999986</v>
      </c>
      <c r="I176" s="8">
        <v>20.9</v>
      </c>
      <c r="J176" s="8">
        <v>22.4</v>
      </c>
      <c r="K176" s="8">
        <v>23.2</v>
      </c>
      <c r="L176" s="8">
        <v>24.3</v>
      </c>
      <c r="M176" s="8">
        <v>27.2</v>
      </c>
      <c r="N176" s="8">
        <v>28.8</v>
      </c>
      <c r="O176" s="8">
        <v>30.6</v>
      </c>
      <c r="P176" s="8">
        <v>31.8</v>
      </c>
      <c r="Q176" s="5">
        <f t="shared" si="23"/>
        <v>4.6000000000000014</v>
      </c>
    </row>
    <row r="177" spans="1:17" x14ac:dyDescent="0.35">
      <c r="A177" s="9">
        <v>2024</v>
      </c>
      <c r="B177" s="10">
        <f t="shared" si="16"/>
        <v>20.2</v>
      </c>
      <c r="C177" s="10">
        <f t="shared" si="17"/>
        <v>23.7</v>
      </c>
      <c r="D177" s="10">
        <f t="shared" si="18"/>
        <v>27.2</v>
      </c>
      <c r="E177" s="10">
        <f t="shared" si="19"/>
        <v>31.7</v>
      </c>
      <c r="F177" s="10">
        <f t="shared" si="20"/>
        <v>3.5</v>
      </c>
      <c r="G177" s="10">
        <f t="shared" si="21"/>
        <v>0</v>
      </c>
      <c r="H177" s="10">
        <f t="shared" si="22"/>
        <v>3.5</v>
      </c>
      <c r="I177" s="11">
        <v>20.2</v>
      </c>
      <c r="J177" s="11">
        <v>22.1</v>
      </c>
      <c r="K177" s="11">
        <v>22.8</v>
      </c>
      <c r="L177" s="11">
        <v>23.7</v>
      </c>
      <c r="M177" s="11">
        <v>27.2</v>
      </c>
      <c r="N177" s="11">
        <v>29</v>
      </c>
      <c r="O177" s="11">
        <v>30.9</v>
      </c>
      <c r="P177" s="11">
        <v>31.7</v>
      </c>
      <c r="Q177" s="5">
        <f t="shared" si="23"/>
        <v>4.5</v>
      </c>
    </row>
    <row r="179" spans="1:17" ht="60" customHeight="1" x14ac:dyDescent="0.35">
      <c r="A179" s="12" t="s">
        <v>18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</sheetData>
  <mergeCells count="2">
    <mergeCell ref="A1:Q1"/>
    <mergeCell ref="A179:P1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C8C4-862D-40F9-AB9C-C72935F98878}">
  <sheetPr>
    <tabColor rgb="FFFFB52C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7C86-DD92-44C9-B1DB-7FE26E098E3A}">
  <sheetPr>
    <tabColor rgb="FF5DBDD0"/>
  </sheetPr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Chart_colours</vt:lpstr>
      <vt:lpstr>Chart_dashes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2026-04-30T13:56:21Z</dcterms:created>
  <dcterms:modified xsi:type="dcterms:W3CDTF">2026-04-30T13:56:31Z</dcterms:modified>
</cp:coreProperties>
</file>