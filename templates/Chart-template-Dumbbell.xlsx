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ickstead\Documents\cgd-general\chart-templates\"/>
    </mc:Choice>
  </mc:AlternateContent>
  <xr:revisionPtr revIDLastSave="0" documentId="8_{08A9E2AA-5623-4875-8134-BB465AF5BC42}" xr6:coauthVersionLast="47" xr6:coauthVersionMax="47" xr10:uidLastSave="{00000000-0000-0000-0000-000000000000}"/>
  <bookViews>
    <workbookView xWindow="19090" yWindow="-10820" windowWidth="38620" windowHeight="211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1" l="1"/>
  <c r="N10" i="1"/>
  <c r="M10" i="1"/>
  <c r="L10" i="1"/>
  <c r="K10" i="1"/>
  <c r="I10" i="1"/>
  <c r="H10" i="1"/>
  <c r="O9" i="1"/>
  <c r="N9" i="1"/>
  <c r="M9" i="1"/>
  <c r="L9" i="1"/>
  <c r="K9" i="1"/>
  <c r="I9" i="1"/>
  <c r="H9" i="1"/>
  <c r="O8" i="1"/>
  <c r="N8" i="1"/>
  <c r="M8" i="1"/>
  <c r="L8" i="1"/>
  <c r="K8" i="1"/>
  <c r="I8" i="1"/>
  <c r="H8" i="1"/>
  <c r="O7" i="1"/>
  <c r="N7" i="1"/>
  <c r="M7" i="1"/>
  <c r="L7" i="1"/>
  <c r="K7" i="1"/>
  <c r="I7" i="1"/>
  <c r="H7" i="1"/>
  <c r="O6" i="1"/>
  <c r="N6" i="1"/>
  <c r="M6" i="1"/>
  <c r="L6" i="1"/>
  <c r="K6" i="1"/>
  <c r="I6" i="1"/>
  <c r="H6" i="1"/>
  <c r="O5" i="1"/>
  <c r="N5" i="1"/>
  <c r="M5" i="1"/>
  <c r="L5" i="1"/>
  <c r="K5" i="1"/>
  <c r="I5" i="1"/>
  <c r="H5" i="1"/>
  <c r="O4" i="1"/>
  <c r="N4" i="1"/>
  <c r="M4" i="1"/>
  <c r="L4" i="1"/>
  <c r="K4" i="1"/>
  <c r="I4" i="1"/>
  <c r="H4" i="1"/>
  <c r="O3" i="1"/>
  <c r="N3" i="1"/>
  <c r="M3" i="1"/>
  <c r="L3" i="1"/>
  <c r="K3" i="1"/>
  <c r="I3" i="1"/>
  <c r="H3" i="1"/>
</calcChain>
</file>

<file path=xl/sharedStrings.xml><?xml version="1.0" encoding="utf-8"?>
<sst xmlns="http://schemas.openxmlformats.org/spreadsheetml/2006/main" count="23" uniqueCount="23">
  <si>
    <t>Chart title</t>
  </si>
  <si>
    <t>Y_pos</t>
  </si>
  <si>
    <t>Category label</t>
  </si>
  <si>
    <t>Series 1</t>
  </si>
  <si>
    <t>Series 2</t>
  </si>
  <si>
    <t>Series 3</t>
  </si>
  <si>
    <t>Series 4</t>
  </si>
  <si>
    <t>Reference</t>
  </si>
  <si>
    <t>[Conn_start]</t>
  </si>
  <si>
    <t>[Conn_length]</t>
  </si>
  <si>
    <t>[Label_X]</t>
  </si>
  <si>
    <t>[Conn_end]</t>
  </si>
  <si>
    <t>[ConnX_1]</t>
  </si>
  <si>
    <t>[ConnX_2]</t>
  </si>
  <si>
    <t>[ConnY_1]</t>
  </si>
  <si>
    <t>[ConnY_2]</t>
  </si>
  <si>
    <t>Category A -Row 1</t>
  </si>
  <si>
    <t>Category A -Row 2</t>
  </si>
  <si>
    <t>Category B -Row 1</t>
  </si>
  <si>
    <t>Category B -Row 2</t>
  </si>
  <si>
    <t>Category C -Row 1</t>
  </si>
  <si>
    <t>Category C -Row 2</t>
  </si>
  <si>
    <t>MANUAL STEPS: (1) Edit A1 to change the chart title (it is formula-linked to the chart). (2) Rename header cells C2-G2 to update legend series names. (3) Replace placeholder values with real data; blank = no dot. (4) Cols H-O are auto-calculated (AGGREGATE connectors) - do not edit. (5) To add rows: insert above a spacer row, fill A-G, copy H-O formulas from an adjacent row, renumber Y_pos (col A). (6) To add/remove connected series: update  in the script and re-run (see README for details).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</si>
</sst>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Data!$A$1</c:f>
          <c:strCache>
            <c:ptCount val="1"/>
            <c:pt idx="0">
              <c:v>Chart title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2.7571906959905874E-2"/>
          <c:y val="7.2115719910011242E-2"/>
          <c:w val="0.66666666666666663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Data!$C$3:$C$10</c:f>
              <c:numCache>
                <c:formatCode>General</c:formatCode>
                <c:ptCount val="8"/>
                <c:pt idx="0">
                  <c:v>40</c:v>
                </c:pt>
                <c:pt idx="1">
                  <c:v>55</c:v>
                </c:pt>
                <c:pt idx="3">
                  <c:v>30</c:v>
                </c:pt>
                <c:pt idx="4">
                  <c:v>45</c:v>
                </c:pt>
                <c:pt idx="6">
                  <c:v>20</c:v>
                </c:pt>
                <c:pt idx="7">
                  <c:v>38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1-44CC-A589-2A4EC34D6BE7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Data!$D$3:$D$10</c:f>
              <c:numCache>
                <c:formatCode>General</c:formatCode>
                <c:ptCount val="8"/>
                <c:pt idx="0">
                  <c:v>50</c:v>
                </c:pt>
                <c:pt idx="1">
                  <c:v>60</c:v>
                </c:pt>
                <c:pt idx="3">
                  <c:v>35</c:v>
                </c:pt>
                <c:pt idx="4">
                  <c:v>50</c:v>
                </c:pt>
                <c:pt idx="7">
                  <c:v>40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1-44CC-A589-2A4EC34D6BE7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Data!$E$3:$E$10</c:f>
              <c:numCache>
                <c:formatCode>General</c:formatCode>
                <c:ptCount val="8"/>
                <c:pt idx="0">
                  <c:v>45</c:v>
                </c:pt>
                <c:pt idx="1">
                  <c:v>58</c:v>
                </c:pt>
                <c:pt idx="4">
                  <c:v>48</c:v>
                </c:pt>
                <c:pt idx="6">
                  <c:v>22</c:v>
                </c:pt>
                <c:pt idx="7">
                  <c:v>35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1-44CC-A589-2A4EC34D6BE7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Series 4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CC8E00"/>
              </a:solidFill>
              <a:ln>
                <a:solidFill>
                  <a:srgbClr val="CC8E00"/>
                </a:solidFill>
                <a:prstDash val="solid"/>
              </a:ln>
            </c:spPr>
          </c:marker>
          <c:xVal>
            <c:numRef>
              <c:f>Data!$F$3:$F$10</c:f>
              <c:numCache>
                <c:formatCode>General</c:formatCode>
                <c:ptCount val="8"/>
                <c:pt idx="1">
                  <c:v>62</c:v>
                </c:pt>
                <c:pt idx="3">
                  <c:v>33</c:v>
                </c:pt>
                <c:pt idx="4">
                  <c:v>52</c:v>
                </c:pt>
                <c:pt idx="6">
                  <c:v>25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1-44CC-A589-2A4EC34D6BE7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Reference</c:v>
                </c:pt>
              </c:strCache>
            </c:strRef>
          </c:tx>
          <c:spPr>
            <a:ln w="38100">
              <a:noFill/>
            </a:ln>
          </c:spPr>
          <c:marker>
            <c:symbol val="plus"/>
            <c:size val="11"/>
            <c:spPr>
              <a:solidFill>
                <a:srgbClr val="5B8C96"/>
              </a:solidFill>
              <a:ln>
                <a:solidFill>
                  <a:srgbClr val="5B8C96"/>
                </a:solidFill>
                <a:prstDash val="solid"/>
              </a:ln>
            </c:spPr>
          </c:marker>
          <c:xVal>
            <c:numRef>
              <c:f>Data!$G$3:$G$10</c:f>
              <c:numCache>
                <c:formatCode>General</c:formatCode>
                <c:ptCount val="8"/>
                <c:pt idx="0">
                  <c:v>38</c:v>
                </c:pt>
                <c:pt idx="1">
                  <c:v>50</c:v>
                </c:pt>
                <c:pt idx="3">
                  <c:v>28</c:v>
                </c:pt>
                <c:pt idx="4">
                  <c:v>43</c:v>
                </c:pt>
                <c:pt idx="6">
                  <c:v>18</c:v>
                </c:pt>
                <c:pt idx="7">
                  <c:v>35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1-44CC-A589-2A4EC34D6BE7}"/>
            </c:ext>
          </c:extLst>
        </c:ser>
        <c:ser>
          <c:idx val="5"/>
          <c:order val="5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Category A -Row 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{FB3E3DBF-E3D5-4994-AEC9-D17C18EB0BD8}</c15:txfldGUID>
                      <c15:f>"Category A -Row 1"</c15:f>
                      <c15:dlblFieldTableCache>
                        <c:ptCount val="1"/>
                        <c:pt idx="0">
                          <c:v>Category A -Row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FB1-44CC-A589-2A4EC34D6B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Category A -Row 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{980D8DD0-DB54-4AC7-8234-AE79C1D572AB}</c15:txfldGUID>
                      <c15:f>"Category A -Row 2"</c15:f>
                      <c15:dlblFieldTableCache>
                        <c:ptCount val="1"/>
                        <c:pt idx="0">
                          <c:v>Category A -Row 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FB1-44CC-A589-2A4EC34D6B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{8A2029B0-6C90-494F-9D6B-FA5204EEFA1F}</c15:txfldGUID>
                      <c15:f>""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FB1-44CC-A589-2A4EC34D6B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GB"/>
                      <a:t>Category B -Row 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{6D889F71-3C8A-475A-8AAE-96202A4C6DBC}</c15:txfldGUID>
                      <c15:f>"Category B -Row 1"</c15:f>
                      <c15:dlblFieldTableCache>
                        <c:ptCount val="1"/>
                        <c:pt idx="0">
                          <c:v>Category B -Row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FB1-44CC-A589-2A4EC34D6B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GB"/>
                      <a:t>Category B -Row 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{96C5B1B8-617F-4E14-964D-D058803340A5}</c15:txfldGUID>
                      <c15:f>"Category B -Row 2"</c15:f>
                      <c15:dlblFieldTableCache>
                        <c:ptCount val="1"/>
                        <c:pt idx="0">
                          <c:v>Category B -Row 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FB1-44CC-A589-2A4EC34D6B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{3A0D5E8C-690B-4BA7-A748-B323C50D1C24}</c15:txfldGUID>
                      <c15:f>""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FB1-44CC-A589-2A4EC34D6B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GB"/>
                      <a:t>Category C -Row 1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{FB3004AC-DF73-4A5F-BC06-AAA31C830563}</c15:txfldGUID>
                      <c15:f>"Category C -Row 1"</c15:f>
                      <c15:dlblFieldTableCache>
                        <c:ptCount val="1"/>
                        <c:pt idx="0">
                          <c:v>Category C -Row 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FB1-44CC-A589-2A4EC34D6B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GB"/>
                      <a:t>Category C -Row 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{675D9AF7-99D1-4A4C-861B-E30CC1FBE3A6}</c15:txfldGUID>
                      <c15:f>"Category C -Row 2"</c15:f>
                      <c15:dlblFieldTableCache>
                        <c:ptCount val="1"/>
                        <c:pt idx="0">
                          <c:v>Category C -Row 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FB1-44CC-A589-2A4EC34D6BE7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Data!$J$3:$J$10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1-44CC-A589-2A4EC34D6BE7}"/>
            </c:ext>
          </c:extLst>
        </c:ser>
        <c:ser>
          <c:idx val="6"/>
          <c:order val="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Data!$L$3:$M$3</c:f>
              <c:numCache>
                <c:formatCode>General</c:formatCode>
                <c:ptCount val="2"/>
                <c:pt idx="0">
                  <c:v>40</c:v>
                </c:pt>
                <c:pt idx="1">
                  <c:v>50</c:v>
                </c:pt>
              </c:numCache>
            </c:numRef>
          </c:xVal>
          <c:yVal>
            <c:numRef>
              <c:f>Data!$N$3:$O$3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FB1-44CC-A589-2A4EC34D6BE7}"/>
            </c:ext>
          </c:extLst>
        </c:ser>
        <c:ser>
          <c:idx val="7"/>
          <c:order val="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Data!$L$4:$M$4</c:f>
              <c:numCache>
                <c:formatCode>General</c:formatCode>
                <c:ptCount val="2"/>
                <c:pt idx="0">
                  <c:v>55</c:v>
                </c:pt>
                <c:pt idx="1">
                  <c:v>62</c:v>
                </c:pt>
              </c:numCache>
            </c:numRef>
          </c:xVal>
          <c:yVal>
            <c:numRef>
              <c:f>Data!$N$4:$O$4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FB1-44CC-A589-2A4EC34D6BE7}"/>
            </c:ext>
          </c:extLst>
        </c:ser>
        <c:ser>
          <c:idx val="8"/>
          <c:order val="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Data!$L$6:$M$6</c:f>
              <c:numCache>
                <c:formatCode>General</c:formatCode>
                <c:ptCount val="2"/>
                <c:pt idx="0">
                  <c:v>30</c:v>
                </c:pt>
                <c:pt idx="1">
                  <c:v>35</c:v>
                </c:pt>
              </c:numCache>
            </c:numRef>
          </c:xVal>
          <c:yVal>
            <c:numRef>
              <c:f>Data!$N$6:$O$6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FB1-44CC-A589-2A4EC34D6BE7}"/>
            </c:ext>
          </c:extLst>
        </c:ser>
        <c:ser>
          <c:idx val="9"/>
          <c:order val="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Data!$L$7:$M$7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xVal>
          <c:yVal>
            <c:numRef>
              <c:f>Data!$N$7:$O$7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FB1-44CC-A589-2A4EC34D6BE7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Data!$L$9:$M$9</c:f>
              <c:numCache>
                <c:formatCode>General</c:formatCode>
                <c:ptCount val="2"/>
                <c:pt idx="0">
                  <c:v>20</c:v>
                </c:pt>
                <c:pt idx="1">
                  <c:v>25</c:v>
                </c:pt>
              </c:numCache>
            </c:numRef>
          </c:xVal>
          <c:yVal>
            <c:numRef>
              <c:f>Data!$N$9:$O$9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FB1-44CC-A589-2A4EC34D6BE7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Data!$L$10:$M$10</c:f>
              <c:numCache>
                <c:formatCode>General</c:formatCode>
                <c:ptCount val="2"/>
                <c:pt idx="0">
                  <c:v>35</c:v>
                </c:pt>
                <c:pt idx="1">
                  <c:v>40</c:v>
                </c:pt>
              </c:numCache>
            </c:numRef>
          </c:xVal>
          <c:yVal>
            <c:numRef>
              <c:f>Data!$N$10:$O$10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FB1-44CC-A589-2A4EC34D6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9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O12"/>
  <sheetViews>
    <sheetView workbookViewId="0"/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5" ht="30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35">
      <c r="A3" s="7">
        <v>1</v>
      </c>
      <c r="B3" s="7" t="s">
        <v>16</v>
      </c>
      <c r="C3" s="7">
        <v>40</v>
      </c>
      <c r="D3" s="7">
        <v>50</v>
      </c>
      <c r="E3" s="7">
        <v>45</v>
      </c>
      <c r="F3" s="7"/>
      <c r="G3" s="7">
        <v>38</v>
      </c>
      <c r="H3" s="7">
        <f>IF(COUNT(C3:F3)&lt;=1,NA(),_xlfn.AGGREGATE(5,6,C3:F3))</f>
        <v>40</v>
      </c>
      <c r="I3" s="7">
        <f>IF(COUNT(C3:F3)&lt;=1,0,_xlfn.AGGREGATE(4,6,C3:F3)-_xlfn.AGGREGATE(5,6,C3:F3))</f>
        <v>10</v>
      </c>
      <c r="J3" s="7">
        <v>0</v>
      </c>
      <c r="K3" s="7">
        <f>IF(ISNA(H3),NA(),H3+I3)</f>
        <v>50</v>
      </c>
      <c r="L3" s="7">
        <f>IF(ISNA(H3),NA(),H3)</f>
        <v>40</v>
      </c>
      <c r="M3" s="7">
        <f>IF(ISNA(H3),NA(),K3)</f>
        <v>50</v>
      </c>
      <c r="N3" s="7">
        <f>IF(ISNA(H3),NA(),A3)</f>
        <v>1</v>
      </c>
      <c r="O3" s="7">
        <f>N3</f>
        <v>1</v>
      </c>
    </row>
    <row r="4" spans="1:15" x14ac:dyDescent="0.35">
      <c r="A4" s="6">
        <v>2</v>
      </c>
      <c r="B4" s="6" t="s">
        <v>17</v>
      </c>
      <c r="C4" s="6">
        <v>55</v>
      </c>
      <c r="D4" s="6">
        <v>60</v>
      </c>
      <c r="E4" s="6">
        <v>58</v>
      </c>
      <c r="F4" s="6">
        <v>62</v>
      </c>
      <c r="G4" s="6">
        <v>50</v>
      </c>
      <c r="H4" s="7">
        <f>IF(COUNT(C4:F4)&lt;=1,NA(),_xlfn.AGGREGATE(5,6,C4:F4))</f>
        <v>55</v>
      </c>
      <c r="I4" s="7">
        <f>IF(COUNT(C4:F4)&lt;=1,0,_xlfn.AGGREGATE(4,6,C4:F4)-_xlfn.AGGREGATE(5,6,C4:F4))</f>
        <v>7</v>
      </c>
      <c r="J4" s="7">
        <v>0</v>
      </c>
      <c r="K4" s="7">
        <f>IF(ISNA(H4),NA(),H4+I4)</f>
        <v>62</v>
      </c>
      <c r="L4" s="7">
        <f>IF(ISNA(H4),NA(),H4)</f>
        <v>55</v>
      </c>
      <c r="M4" s="7">
        <f>IF(ISNA(H4),NA(),K4)</f>
        <v>62</v>
      </c>
      <c r="N4" s="7">
        <f>IF(ISNA(H4),NA(),A4)</f>
        <v>2</v>
      </c>
      <c r="O4" s="7">
        <f>N4</f>
        <v>2</v>
      </c>
    </row>
    <row r="5" spans="1:15" x14ac:dyDescent="0.35">
      <c r="A5" s="7">
        <v>3</v>
      </c>
      <c r="B5" s="7"/>
      <c r="C5" s="7"/>
      <c r="D5" s="7"/>
      <c r="E5" s="7"/>
      <c r="F5" s="7"/>
      <c r="G5" s="7"/>
      <c r="H5" s="7" t="e">
        <f>IF(COUNT(C5:F5)&lt;=1,NA(),_xlfn.AGGREGATE(5,6,C5:F5))</f>
        <v>#N/A</v>
      </c>
      <c r="I5" s="7">
        <f>IF(COUNT(C5:F5)&lt;=1,0,_xlfn.AGGREGATE(4,6,C5:F5)-_xlfn.AGGREGATE(5,6,C5:F5))</f>
        <v>0</v>
      </c>
      <c r="J5" s="7">
        <v>0</v>
      </c>
      <c r="K5" s="7" t="e">
        <f>IF(ISNA(H5),NA(),H5+I5)</f>
        <v>#N/A</v>
      </c>
      <c r="L5" s="7" t="e">
        <f>IF(ISNA(H5),NA(),H5)</f>
        <v>#N/A</v>
      </c>
      <c r="M5" s="7" t="e">
        <f>IF(ISNA(H5),NA(),K5)</f>
        <v>#N/A</v>
      </c>
      <c r="N5" s="7" t="e">
        <f>IF(ISNA(H5),NA(),A5)</f>
        <v>#N/A</v>
      </c>
      <c r="O5" s="7" t="e">
        <f>N5</f>
        <v>#N/A</v>
      </c>
    </row>
    <row r="6" spans="1:15" x14ac:dyDescent="0.35">
      <c r="A6" s="6">
        <v>4</v>
      </c>
      <c r="B6" s="6" t="s">
        <v>18</v>
      </c>
      <c r="C6" s="6">
        <v>30</v>
      </c>
      <c r="D6" s="6">
        <v>35</v>
      </c>
      <c r="E6" s="6"/>
      <c r="F6" s="6">
        <v>33</v>
      </c>
      <c r="G6" s="6">
        <v>28</v>
      </c>
      <c r="H6" s="7">
        <f>IF(COUNT(C6:F6)&lt;=1,NA(),_xlfn.AGGREGATE(5,6,C6:F6))</f>
        <v>30</v>
      </c>
      <c r="I6" s="7">
        <f>IF(COUNT(C6:F6)&lt;=1,0,_xlfn.AGGREGATE(4,6,C6:F6)-_xlfn.AGGREGATE(5,6,C6:F6))</f>
        <v>5</v>
      </c>
      <c r="J6" s="7">
        <v>0</v>
      </c>
      <c r="K6" s="7">
        <f>IF(ISNA(H6),NA(),H6+I6)</f>
        <v>35</v>
      </c>
      <c r="L6" s="7">
        <f>IF(ISNA(H6),NA(),H6)</f>
        <v>30</v>
      </c>
      <c r="M6" s="7">
        <f>IF(ISNA(H6),NA(),K6)</f>
        <v>35</v>
      </c>
      <c r="N6" s="7">
        <f>IF(ISNA(H6),NA(),A6)</f>
        <v>4</v>
      </c>
      <c r="O6" s="7">
        <f>N6</f>
        <v>4</v>
      </c>
    </row>
    <row r="7" spans="1:15" x14ac:dyDescent="0.35">
      <c r="A7" s="7">
        <v>5</v>
      </c>
      <c r="B7" s="7" t="s">
        <v>19</v>
      </c>
      <c r="C7" s="7">
        <v>45</v>
      </c>
      <c r="D7" s="7">
        <v>50</v>
      </c>
      <c r="E7" s="7">
        <v>48</v>
      </c>
      <c r="F7" s="7">
        <v>52</v>
      </c>
      <c r="G7" s="7">
        <v>43</v>
      </c>
      <c r="H7" s="7">
        <f>IF(COUNT(C7:F7)&lt;=1,NA(),_xlfn.AGGREGATE(5,6,C7:F7))</f>
        <v>45</v>
      </c>
      <c r="I7" s="7">
        <f>IF(COUNT(C7:F7)&lt;=1,0,_xlfn.AGGREGATE(4,6,C7:F7)-_xlfn.AGGREGATE(5,6,C7:F7))</f>
        <v>7</v>
      </c>
      <c r="J7" s="7">
        <v>0</v>
      </c>
      <c r="K7" s="7">
        <f>IF(ISNA(H7),NA(),H7+I7)</f>
        <v>52</v>
      </c>
      <c r="L7" s="7">
        <f>IF(ISNA(H7),NA(),H7)</f>
        <v>45</v>
      </c>
      <c r="M7" s="7">
        <f>IF(ISNA(H7),NA(),K7)</f>
        <v>52</v>
      </c>
      <c r="N7" s="7">
        <f>IF(ISNA(H7),NA(),A7)</f>
        <v>5</v>
      </c>
      <c r="O7" s="7">
        <f>N7</f>
        <v>5</v>
      </c>
    </row>
    <row r="8" spans="1:15" x14ac:dyDescent="0.35">
      <c r="A8" s="6">
        <v>6</v>
      </c>
      <c r="B8" s="6"/>
      <c r="C8" s="6"/>
      <c r="D8" s="6"/>
      <c r="E8" s="6"/>
      <c r="F8" s="6"/>
      <c r="G8" s="6"/>
      <c r="H8" s="7" t="e">
        <f>IF(COUNT(C8:F8)&lt;=1,NA(),_xlfn.AGGREGATE(5,6,C8:F8))</f>
        <v>#N/A</v>
      </c>
      <c r="I8" s="7">
        <f>IF(COUNT(C8:F8)&lt;=1,0,_xlfn.AGGREGATE(4,6,C8:F8)-_xlfn.AGGREGATE(5,6,C8:F8))</f>
        <v>0</v>
      </c>
      <c r="J8" s="7">
        <v>0</v>
      </c>
      <c r="K8" s="7" t="e">
        <f>IF(ISNA(H8),NA(),H8+I8)</f>
        <v>#N/A</v>
      </c>
      <c r="L8" s="7" t="e">
        <f>IF(ISNA(H8),NA(),H8)</f>
        <v>#N/A</v>
      </c>
      <c r="M8" s="7" t="e">
        <f>IF(ISNA(H8),NA(),K8)</f>
        <v>#N/A</v>
      </c>
      <c r="N8" s="7" t="e">
        <f>IF(ISNA(H8),NA(),A8)</f>
        <v>#N/A</v>
      </c>
      <c r="O8" s="7" t="e">
        <f>N8</f>
        <v>#N/A</v>
      </c>
    </row>
    <row r="9" spans="1:15" x14ac:dyDescent="0.35">
      <c r="A9" s="7">
        <v>7</v>
      </c>
      <c r="B9" s="7" t="s">
        <v>20</v>
      </c>
      <c r="C9" s="7">
        <v>20</v>
      </c>
      <c r="D9" s="7"/>
      <c r="E9" s="7">
        <v>22</v>
      </c>
      <c r="F9" s="7">
        <v>25</v>
      </c>
      <c r="G9" s="7">
        <v>18</v>
      </c>
      <c r="H9" s="7">
        <f>IF(COUNT(C9:F9)&lt;=1,NA(),_xlfn.AGGREGATE(5,6,C9:F9))</f>
        <v>20</v>
      </c>
      <c r="I9" s="7">
        <f>IF(COUNT(C9:F9)&lt;=1,0,_xlfn.AGGREGATE(4,6,C9:F9)-_xlfn.AGGREGATE(5,6,C9:F9))</f>
        <v>5</v>
      </c>
      <c r="J9" s="7">
        <v>0</v>
      </c>
      <c r="K9" s="7">
        <f>IF(ISNA(H9),NA(),H9+I9)</f>
        <v>25</v>
      </c>
      <c r="L9" s="7">
        <f>IF(ISNA(H9),NA(),H9)</f>
        <v>20</v>
      </c>
      <c r="M9" s="7">
        <f>IF(ISNA(H9),NA(),K9)</f>
        <v>25</v>
      </c>
      <c r="N9" s="7">
        <f>IF(ISNA(H9),NA(),A9)</f>
        <v>7</v>
      </c>
      <c r="O9" s="7">
        <f>N9</f>
        <v>7</v>
      </c>
    </row>
    <row r="10" spans="1:15" x14ac:dyDescent="0.35">
      <c r="A10" s="6">
        <v>8</v>
      </c>
      <c r="B10" s="6" t="s">
        <v>21</v>
      </c>
      <c r="C10" s="6">
        <v>38</v>
      </c>
      <c r="D10" s="6">
        <v>40</v>
      </c>
      <c r="E10" s="6">
        <v>35</v>
      </c>
      <c r="F10" s="6"/>
      <c r="G10" s="6">
        <v>35</v>
      </c>
      <c r="H10" s="7">
        <f>IF(COUNT(C10:F10)&lt;=1,NA(),_xlfn.AGGREGATE(5,6,C10:F10))</f>
        <v>35</v>
      </c>
      <c r="I10" s="7">
        <f>IF(COUNT(C10:F10)&lt;=1,0,_xlfn.AGGREGATE(4,6,C10:F10)-_xlfn.AGGREGATE(5,6,C10:F10))</f>
        <v>5</v>
      </c>
      <c r="J10" s="7">
        <v>0</v>
      </c>
      <c r="K10" s="7">
        <f>IF(ISNA(H10),NA(),H10+I10)</f>
        <v>40</v>
      </c>
      <c r="L10" s="7">
        <f>IF(ISNA(H10),NA(),H10)</f>
        <v>35</v>
      </c>
      <c r="M10" s="7">
        <f>IF(ISNA(H10),NA(),K10)</f>
        <v>40</v>
      </c>
      <c r="N10" s="7">
        <f>IF(ISNA(H10),NA(),A10)</f>
        <v>8</v>
      </c>
      <c r="O10" s="7">
        <f>N10</f>
        <v>8</v>
      </c>
    </row>
    <row r="12" spans="1:15" ht="48" customHeight="1" x14ac:dyDescent="0.35">
      <c r="A12" s="8" t="s">
        <v>22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2">
    <mergeCell ref="A1:O1"/>
    <mergeCell ref="A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2026-04-30T13:53:41Z</dcterms:modified>
</cp:coreProperties>
</file>