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5" documentId="8_{79F633A7-9D29-42F7-A401-13E541D3B0A3}" xr6:coauthVersionLast="47" xr6:coauthVersionMax="47" xr10:uidLastSave="{4EA256B1-FFCE-4112-B882-E94D81E82F9E}"/>
  <bookViews>
    <workbookView xWindow="-110" yWindow="-110" windowWidth="19420" windowHeight="103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" i="1" l="1"/>
  <c r="L10" i="1"/>
  <c r="R10" i="1" s="1"/>
  <c r="S10" i="1" s="1"/>
  <c r="J13" i="1"/>
  <c r="H13" i="1"/>
  <c r="G13" i="1"/>
  <c r="F13" i="1"/>
  <c r="E13" i="1"/>
  <c r="M13" i="1" s="1"/>
  <c r="J12" i="1"/>
  <c r="H12" i="1"/>
  <c r="G12" i="1"/>
  <c r="F12" i="1"/>
  <c r="E12" i="1"/>
  <c r="M12" i="1" s="1"/>
  <c r="K11" i="1"/>
  <c r="J11" i="1"/>
  <c r="I11" i="1"/>
  <c r="H11" i="1"/>
  <c r="G11" i="1"/>
  <c r="M11" i="1" s="1"/>
  <c r="F11" i="1"/>
  <c r="E11" i="1"/>
  <c r="D11" i="1"/>
  <c r="C11" i="1"/>
  <c r="L11" i="1" s="1"/>
  <c r="J10" i="1"/>
  <c r="E10" i="1"/>
  <c r="J9" i="1"/>
  <c r="E9" i="1"/>
  <c r="L9" i="1" s="1"/>
  <c r="K8" i="1"/>
  <c r="J8" i="1"/>
  <c r="I8" i="1"/>
  <c r="H8" i="1"/>
  <c r="G8" i="1"/>
  <c r="F8" i="1"/>
  <c r="E8" i="1"/>
  <c r="D8" i="1"/>
  <c r="M8" i="1" s="1"/>
  <c r="C8" i="1"/>
  <c r="H7" i="1"/>
  <c r="G7" i="1"/>
  <c r="F7" i="1"/>
  <c r="E7" i="1"/>
  <c r="M7" i="1" s="1"/>
  <c r="H6" i="1"/>
  <c r="G6" i="1"/>
  <c r="F6" i="1"/>
  <c r="M6" i="1" s="1"/>
  <c r="E6" i="1"/>
  <c r="L6" i="1" s="1"/>
  <c r="K5" i="1"/>
  <c r="J5" i="1"/>
  <c r="I5" i="1"/>
  <c r="H5" i="1"/>
  <c r="G5" i="1"/>
  <c r="F5" i="1"/>
  <c r="E5" i="1"/>
  <c r="L5" i="1" s="1"/>
  <c r="D5" i="1"/>
  <c r="C5" i="1"/>
  <c r="M5" i="1" s="1"/>
  <c r="J4" i="1"/>
  <c r="H4" i="1"/>
  <c r="G4" i="1"/>
  <c r="F4" i="1"/>
  <c r="M4" i="1" s="1"/>
  <c r="J3" i="1"/>
  <c r="H3" i="1"/>
  <c r="M3" i="1" s="1"/>
  <c r="G3" i="1"/>
  <c r="F3" i="1"/>
  <c r="L3" i="1" s="1"/>
  <c r="O3" i="1" l="1"/>
  <c r="Q3" i="1" s="1"/>
  <c r="R3" i="1"/>
  <c r="S3" i="1" s="1"/>
  <c r="P3" i="1"/>
  <c r="P6" i="1"/>
  <c r="O6" i="1"/>
  <c r="Q6" i="1" s="1"/>
  <c r="R6" i="1"/>
  <c r="S6" i="1" s="1"/>
  <c r="O5" i="1"/>
  <c r="Q5" i="1"/>
  <c r="R5" i="1"/>
  <c r="S5" i="1" s="1"/>
  <c r="P5" i="1"/>
  <c r="R9" i="1"/>
  <c r="S9" i="1" s="1"/>
  <c r="P9" i="1"/>
  <c r="R11" i="1"/>
  <c r="S11" i="1" s="1"/>
  <c r="Q11" i="1"/>
  <c r="P11" i="1"/>
  <c r="O11" i="1"/>
  <c r="L8" i="1"/>
  <c r="M9" i="1"/>
  <c r="O9" i="1" s="1"/>
  <c r="Q9" i="1" s="1"/>
  <c r="O10" i="1"/>
  <c r="Q10" i="1" s="1"/>
  <c r="L7" i="1"/>
  <c r="P10" i="1"/>
  <c r="L13" i="1"/>
  <c r="L4" i="1"/>
  <c r="L12" i="1"/>
  <c r="P7" i="1" l="1"/>
  <c r="O7" i="1"/>
  <c r="Q7" i="1" s="1"/>
  <c r="R7" i="1"/>
  <c r="S7" i="1" s="1"/>
  <c r="O12" i="1"/>
  <c r="R12" i="1"/>
  <c r="S12" i="1" s="1"/>
  <c r="Q12" i="1"/>
  <c r="P12" i="1"/>
  <c r="R8" i="1"/>
  <c r="S8" i="1" s="1"/>
  <c r="Q8" i="1"/>
  <c r="P8" i="1"/>
  <c r="O8" i="1"/>
  <c r="P4" i="1"/>
  <c r="O4" i="1"/>
  <c r="Q4" i="1" s="1"/>
  <c r="R4" i="1"/>
  <c r="S4" i="1" s="1"/>
  <c r="O13" i="1"/>
  <c r="P13" i="1"/>
  <c r="R13" i="1"/>
  <c r="S13" i="1" s="1"/>
  <c r="Q13" i="1"/>
</calcChain>
</file>

<file path=xl/sharedStrings.xml><?xml version="1.0" encoding="utf-8"?>
<sst xmlns="http://schemas.openxmlformats.org/spreadsheetml/2006/main" count="24" uniqueCount="21">
  <si>
    <t>Y_pos</t>
  </si>
  <si>
    <t>Category label</t>
  </si>
  <si>
    <t>[ConnX_1]</t>
  </si>
  <si>
    <t>[ConnX_2]</t>
  </si>
  <si>
    <t>[ConnY_1]</t>
  </si>
  <si>
    <t>[ConnY_2]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</si>
  <si>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</si>
  <si>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</si>
  <si>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</si>
  <si>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</si>
  <si>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</si>
  <si>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</si>
  <si>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</si>
  <si>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</si>
  <si>
    <t>OWID</t>
  </si>
  <si>
    <t>PRIMAP</t>
  </si>
  <si>
    <t>GCP</t>
  </si>
  <si>
    <t>EDGAR</t>
  </si>
  <si>
    <t>Climate Watch</t>
  </si>
  <si>
    <t>GMST</t>
  </si>
  <si>
    <t>Emissions shares and contribution to increase in GMST (1990–2024)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</si>
</sst>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" fontId="3" fillId="6" borderId="0" xfId="0" applyNumberFormat="1" applyFont="1" applyFill="1"/>
    <xf numFmtId="1" fontId="3" fillId="5" borderId="0" xfId="0" applyNumberFormat="1" applyFont="1" applyFill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47126436781609"/>
          <c:y val="0.11428571428571428"/>
          <c:w val="0.66666666666666663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OWID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</c:formatCode>
                <c:ptCount val="11"/>
                <c:pt idx="0">
                  <c:v>47.28</c:v>
                </c:pt>
                <c:pt idx="1">
                  <c:v>36.630000000000003</c:v>
                </c:pt>
                <c:pt idx="2">
                  <c:v>#N/A</c:v>
                </c:pt>
                <c:pt idx="3">
                  <c:v>45.46</c:v>
                </c:pt>
                <c:pt idx="4">
                  <c:v>34.700000000000003</c:v>
                </c:pt>
                <c:pt idx="5">
                  <c:v>#N/A</c:v>
                </c:pt>
                <c:pt idx="6">
                  <c:v>40.19</c:v>
                </c:pt>
                <c:pt idx="7">
                  <c:v>31.05</c:v>
                </c:pt>
                <c:pt idx="8">
                  <c:v>#N/A</c:v>
                </c:pt>
                <c:pt idx="9">
                  <c:v>38.36</c:v>
                </c:pt>
                <c:pt idx="10">
                  <c:v>29.07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8-4363-8AA1-EDB9F0EB5E2F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PRIMAP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</c:formatCode>
                <c:ptCount val="11"/>
                <c:pt idx="0">
                  <c:v>46.72</c:v>
                </c:pt>
                <c:pt idx="1">
                  <c:v>36.21</c:v>
                </c:pt>
                <c:pt idx="2">
                  <c:v>#N/A</c:v>
                </c:pt>
                <c:pt idx="3">
                  <c:v>43.17</c:v>
                </c:pt>
                <c:pt idx="4">
                  <c:v>33.24</c:v>
                </c:pt>
                <c:pt idx="5">
                  <c:v>#N/A</c:v>
                </c:pt>
                <c:pt idx="6">
                  <c:v>41</c:v>
                </c:pt>
                <c:pt idx="7">
                  <c:v>35.04</c:v>
                </c:pt>
                <c:pt idx="8">
                  <c:v>#N/A</c:v>
                </c:pt>
                <c:pt idx="9">
                  <c:v>38.85</c:v>
                </c:pt>
                <c:pt idx="10">
                  <c:v>32.22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8-4363-8AA1-EDB9F0EB5E2F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</c:formatCode>
                <c:ptCount val="11"/>
                <c:pt idx="0">
                  <c:v>47.31</c:v>
                </c:pt>
                <c:pt idx="1">
                  <c:v>36.65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D8-4363-8AA1-EDB9F0EB5E2F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40.21</c:v>
                </c:pt>
                <c:pt idx="7">
                  <c:v>31.06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D8-4363-8AA1-EDB9F0EB5E2F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Data!$G$3:$G$13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40.51</c:v>
                </c:pt>
                <c:pt idx="7">
                  <c:v>31.37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D8-4363-8AA1-EDB9F0EB5E2F}"/>
            </c:ext>
          </c:extLst>
        </c:ser>
        <c:ser>
          <c:idx val="5"/>
          <c:order val="5"/>
          <c:tx>
            <c:strRef>
              <c:f>Data!$H$2</c:f>
              <c:strCache>
                <c:ptCount val="1"/>
                <c:pt idx="0">
                  <c:v>GCP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Data!$H$3:$H$13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41.99</c:v>
                </c:pt>
                <c:pt idx="7">
                  <c:v>31.76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D8-4363-8AA1-EDB9F0EB5E2F}"/>
            </c:ext>
          </c:extLst>
        </c:ser>
        <c:ser>
          <c:idx val="6"/>
          <c:order val="6"/>
          <c:tx>
            <c:strRef>
              <c:f>Data!$I$2</c:f>
              <c:strCache>
                <c:ptCount val="1"/>
                <c:pt idx="0">
                  <c:v>EDGAR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CC8E00"/>
              </a:solidFill>
              <a:ln>
                <a:solidFill>
                  <a:srgbClr val="CC8E00"/>
                </a:solidFill>
                <a:prstDash val="solid"/>
              </a:ln>
            </c:spPr>
          </c:marker>
          <c:xVal>
            <c:numRef>
              <c:f>Data!$I$3:$I$13</c:f>
              <c:numCache>
                <c:formatCode>0</c:formatCode>
                <c:ptCount val="11"/>
                <c:pt idx="0">
                  <c:v>46.41</c:v>
                </c:pt>
                <c:pt idx="1">
                  <c:v>35.33</c:v>
                </c:pt>
                <c:pt idx="2">
                  <c:v>#N/A</c:v>
                </c:pt>
                <c:pt idx="3">
                  <c:v>42.39</c:v>
                </c:pt>
                <c:pt idx="4">
                  <c:v>32.04</c:v>
                </c:pt>
                <c:pt idx="5">
                  <c:v>#N/A</c:v>
                </c:pt>
                <c:pt idx="6">
                  <c:v>38.340000000000003</c:v>
                </c:pt>
                <c:pt idx="7">
                  <c:v>32.78</c:v>
                </c:pt>
                <c:pt idx="8">
                  <c:v>#N/A</c:v>
                </c:pt>
                <c:pt idx="9">
                  <c:v>36.03</c:v>
                </c:pt>
                <c:pt idx="10">
                  <c:v>29.69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D8-4363-8AA1-EDB9F0EB5E2F}"/>
            </c:ext>
          </c:extLst>
        </c:ser>
        <c:ser>
          <c:idx val="7"/>
          <c:order val="7"/>
          <c:tx>
            <c:strRef>
              <c:f>Data!$J$2</c:f>
              <c:strCache>
                <c:ptCount val="1"/>
                <c:pt idx="0">
                  <c:v>Climate Watch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5DBDD0"/>
              </a:solidFill>
              <a:ln>
                <a:solidFill>
                  <a:srgbClr val="5DBDD0"/>
                </a:solidFill>
                <a:prstDash val="solid"/>
              </a:ln>
            </c:spPr>
          </c:marker>
          <c:xVal>
            <c:numRef>
              <c:f>Data!$J$3:$J$13</c:f>
              <c:numCache>
                <c:formatCode>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42.82</c:v>
                </c:pt>
                <c:pt idx="4">
                  <c:v>32.33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D8-4363-8AA1-EDB9F0EB5E2F}"/>
            </c:ext>
          </c:extLst>
        </c:ser>
        <c:ser>
          <c:idx val="8"/>
          <c:order val="8"/>
          <c:tx>
            <c:strRef>
              <c:f>Data!$K$2</c:f>
              <c:strCache>
                <c:ptCount val="1"/>
                <c:pt idx="0">
                  <c:v>GMST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noFill/>
              <a:ln>
                <a:solidFill>
                  <a:srgbClr val="5B8C96"/>
                </a:solidFill>
                <a:prstDash val="solid"/>
              </a:ln>
            </c:spPr>
          </c:marker>
          <c:xVal>
            <c:numRef>
              <c:f>Data!$K$3:$K$13</c:f>
              <c:numCache>
                <c:formatCode>0</c:formatCode>
                <c:ptCount val="11"/>
                <c:pt idx="0">
                  <c:v>47.29</c:v>
                </c:pt>
                <c:pt idx="1">
                  <c:v>36.64</c:v>
                </c:pt>
                <c:pt idx="2">
                  <c:v>#N/A</c:v>
                </c:pt>
                <c:pt idx="3">
                  <c:v>40.61</c:v>
                </c:pt>
                <c:pt idx="4">
                  <c:v>30.62</c:v>
                </c:pt>
                <c:pt idx="5">
                  <c:v>#N/A</c:v>
                </c:pt>
                <c:pt idx="6">
                  <c:v>40.880000000000003</c:v>
                </c:pt>
                <c:pt idx="7">
                  <c:v>31.39</c:v>
                </c:pt>
                <c:pt idx="8">
                  <c:v>#N/A</c:v>
                </c:pt>
                <c:pt idx="9">
                  <c:v>32.61</c:v>
                </c:pt>
                <c:pt idx="10">
                  <c:v>25.09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D8-4363-8AA1-EDB9F0EB5E2F}"/>
            </c:ext>
          </c:extLst>
        </c:ser>
        <c:ser>
          <c:idx val="9"/>
          <c:order val="9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4827586206897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95D8-4363-8AA1-EDB9F0EB5E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4827586206897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95D8-4363-8AA1-EDB9F0EB5E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5D8-4363-8AA1-EDB9F0EB5E2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All GHG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48855100009051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95D8-4363-8AA1-EDB9F0EB5E2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04027513802149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95D8-4363-8AA1-EDB9F0EB5E2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5D8-4363-8AA1-EDB9F0EB5E2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18390804597701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95D8-4363-8AA1-EDB9F0EB5E2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88505747126438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95D8-4363-8AA1-EDB9F0EB5E2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5D8-4363-8AA1-EDB9F0EB5E2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67245904606752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95D8-4363-8AA1-EDB9F0EB5E2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2073490813649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95D8-4363-8AA1-EDB9F0EB5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r">
                  <a:defRPr sz="14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Data!$N$3:$N$13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D8-4363-8AA1-EDB9F0EB5E2F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Data!$P$3:$Q$3</c:f>
              <c:numCache>
                <c:formatCode>General</c:formatCode>
                <c:ptCount val="2"/>
                <c:pt idx="0">
                  <c:v>46.41</c:v>
                </c:pt>
                <c:pt idx="1">
                  <c:v>47.31</c:v>
                </c:pt>
              </c:numCache>
            </c:numRef>
          </c:xVal>
          <c:yVal>
            <c:numRef>
              <c:f>Data!$R$3:$S$3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5D8-4363-8AA1-EDB9F0EB5E2F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Data!$P$4:$Q$4</c:f>
              <c:numCache>
                <c:formatCode>General</c:formatCode>
                <c:ptCount val="2"/>
                <c:pt idx="0">
                  <c:v>35.33</c:v>
                </c:pt>
                <c:pt idx="1">
                  <c:v>36.65</c:v>
                </c:pt>
              </c:numCache>
            </c:numRef>
          </c:xVal>
          <c:yVal>
            <c:numRef>
              <c:f>Data!$R$4:$S$4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5D8-4363-8AA1-EDB9F0EB5E2F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Data!$P$5:$Q$5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Data!$R$5:$S$5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5D8-4363-8AA1-EDB9F0EB5E2F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Data!$P$6:$Q$6</c:f>
              <c:numCache>
                <c:formatCode>General</c:formatCode>
                <c:ptCount val="2"/>
                <c:pt idx="0">
                  <c:v>42.39</c:v>
                </c:pt>
                <c:pt idx="1">
                  <c:v>45.46</c:v>
                </c:pt>
              </c:numCache>
            </c:numRef>
          </c:xVal>
          <c:yVal>
            <c:numRef>
              <c:f>Data!$R$6:$S$6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5D8-4363-8AA1-EDB9F0EB5E2F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Data!$P$7:$Q$7</c:f>
              <c:numCache>
                <c:formatCode>General</c:formatCode>
                <c:ptCount val="2"/>
                <c:pt idx="0">
                  <c:v>32.04</c:v>
                </c:pt>
                <c:pt idx="1">
                  <c:v>34.700000000000003</c:v>
                </c:pt>
              </c:numCache>
            </c:numRef>
          </c:xVal>
          <c:yVal>
            <c:numRef>
              <c:f>Data!$R$7:$S$7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5D8-4363-8AA1-EDB9F0EB5E2F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Data!$P$8:$Q$8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Data!$R$8:$S$8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5D8-4363-8AA1-EDB9F0EB5E2F}"/>
            </c:ext>
          </c:extLst>
        </c:ser>
        <c:ser>
          <c:idx val="16"/>
          <c:order val="1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Data!$P$9:$Q$9</c:f>
              <c:numCache>
                <c:formatCode>General</c:formatCode>
                <c:ptCount val="2"/>
                <c:pt idx="0">
                  <c:v>38.340000000000003</c:v>
                </c:pt>
                <c:pt idx="1">
                  <c:v>41.99</c:v>
                </c:pt>
              </c:numCache>
            </c:numRef>
          </c:xVal>
          <c:yVal>
            <c:numRef>
              <c:f>Data!$R$9:$S$9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5D8-4363-8AA1-EDB9F0EB5E2F}"/>
            </c:ext>
          </c:extLst>
        </c:ser>
        <c:ser>
          <c:idx val="17"/>
          <c:order val="1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Data!$P$10:$Q$10</c:f>
              <c:numCache>
                <c:formatCode>General</c:formatCode>
                <c:ptCount val="2"/>
                <c:pt idx="0">
                  <c:v>31.05</c:v>
                </c:pt>
                <c:pt idx="1">
                  <c:v>35.04</c:v>
                </c:pt>
              </c:numCache>
            </c:numRef>
          </c:xVal>
          <c:yVal>
            <c:numRef>
              <c:f>Data!$R$10:$S$10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5D8-4363-8AA1-EDB9F0EB5E2F}"/>
            </c:ext>
          </c:extLst>
        </c:ser>
        <c:ser>
          <c:idx val="18"/>
          <c:order val="1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Data!$P$11:$Q$11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Data!$R$11:$S$11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5D8-4363-8AA1-EDB9F0EB5E2F}"/>
            </c:ext>
          </c:extLst>
        </c:ser>
        <c:ser>
          <c:idx val="19"/>
          <c:order val="1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Data!$P$12:$Q$12</c:f>
              <c:numCache>
                <c:formatCode>General</c:formatCode>
                <c:ptCount val="2"/>
                <c:pt idx="0">
                  <c:v>36.03</c:v>
                </c:pt>
                <c:pt idx="1">
                  <c:v>38.85</c:v>
                </c:pt>
              </c:numCache>
            </c:numRef>
          </c:xVal>
          <c:yVal>
            <c:numRef>
              <c:f>Data!$R$12:$S$12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5D8-4363-8AA1-EDB9F0EB5E2F}"/>
            </c:ext>
          </c:extLst>
        </c:ser>
        <c:ser>
          <c:idx val="20"/>
          <c:order val="2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Data!$P$13:$Q$13</c:f>
              <c:numCache>
                <c:formatCode>General</c:formatCode>
                <c:ptCount val="2"/>
                <c:pt idx="0">
                  <c:v>29.07</c:v>
                </c:pt>
                <c:pt idx="1">
                  <c:v>32.22</c:v>
                </c:pt>
              </c:numCache>
            </c:numRef>
          </c:xVal>
          <c:yVal>
            <c:numRef>
              <c:f>Data!$R$13:$S$13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5D8-4363-8AA1-EDB9F0EB5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GB" sz="1400"/>
                  <a:t>Share of cumulative emissions (%) or of contribution to rise in GMST</a:t>
                </a:r>
              </a:p>
            </c:rich>
          </c:tx>
          <c:layout>
            <c:manualLayout>
              <c:xMode val="edge"/>
              <c:yMode val="edge"/>
              <c:x val="0.33694823060910489"/>
              <c:y val="0.9267799493813273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0.24124545207711104"/>
          <c:y val="2.5000000000000001E-2"/>
          <c:w val="0.53934817630554799"/>
          <c:h val="4.5223425196850395E-2"/>
        </c:manualLayout>
      </c:layout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S13"/>
  <sheetViews>
    <sheetView workbookViewId="0"/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9" ht="30" customHeight="1" x14ac:dyDescent="0.3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35">
      <c r="A2" s="1" t="s">
        <v>0</v>
      </c>
      <c r="B2" s="1" t="s">
        <v>1</v>
      </c>
      <c r="C2" s="1" t="s">
        <v>14</v>
      </c>
      <c r="D2" s="1" t="s">
        <v>15</v>
      </c>
      <c r="E2" s="1" t="s">
        <v>16</v>
      </c>
      <c r="F2" s="1" t="s">
        <v>16</v>
      </c>
      <c r="G2" s="3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</v>
      </c>
      <c r="M2" s="2" t="s">
        <v>3</v>
      </c>
      <c r="N2" s="2" t="s">
        <v>4</v>
      </c>
      <c r="O2" s="2" t="s">
        <v>5</v>
      </c>
    </row>
    <row r="3" spans="1:19" x14ac:dyDescent="0.35">
      <c r="A3" s="5">
        <v>1</v>
      </c>
      <c r="B3" s="5" t="s">
        <v>6</v>
      </c>
      <c r="C3" s="8">
        <v>47.28</v>
      </c>
      <c r="D3" s="8">
        <v>46.72</v>
      </c>
      <c r="E3" s="8">
        <v>47.31</v>
      </c>
      <c r="F3" s="8" t="e">
        <f>NA()</f>
        <v>#N/A</v>
      </c>
      <c r="G3" s="8" t="e">
        <f>NA()</f>
        <v>#N/A</v>
      </c>
      <c r="H3" s="8" t="e">
        <f>NA()</f>
        <v>#N/A</v>
      </c>
      <c r="I3" s="8">
        <v>46.41</v>
      </c>
      <c r="J3" s="8" t="e">
        <f>NA()</f>
        <v>#N/A</v>
      </c>
      <c r="K3" s="8">
        <v>47.29</v>
      </c>
      <c r="L3" s="5">
        <f t="shared" ref="L3:L13" si="0">IF(COUNT(C3:J3)&lt;=1,NA(),_xlfn.AGGREGATE(5,6,C3:J3))</f>
        <v>46.41</v>
      </c>
      <c r="M3" s="5">
        <f t="shared" ref="M3:M13" si="1">IF(COUNT(C3:J3)&lt;=1,0,_xlfn.AGGREGATE(4,6,C3:J3)-_xlfn.AGGREGATE(5,6,C3:J3))</f>
        <v>0.90000000000000568</v>
      </c>
      <c r="N3" s="5">
        <v>0</v>
      </c>
      <c r="O3" s="5">
        <f t="shared" ref="O3:O13" si="2">IF(ISNA(L3),NA(),L3+M3)</f>
        <v>47.31</v>
      </c>
      <c r="P3">
        <f t="shared" ref="P3:P13" si="3">IF(ISNA(L3),NA(),L3)</f>
        <v>46.41</v>
      </c>
      <c r="Q3">
        <f t="shared" ref="Q3:Q13" si="4">IF(ISNA(L3),NA(),O3)</f>
        <v>47.31</v>
      </c>
      <c r="R3">
        <f t="shared" ref="R3:R13" si="5">IF(ISNA(L3),NA(),A3)</f>
        <v>1</v>
      </c>
      <c r="S3">
        <f t="shared" ref="S3:S13" si="6">R3</f>
        <v>1</v>
      </c>
    </row>
    <row r="4" spans="1:19" x14ac:dyDescent="0.35">
      <c r="A4" s="4">
        <v>2</v>
      </c>
      <c r="B4" s="4" t="s">
        <v>7</v>
      </c>
      <c r="C4" s="9">
        <v>36.630000000000003</v>
      </c>
      <c r="D4" s="9">
        <v>36.21</v>
      </c>
      <c r="E4" s="9">
        <v>36.65</v>
      </c>
      <c r="F4" s="9" t="e">
        <f>NA()</f>
        <v>#N/A</v>
      </c>
      <c r="G4" s="9" t="e">
        <f>NA()</f>
        <v>#N/A</v>
      </c>
      <c r="H4" s="8" t="e">
        <f>NA()</f>
        <v>#N/A</v>
      </c>
      <c r="I4" s="8">
        <v>35.33</v>
      </c>
      <c r="J4" s="8" t="e">
        <f>NA()</f>
        <v>#N/A</v>
      </c>
      <c r="K4" s="8">
        <v>36.64</v>
      </c>
      <c r="L4" s="5">
        <f t="shared" si="0"/>
        <v>35.33</v>
      </c>
      <c r="M4" s="5">
        <f t="shared" si="1"/>
        <v>1.3200000000000003</v>
      </c>
      <c r="N4" s="5">
        <v>0</v>
      </c>
      <c r="O4" s="5">
        <f t="shared" si="2"/>
        <v>36.65</v>
      </c>
      <c r="P4">
        <f t="shared" si="3"/>
        <v>35.33</v>
      </c>
      <c r="Q4">
        <f t="shared" si="4"/>
        <v>36.65</v>
      </c>
      <c r="R4">
        <f t="shared" si="5"/>
        <v>2</v>
      </c>
      <c r="S4">
        <f t="shared" si="6"/>
        <v>2</v>
      </c>
    </row>
    <row r="5" spans="1:19" x14ac:dyDescent="0.35">
      <c r="A5" s="5">
        <v>3</v>
      </c>
      <c r="B5" s="5"/>
      <c r="C5" s="8" t="e">
        <f>NA()</f>
        <v>#N/A</v>
      </c>
      <c r="D5" s="8" t="e">
        <f>NA()</f>
        <v>#N/A</v>
      </c>
      <c r="E5" s="8" t="e">
        <f>NA()</f>
        <v>#N/A</v>
      </c>
      <c r="F5" s="8" t="e">
        <f>NA()</f>
        <v>#N/A</v>
      </c>
      <c r="G5" s="8" t="e">
        <f>NA()</f>
        <v>#N/A</v>
      </c>
      <c r="H5" s="8" t="e">
        <f>NA()</f>
        <v>#N/A</v>
      </c>
      <c r="I5" s="8" t="e">
        <f>NA()</f>
        <v>#N/A</v>
      </c>
      <c r="J5" s="8" t="e">
        <f>NA()</f>
        <v>#N/A</v>
      </c>
      <c r="K5" s="8" t="e">
        <f>NA()</f>
        <v>#N/A</v>
      </c>
      <c r="L5" s="5" t="e">
        <f t="shared" si="0"/>
        <v>#N/A</v>
      </c>
      <c r="M5" s="5">
        <f t="shared" si="1"/>
        <v>0</v>
      </c>
      <c r="N5" s="5">
        <v>0</v>
      </c>
      <c r="O5" s="5" t="e">
        <f t="shared" si="2"/>
        <v>#N/A</v>
      </c>
      <c r="P5" t="e">
        <f t="shared" si="3"/>
        <v>#N/A</v>
      </c>
      <c r="Q5" t="e">
        <f t="shared" si="4"/>
        <v>#N/A</v>
      </c>
      <c r="R5" t="e">
        <f t="shared" si="5"/>
        <v>#N/A</v>
      </c>
      <c r="S5" t="e">
        <f t="shared" si="6"/>
        <v>#N/A</v>
      </c>
    </row>
    <row r="6" spans="1:19" x14ac:dyDescent="0.35">
      <c r="A6" s="4">
        <v>4</v>
      </c>
      <c r="B6" s="4" t="s">
        <v>8</v>
      </c>
      <c r="C6" s="9">
        <v>45.46</v>
      </c>
      <c r="D6" s="9">
        <v>43.17</v>
      </c>
      <c r="E6" s="9" t="e">
        <f>NA()</f>
        <v>#N/A</v>
      </c>
      <c r="F6" s="9" t="e">
        <f>NA()</f>
        <v>#N/A</v>
      </c>
      <c r="G6" s="9" t="e">
        <f>NA()</f>
        <v>#N/A</v>
      </c>
      <c r="H6" s="8" t="e">
        <f>NA()</f>
        <v>#N/A</v>
      </c>
      <c r="I6" s="8">
        <v>42.39</v>
      </c>
      <c r="J6" s="8">
        <v>42.82</v>
      </c>
      <c r="K6" s="8">
        <v>40.61</v>
      </c>
      <c r="L6" s="5">
        <f t="shared" si="0"/>
        <v>42.39</v>
      </c>
      <c r="M6" s="5">
        <f t="shared" si="1"/>
        <v>3.0700000000000003</v>
      </c>
      <c r="N6" s="5">
        <v>0</v>
      </c>
      <c r="O6" s="5">
        <f t="shared" si="2"/>
        <v>45.46</v>
      </c>
      <c r="P6">
        <f t="shared" si="3"/>
        <v>42.39</v>
      </c>
      <c r="Q6">
        <f t="shared" si="4"/>
        <v>45.46</v>
      </c>
      <c r="R6">
        <f t="shared" si="5"/>
        <v>4</v>
      </c>
      <c r="S6">
        <f t="shared" si="6"/>
        <v>4</v>
      </c>
    </row>
    <row r="7" spans="1:19" x14ac:dyDescent="0.35">
      <c r="A7" s="5">
        <v>5</v>
      </c>
      <c r="B7" s="5" t="s">
        <v>9</v>
      </c>
      <c r="C7" s="8">
        <v>34.700000000000003</v>
      </c>
      <c r="D7" s="8">
        <v>33.24</v>
      </c>
      <c r="E7" s="8" t="e">
        <f>NA()</f>
        <v>#N/A</v>
      </c>
      <c r="F7" s="8" t="e">
        <f>NA()</f>
        <v>#N/A</v>
      </c>
      <c r="G7" s="8" t="e">
        <f>NA()</f>
        <v>#N/A</v>
      </c>
      <c r="H7" s="8" t="e">
        <f>NA()</f>
        <v>#N/A</v>
      </c>
      <c r="I7" s="8">
        <v>32.04</v>
      </c>
      <c r="J7" s="8">
        <v>32.33</v>
      </c>
      <c r="K7" s="8">
        <v>30.62</v>
      </c>
      <c r="L7" s="5">
        <f t="shared" si="0"/>
        <v>32.04</v>
      </c>
      <c r="M7" s="5">
        <f t="shared" si="1"/>
        <v>2.6600000000000037</v>
      </c>
      <c r="N7" s="5">
        <v>0</v>
      </c>
      <c r="O7" s="5">
        <f t="shared" si="2"/>
        <v>34.700000000000003</v>
      </c>
      <c r="P7">
        <f t="shared" si="3"/>
        <v>32.04</v>
      </c>
      <c r="Q7">
        <f t="shared" si="4"/>
        <v>34.700000000000003</v>
      </c>
      <c r="R7">
        <f t="shared" si="5"/>
        <v>5</v>
      </c>
      <c r="S7">
        <f t="shared" si="6"/>
        <v>5</v>
      </c>
    </row>
    <row r="8" spans="1:19" x14ac:dyDescent="0.35">
      <c r="A8" s="4">
        <v>6</v>
      </c>
      <c r="B8" s="4"/>
      <c r="C8" s="9" t="e">
        <f>NA()</f>
        <v>#N/A</v>
      </c>
      <c r="D8" s="9" t="e">
        <f>NA()</f>
        <v>#N/A</v>
      </c>
      <c r="E8" s="9" t="e">
        <f>NA()</f>
        <v>#N/A</v>
      </c>
      <c r="F8" s="9" t="e">
        <f>NA()</f>
        <v>#N/A</v>
      </c>
      <c r="G8" s="9" t="e">
        <f>NA()</f>
        <v>#N/A</v>
      </c>
      <c r="H8" s="8" t="e">
        <f>NA()</f>
        <v>#N/A</v>
      </c>
      <c r="I8" s="8" t="e">
        <f>NA()</f>
        <v>#N/A</v>
      </c>
      <c r="J8" s="8" t="e">
        <f>NA()</f>
        <v>#N/A</v>
      </c>
      <c r="K8" s="8" t="e">
        <f>NA()</f>
        <v>#N/A</v>
      </c>
      <c r="L8" s="5" t="e">
        <f t="shared" si="0"/>
        <v>#N/A</v>
      </c>
      <c r="M8" s="5">
        <f t="shared" si="1"/>
        <v>0</v>
      </c>
      <c r="N8" s="5">
        <v>0</v>
      </c>
      <c r="O8" s="5" t="e">
        <f t="shared" si="2"/>
        <v>#N/A</v>
      </c>
      <c r="P8" t="e">
        <f t="shared" si="3"/>
        <v>#N/A</v>
      </c>
      <c r="Q8" t="e">
        <f t="shared" si="4"/>
        <v>#N/A</v>
      </c>
      <c r="R8" t="e">
        <f t="shared" si="5"/>
        <v>#N/A</v>
      </c>
      <c r="S8" t="e">
        <f t="shared" si="6"/>
        <v>#N/A</v>
      </c>
    </row>
    <row r="9" spans="1:19" x14ac:dyDescent="0.35">
      <c r="A9" s="5">
        <v>7</v>
      </c>
      <c r="B9" s="5" t="s">
        <v>10</v>
      </c>
      <c r="C9" s="8">
        <v>40.19</v>
      </c>
      <c r="D9" s="8">
        <v>41</v>
      </c>
      <c r="E9" s="8" t="e">
        <f>NA()</f>
        <v>#N/A</v>
      </c>
      <c r="F9" s="8">
        <v>40.21</v>
      </c>
      <c r="G9" s="8">
        <v>40.51</v>
      </c>
      <c r="H9" s="8">
        <v>41.99</v>
      </c>
      <c r="I9" s="8">
        <v>38.340000000000003</v>
      </c>
      <c r="J9" s="8" t="e">
        <f>NA()</f>
        <v>#N/A</v>
      </c>
      <c r="K9" s="8">
        <v>40.880000000000003</v>
      </c>
      <c r="L9" s="5">
        <f t="shared" si="0"/>
        <v>38.340000000000003</v>
      </c>
      <c r="M9" s="5">
        <f t="shared" si="1"/>
        <v>3.6499999999999986</v>
      </c>
      <c r="N9" s="5">
        <v>0</v>
      </c>
      <c r="O9" s="5">
        <f t="shared" si="2"/>
        <v>41.99</v>
      </c>
      <c r="P9">
        <f t="shared" si="3"/>
        <v>38.340000000000003</v>
      </c>
      <c r="Q9">
        <f t="shared" si="4"/>
        <v>41.99</v>
      </c>
      <c r="R9">
        <f t="shared" si="5"/>
        <v>7</v>
      </c>
      <c r="S9">
        <f t="shared" si="6"/>
        <v>7</v>
      </c>
    </row>
    <row r="10" spans="1:19" x14ac:dyDescent="0.35">
      <c r="A10" s="4">
        <v>8</v>
      </c>
      <c r="B10" s="4" t="s">
        <v>11</v>
      </c>
      <c r="C10" s="9">
        <v>31.05</v>
      </c>
      <c r="D10" s="9">
        <v>35.04</v>
      </c>
      <c r="E10" s="9" t="e">
        <f>NA()</f>
        <v>#N/A</v>
      </c>
      <c r="F10" s="9">
        <v>31.06</v>
      </c>
      <c r="G10" s="9">
        <v>31.37</v>
      </c>
      <c r="H10" s="8">
        <v>31.76</v>
      </c>
      <c r="I10" s="8">
        <v>32.78</v>
      </c>
      <c r="J10" s="8" t="e">
        <f>NA()</f>
        <v>#N/A</v>
      </c>
      <c r="K10" s="8">
        <v>31.39</v>
      </c>
      <c r="L10" s="5">
        <f t="shared" si="0"/>
        <v>31.05</v>
      </c>
      <c r="M10" s="5">
        <f t="shared" si="1"/>
        <v>3.9899999999999984</v>
      </c>
      <c r="N10" s="5">
        <v>0</v>
      </c>
      <c r="O10" s="5">
        <f t="shared" si="2"/>
        <v>35.04</v>
      </c>
      <c r="P10">
        <f t="shared" si="3"/>
        <v>31.05</v>
      </c>
      <c r="Q10">
        <f t="shared" si="4"/>
        <v>35.04</v>
      </c>
      <c r="R10">
        <f t="shared" si="5"/>
        <v>8</v>
      </c>
      <c r="S10">
        <f t="shared" si="6"/>
        <v>8</v>
      </c>
    </row>
    <row r="11" spans="1:19" x14ac:dyDescent="0.35">
      <c r="A11">
        <v>9</v>
      </c>
      <c r="C11" s="10" t="e">
        <f>NA()</f>
        <v>#N/A</v>
      </c>
      <c r="D11" s="10" t="e">
        <f>NA()</f>
        <v>#N/A</v>
      </c>
      <c r="E11" s="10" t="e">
        <f>NA()</f>
        <v>#N/A</v>
      </c>
      <c r="F11" s="10" t="e">
        <f>NA()</f>
        <v>#N/A</v>
      </c>
      <c r="G11" s="10" t="e">
        <f>NA()</f>
        <v>#N/A</v>
      </c>
      <c r="H11" s="10" t="e">
        <f>NA()</f>
        <v>#N/A</v>
      </c>
      <c r="I11" s="10" t="e">
        <f>NA()</f>
        <v>#N/A</v>
      </c>
      <c r="J11" s="10" t="e">
        <f>NA()</f>
        <v>#N/A</v>
      </c>
      <c r="K11" s="10" t="e">
        <f>NA()</f>
        <v>#N/A</v>
      </c>
      <c r="L11" t="e">
        <f t="shared" si="0"/>
        <v>#N/A</v>
      </c>
      <c r="M11">
        <f t="shared" si="1"/>
        <v>0</v>
      </c>
      <c r="N11">
        <v>0</v>
      </c>
      <c r="O11" t="e">
        <f t="shared" si="2"/>
        <v>#N/A</v>
      </c>
      <c r="P11" t="e">
        <f t="shared" si="3"/>
        <v>#N/A</v>
      </c>
      <c r="Q11" t="e">
        <f t="shared" si="4"/>
        <v>#N/A</v>
      </c>
      <c r="R11" t="e">
        <f t="shared" si="5"/>
        <v>#N/A</v>
      </c>
      <c r="S11" t="e">
        <f t="shared" si="6"/>
        <v>#N/A</v>
      </c>
    </row>
    <row r="12" spans="1:19" ht="48" customHeight="1" x14ac:dyDescent="0.35">
      <c r="A12" s="6">
        <v>10</v>
      </c>
      <c r="B12" s="7" t="s">
        <v>12</v>
      </c>
      <c r="C12" s="11">
        <v>38.36</v>
      </c>
      <c r="D12" s="11">
        <v>38.85</v>
      </c>
      <c r="E12" s="11" t="e">
        <f>NA()</f>
        <v>#N/A</v>
      </c>
      <c r="F12" s="11" t="e">
        <f>NA()</f>
        <v>#N/A</v>
      </c>
      <c r="G12" s="11" t="e">
        <f>NA()</f>
        <v>#N/A</v>
      </c>
      <c r="H12" s="11" t="e">
        <f>NA()</f>
        <v>#N/A</v>
      </c>
      <c r="I12" s="11">
        <v>36.03</v>
      </c>
      <c r="J12" s="11" t="e">
        <f>NA()</f>
        <v>#N/A</v>
      </c>
      <c r="K12" s="11">
        <v>32.61</v>
      </c>
      <c r="L12" s="7">
        <f t="shared" si="0"/>
        <v>36.03</v>
      </c>
      <c r="M12" s="7">
        <f t="shared" si="1"/>
        <v>2.8200000000000003</v>
      </c>
      <c r="N12" s="7">
        <v>0</v>
      </c>
      <c r="O12" s="7">
        <f t="shared" si="2"/>
        <v>38.85</v>
      </c>
      <c r="P12">
        <f t="shared" si="3"/>
        <v>36.03</v>
      </c>
      <c r="Q12">
        <f t="shared" si="4"/>
        <v>38.85</v>
      </c>
      <c r="R12">
        <f t="shared" si="5"/>
        <v>10</v>
      </c>
      <c r="S12">
        <f t="shared" si="6"/>
        <v>10</v>
      </c>
    </row>
    <row r="13" spans="1:19" x14ac:dyDescent="0.35">
      <c r="A13">
        <v>11</v>
      </c>
      <c r="B13" t="s">
        <v>13</v>
      </c>
      <c r="C13" s="10">
        <v>29.07</v>
      </c>
      <c r="D13" s="10">
        <v>32.22</v>
      </c>
      <c r="E13" s="10" t="e">
        <f>NA()</f>
        <v>#N/A</v>
      </c>
      <c r="F13" s="10" t="e">
        <f>NA()</f>
        <v>#N/A</v>
      </c>
      <c r="G13" s="10" t="e">
        <f>NA()</f>
        <v>#N/A</v>
      </c>
      <c r="H13" s="10" t="e">
        <f>NA()</f>
        <v>#N/A</v>
      </c>
      <c r="I13" s="10">
        <v>29.69</v>
      </c>
      <c r="J13" s="10" t="e">
        <f>NA()</f>
        <v>#N/A</v>
      </c>
      <c r="K13" s="10">
        <v>25.09</v>
      </c>
      <c r="L13">
        <f t="shared" si="0"/>
        <v>29.07</v>
      </c>
      <c r="M13">
        <f t="shared" si="1"/>
        <v>3.1499999999999986</v>
      </c>
      <c r="N13">
        <v>0</v>
      </c>
      <c r="O13">
        <f t="shared" si="2"/>
        <v>32.22</v>
      </c>
      <c r="P13">
        <f t="shared" si="3"/>
        <v>29.07</v>
      </c>
      <c r="Q13">
        <f t="shared" si="4"/>
        <v>32.22</v>
      </c>
      <c r="R13">
        <f t="shared" si="5"/>
        <v>11</v>
      </c>
      <c r="S13">
        <f t="shared" si="6"/>
        <v>11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BB153A-BDD3-4053-B8E4-1F50BB8BF0A0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2.xml><?xml version="1.0" encoding="utf-8"?>
<ds:datastoreItem xmlns:ds="http://schemas.openxmlformats.org/officeDocument/2006/customXml" ds:itemID="{7FB19690-F4A9-4F66-99BE-7EC8814374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CDF49F-B8B7-4E16-8F26-96BE13663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2026-07-27T08:58:41Z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