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erforglobaldevelop.sharepoint.com/sites/EDPL/Shared Documents/08.Climate/1.Research/GHG emissions analysis/QA/data/outputs/charts/"/>
    </mc:Choice>
  </mc:AlternateContent>
  <xr:revisionPtr revIDLastSave="5" documentId="8_{D24E7A85-AC33-407B-B67B-09A075EB8E48}" xr6:coauthVersionLast="47" xr6:coauthVersionMax="47" xr10:uidLastSave="{561863CB-819D-41AD-BB69-71145E7EE410}"/>
  <bookViews>
    <workbookView xWindow="-110" yWindow="-110" windowWidth="19420" windowHeight="10300" firstSheet="10" activeTab="12" xr2:uid="{C441C3D3-680E-4A69-9E63-7F025E3E0370}"/>
  </bookViews>
  <sheets>
    <sheet name="vals_ghg_incLUC" sheetId="13" r:id="rId1"/>
    <sheet name="GHG incl LULUCF" sheetId="12" r:id="rId2"/>
    <sheet name="data_ghg_incLUC" sheetId="11" r:id="rId3"/>
    <sheet name="vals_ghg_excLUC" sheetId="10" r:id="rId4"/>
    <sheet name="GHG excl LULUCF" sheetId="9" r:id="rId5"/>
    <sheet name="data_ghg_excLUC" sheetId="8" r:id="rId6"/>
    <sheet name="vals_co2_incLUC" sheetId="7" r:id="rId7"/>
    <sheet name="CO2 incl LULUCF" sheetId="6" r:id="rId8"/>
    <sheet name="data_co2_incLUC" sheetId="5" r:id="rId9"/>
    <sheet name="data_co2_excLUC" sheetId="1" r:id="rId10"/>
    <sheet name="vals_co2_excLUC" sheetId="4" r:id="rId11"/>
    <sheet name="CO2 excl LULUCF" sheetId="3" r:id="rId12"/>
    <sheet name="All measures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1" l="1"/>
  <c r="E4" i="11"/>
  <c r="E5" i="11"/>
  <c r="E20" i="11"/>
  <c r="E27" i="11"/>
  <c r="E45" i="11"/>
  <c r="E67" i="11"/>
  <c r="E68" i="11"/>
  <c r="E83" i="11"/>
  <c r="E107" i="11"/>
  <c r="E108" i="11"/>
  <c r="E123" i="11"/>
  <c r="E141" i="11"/>
  <c r="E147" i="11"/>
  <c r="E148" i="11"/>
  <c r="E169" i="11"/>
  <c r="D11" i="11"/>
  <c r="D12" i="11"/>
  <c r="D19" i="11"/>
  <c r="D30" i="11"/>
  <c r="H30" i="11" s="1"/>
  <c r="D45" i="11"/>
  <c r="D59" i="11"/>
  <c r="D61" i="11"/>
  <c r="D69" i="11"/>
  <c r="D75" i="11"/>
  <c r="D83" i="11"/>
  <c r="D84" i="11"/>
  <c r="D85" i="11"/>
  <c r="D93" i="11"/>
  <c r="D99" i="11"/>
  <c r="D100" i="11"/>
  <c r="H100" i="11" s="1"/>
  <c r="D108" i="11"/>
  <c r="D109" i="11"/>
  <c r="D123" i="11"/>
  <c r="D124" i="11"/>
  <c r="D125" i="11"/>
  <c r="D133" i="11"/>
  <c r="D147" i="11"/>
  <c r="D148" i="11"/>
  <c r="D149" i="11"/>
  <c r="D157" i="11"/>
  <c r="D164" i="11"/>
  <c r="D172" i="11"/>
  <c r="D173" i="11"/>
  <c r="C14" i="11"/>
  <c r="C22" i="11"/>
  <c r="C28" i="11"/>
  <c r="G28" i="11" s="1"/>
  <c r="C38" i="11"/>
  <c r="C46" i="11"/>
  <c r="C52" i="11"/>
  <c r="C62" i="11"/>
  <c r="C76" i="11"/>
  <c r="C77" i="11"/>
  <c r="C78" i="11"/>
  <c r="C86" i="11"/>
  <c r="C92" i="11"/>
  <c r="C100" i="11"/>
  <c r="C101" i="11"/>
  <c r="C102" i="11"/>
  <c r="C110" i="11"/>
  <c r="C116" i="11"/>
  <c r="C117" i="11"/>
  <c r="C124" i="11"/>
  <c r="C125" i="11"/>
  <c r="C126" i="11"/>
  <c r="C134" i="11"/>
  <c r="C135" i="11"/>
  <c r="C141" i="11"/>
  <c r="C142" i="11"/>
  <c r="C143" i="11"/>
  <c r="C150" i="11"/>
  <c r="C151" i="11"/>
  <c r="C157" i="11"/>
  <c r="C158" i="11"/>
  <c r="C159" i="11"/>
  <c r="C166" i="11"/>
  <c r="C167" i="11"/>
  <c r="C173" i="11"/>
  <c r="C174" i="11"/>
  <c r="C175" i="11"/>
  <c r="B6" i="11"/>
  <c r="B7" i="11"/>
  <c r="B14" i="11"/>
  <c r="B15" i="11"/>
  <c r="B22" i="11"/>
  <c r="B23" i="11"/>
  <c r="B30" i="11"/>
  <c r="B31" i="11"/>
  <c r="B38" i="11"/>
  <c r="B39" i="11"/>
  <c r="B46" i="11"/>
  <c r="B47" i="11"/>
  <c r="B54" i="11"/>
  <c r="B55" i="11"/>
  <c r="B62" i="11"/>
  <c r="B63" i="11"/>
  <c r="B70" i="11"/>
  <c r="B71" i="11"/>
  <c r="B78" i="11"/>
  <c r="B79" i="11"/>
  <c r="B86" i="11"/>
  <c r="B87" i="11"/>
  <c r="B94" i="11"/>
  <c r="B95" i="11"/>
  <c r="B102" i="11"/>
  <c r="B103" i="11"/>
  <c r="B110" i="11"/>
  <c r="B111" i="11"/>
  <c r="B118" i="11"/>
  <c r="B119" i="11"/>
  <c r="B126" i="11"/>
  <c r="B127" i="11"/>
  <c r="B134" i="11"/>
  <c r="B135" i="11"/>
  <c r="B142" i="11"/>
  <c r="B143" i="11"/>
  <c r="B150" i="11"/>
  <c r="B151" i="11"/>
  <c r="B158" i="11"/>
  <c r="B159" i="11"/>
  <c r="B166" i="11"/>
  <c r="B167" i="11"/>
  <c r="B174" i="11"/>
  <c r="B175" i="11"/>
  <c r="N3" i="11"/>
  <c r="N4" i="11"/>
  <c r="N5" i="11"/>
  <c r="N6" i="11"/>
  <c r="D6" i="11" s="1"/>
  <c r="H6" i="11" s="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J3" i="11"/>
  <c r="J4" i="11"/>
  <c r="J5" i="11"/>
  <c r="J6" i="11"/>
  <c r="J7" i="11"/>
  <c r="J8" i="11"/>
  <c r="B8" i="11" s="1"/>
  <c r="J9" i="11"/>
  <c r="B9" i="11" s="1"/>
  <c r="J10" i="11"/>
  <c r="J11" i="11"/>
  <c r="J12" i="11"/>
  <c r="J13" i="11"/>
  <c r="J14" i="11"/>
  <c r="J15" i="11"/>
  <c r="J16" i="11"/>
  <c r="B16" i="11" s="1"/>
  <c r="J17" i="11"/>
  <c r="B17" i="11" s="1"/>
  <c r="J18" i="11"/>
  <c r="J19" i="11"/>
  <c r="J20" i="11"/>
  <c r="J21" i="11"/>
  <c r="J22" i="11"/>
  <c r="J23" i="11"/>
  <c r="J24" i="11"/>
  <c r="B24" i="11" s="1"/>
  <c r="J25" i="11"/>
  <c r="B25" i="11" s="1"/>
  <c r="J26" i="11"/>
  <c r="J27" i="11"/>
  <c r="J28" i="11"/>
  <c r="J29" i="11"/>
  <c r="J30" i="11"/>
  <c r="J31" i="11"/>
  <c r="J32" i="11"/>
  <c r="B32" i="11" s="1"/>
  <c r="J33" i="11"/>
  <c r="B33" i="11" s="1"/>
  <c r="J34" i="11"/>
  <c r="J35" i="11"/>
  <c r="J36" i="11"/>
  <c r="J37" i="11"/>
  <c r="J38" i="11"/>
  <c r="J39" i="11"/>
  <c r="J40" i="11"/>
  <c r="B40" i="11" s="1"/>
  <c r="J41" i="11"/>
  <c r="B41" i="11" s="1"/>
  <c r="J42" i="11"/>
  <c r="J43" i="11"/>
  <c r="J44" i="11"/>
  <c r="J45" i="11"/>
  <c r="J46" i="11"/>
  <c r="J47" i="11"/>
  <c r="J48" i="11"/>
  <c r="B48" i="11" s="1"/>
  <c r="J49" i="11"/>
  <c r="B49" i="11" s="1"/>
  <c r="J50" i="11"/>
  <c r="J51" i="11"/>
  <c r="J52" i="11"/>
  <c r="J53" i="11"/>
  <c r="J54" i="11"/>
  <c r="J55" i="11"/>
  <c r="J56" i="11"/>
  <c r="B56" i="11" s="1"/>
  <c r="J57" i="11"/>
  <c r="B57" i="11" s="1"/>
  <c r="J58" i="11"/>
  <c r="J59" i="11"/>
  <c r="J60" i="11"/>
  <c r="J61" i="11"/>
  <c r="J62" i="11"/>
  <c r="J63" i="11"/>
  <c r="J64" i="11"/>
  <c r="B64" i="11" s="1"/>
  <c r="J65" i="11"/>
  <c r="B65" i="11" s="1"/>
  <c r="J66" i="11"/>
  <c r="J67" i="11"/>
  <c r="J68" i="11"/>
  <c r="J69" i="11"/>
  <c r="J70" i="11"/>
  <c r="J71" i="11"/>
  <c r="J72" i="11"/>
  <c r="B72" i="11" s="1"/>
  <c r="J73" i="11"/>
  <c r="B73" i="11" s="1"/>
  <c r="J74" i="11"/>
  <c r="J75" i="11"/>
  <c r="J76" i="11"/>
  <c r="J77" i="11"/>
  <c r="J78" i="11"/>
  <c r="J79" i="11"/>
  <c r="J80" i="11"/>
  <c r="B80" i="11" s="1"/>
  <c r="J81" i="11"/>
  <c r="B81" i="11" s="1"/>
  <c r="J82" i="11"/>
  <c r="J83" i="11"/>
  <c r="J84" i="11"/>
  <c r="J85" i="11"/>
  <c r="J86" i="11"/>
  <c r="J87" i="11"/>
  <c r="J88" i="11"/>
  <c r="B88" i="11" s="1"/>
  <c r="J89" i="11"/>
  <c r="B89" i="11" s="1"/>
  <c r="J90" i="11"/>
  <c r="J91" i="11"/>
  <c r="J92" i="11"/>
  <c r="J93" i="11"/>
  <c r="J94" i="11"/>
  <c r="J95" i="11"/>
  <c r="J96" i="11"/>
  <c r="B96" i="11" s="1"/>
  <c r="J97" i="11"/>
  <c r="B97" i="11" s="1"/>
  <c r="J98" i="11"/>
  <c r="J99" i="11"/>
  <c r="J100" i="11"/>
  <c r="J101" i="11"/>
  <c r="J102" i="11"/>
  <c r="J103" i="11"/>
  <c r="J104" i="11"/>
  <c r="B104" i="11" s="1"/>
  <c r="J105" i="11"/>
  <c r="B105" i="11" s="1"/>
  <c r="J106" i="11"/>
  <c r="J107" i="11"/>
  <c r="J108" i="11"/>
  <c r="J109" i="11"/>
  <c r="J110" i="11"/>
  <c r="J111" i="11"/>
  <c r="J112" i="11"/>
  <c r="B112" i="11" s="1"/>
  <c r="J113" i="11"/>
  <c r="B113" i="11" s="1"/>
  <c r="J114" i="11"/>
  <c r="J115" i="11"/>
  <c r="J116" i="11"/>
  <c r="J117" i="11"/>
  <c r="J118" i="11"/>
  <c r="J119" i="11"/>
  <c r="J120" i="11"/>
  <c r="B120" i="11" s="1"/>
  <c r="J121" i="11"/>
  <c r="B121" i="11" s="1"/>
  <c r="J122" i="11"/>
  <c r="J123" i="11"/>
  <c r="J124" i="11"/>
  <c r="J125" i="11"/>
  <c r="J126" i="11"/>
  <c r="J127" i="11"/>
  <c r="J128" i="11"/>
  <c r="B128" i="11" s="1"/>
  <c r="J129" i="11"/>
  <c r="B129" i="11" s="1"/>
  <c r="J130" i="11"/>
  <c r="J131" i="11"/>
  <c r="J132" i="11"/>
  <c r="J133" i="11"/>
  <c r="J134" i="11"/>
  <c r="J135" i="11"/>
  <c r="J136" i="11"/>
  <c r="B136" i="11" s="1"/>
  <c r="J137" i="11"/>
  <c r="B137" i="11" s="1"/>
  <c r="J138" i="11"/>
  <c r="J139" i="11"/>
  <c r="J140" i="11"/>
  <c r="J141" i="11"/>
  <c r="J142" i="11"/>
  <c r="J143" i="11"/>
  <c r="J144" i="11"/>
  <c r="B144" i="11" s="1"/>
  <c r="J145" i="11"/>
  <c r="B145" i="11" s="1"/>
  <c r="J146" i="11"/>
  <c r="J147" i="11"/>
  <c r="J148" i="11"/>
  <c r="J149" i="11"/>
  <c r="J150" i="11"/>
  <c r="J151" i="11"/>
  <c r="J152" i="11"/>
  <c r="B152" i="11" s="1"/>
  <c r="J153" i="11"/>
  <c r="B153" i="11" s="1"/>
  <c r="J154" i="11"/>
  <c r="J155" i="11"/>
  <c r="J156" i="11"/>
  <c r="J157" i="11"/>
  <c r="J158" i="11"/>
  <c r="J159" i="11"/>
  <c r="J160" i="11"/>
  <c r="B160" i="11" s="1"/>
  <c r="J161" i="11"/>
  <c r="B161" i="11" s="1"/>
  <c r="J162" i="11"/>
  <c r="J163" i="11"/>
  <c r="J164" i="11"/>
  <c r="J165" i="11"/>
  <c r="J166" i="11"/>
  <c r="J167" i="11"/>
  <c r="J168" i="11"/>
  <c r="B168" i="11" s="1"/>
  <c r="J169" i="11"/>
  <c r="B169" i="11" s="1"/>
  <c r="J170" i="11"/>
  <c r="J171" i="11"/>
  <c r="J172" i="11"/>
  <c r="J173" i="11"/>
  <c r="J174" i="11"/>
  <c r="J175" i="11"/>
  <c r="J176" i="11"/>
  <c r="B176" i="11" s="1"/>
  <c r="J177" i="11"/>
  <c r="B177" i="11" s="1"/>
  <c r="M3" i="11"/>
  <c r="D3" i="11" s="1"/>
  <c r="M4" i="11"/>
  <c r="D4" i="11" s="1"/>
  <c r="M5" i="11"/>
  <c r="D5" i="11" s="1"/>
  <c r="M6" i="11"/>
  <c r="M7" i="11"/>
  <c r="M8" i="11"/>
  <c r="M9" i="11"/>
  <c r="M10" i="11"/>
  <c r="E10" i="11" s="1"/>
  <c r="M11" i="11"/>
  <c r="E11" i="11" s="1"/>
  <c r="M12" i="11"/>
  <c r="E12" i="11" s="1"/>
  <c r="M13" i="11"/>
  <c r="D13" i="11" s="1"/>
  <c r="M14" i="11"/>
  <c r="M15" i="11"/>
  <c r="M16" i="11"/>
  <c r="M17" i="11"/>
  <c r="M18" i="11"/>
  <c r="M19" i="11"/>
  <c r="E19" i="11" s="1"/>
  <c r="M20" i="11"/>
  <c r="D20" i="11" s="1"/>
  <c r="M21" i="11"/>
  <c r="E21" i="11" s="1"/>
  <c r="M22" i="11"/>
  <c r="D22" i="11" s="1"/>
  <c r="M23" i="11"/>
  <c r="M24" i="11"/>
  <c r="M25" i="11"/>
  <c r="M26" i="11"/>
  <c r="M27" i="11"/>
  <c r="D27" i="11" s="1"/>
  <c r="M28" i="11"/>
  <c r="D28" i="11" s="1"/>
  <c r="M29" i="11"/>
  <c r="D29" i="11" s="1"/>
  <c r="M30" i="11"/>
  <c r="M31" i="11"/>
  <c r="M32" i="11"/>
  <c r="M33" i="11"/>
  <c r="M34" i="11"/>
  <c r="E34" i="11" s="1"/>
  <c r="M35" i="11"/>
  <c r="E35" i="11" s="1"/>
  <c r="M36" i="11"/>
  <c r="E36" i="11" s="1"/>
  <c r="M37" i="11"/>
  <c r="E37" i="11" s="1"/>
  <c r="M38" i="11"/>
  <c r="M39" i="11"/>
  <c r="M40" i="11"/>
  <c r="M41" i="11"/>
  <c r="M42" i="11"/>
  <c r="M43" i="11"/>
  <c r="D43" i="11" s="1"/>
  <c r="M44" i="11"/>
  <c r="E44" i="11" s="1"/>
  <c r="M45" i="11"/>
  <c r="M46" i="11"/>
  <c r="M47" i="11"/>
  <c r="M48" i="11"/>
  <c r="M49" i="11"/>
  <c r="E49" i="11" s="1"/>
  <c r="M50" i="11"/>
  <c r="E50" i="11" s="1"/>
  <c r="M51" i="11"/>
  <c r="M52" i="11"/>
  <c r="M53" i="11"/>
  <c r="E53" i="11" s="1"/>
  <c r="M54" i="11"/>
  <c r="M55" i="11"/>
  <c r="M56" i="11"/>
  <c r="M57" i="11"/>
  <c r="M58" i="11"/>
  <c r="E58" i="11" s="1"/>
  <c r="M59" i="11"/>
  <c r="E59" i="11" s="1"/>
  <c r="M60" i="11"/>
  <c r="E60" i="11" s="1"/>
  <c r="M61" i="11"/>
  <c r="E61" i="11" s="1"/>
  <c r="M62" i="11"/>
  <c r="M63" i="11"/>
  <c r="M64" i="11"/>
  <c r="M65" i="11"/>
  <c r="M66" i="11"/>
  <c r="D66" i="11" s="1"/>
  <c r="M67" i="11"/>
  <c r="D67" i="11" s="1"/>
  <c r="M68" i="11"/>
  <c r="D68" i="11" s="1"/>
  <c r="M69" i="11"/>
  <c r="E69" i="11" s="1"/>
  <c r="M70" i="11"/>
  <c r="M71" i="11"/>
  <c r="M72" i="11"/>
  <c r="M73" i="11"/>
  <c r="E73" i="11" s="1"/>
  <c r="M74" i="11"/>
  <c r="E74" i="11" s="1"/>
  <c r="M75" i="11"/>
  <c r="E75" i="11" s="1"/>
  <c r="M76" i="11"/>
  <c r="M77" i="11"/>
  <c r="D77" i="11" s="1"/>
  <c r="M78" i="11"/>
  <c r="M79" i="11"/>
  <c r="M80" i="11"/>
  <c r="M81" i="11"/>
  <c r="M82" i="11"/>
  <c r="M83" i="11"/>
  <c r="M84" i="11"/>
  <c r="E84" i="11" s="1"/>
  <c r="M85" i="11"/>
  <c r="E85" i="11" s="1"/>
  <c r="M86" i="11"/>
  <c r="M87" i="11"/>
  <c r="M88" i="11"/>
  <c r="M89" i="11"/>
  <c r="E89" i="11" s="1"/>
  <c r="M90" i="11"/>
  <c r="M91" i="11"/>
  <c r="D91" i="11" s="1"/>
  <c r="M92" i="11"/>
  <c r="M93" i="11"/>
  <c r="E93" i="11" s="1"/>
  <c r="M94" i="11"/>
  <c r="M95" i="11"/>
  <c r="M96" i="11"/>
  <c r="M97" i="11"/>
  <c r="E97" i="11" s="1"/>
  <c r="M98" i="11"/>
  <c r="E98" i="11" s="1"/>
  <c r="M99" i="11"/>
  <c r="E99" i="11" s="1"/>
  <c r="M100" i="11"/>
  <c r="E100" i="11" s="1"/>
  <c r="M101" i="11"/>
  <c r="E101" i="11" s="1"/>
  <c r="M102" i="11"/>
  <c r="M103" i="11"/>
  <c r="M104" i="11"/>
  <c r="M105" i="11"/>
  <c r="M106" i="11"/>
  <c r="D106" i="11" s="1"/>
  <c r="M107" i="11"/>
  <c r="D107" i="11" s="1"/>
  <c r="M108" i="11"/>
  <c r="M109" i="11"/>
  <c r="E109" i="11" s="1"/>
  <c r="M110" i="11"/>
  <c r="M111" i="11"/>
  <c r="M112" i="11"/>
  <c r="M113" i="11"/>
  <c r="E113" i="11" s="1"/>
  <c r="M114" i="11"/>
  <c r="E114" i="11" s="1"/>
  <c r="M115" i="11"/>
  <c r="M116" i="11"/>
  <c r="M117" i="11"/>
  <c r="E117" i="11" s="1"/>
  <c r="M118" i="11"/>
  <c r="M119" i="11"/>
  <c r="M120" i="11"/>
  <c r="M121" i="11"/>
  <c r="M122" i="11"/>
  <c r="E122" i="11" s="1"/>
  <c r="M123" i="11"/>
  <c r="M124" i="11"/>
  <c r="E124" i="11" s="1"/>
  <c r="M125" i="11"/>
  <c r="E125" i="11" s="1"/>
  <c r="M126" i="11"/>
  <c r="M127" i="11"/>
  <c r="M128" i="11"/>
  <c r="M129" i="11"/>
  <c r="M130" i="11"/>
  <c r="D130" i="11" s="1"/>
  <c r="M131" i="11"/>
  <c r="D131" i="11" s="1"/>
  <c r="M132" i="11"/>
  <c r="M133" i="11"/>
  <c r="E133" i="11" s="1"/>
  <c r="M134" i="11"/>
  <c r="M135" i="11"/>
  <c r="M136" i="11"/>
  <c r="M137" i="11"/>
  <c r="E137" i="11" s="1"/>
  <c r="M138" i="11"/>
  <c r="E138" i="11" s="1"/>
  <c r="M139" i="11"/>
  <c r="E139" i="11" s="1"/>
  <c r="M140" i="11"/>
  <c r="M141" i="11"/>
  <c r="D141" i="11" s="1"/>
  <c r="M142" i="11"/>
  <c r="M143" i="11"/>
  <c r="M144" i="11"/>
  <c r="M145" i="11"/>
  <c r="D145" i="11" s="1"/>
  <c r="M146" i="11"/>
  <c r="D146" i="11" s="1"/>
  <c r="M147" i="11"/>
  <c r="M148" i="11"/>
  <c r="M149" i="11"/>
  <c r="E149" i="11" s="1"/>
  <c r="M150" i="11"/>
  <c r="M151" i="11"/>
  <c r="M152" i="11"/>
  <c r="M153" i="11"/>
  <c r="E153" i="11" s="1"/>
  <c r="M154" i="11"/>
  <c r="M155" i="11"/>
  <c r="M156" i="11"/>
  <c r="M157" i="11"/>
  <c r="E157" i="11" s="1"/>
  <c r="M158" i="11"/>
  <c r="M159" i="11"/>
  <c r="M160" i="11"/>
  <c r="M161" i="11"/>
  <c r="E161" i="11" s="1"/>
  <c r="M162" i="11"/>
  <c r="E162" i="11" s="1"/>
  <c r="M163" i="11"/>
  <c r="E163" i="11" s="1"/>
  <c r="M164" i="11"/>
  <c r="E164" i="11" s="1"/>
  <c r="M165" i="11"/>
  <c r="E165" i="11" s="1"/>
  <c r="M166" i="11"/>
  <c r="M167" i="11"/>
  <c r="M168" i="11"/>
  <c r="M169" i="11"/>
  <c r="D169" i="11" s="1"/>
  <c r="M170" i="11"/>
  <c r="D170" i="11" s="1"/>
  <c r="M171" i="11"/>
  <c r="D171" i="11" s="1"/>
  <c r="M172" i="11"/>
  <c r="E172" i="11" s="1"/>
  <c r="M173" i="11"/>
  <c r="E173" i="11" s="1"/>
  <c r="M174" i="11"/>
  <c r="M175" i="11"/>
  <c r="M176" i="11"/>
  <c r="M177" i="11"/>
  <c r="E177" i="11" s="1"/>
  <c r="I3" i="11"/>
  <c r="B3" i="11" s="1"/>
  <c r="I4" i="11"/>
  <c r="I5" i="11"/>
  <c r="I6" i="11"/>
  <c r="C6" i="11" s="1"/>
  <c r="I7" i="11"/>
  <c r="I8" i="11"/>
  <c r="I9" i="11"/>
  <c r="I10" i="11"/>
  <c r="I11" i="11"/>
  <c r="B11" i="11" s="1"/>
  <c r="I12" i="11"/>
  <c r="B12" i="11" s="1"/>
  <c r="I13" i="11"/>
  <c r="B13" i="11" s="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B26" i="11" s="1"/>
  <c r="I27" i="11"/>
  <c r="B27" i="11" s="1"/>
  <c r="I28" i="11"/>
  <c r="B28" i="11" s="1"/>
  <c r="I29" i="11"/>
  <c r="I30" i="11"/>
  <c r="C30" i="11" s="1"/>
  <c r="I31" i="11"/>
  <c r="I32" i="11"/>
  <c r="I33" i="11"/>
  <c r="I34" i="11"/>
  <c r="I35" i="11"/>
  <c r="I36" i="11"/>
  <c r="B36" i="11" s="1"/>
  <c r="I37" i="11"/>
  <c r="B37" i="11" s="1"/>
  <c r="I38" i="11"/>
  <c r="I39" i="11"/>
  <c r="I40" i="11"/>
  <c r="I41" i="11"/>
  <c r="I42" i="11"/>
  <c r="B42" i="11" s="1"/>
  <c r="I43" i="11"/>
  <c r="I44" i="11"/>
  <c r="I45" i="11"/>
  <c r="I46" i="11"/>
  <c r="I47" i="11"/>
  <c r="I48" i="11"/>
  <c r="I49" i="11"/>
  <c r="I50" i="11"/>
  <c r="B50" i="11" s="1"/>
  <c r="I51" i="11"/>
  <c r="B51" i="11" s="1"/>
  <c r="I52" i="11"/>
  <c r="B52" i="11" s="1"/>
  <c r="I53" i="11"/>
  <c r="B53" i="11" s="1"/>
  <c r="I54" i="11"/>
  <c r="C54" i="11" s="1"/>
  <c r="I55" i="11"/>
  <c r="I56" i="11"/>
  <c r="I57" i="11"/>
  <c r="I58" i="11"/>
  <c r="I59" i="11"/>
  <c r="I60" i="11"/>
  <c r="I61" i="11"/>
  <c r="B61" i="11" s="1"/>
  <c r="I62" i="11"/>
  <c r="I63" i="11"/>
  <c r="I64" i="11"/>
  <c r="I65" i="11"/>
  <c r="I66" i="11"/>
  <c r="B66" i="11" s="1"/>
  <c r="I67" i="11"/>
  <c r="B67" i="11" s="1"/>
  <c r="I68" i="11"/>
  <c r="I69" i="11"/>
  <c r="I70" i="11"/>
  <c r="C70" i="11" s="1"/>
  <c r="I71" i="11"/>
  <c r="I72" i="11"/>
  <c r="I73" i="11"/>
  <c r="I74" i="11"/>
  <c r="I75" i="11"/>
  <c r="B75" i="11" s="1"/>
  <c r="I76" i="11"/>
  <c r="B76" i="11" s="1"/>
  <c r="I77" i="11"/>
  <c r="B77" i="11" s="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B90" i="11" s="1"/>
  <c r="I91" i="11"/>
  <c r="B91" i="11" s="1"/>
  <c r="I92" i="11"/>
  <c r="B92" i="11" s="1"/>
  <c r="I93" i="11"/>
  <c r="I94" i="11"/>
  <c r="C94" i="11" s="1"/>
  <c r="I95" i="11"/>
  <c r="I96" i="11"/>
  <c r="I97" i="11"/>
  <c r="I98" i="11"/>
  <c r="I99" i="11"/>
  <c r="I100" i="11"/>
  <c r="B100" i="11" s="1"/>
  <c r="I101" i="11"/>
  <c r="B101" i="11" s="1"/>
  <c r="I102" i="11"/>
  <c r="I103" i="11"/>
  <c r="I104" i="11"/>
  <c r="I105" i="11"/>
  <c r="I106" i="11"/>
  <c r="B106" i="11" s="1"/>
  <c r="I107" i="11"/>
  <c r="I108" i="11"/>
  <c r="I109" i="11"/>
  <c r="I110" i="11"/>
  <c r="I111" i="11"/>
  <c r="I112" i="11"/>
  <c r="I113" i="11"/>
  <c r="I114" i="11"/>
  <c r="B114" i="11" s="1"/>
  <c r="I115" i="11"/>
  <c r="B115" i="11" s="1"/>
  <c r="I116" i="11"/>
  <c r="B116" i="11" s="1"/>
  <c r="I117" i="11"/>
  <c r="B117" i="11" s="1"/>
  <c r="I118" i="11"/>
  <c r="C118" i="11" s="1"/>
  <c r="I119" i="11"/>
  <c r="I120" i="11"/>
  <c r="I121" i="11"/>
  <c r="I122" i="11"/>
  <c r="I123" i="11"/>
  <c r="I124" i="11"/>
  <c r="B124" i="11" s="1"/>
  <c r="I125" i="11"/>
  <c r="B125" i="11" s="1"/>
  <c r="I126" i="11"/>
  <c r="I127" i="11"/>
  <c r="I128" i="11"/>
  <c r="I129" i="11"/>
  <c r="I130" i="11"/>
  <c r="I131" i="11"/>
  <c r="I132" i="11"/>
  <c r="I133" i="11"/>
  <c r="B133" i="11" s="1"/>
  <c r="I134" i="11"/>
  <c r="I135" i="11"/>
  <c r="I136" i="11"/>
  <c r="I137" i="11"/>
  <c r="I138" i="11"/>
  <c r="I139" i="11"/>
  <c r="I140" i="11"/>
  <c r="I141" i="11"/>
  <c r="B141" i="11" s="1"/>
  <c r="I142" i="11"/>
  <c r="I143" i="11"/>
  <c r="I144" i="11"/>
  <c r="I145" i="11"/>
  <c r="I146" i="11"/>
  <c r="I147" i="11"/>
  <c r="I148" i="11"/>
  <c r="I149" i="11"/>
  <c r="B149" i="11" s="1"/>
  <c r="I150" i="11"/>
  <c r="I151" i="11"/>
  <c r="I152" i="11"/>
  <c r="I153" i="11"/>
  <c r="I154" i="11"/>
  <c r="I155" i="11"/>
  <c r="I156" i="11"/>
  <c r="I157" i="11"/>
  <c r="B157" i="11" s="1"/>
  <c r="I158" i="11"/>
  <c r="I159" i="11"/>
  <c r="I160" i="11"/>
  <c r="I161" i="11"/>
  <c r="I162" i="11"/>
  <c r="I163" i="11"/>
  <c r="I164" i="11"/>
  <c r="I165" i="11"/>
  <c r="B165" i="11" s="1"/>
  <c r="I166" i="11"/>
  <c r="I167" i="11"/>
  <c r="I168" i="11"/>
  <c r="I169" i="11"/>
  <c r="I170" i="11"/>
  <c r="I171" i="11"/>
  <c r="I172" i="11"/>
  <c r="I173" i="11"/>
  <c r="B173" i="11" s="1"/>
  <c r="I174" i="11"/>
  <c r="I175" i="11"/>
  <c r="I176" i="11"/>
  <c r="I177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Y3" i="13"/>
  <c r="Y4" i="13"/>
  <c r="Y5" i="13"/>
  <c r="Y6" i="13"/>
  <c r="Y7" i="13"/>
  <c r="Y8" i="13"/>
  <c r="Y9" i="13"/>
  <c r="Y10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Y51" i="13"/>
  <c r="Y52" i="13"/>
  <c r="Y53" i="13"/>
  <c r="Y54" i="13"/>
  <c r="Y55" i="13"/>
  <c r="Y56" i="13"/>
  <c r="Y57" i="13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Y98" i="13"/>
  <c r="Y99" i="13"/>
  <c r="Y100" i="13"/>
  <c r="Y101" i="13"/>
  <c r="Y102" i="13"/>
  <c r="Y103" i="13"/>
  <c r="Y104" i="13"/>
  <c r="Y105" i="13"/>
  <c r="Y106" i="13"/>
  <c r="Y107" i="13"/>
  <c r="Y108" i="13"/>
  <c r="Y109" i="13"/>
  <c r="Y110" i="13"/>
  <c r="Y111" i="13"/>
  <c r="Y112" i="13"/>
  <c r="Y113" i="13"/>
  <c r="Y114" i="13"/>
  <c r="Y115" i="13"/>
  <c r="Y116" i="13"/>
  <c r="Y117" i="13"/>
  <c r="Y118" i="13"/>
  <c r="Y119" i="13"/>
  <c r="Y120" i="13"/>
  <c r="Y121" i="13"/>
  <c r="Y122" i="13"/>
  <c r="Y123" i="13"/>
  <c r="Y124" i="13"/>
  <c r="Y125" i="13"/>
  <c r="Y126" i="13"/>
  <c r="Y127" i="13"/>
  <c r="Y128" i="13"/>
  <c r="Y129" i="13"/>
  <c r="Y130" i="13"/>
  <c r="Y131" i="13"/>
  <c r="Y132" i="13"/>
  <c r="Y133" i="13"/>
  <c r="Y134" i="13"/>
  <c r="Y135" i="13"/>
  <c r="Y136" i="13"/>
  <c r="Y137" i="13"/>
  <c r="Y138" i="13"/>
  <c r="Y139" i="13"/>
  <c r="Y140" i="13"/>
  <c r="Y141" i="13"/>
  <c r="Y142" i="13"/>
  <c r="Y143" i="13"/>
  <c r="Y144" i="13"/>
  <c r="Y145" i="13"/>
  <c r="Y146" i="13"/>
  <c r="Y147" i="13"/>
  <c r="Y148" i="13"/>
  <c r="Y149" i="13"/>
  <c r="Y150" i="13"/>
  <c r="Y151" i="13"/>
  <c r="Y152" i="13"/>
  <c r="Y153" i="13"/>
  <c r="Y154" i="13"/>
  <c r="Y155" i="13"/>
  <c r="Y156" i="13"/>
  <c r="Y157" i="13"/>
  <c r="Y158" i="13"/>
  <c r="Y159" i="13"/>
  <c r="Y160" i="13"/>
  <c r="Y161" i="13"/>
  <c r="Y162" i="13"/>
  <c r="Y163" i="13"/>
  <c r="Y164" i="13"/>
  <c r="Y165" i="13"/>
  <c r="Y166" i="13"/>
  <c r="Y167" i="13"/>
  <c r="Y168" i="13"/>
  <c r="Y169" i="13"/>
  <c r="Y170" i="13"/>
  <c r="Y171" i="13"/>
  <c r="Y172" i="13"/>
  <c r="Y173" i="13"/>
  <c r="Y174" i="13"/>
  <c r="Y175" i="13"/>
  <c r="Y176" i="13"/>
  <c r="Y177" i="13"/>
  <c r="X3" i="13"/>
  <c r="X4" i="13"/>
  <c r="X5" i="13"/>
  <c r="X6" i="13"/>
  <c r="X7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36" i="13"/>
  <c r="X37" i="13"/>
  <c r="X38" i="13"/>
  <c r="X39" i="13"/>
  <c r="X40" i="13"/>
  <c r="X41" i="13"/>
  <c r="X42" i="13"/>
  <c r="X43" i="13"/>
  <c r="X44" i="13"/>
  <c r="X45" i="13"/>
  <c r="X46" i="13"/>
  <c r="X47" i="13"/>
  <c r="X48" i="13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X62" i="13"/>
  <c r="X63" i="13"/>
  <c r="X64" i="13"/>
  <c r="X65" i="13"/>
  <c r="X66" i="13"/>
  <c r="X67" i="13"/>
  <c r="X68" i="13"/>
  <c r="X69" i="13"/>
  <c r="X70" i="13"/>
  <c r="X71" i="13"/>
  <c r="X72" i="13"/>
  <c r="X73" i="13"/>
  <c r="X74" i="13"/>
  <c r="X75" i="13"/>
  <c r="X76" i="13"/>
  <c r="X77" i="13"/>
  <c r="X78" i="13"/>
  <c r="X79" i="13"/>
  <c r="X80" i="13"/>
  <c r="X81" i="13"/>
  <c r="X82" i="13"/>
  <c r="X83" i="13"/>
  <c r="X84" i="13"/>
  <c r="X85" i="13"/>
  <c r="X86" i="13"/>
  <c r="X87" i="13"/>
  <c r="X88" i="13"/>
  <c r="X89" i="13"/>
  <c r="X90" i="13"/>
  <c r="X91" i="13"/>
  <c r="X92" i="13"/>
  <c r="X93" i="13"/>
  <c r="X94" i="13"/>
  <c r="X95" i="13"/>
  <c r="X96" i="13"/>
  <c r="X97" i="13"/>
  <c r="X98" i="13"/>
  <c r="X99" i="13"/>
  <c r="X100" i="13"/>
  <c r="X101" i="13"/>
  <c r="X102" i="13"/>
  <c r="X103" i="13"/>
  <c r="X104" i="13"/>
  <c r="X105" i="13"/>
  <c r="X106" i="13"/>
  <c r="X107" i="13"/>
  <c r="X108" i="13"/>
  <c r="X109" i="13"/>
  <c r="X110" i="13"/>
  <c r="X111" i="13"/>
  <c r="X112" i="13"/>
  <c r="X113" i="13"/>
  <c r="X114" i="13"/>
  <c r="X115" i="13"/>
  <c r="X116" i="13"/>
  <c r="X117" i="13"/>
  <c r="X118" i="13"/>
  <c r="X119" i="13"/>
  <c r="X120" i="13"/>
  <c r="X121" i="13"/>
  <c r="X122" i="13"/>
  <c r="X123" i="13"/>
  <c r="X124" i="13"/>
  <c r="X125" i="13"/>
  <c r="X126" i="13"/>
  <c r="X127" i="13"/>
  <c r="X128" i="13"/>
  <c r="X129" i="13"/>
  <c r="X130" i="13"/>
  <c r="X131" i="13"/>
  <c r="X132" i="13"/>
  <c r="X133" i="13"/>
  <c r="X134" i="13"/>
  <c r="X135" i="13"/>
  <c r="X136" i="13"/>
  <c r="X137" i="13"/>
  <c r="X138" i="13"/>
  <c r="X139" i="13"/>
  <c r="X140" i="13"/>
  <c r="X141" i="13"/>
  <c r="X142" i="13"/>
  <c r="X143" i="13"/>
  <c r="X144" i="13"/>
  <c r="X145" i="13"/>
  <c r="X146" i="13"/>
  <c r="X147" i="13"/>
  <c r="X148" i="13"/>
  <c r="X149" i="13"/>
  <c r="X150" i="13"/>
  <c r="X151" i="13"/>
  <c r="X152" i="13"/>
  <c r="X153" i="13"/>
  <c r="X154" i="13"/>
  <c r="X155" i="13"/>
  <c r="X156" i="13"/>
  <c r="X157" i="13"/>
  <c r="X158" i="13"/>
  <c r="X159" i="13"/>
  <c r="X160" i="13"/>
  <c r="X161" i="13"/>
  <c r="X162" i="13"/>
  <c r="X163" i="13"/>
  <c r="X164" i="13"/>
  <c r="X165" i="13"/>
  <c r="X166" i="13"/>
  <c r="X167" i="13"/>
  <c r="X168" i="13"/>
  <c r="X169" i="13"/>
  <c r="X170" i="13"/>
  <c r="X171" i="13"/>
  <c r="X172" i="13"/>
  <c r="X173" i="13"/>
  <c r="X174" i="13"/>
  <c r="X175" i="13"/>
  <c r="X176" i="13"/>
  <c r="X177" i="13"/>
  <c r="W3" i="13"/>
  <c r="W4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56" i="13"/>
  <c r="W57" i="13"/>
  <c r="W58" i="13"/>
  <c r="W59" i="13"/>
  <c r="W60" i="13"/>
  <c r="W61" i="13"/>
  <c r="W62" i="13"/>
  <c r="W63" i="13"/>
  <c r="W64" i="13"/>
  <c r="W65" i="13"/>
  <c r="W66" i="13"/>
  <c r="W67" i="13"/>
  <c r="W68" i="13"/>
  <c r="W69" i="13"/>
  <c r="W70" i="13"/>
  <c r="W71" i="13"/>
  <c r="W72" i="13"/>
  <c r="W73" i="13"/>
  <c r="W74" i="13"/>
  <c r="W75" i="13"/>
  <c r="W76" i="13"/>
  <c r="W77" i="13"/>
  <c r="W78" i="13"/>
  <c r="W79" i="13"/>
  <c r="W80" i="13"/>
  <c r="W81" i="13"/>
  <c r="W82" i="13"/>
  <c r="W83" i="13"/>
  <c r="W84" i="13"/>
  <c r="W85" i="13"/>
  <c r="W86" i="13"/>
  <c r="W87" i="13"/>
  <c r="W88" i="13"/>
  <c r="W89" i="13"/>
  <c r="W90" i="13"/>
  <c r="W91" i="13"/>
  <c r="W92" i="13"/>
  <c r="W93" i="13"/>
  <c r="W94" i="13"/>
  <c r="W95" i="13"/>
  <c r="W96" i="13"/>
  <c r="W97" i="13"/>
  <c r="W98" i="13"/>
  <c r="W99" i="13"/>
  <c r="W100" i="13"/>
  <c r="W101" i="13"/>
  <c r="W102" i="13"/>
  <c r="W103" i="13"/>
  <c r="W104" i="13"/>
  <c r="W105" i="13"/>
  <c r="W106" i="13"/>
  <c r="W107" i="13"/>
  <c r="W108" i="13"/>
  <c r="W109" i="13"/>
  <c r="W110" i="13"/>
  <c r="W111" i="13"/>
  <c r="W112" i="13"/>
  <c r="W113" i="13"/>
  <c r="W114" i="13"/>
  <c r="W115" i="13"/>
  <c r="W116" i="13"/>
  <c r="W117" i="13"/>
  <c r="W118" i="13"/>
  <c r="W119" i="13"/>
  <c r="W120" i="13"/>
  <c r="W121" i="13"/>
  <c r="W122" i="13"/>
  <c r="W123" i="13"/>
  <c r="W124" i="13"/>
  <c r="W125" i="13"/>
  <c r="W126" i="13"/>
  <c r="W127" i="13"/>
  <c r="W128" i="13"/>
  <c r="W129" i="13"/>
  <c r="W130" i="13"/>
  <c r="W131" i="13"/>
  <c r="W132" i="13"/>
  <c r="W133" i="13"/>
  <c r="W134" i="13"/>
  <c r="W135" i="13"/>
  <c r="W136" i="13"/>
  <c r="W137" i="13"/>
  <c r="W138" i="13"/>
  <c r="W139" i="13"/>
  <c r="W140" i="13"/>
  <c r="W141" i="13"/>
  <c r="W142" i="13"/>
  <c r="W143" i="13"/>
  <c r="W144" i="13"/>
  <c r="W145" i="13"/>
  <c r="W146" i="13"/>
  <c r="W147" i="13"/>
  <c r="W148" i="13"/>
  <c r="W149" i="13"/>
  <c r="W150" i="13"/>
  <c r="W151" i="13"/>
  <c r="W152" i="13"/>
  <c r="W153" i="13"/>
  <c r="W154" i="13"/>
  <c r="W155" i="13"/>
  <c r="W156" i="13"/>
  <c r="W157" i="13"/>
  <c r="W158" i="13"/>
  <c r="W159" i="13"/>
  <c r="W160" i="13"/>
  <c r="W161" i="13"/>
  <c r="W162" i="13"/>
  <c r="W163" i="13"/>
  <c r="W164" i="13"/>
  <c r="W165" i="13"/>
  <c r="W166" i="13"/>
  <c r="W167" i="13"/>
  <c r="W168" i="13"/>
  <c r="W169" i="13"/>
  <c r="W170" i="13"/>
  <c r="W171" i="13"/>
  <c r="W172" i="13"/>
  <c r="W173" i="13"/>
  <c r="W174" i="13"/>
  <c r="W175" i="13"/>
  <c r="W176" i="13"/>
  <c r="W177" i="13"/>
  <c r="V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49" i="13"/>
  <c r="V50" i="13"/>
  <c r="V51" i="13"/>
  <c r="V52" i="13"/>
  <c r="V53" i="13"/>
  <c r="V54" i="13"/>
  <c r="V55" i="13"/>
  <c r="V56" i="13"/>
  <c r="V57" i="13"/>
  <c r="V58" i="13"/>
  <c r="V59" i="13"/>
  <c r="V60" i="13"/>
  <c r="V61" i="13"/>
  <c r="V62" i="13"/>
  <c r="V63" i="13"/>
  <c r="V64" i="13"/>
  <c r="V65" i="13"/>
  <c r="V66" i="13"/>
  <c r="V67" i="13"/>
  <c r="V68" i="13"/>
  <c r="V69" i="13"/>
  <c r="V70" i="13"/>
  <c r="V71" i="13"/>
  <c r="V72" i="13"/>
  <c r="V73" i="13"/>
  <c r="V74" i="13"/>
  <c r="V75" i="13"/>
  <c r="V76" i="13"/>
  <c r="V77" i="13"/>
  <c r="V78" i="13"/>
  <c r="V79" i="13"/>
  <c r="V80" i="13"/>
  <c r="V81" i="13"/>
  <c r="V82" i="13"/>
  <c r="V83" i="13"/>
  <c r="V84" i="13"/>
  <c r="V85" i="13"/>
  <c r="V86" i="13"/>
  <c r="V87" i="13"/>
  <c r="V88" i="13"/>
  <c r="V89" i="13"/>
  <c r="V90" i="13"/>
  <c r="V91" i="13"/>
  <c r="V92" i="13"/>
  <c r="V93" i="13"/>
  <c r="V94" i="13"/>
  <c r="V95" i="13"/>
  <c r="V96" i="13"/>
  <c r="V97" i="13"/>
  <c r="V98" i="13"/>
  <c r="V99" i="13"/>
  <c r="V100" i="13"/>
  <c r="V101" i="13"/>
  <c r="V102" i="13"/>
  <c r="V103" i="13"/>
  <c r="V104" i="13"/>
  <c r="V105" i="13"/>
  <c r="V106" i="13"/>
  <c r="V107" i="13"/>
  <c r="V108" i="13"/>
  <c r="V109" i="13"/>
  <c r="V110" i="13"/>
  <c r="V111" i="13"/>
  <c r="V112" i="13"/>
  <c r="V113" i="13"/>
  <c r="V114" i="13"/>
  <c r="V115" i="13"/>
  <c r="V116" i="13"/>
  <c r="V117" i="13"/>
  <c r="V118" i="13"/>
  <c r="V119" i="13"/>
  <c r="V120" i="13"/>
  <c r="V121" i="13"/>
  <c r="V122" i="13"/>
  <c r="V123" i="13"/>
  <c r="V124" i="13"/>
  <c r="V125" i="13"/>
  <c r="V126" i="13"/>
  <c r="V127" i="13"/>
  <c r="V128" i="13"/>
  <c r="V129" i="13"/>
  <c r="V130" i="13"/>
  <c r="V131" i="13"/>
  <c r="V132" i="13"/>
  <c r="V133" i="13"/>
  <c r="V134" i="13"/>
  <c r="V135" i="13"/>
  <c r="V136" i="13"/>
  <c r="V137" i="13"/>
  <c r="V138" i="13"/>
  <c r="V139" i="13"/>
  <c r="V140" i="13"/>
  <c r="V141" i="13"/>
  <c r="V142" i="13"/>
  <c r="V143" i="13"/>
  <c r="V144" i="13"/>
  <c r="V145" i="13"/>
  <c r="V146" i="13"/>
  <c r="V147" i="13"/>
  <c r="V148" i="13"/>
  <c r="V149" i="13"/>
  <c r="V150" i="13"/>
  <c r="V151" i="13"/>
  <c r="V152" i="13"/>
  <c r="V153" i="13"/>
  <c r="V154" i="13"/>
  <c r="V155" i="13"/>
  <c r="V156" i="13"/>
  <c r="V157" i="13"/>
  <c r="V158" i="13"/>
  <c r="V159" i="13"/>
  <c r="V160" i="13"/>
  <c r="V161" i="13"/>
  <c r="V162" i="13"/>
  <c r="V163" i="13"/>
  <c r="V164" i="13"/>
  <c r="V165" i="13"/>
  <c r="V166" i="13"/>
  <c r="V167" i="13"/>
  <c r="V168" i="13"/>
  <c r="V169" i="13"/>
  <c r="V170" i="13"/>
  <c r="V171" i="13"/>
  <c r="V172" i="13"/>
  <c r="V173" i="13"/>
  <c r="V174" i="13"/>
  <c r="V175" i="13"/>
  <c r="V176" i="13"/>
  <c r="V177" i="13"/>
  <c r="U3" i="13"/>
  <c r="U4" i="13"/>
  <c r="U5" i="13"/>
  <c r="U6" i="13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65" i="13"/>
  <c r="U66" i="13"/>
  <c r="U67" i="13"/>
  <c r="U68" i="13"/>
  <c r="U69" i="13"/>
  <c r="U70" i="13"/>
  <c r="U71" i="13"/>
  <c r="U72" i="13"/>
  <c r="U73" i="13"/>
  <c r="U74" i="13"/>
  <c r="U75" i="13"/>
  <c r="U76" i="13"/>
  <c r="U77" i="13"/>
  <c r="U78" i="13"/>
  <c r="U79" i="13"/>
  <c r="U80" i="13"/>
  <c r="U81" i="13"/>
  <c r="U82" i="13"/>
  <c r="U83" i="13"/>
  <c r="U84" i="13"/>
  <c r="U85" i="13"/>
  <c r="U86" i="13"/>
  <c r="U87" i="13"/>
  <c r="U88" i="13"/>
  <c r="U89" i="13"/>
  <c r="U90" i="13"/>
  <c r="U91" i="13"/>
  <c r="U92" i="13"/>
  <c r="U93" i="13"/>
  <c r="U94" i="13"/>
  <c r="U95" i="13"/>
  <c r="U96" i="13"/>
  <c r="U97" i="13"/>
  <c r="U98" i="13"/>
  <c r="U99" i="13"/>
  <c r="U100" i="13"/>
  <c r="U101" i="13"/>
  <c r="U102" i="13"/>
  <c r="U103" i="13"/>
  <c r="U104" i="13"/>
  <c r="U105" i="13"/>
  <c r="U106" i="13"/>
  <c r="U107" i="13"/>
  <c r="U108" i="13"/>
  <c r="U109" i="13"/>
  <c r="U110" i="13"/>
  <c r="U111" i="13"/>
  <c r="U112" i="13"/>
  <c r="U113" i="13"/>
  <c r="U114" i="13"/>
  <c r="U115" i="13"/>
  <c r="U116" i="13"/>
  <c r="U117" i="13"/>
  <c r="U118" i="13"/>
  <c r="U119" i="13"/>
  <c r="U120" i="13"/>
  <c r="U121" i="13"/>
  <c r="U122" i="13"/>
  <c r="U123" i="13"/>
  <c r="U124" i="13"/>
  <c r="U125" i="13"/>
  <c r="U126" i="13"/>
  <c r="U127" i="13"/>
  <c r="U128" i="13"/>
  <c r="U129" i="13"/>
  <c r="U130" i="13"/>
  <c r="U131" i="13"/>
  <c r="U132" i="13"/>
  <c r="U133" i="13"/>
  <c r="U134" i="13"/>
  <c r="U135" i="13"/>
  <c r="U136" i="13"/>
  <c r="U137" i="13"/>
  <c r="U138" i="13"/>
  <c r="U139" i="13"/>
  <c r="U140" i="13"/>
  <c r="U141" i="13"/>
  <c r="U142" i="13"/>
  <c r="U143" i="13"/>
  <c r="U144" i="13"/>
  <c r="U145" i="13"/>
  <c r="U146" i="13"/>
  <c r="U147" i="13"/>
  <c r="U148" i="13"/>
  <c r="U149" i="13"/>
  <c r="U150" i="13"/>
  <c r="U151" i="13"/>
  <c r="U152" i="13"/>
  <c r="U153" i="13"/>
  <c r="U154" i="13"/>
  <c r="U155" i="13"/>
  <c r="U156" i="13"/>
  <c r="U157" i="13"/>
  <c r="U158" i="13"/>
  <c r="U159" i="13"/>
  <c r="U160" i="13"/>
  <c r="U161" i="13"/>
  <c r="U162" i="13"/>
  <c r="U163" i="13"/>
  <c r="U164" i="13"/>
  <c r="U165" i="13"/>
  <c r="U166" i="13"/>
  <c r="U167" i="13"/>
  <c r="U168" i="13"/>
  <c r="U169" i="13"/>
  <c r="U170" i="13"/>
  <c r="U171" i="13"/>
  <c r="U172" i="13"/>
  <c r="U173" i="13"/>
  <c r="U174" i="13"/>
  <c r="U175" i="13"/>
  <c r="U176" i="13"/>
  <c r="U177" i="13"/>
  <c r="T3" i="13"/>
  <c r="T4" i="13"/>
  <c r="T5" i="13"/>
  <c r="T6" i="13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T36" i="13"/>
  <c r="T37" i="13"/>
  <c r="T38" i="13"/>
  <c r="T39" i="13"/>
  <c r="T40" i="13"/>
  <c r="T41" i="13"/>
  <c r="T42" i="13"/>
  <c r="T43" i="13"/>
  <c r="T44" i="13"/>
  <c r="T45" i="13"/>
  <c r="T46" i="13"/>
  <c r="T47" i="13"/>
  <c r="T48" i="13"/>
  <c r="T49" i="13"/>
  <c r="T50" i="13"/>
  <c r="T51" i="13"/>
  <c r="T52" i="13"/>
  <c r="T53" i="13"/>
  <c r="T54" i="13"/>
  <c r="T55" i="13"/>
  <c r="T56" i="13"/>
  <c r="T57" i="13"/>
  <c r="T58" i="13"/>
  <c r="T59" i="13"/>
  <c r="T60" i="13"/>
  <c r="T61" i="13"/>
  <c r="T62" i="13"/>
  <c r="T63" i="13"/>
  <c r="T64" i="13"/>
  <c r="T65" i="13"/>
  <c r="T66" i="13"/>
  <c r="T67" i="13"/>
  <c r="T68" i="13"/>
  <c r="T69" i="13"/>
  <c r="T70" i="13"/>
  <c r="T71" i="13"/>
  <c r="T72" i="13"/>
  <c r="T73" i="13"/>
  <c r="T74" i="13"/>
  <c r="T75" i="13"/>
  <c r="T76" i="13"/>
  <c r="T77" i="13"/>
  <c r="T78" i="13"/>
  <c r="T79" i="13"/>
  <c r="T80" i="13"/>
  <c r="T81" i="13"/>
  <c r="T82" i="13"/>
  <c r="T83" i="13"/>
  <c r="T84" i="13"/>
  <c r="T85" i="13"/>
  <c r="T86" i="13"/>
  <c r="T87" i="13"/>
  <c r="T88" i="13"/>
  <c r="T89" i="13"/>
  <c r="T90" i="13"/>
  <c r="T91" i="13"/>
  <c r="T92" i="13"/>
  <c r="T93" i="13"/>
  <c r="T94" i="13"/>
  <c r="T95" i="13"/>
  <c r="T96" i="13"/>
  <c r="T97" i="13"/>
  <c r="T98" i="13"/>
  <c r="T99" i="13"/>
  <c r="T100" i="13"/>
  <c r="T101" i="13"/>
  <c r="T102" i="13"/>
  <c r="T103" i="13"/>
  <c r="T104" i="13"/>
  <c r="T105" i="13"/>
  <c r="T106" i="13"/>
  <c r="T107" i="13"/>
  <c r="T108" i="13"/>
  <c r="T109" i="13"/>
  <c r="T110" i="13"/>
  <c r="T111" i="13"/>
  <c r="T112" i="13"/>
  <c r="T113" i="13"/>
  <c r="T114" i="13"/>
  <c r="T115" i="13"/>
  <c r="T116" i="13"/>
  <c r="T117" i="13"/>
  <c r="T118" i="13"/>
  <c r="T119" i="13"/>
  <c r="T120" i="13"/>
  <c r="T121" i="13"/>
  <c r="T122" i="13"/>
  <c r="T123" i="13"/>
  <c r="T124" i="13"/>
  <c r="T125" i="13"/>
  <c r="T126" i="13"/>
  <c r="T127" i="13"/>
  <c r="T128" i="13"/>
  <c r="T129" i="13"/>
  <c r="T130" i="13"/>
  <c r="T131" i="13"/>
  <c r="T132" i="13"/>
  <c r="T133" i="13"/>
  <c r="T134" i="13"/>
  <c r="T135" i="13"/>
  <c r="T136" i="13"/>
  <c r="T137" i="13"/>
  <c r="T138" i="13"/>
  <c r="T139" i="13"/>
  <c r="T140" i="13"/>
  <c r="T141" i="13"/>
  <c r="T142" i="13"/>
  <c r="T143" i="13"/>
  <c r="T144" i="13"/>
  <c r="T145" i="13"/>
  <c r="T146" i="13"/>
  <c r="T147" i="13"/>
  <c r="T148" i="13"/>
  <c r="T149" i="13"/>
  <c r="T150" i="13"/>
  <c r="T151" i="13"/>
  <c r="T152" i="13"/>
  <c r="T153" i="13"/>
  <c r="T154" i="13"/>
  <c r="T155" i="13"/>
  <c r="T156" i="13"/>
  <c r="T157" i="13"/>
  <c r="T158" i="13"/>
  <c r="T159" i="13"/>
  <c r="T160" i="13"/>
  <c r="T161" i="13"/>
  <c r="T162" i="13"/>
  <c r="T163" i="13"/>
  <c r="T164" i="13"/>
  <c r="T165" i="13"/>
  <c r="T166" i="13"/>
  <c r="T167" i="13"/>
  <c r="T168" i="13"/>
  <c r="T169" i="13"/>
  <c r="T170" i="13"/>
  <c r="T171" i="13"/>
  <c r="T172" i="13"/>
  <c r="T173" i="13"/>
  <c r="T174" i="13"/>
  <c r="T175" i="13"/>
  <c r="T176" i="13"/>
  <c r="T177" i="13"/>
  <c r="S3" i="13"/>
  <c r="S4" i="13"/>
  <c r="S5" i="13"/>
  <c r="S6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S78" i="13"/>
  <c r="S79" i="13"/>
  <c r="S80" i="13"/>
  <c r="S81" i="13"/>
  <c r="S82" i="13"/>
  <c r="S83" i="13"/>
  <c r="S84" i="13"/>
  <c r="S85" i="13"/>
  <c r="S86" i="13"/>
  <c r="S87" i="13"/>
  <c r="S88" i="13"/>
  <c r="S89" i="13"/>
  <c r="S90" i="13"/>
  <c r="S91" i="13"/>
  <c r="S92" i="13"/>
  <c r="S93" i="13"/>
  <c r="S94" i="13"/>
  <c r="S95" i="13"/>
  <c r="S96" i="13"/>
  <c r="S97" i="13"/>
  <c r="S98" i="13"/>
  <c r="S99" i="13"/>
  <c r="S100" i="13"/>
  <c r="S101" i="13"/>
  <c r="S102" i="13"/>
  <c r="S103" i="13"/>
  <c r="S104" i="13"/>
  <c r="S105" i="13"/>
  <c r="S106" i="13"/>
  <c r="S107" i="13"/>
  <c r="S108" i="13"/>
  <c r="S109" i="13"/>
  <c r="S110" i="13"/>
  <c r="S111" i="13"/>
  <c r="S112" i="13"/>
  <c r="S113" i="13"/>
  <c r="S114" i="13"/>
  <c r="S115" i="13"/>
  <c r="S116" i="13"/>
  <c r="S117" i="13"/>
  <c r="S118" i="13"/>
  <c r="S119" i="13"/>
  <c r="S120" i="13"/>
  <c r="S121" i="13"/>
  <c r="S122" i="13"/>
  <c r="S123" i="13"/>
  <c r="S124" i="13"/>
  <c r="S125" i="13"/>
  <c r="S126" i="13"/>
  <c r="S127" i="13"/>
  <c r="S128" i="13"/>
  <c r="S129" i="13"/>
  <c r="S130" i="13"/>
  <c r="S131" i="13"/>
  <c r="S132" i="13"/>
  <c r="S133" i="13"/>
  <c r="S134" i="13"/>
  <c r="S135" i="13"/>
  <c r="S136" i="13"/>
  <c r="S137" i="13"/>
  <c r="S138" i="13"/>
  <c r="S139" i="13"/>
  <c r="S140" i="13"/>
  <c r="S141" i="13"/>
  <c r="S142" i="13"/>
  <c r="S143" i="13"/>
  <c r="S144" i="13"/>
  <c r="S145" i="13"/>
  <c r="S146" i="13"/>
  <c r="S147" i="13"/>
  <c r="S148" i="13"/>
  <c r="S149" i="13"/>
  <c r="S150" i="13"/>
  <c r="S151" i="13"/>
  <c r="S152" i="13"/>
  <c r="S153" i="13"/>
  <c r="S154" i="13"/>
  <c r="S155" i="13"/>
  <c r="S156" i="13"/>
  <c r="S157" i="13"/>
  <c r="S158" i="13"/>
  <c r="S159" i="13"/>
  <c r="S160" i="13"/>
  <c r="S161" i="13"/>
  <c r="S162" i="13"/>
  <c r="S163" i="13"/>
  <c r="S164" i="13"/>
  <c r="S165" i="13"/>
  <c r="S166" i="13"/>
  <c r="S167" i="13"/>
  <c r="S168" i="13"/>
  <c r="S169" i="13"/>
  <c r="S170" i="13"/>
  <c r="S171" i="13"/>
  <c r="S172" i="13"/>
  <c r="S173" i="13"/>
  <c r="S174" i="13"/>
  <c r="S175" i="13"/>
  <c r="S176" i="13"/>
  <c r="S177" i="13"/>
  <c r="R3" i="13"/>
  <c r="R4" i="13"/>
  <c r="R5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2" i="13"/>
  <c r="R53" i="13"/>
  <c r="R54" i="13"/>
  <c r="R55" i="13"/>
  <c r="R56" i="13"/>
  <c r="R57" i="13"/>
  <c r="R58" i="13"/>
  <c r="R59" i="13"/>
  <c r="R60" i="13"/>
  <c r="R61" i="13"/>
  <c r="R62" i="13"/>
  <c r="R63" i="13"/>
  <c r="R64" i="13"/>
  <c r="R65" i="13"/>
  <c r="R66" i="13"/>
  <c r="R67" i="13"/>
  <c r="R68" i="13"/>
  <c r="R69" i="13"/>
  <c r="R70" i="13"/>
  <c r="R71" i="13"/>
  <c r="R72" i="13"/>
  <c r="R73" i="13"/>
  <c r="R74" i="13"/>
  <c r="R75" i="13"/>
  <c r="R76" i="13"/>
  <c r="R77" i="13"/>
  <c r="R78" i="13"/>
  <c r="R79" i="13"/>
  <c r="R80" i="13"/>
  <c r="R81" i="13"/>
  <c r="R82" i="13"/>
  <c r="R83" i="13"/>
  <c r="R84" i="13"/>
  <c r="R85" i="13"/>
  <c r="R86" i="13"/>
  <c r="R87" i="13"/>
  <c r="R88" i="13"/>
  <c r="R89" i="13"/>
  <c r="R90" i="13"/>
  <c r="R91" i="13"/>
  <c r="R92" i="13"/>
  <c r="R93" i="13"/>
  <c r="R94" i="13"/>
  <c r="R95" i="13"/>
  <c r="R96" i="13"/>
  <c r="R97" i="13"/>
  <c r="R98" i="13"/>
  <c r="R99" i="13"/>
  <c r="R100" i="13"/>
  <c r="R101" i="13"/>
  <c r="R102" i="13"/>
  <c r="R103" i="13"/>
  <c r="R104" i="13"/>
  <c r="R105" i="13"/>
  <c r="R106" i="13"/>
  <c r="R107" i="13"/>
  <c r="R108" i="13"/>
  <c r="R109" i="13"/>
  <c r="R110" i="13"/>
  <c r="R111" i="13"/>
  <c r="R112" i="13"/>
  <c r="R113" i="13"/>
  <c r="R114" i="13"/>
  <c r="R115" i="13"/>
  <c r="R116" i="13"/>
  <c r="R117" i="13"/>
  <c r="R118" i="13"/>
  <c r="R119" i="13"/>
  <c r="R120" i="13"/>
  <c r="R121" i="13"/>
  <c r="R122" i="13"/>
  <c r="R123" i="13"/>
  <c r="R124" i="13"/>
  <c r="R125" i="13"/>
  <c r="R126" i="13"/>
  <c r="R127" i="13"/>
  <c r="R128" i="13"/>
  <c r="R129" i="13"/>
  <c r="R130" i="13"/>
  <c r="R131" i="13"/>
  <c r="R132" i="13"/>
  <c r="R133" i="13"/>
  <c r="R134" i="13"/>
  <c r="R135" i="13"/>
  <c r="R136" i="13"/>
  <c r="R137" i="13"/>
  <c r="R138" i="13"/>
  <c r="R139" i="13"/>
  <c r="R140" i="13"/>
  <c r="R141" i="13"/>
  <c r="R142" i="13"/>
  <c r="R143" i="13"/>
  <c r="R144" i="13"/>
  <c r="R145" i="13"/>
  <c r="R146" i="13"/>
  <c r="R147" i="13"/>
  <c r="R148" i="13"/>
  <c r="R149" i="13"/>
  <c r="R150" i="13"/>
  <c r="R151" i="13"/>
  <c r="R152" i="13"/>
  <c r="R153" i="13"/>
  <c r="R154" i="13"/>
  <c r="R155" i="13"/>
  <c r="R156" i="13"/>
  <c r="R157" i="13"/>
  <c r="R158" i="13"/>
  <c r="R159" i="13"/>
  <c r="R160" i="13"/>
  <c r="R161" i="13"/>
  <c r="R162" i="13"/>
  <c r="R163" i="13"/>
  <c r="R164" i="13"/>
  <c r="R165" i="13"/>
  <c r="R166" i="13"/>
  <c r="R167" i="13"/>
  <c r="R168" i="13"/>
  <c r="R169" i="13"/>
  <c r="R170" i="13"/>
  <c r="R171" i="13"/>
  <c r="R172" i="13"/>
  <c r="R173" i="13"/>
  <c r="R174" i="13"/>
  <c r="R175" i="13"/>
  <c r="R176" i="13"/>
  <c r="R177" i="13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Q168" i="13"/>
  <c r="Q169" i="13"/>
  <c r="Q170" i="13"/>
  <c r="Q171" i="13"/>
  <c r="Q172" i="13"/>
  <c r="Q173" i="13"/>
  <c r="Q174" i="13"/>
  <c r="Q175" i="13"/>
  <c r="Q176" i="13"/>
  <c r="Q177" i="13"/>
  <c r="P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Q72" i="8"/>
  <c r="Q136" i="8"/>
  <c r="H32" i="8"/>
  <c r="H159" i="8"/>
  <c r="E14" i="8"/>
  <c r="E16" i="8"/>
  <c r="Q16" i="8" s="1"/>
  <c r="E28" i="8"/>
  <c r="E56" i="8"/>
  <c r="E60" i="8"/>
  <c r="E61" i="8"/>
  <c r="E62" i="8"/>
  <c r="E71" i="8"/>
  <c r="E72" i="8"/>
  <c r="E86" i="8"/>
  <c r="E87" i="8"/>
  <c r="E88" i="8"/>
  <c r="E96" i="8"/>
  <c r="E110" i="8"/>
  <c r="E111" i="8"/>
  <c r="E112" i="8"/>
  <c r="E120" i="8"/>
  <c r="E126" i="8"/>
  <c r="Q126" i="8" s="1"/>
  <c r="E127" i="8"/>
  <c r="Q127" i="8" s="1"/>
  <c r="E134" i="8"/>
  <c r="E135" i="8"/>
  <c r="E136" i="8"/>
  <c r="E149" i="8"/>
  <c r="E150" i="8"/>
  <c r="E151" i="8"/>
  <c r="E152" i="8"/>
  <c r="E158" i="8"/>
  <c r="E159" i="8"/>
  <c r="E167" i="8"/>
  <c r="E170" i="8"/>
  <c r="D6" i="8"/>
  <c r="D12" i="8"/>
  <c r="D20" i="8"/>
  <c r="D22" i="8"/>
  <c r="D23" i="8"/>
  <c r="D24" i="8"/>
  <c r="D32" i="8"/>
  <c r="D38" i="8"/>
  <c r="D39" i="8"/>
  <c r="H39" i="8" s="1"/>
  <c r="D40" i="8"/>
  <c r="D48" i="8"/>
  <c r="D50" i="8"/>
  <c r="D56" i="8"/>
  <c r="H56" i="8" s="1"/>
  <c r="D68" i="8"/>
  <c r="D70" i="8"/>
  <c r="D76" i="8"/>
  <c r="D78" i="8"/>
  <c r="D79" i="8"/>
  <c r="D86" i="8"/>
  <c r="D92" i="8"/>
  <c r="D94" i="8"/>
  <c r="H94" i="8" s="1"/>
  <c r="D95" i="8"/>
  <c r="H95" i="8" s="1"/>
  <c r="D96" i="8"/>
  <c r="H96" i="8" s="1"/>
  <c r="D102" i="8"/>
  <c r="D111" i="8"/>
  <c r="H111" i="8" s="1"/>
  <c r="D112" i="8"/>
  <c r="H112" i="8" s="1"/>
  <c r="D114" i="8"/>
  <c r="D130" i="8"/>
  <c r="D134" i="8"/>
  <c r="D135" i="8"/>
  <c r="D142" i="8"/>
  <c r="D148" i="8"/>
  <c r="D150" i="8"/>
  <c r="H150" i="8" s="1"/>
  <c r="D151" i="8"/>
  <c r="H151" i="8" s="1"/>
  <c r="D159" i="8"/>
  <c r="D162" i="8"/>
  <c r="D166" i="8"/>
  <c r="H166" i="8" s="1"/>
  <c r="D167" i="8"/>
  <c r="H167" i="8" s="1"/>
  <c r="D175" i="8"/>
  <c r="C3" i="8"/>
  <c r="C9" i="8"/>
  <c r="C15" i="8"/>
  <c r="C21" i="8"/>
  <c r="C23" i="8"/>
  <c r="C24" i="8"/>
  <c r="C32" i="8"/>
  <c r="C37" i="8"/>
  <c r="C39" i="8"/>
  <c r="C40" i="8"/>
  <c r="Q40" i="8" s="1"/>
  <c r="C47" i="8"/>
  <c r="C48" i="8"/>
  <c r="C51" i="8"/>
  <c r="C57" i="8"/>
  <c r="C64" i="8"/>
  <c r="C69" i="8"/>
  <c r="C73" i="8"/>
  <c r="C85" i="8"/>
  <c r="C87" i="8"/>
  <c r="C88" i="8"/>
  <c r="F88" i="8" s="1"/>
  <c r="C95" i="8"/>
  <c r="C96" i="8"/>
  <c r="C101" i="8"/>
  <c r="C105" i="8"/>
  <c r="C111" i="8"/>
  <c r="C112" i="8"/>
  <c r="C119" i="8"/>
  <c r="C120" i="8"/>
  <c r="F120" i="8" s="1"/>
  <c r="C121" i="8"/>
  <c r="G121" i="8" s="1"/>
  <c r="C133" i="8"/>
  <c r="C137" i="8"/>
  <c r="C143" i="8"/>
  <c r="C149" i="8"/>
  <c r="C155" i="8"/>
  <c r="C159" i="8"/>
  <c r="C160" i="8"/>
  <c r="C167" i="8"/>
  <c r="C168" i="8"/>
  <c r="C169" i="8"/>
  <c r="C175" i="8"/>
  <c r="G175" i="8" s="1"/>
  <c r="B8" i="8"/>
  <c r="B9" i="8"/>
  <c r="B11" i="8"/>
  <c r="B21" i="8"/>
  <c r="B22" i="8"/>
  <c r="B29" i="8"/>
  <c r="B32" i="8"/>
  <c r="B40" i="8"/>
  <c r="B41" i="8"/>
  <c r="B45" i="8"/>
  <c r="B48" i="8"/>
  <c r="B56" i="8"/>
  <c r="B57" i="8"/>
  <c r="B59" i="8"/>
  <c r="B72" i="8"/>
  <c r="B73" i="8"/>
  <c r="B77" i="8"/>
  <c r="B91" i="8"/>
  <c r="B93" i="8"/>
  <c r="B96" i="8"/>
  <c r="B104" i="8"/>
  <c r="B105" i="8"/>
  <c r="B109" i="8"/>
  <c r="B120" i="8"/>
  <c r="B121" i="8"/>
  <c r="B126" i="8"/>
  <c r="B128" i="8"/>
  <c r="B139" i="8"/>
  <c r="B141" i="8"/>
  <c r="B155" i="8"/>
  <c r="B157" i="8"/>
  <c r="B168" i="8"/>
  <c r="B169" i="8"/>
  <c r="B174" i="8"/>
  <c r="B176" i="8"/>
  <c r="N3" i="8"/>
  <c r="N4" i="8"/>
  <c r="N5" i="8"/>
  <c r="N6" i="8"/>
  <c r="E6" i="8" s="1"/>
  <c r="N7" i="8"/>
  <c r="D7" i="8" s="1"/>
  <c r="N8" i="8"/>
  <c r="N9" i="8"/>
  <c r="N10" i="8"/>
  <c r="E10" i="8" s="1"/>
  <c r="N11" i="8"/>
  <c r="N12" i="8"/>
  <c r="N13" i="8"/>
  <c r="N14" i="8"/>
  <c r="D14" i="8" s="1"/>
  <c r="N15" i="8"/>
  <c r="D15" i="8" s="1"/>
  <c r="H15" i="8" s="1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D30" i="8" s="1"/>
  <c r="H30" i="8" s="1"/>
  <c r="N31" i="8"/>
  <c r="D31" i="8" s="1"/>
  <c r="H31" i="8" s="1"/>
  <c r="N32" i="8"/>
  <c r="N33" i="8"/>
  <c r="E33" i="8" s="1"/>
  <c r="N34" i="8"/>
  <c r="D34" i="8" s="1"/>
  <c r="N35" i="8"/>
  <c r="N36" i="8"/>
  <c r="N37" i="8"/>
  <c r="N38" i="8"/>
  <c r="N39" i="8"/>
  <c r="N40" i="8"/>
  <c r="N41" i="8"/>
  <c r="D41" i="8" s="1"/>
  <c r="H41" i="8" s="1"/>
  <c r="N42" i="8"/>
  <c r="N43" i="8"/>
  <c r="N44" i="8"/>
  <c r="N45" i="8"/>
  <c r="N46" i="8"/>
  <c r="E46" i="8" s="1"/>
  <c r="Q46" i="8" s="1"/>
  <c r="N47" i="8"/>
  <c r="D47" i="8" s="1"/>
  <c r="H47" i="8" s="1"/>
  <c r="N48" i="8"/>
  <c r="N49" i="8"/>
  <c r="D49" i="8" s="1"/>
  <c r="N50" i="8"/>
  <c r="N51" i="8"/>
  <c r="N52" i="8"/>
  <c r="N53" i="8"/>
  <c r="N54" i="8"/>
  <c r="E54" i="8" s="1"/>
  <c r="Q54" i="8" s="1"/>
  <c r="N55" i="8"/>
  <c r="N56" i="8"/>
  <c r="N57" i="8"/>
  <c r="D57" i="8" s="1"/>
  <c r="N58" i="8"/>
  <c r="N59" i="8"/>
  <c r="N60" i="8"/>
  <c r="N61" i="8"/>
  <c r="N62" i="8"/>
  <c r="D62" i="8" s="1"/>
  <c r="N63" i="8"/>
  <c r="D63" i="8" s="1"/>
  <c r="N64" i="8"/>
  <c r="N65" i="8"/>
  <c r="D65" i="8" s="1"/>
  <c r="N66" i="8"/>
  <c r="E66" i="8" s="1"/>
  <c r="N67" i="8"/>
  <c r="N68" i="8"/>
  <c r="N69" i="8"/>
  <c r="N70" i="8"/>
  <c r="E70" i="8" s="1"/>
  <c r="N71" i="8"/>
  <c r="D71" i="8" s="1"/>
  <c r="N72" i="8"/>
  <c r="N73" i="8"/>
  <c r="N74" i="8"/>
  <c r="N75" i="8"/>
  <c r="N76" i="8"/>
  <c r="N77" i="8"/>
  <c r="N78" i="8"/>
  <c r="E78" i="8" s="1"/>
  <c r="N79" i="8"/>
  <c r="E79" i="8" s="1"/>
  <c r="N80" i="8"/>
  <c r="N81" i="8"/>
  <c r="N82" i="8"/>
  <c r="N83" i="8"/>
  <c r="N84" i="8"/>
  <c r="N85" i="8"/>
  <c r="N86" i="8"/>
  <c r="N87" i="8"/>
  <c r="D87" i="8" s="1"/>
  <c r="N88" i="8"/>
  <c r="N89" i="8"/>
  <c r="N90" i="8"/>
  <c r="N91" i="8"/>
  <c r="N92" i="8"/>
  <c r="N93" i="8"/>
  <c r="N94" i="8"/>
  <c r="N95" i="8"/>
  <c r="E95" i="8" s="1"/>
  <c r="N96" i="8"/>
  <c r="N97" i="8"/>
  <c r="D97" i="8" s="1"/>
  <c r="N98" i="8"/>
  <c r="N99" i="8"/>
  <c r="N100" i="8"/>
  <c r="N101" i="8"/>
  <c r="N102" i="8"/>
  <c r="E102" i="8" s="1"/>
  <c r="Q102" i="8" s="1"/>
  <c r="N103" i="8"/>
  <c r="E103" i="8" s="1"/>
  <c r="N104" i="8"/>
  <c r="N105" i="8"/>
  <c r="D105" i="8" s="1"/>
  <c r="H105" i="8" s="1"/>
  <c r="N106" i="8"/>
  <c r="E106" i="8" s="1"/>
  <c r="N107" i="8"/>
  <c r="N108" i="8"/>
  <c r="N109" i="8"/>
  <c r="N110" i="8"/>
  <c r="N111" i="8"/>
  <c r="N112" i="8"/>
  <c r="N113" i="8"/>
  <c r="E113" i="8" s="1"/>
  <c r="N114" i="8"/>
  <c r="E114" i="8" s="1"/>
  <c r="N115" i="8"/>
  <c r="N116" i="8"/>
  <c r="N117" i="8"/>
  <c r="N118" i="8"/>
  <c r="N119" i="8"/>
  <c r="N120" i="8"/>
  <c r="N121" i="8"/>
  <c r="D121" i="8" s="1"/>
  <c r="H121" i="8" s="1"/>
  <c r="N122" i="8"/>
  <c r="E122" i="8" s="1"/>
  <c r="N123" i="8"/>
  <c r="N124" i="8"/>
  <c r="N125" i="8"/>
  <c r="N126" i="8"/>
  <c r="D126" i="8" s="1"/>
  <c r="N127" i="8"/>
  <c r="D127" i="8" s="1"/>
  <c r="N128" i="8"/>
  <c r="N129" i="8"/>
  <c r="D129" i="8" s="1"/>
  <c r="H129" i="8" s="1"/>
  <c r="N130" i="8"/>
  <c r="E130" i="8" s="1"/>
  <c r="N131" i="8"/>
  <c r="N132" i="8"/>
  <c r="N133" i="8"/>
  <c r="N134" i="8"/>
  <c r="N135" i="8"/>
  <c r="N136" i="8"/>
  <c r="N137" i="8"/>
  <c r="N138" i="8"/>
  <c r="E138" i="8" s="1"/>
  <c r="N139" i="8"/>
  <c r="N140" i="8"/>
  <c r="N141" i="8"/>
  <c r="N142" i="8"/>
  <c r="E142" i="8" s="1"/>
  <c r="N143" i="8"/>
  <c r="E143" i="8" s="1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D158" i="8" s="1"/>
  <c r="N159" i="8"/>
  <c r="N160" i="8"/>
  <c r="N161" i="8"/>
  <c r="N162" i="8"/>
  <c r="E162" i="8" s="1"/>
  <c r="N163" i="8"/>
  <c r="N164" i="8"/>
  <c r="N165" i="8"/>
  <c r="N166" i="8"/>
  <c r="N167" i="8"/>
  <c r="N168" i="8"/>
  <c r="N169" i="8"/>
  <c r="N170" i="8"/>
  <c r="D170" i="8" s="1"/>
  <c r="H170" i="8" s="1"/>
  <c r="N171" i="8"/>
  <c r="N172" i="8"/>
  <c r="N173" i="8"/>
  <c r="N174" i="8"/>
  <c r="N175" i="8"/>
  <c r="N176" i="8"/>
  <c r="N177" i="8"/>
  <c r="J3" i="8"/>
  <c r="B3" i="8" s="1"/>
  <c r="J4" i="8"/>
  <c r="J5" i="8"/>
  <c r="J6" i="8"/>
  <c r="J7" i="8"/>
  <c r="J8" i="8"/>
  <c r="J9" i="8"/>
  <c r="J10" i="8"/>
  <c r="C10" i="8" s="1"/>
  <c r="J11" i="8"/>
  <c r="C11" i="8" s="1"/>
  <c r="J12" i="8"/>
  <c r="J13" i="8"/>
  <c r="J14" i="8"/>
  <c r="J15" i="8"/>
  <c r="J16" i="8"/>
  <c r="C16" i="8" s="1"/>
  <c r="J17" i="8"/>
  <c r="J18" i="8"/>
  <c r="J19" i="8"/>
  <c r="C19" i="8" s="1"/>
  <c r="J20" i="8"/>
  <c r="J21" i="8"/>
  <c r="J22" i="8"/>
  <c r="J23" i="8"/>
  <c r="J24" i="8"/>
  <c r="B24" i="8" s="1"/>
  <c r="J25" i="8"/>
  <c r="J26" i="8"/>
  <c r="J27" i="8"/>
  <c r="B27" i="8" s="1"/>
  <c r="J28" i="8"/>
  <c r="J29" i="8"/>
  <c r="J30" i="8"/>
  <c r="J31" i="8"/>
  <c r="C31" i="8" s="1"/>
  <c r="J32" i="8"/>
  <c r="J33" i="8"/>
  <c r="J34" i="8"/>
  <c r="J35" i="8"/>
  <c r="C35" i="8" s="1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B51" i="8" s="1"/>
  <c r="J52" i="8"/>
  <c r="J53" i="8"/>
  <c r="J54" i="8"/>
  <c r="J55" i="8"/>
  <c r="C55" i="8" s="1"/>
  <c r="J56" i="8"/>
  <c r="C56" i="8" s="1"/>
  <c r="J57" i="8"/>
  <c r="J58" i="8"/>
  <c r="B58" i="8" s="1"/>
  <c r="J59" i="8"/>
  <c r="C59" i="8" s="1"/>
  <c r="J60" i="8"/>
  <c r="J61" i="8"/>
  <c r="J62" i="8"/>
  <c r="J63" i="8"/>
  <c r="J64" i="8"/>
  <c r="B64" i="8" s="1"/>
  <c r="J65" i="8"/>
  <c r="J66" i="8"/>
  <c r="J67" i="8"/>
  <c r="C67" i="8" s="1"/>
  <c r="J68" i="8"/>
  <c r="J69" i="8"/>
  <c r="J70" i="8"/>
  <c r="J71" i="8"/>
  <c r="J72" i="8"/>
  <c r="J73" i="8"/>
  <c r="J74" i="8"/>
  <c r="C74" i="8" s="1"/>
  <c r="J75" i="8"/>
  <c r="B75" i="8" s="1"/>
  <c r="J76" i="8"/>
  <c r="J77" i="8"/>
  <c r="J78" i="8"/>
  <c r="J79" i="8"/>
  <c r="C79" i="8" s="1"/>
  <c r="G79" i="8" s="1"/>
  <c r="J80" i="8"/>
  <c r="C80" i="8" s="1"/>
  <c r="J81" i="8"/>
  <c r="J82" i="8"/>
  <c r="J83" i="8"/>
  <c r="B83" i="8" s="1"/>
  <c r="J84" i="8"/>
  <c r="J85" i="8"/>
  <c r="J86" i="8"/>
  <c r="J87" i="8"/>
  <c r="J88" i="8"/>
  <c r="B88" i="8" s="1"/>
  <c r="J89" i="8"/>
  <c r="J90" i="8"/>
  <c r="J91" i="8"/>
  <c r="C91" i="8" s="1"/>
  <c r="J92" i="8"/>
  <c r="J93" i="8"/>
  <c r="J94" i="8"/>
  <c r="J95" i="8"/>
  <c r="J96" i="8"/>
  <c r="J97" i="8"/>
  <c r="J98" i="8"/>
  <c r="J99" i="8"/>
  <c r="J100" i="8"/>
  <c r="J101" i="8"/>
  <c r="J102" i="8"/>
  <c r="J103" i="8"/>
  <c r="C103" i="8" s="1"/>
  <c r="J104" i="8"/>
  <c r="C104" i="8" s="1"/>
  <c r="J105" i="8"/>
  <c r="J106" i="8"/>
  <c r="C106" i="8" s="1"/>
  <c r="J107" i="8"/>
  <c r="J108" i="8"/>
  <c r="J109" i="8"/>
  <c r="J110" i="8"/>
  <c r="J111" i="8"/>
  <c r="J112" i="8"/>
  <c r="B112" i="8" s="1"/>
  <c r="J113" i="8"/>
  <c r="J114" i="8"/>
  <c r="J115" i="8"/>
  <c r="J116" i="8"/>
  <c r="J117" i="8"/>
  <c r="J118" i="8"/>
  <c r="J119" i="8"/>
  <c r="J120" i="8"/>
  <c r="J121" i="8"/>
  <c r="J122" i="8"/>
  <c r="C122" i="8" s="1"/>
  <c r="J123" i="8"/>
  <c r="B123" i="8" s="1"/>
  <c r="J124" i="8"/>
  <c r="J125" i="8"/>
  <c r="J126" i="8"/>
  <c r="J127" i="8"/>
  <c r="J128" i="8"/>
  <c r="C128" i="8" s="1"/>
  <c r="J129" i="8"/>
  <c r="J130" i="8"/>
  <c r="J131" i="8"/>
  <c r="B131" i="8" s="1"/>
  <c r="J132" i="8"/>
  <c r="J133" i="8"/>
  <c r="J134" i="8"/>
  <c r="J135" i="8"/>
  <c r="J136" i="8"/>
  <c r="B136" i="8" s="1"/>
  <c r="J137" i="8"/>
  <c r="J138" i="8"/>
  <c r="C138" i="8" s="1"/>
  <c r="J139" i="8"/>
  <c r="C139" i="8" s="1"/>
  <c r="J140" i="8"/>
  <c r="J141" i="8"/>
  <c r="J142" i="8"/>
  <c r="J143" i="8"/>
  <c r="J144" i="8"/>
  <c r="C144" i="8" s="1"/>
  <c r="J145" i="8"/>
  <c r="J146" i="8"/>
  <c r="J147" i="8"/>
  <c r="B147" i="8" s="1"/>
  <c r="J148" i="8"/>
  <c r="J149" i="8"/>
  <c r="J150" i="8"/>
  <c r="J151" i="8"/>
  <c r="C151" i="8" s="1"/>
  <c r="J152" i="8"/>
  <c r="B152" i="8" s="1"/>
  <c r="J153" i="8"/>
  <c r="J154" i="8"/>
  <c r="J155" i="8"/>
  <c r="J156" i="8"/>
  <c r="J157" i="8"/>
  <c r="J158" i="8"/>
  <c r="J159" i="8"/>
  <c r="J160" i="8"/>
  <c r="B160" i="8" s="1"/>
  <c r="J161" i="8"/>
  <c r="J162" i="8"/>
  <c r="J163" i="8"/>
  <c r="C163" i="8" s="1"/>
  <c r="J164" i="8"/>
  <c r="J165" i="8"/>
  <c r="J166" i="8"/>
  <c r="J167" i="8"/>
  <c r="J168" i="8"/>
  <c r="J169" i="8"/>
  <c r="J170" i="8"/>
  <c r="C170" i="8" s="1"/>
  <c r="J171" i="8"/>
  <c r="J172" i="8"/>
  <c r="J173" i="8"/>
  <c r="J174" i="8"/>
  <c r="J175" i="8"/>
  <c r="J176" i="8"/>
  <c r="C176" i="8" s="1"/>
  <c r="J177" i="8"/>
  <c r="M3" i="8"/>
  <c r="E3" i="8" s="1"/>
  <c r="M4" i="8"/>
  <c r="E4" i="8" s="1"/>
  <c r="M5" i="8"/>
  <c r="D5" i="8" s="1"/>
  <c r="M6" i="8"/>
  <c r="M7" i="8"/>
  <c r="M8" i="8"/>
  <c r="M9" i="8"/>
  <c r="M10" i="8"/>
  <c r="M11" i="8"/>
  <c r="E11" i="8" s="1"/>
  <c r="M12" i="8"/>
  <c r="E12" i="8" s="1"/>
  <c r="M13" i="8"/>
  <c r="M14" i="8"/>
  <c r="M15" i="8"/>
  <c r="M16" i="8"/>
  <c r="D16" i="8" s="1"/>
  <c r="H16" i="8" s="1"/>
  <c r="M17" i="8"/>
  <c r="M18" i="8"/>
  <c r="M19" i="8"/>
  <c r="E19" i="8" s="1"/>
  <c r="M20" i="8"/>
  <c r="E20" i="8" s="1"/>
  <c r="M21" i="8"/>
  <c r="M22" i="8"/>
  <c r="M23" i="8"/>
  <c r="M24" i="8"/>
  <c r="E24" i="8" s="1"/>
  <c r="M25" i="8"/>
  <c r="M26" i="8"/>
  <c r="M27" i="8"/>
  <c r="D27" i="8" s="1"/>
  <c r="M28" i="8"/>
  <c r="D28" i="8" s="1"/>
  <c r="M29" i="8"/>
  <c r="M30" i="8"/>
  <c r="M31" i="8"/>
  <c r="M32" i="8"/>
  <c r="E32" i="8" s="1"/>
  <c r="M33" i="8"/>
  <c r="M34" i="8"/>
  <c r="M35" i="8"/>
  <c r="M36" i="8"/>
  <c r="M37" i="8"/>
  <c r="M38" i="8"/>
  <c r="M39" i="8"/>
  <c r="M40" i="8"/>
  <c r="E40" i="8" s="1"/>
  <c r="M41" i="8"/>
  <c r="M42" i="8"/>
  <c r="M43" i="8"/>
  <c r="D43" i="8" s="1"/>
  <c r="M44" i="8"/>
  <c r="D44" i="8" s="1"/>
  <c r="M45" i="8"/>
  <c r="M46" i="8"/>
  <c r="D46" i="8" s="1"/>
  <c r="M47" i="8"/>
  <c r="M48" i="8"/>
  <c r="E48" i="8" s="1"/>
  <c r="M49" i="8"/>
  <c r="M50" i="8"/>
  <c r="E50" i="8" s="1"/>
  <c r="M51" i="8"/>
  <c r="E51" i="8" s="1"/>
  <c r="M52" i="8"/>
  <c r="M53" i="8"/>
  <c r="M54" i="8"/>
  <c r="D54" i="8" s="1"/>
  <c r="M55" i="8"/>
  <c r="M56" i="8"/>
  <c r="M57" i="8"/>
  <c r="M58" i="8"/>
  <c r="M59" i="8"/>
  <c r="M60" i="8"/>
  <c r="D60" i="8" s="1"/>
  <c r="M61" i="8"/>
  <c r="D61" i="8" s="1"/>
  <c r="M62" i="8"/>
  <c r="M63" i="8"/>
  <c r="M64" i="8"/>
  <c r="M65" i="8"/>
  <c r="M66" i="8"/>
  <c r="M67" i="8"/>
  <c r="E67" i="8" s="1"/>
  <c r="M68" i="8"/>
  <c r="E68" i="8" s="1"/>
  <c r="M69" i="8"/>
  <c r="M70" i="8"/>
  <c r="M71" i="8"/>
  <c r="M72" i="8"/>
  <c r="D72" i="8" s="1"/>
  <c r="M73" i="8"/>
  <c r="M74" i="8"/>
  <c r="M75" i="8"/>
  <c r="M76" i="8"/>
  <c r="E76" i="8" s="1"/>
  <c r="M77" i="8"/>
  <c r="M78" i="8"/>
  <c r="M79" i="8"/>
  <c r="M80" i="8"/>
  <c r="M81" i="8"/>
  <c r="M82" i="8"/>
  <c r="M83" i="8"/>
  <c r="E83" i="8" s="1"/>
  <c r="M84" i="8"/>
  <c r="E84" i="8" s="1"/>
  <c r="M85" i="8"/>
  <c r="D85" i="8" s="1"/>
  <c r="M86" i="8"/>
  <c r="M87" i="8"/>
  <c r="M88" i="8"/>
  <c r="D88" i="8" s="1"/>
  <c r="M89" i="8"/>
  <c r="M90" i="8"/>
  <c r="M91" i="8"/>
  <c r="M92" i="8"/>
  <c r="E92" i="8" s="1"/>
  <c r="M93" i="8"/>
  <c r="M94" i="8"/>
  <c r="E94" i="8" s="1"/>
  <c r="M95" i="8"/>
  <c r="M96" i="8"/>
  <c r="M97" i="8"/>
  <c r="M98" i="8"/>
  <c r="M99" i="8"/>
  <c r="M100" i="8"/>
  <c r="M101" i="8"/>
  <c r="M102" i="8"/>
  <c r="M103" i="8"/>
  <c r="M104" i="8"/>
  <c r="E104" i="8" s="1"/>
  <c r="M105" i="8"/>
  <c r="M106" i="8"/>
  <c r="M107" i="8"/>
  <c r="M108" i="8"/>
  <c r="M109" i="8"/>
  <c r="D109" i="8" s="1"/>
  <c r="M110" i="8"/>
  <c r="D110" i="8" s="1"/>
  <c r="M111" i="8"/>
  <c r="M112" i="8"/>
  <c r="M113" i="8"/>
  <c r="M114" i="8"/>
  <c r="M115" i="8"/>
  <c r="M116" i="8"/>
  <c r="M117" i="8"/>
  <c r="M118" i="8"/>
  <c r="E118" i="8" s="1"/>
  <c r="M119" i="8"/>
  <c r="E119" i="8" s="1"/>
  <c r="M120" i="8"/>
  <c r="D120" i="8" s="1"/>
  <c r="M121" i="8"/>
  <c r="M122" i="8"/>
  <c r="M123" i="8"/>
  <c r="E123" i="8" s="1"/>
  <c r="M124" i="8"/>
  <c r="E124" i="8" s="1"/>
  <c r="M125" i="8"/>
  <c r="M126" i="8"/>
  <c r="M127" i="8"/>
  <c r="M128" i="8"/>
  <c r="M129" i="8"/>
  <c r="M130" i="8"/>
  <c r="M131" i="8"/>
  <c r="M132" i="8"/>
  <c r="M133" i="8"/>
  <c r="M134" i="8"/>
  <c r="M135" i="8"/>
  <c r="M136" i="8"/>
  <c r="D136" i="8" s="1"/>
  <c r="M137" i="8"/>
  <c r="M138" i="8"/>
  <c r="M139" i="8"/>
  <c r="E139" i="8" s="1"/>
  <c r="M140" i="8"/>
  <c r="E140" i="8" s="1"/>
  <c r="M141" i="8"/>
  <c r="M142" i="8"/>
  <c r="M143" i="8"/>
  <c r="M144" i="8"/>
  <c r="E144" i="8" s="1"/>
  <c r="M145" i="8"/>
  <c r="M146" i="8"/>
  <c r="M147" i="8"/>
  <c r="E147" i="8" s="1"/>
  <c r="M148" i="8"/>
  <c r="E148" i="8" s="1"/>
  <c r="M149" i="8"/>
  <c r="D149" i="8" s="1"/>
  <c r="M150" i="8"/>
  <c r="M151" i="8"/>
  <c r="M152" i="8"/>
  <c r="D152" i="8" s="1"/>
  <c r="M153" i="8"/>
  <c r="M154" i="8"/>
  <c r="M155" i="8"/>
  <c r="M156" i="8"/>
  <c r="M157" i="8"/>
  <c r="M158" i="8"/>
  <c r="M159" i="8"/>
  <c r="M160" i="8"/>
  <c r="E160" i="8" s="1"/>
  <c r="M161" i="8"/>
  <c r="D161" i="8" s="1"/>
  <c r="M162" i="8"/>
  <c r="M163" i="8"/>
  <c r="M164" i="8"/>
  <c r="M165" i="8"/>
  <c r="M166" i="8"/>
  <c r="E166" i="8" s="1"/>
  <c r="M167" i="8"/>
  <c r="M168" i="8"/>
  <c r="D168" i="8" s="1"/>
  <c r="M169" i="8"/>
  <c r="E169" i="8" s="1"/>
  <c r="M170" i="8"/>
  <c r="M171" i="8"/>
  <c r="D171" i="8" s="1"/>
  <c r="M172" i="8"/>
  <c r="M173" i="8"/>
  <c r="M174" i="8"/>
  <c r="E174" i="8" s="1"/>
  <c r="M175" i="8"/>
  <c r="E175" i="8" s="1"/>
  <c r="M176" i="8"/>
  <c r="E176" i="8" s="1"/>
  <c r="M177" i="8"/>
  <c r="I3" i="8"/>
  <c r="I4" i="8"/>
  <c r="C4" i="8" s="1"/>
  <c r="I5" i="8"/>
  <c r="I6" i="8"/>
  <c r="I7" i="8"/>
  <c r="I8" i="8"/>
  <c r="C8" i="8" s="1"/>
  <c r="I9" i="8"/>
  <c r="I10" i="8"/>
  <c r="I11" i="8"/>
  <c r="I12" i="8"/>
  <c r="B12" i="8" s="1"/>
  <c r="I13" i="8"/>
  <c r="B13" i="8" s="1"/>
  <c r="I14" i="8"/>
  <c r="I15" i="8"/>
  <c r="I16" i="8"/>
  <c r="B16" i="8" s="1"/>
  <c r="I17" i="8"/>
  <c r="C17" i="8" s="1"/>
  <c r="I18" i="8"/>
  <c r="B18" i="8" s="1"/>
  <c r="I19" i="8"/>
  <c r="I20" i="8"/>
  <c r="B20" i="8" s="1"/>
  <c r="I21" i="8"/>
  <c r="I22" i="8"/>
  <c r="C22" i="8" s="1"/>
  <c r="I23" i="8"/>
  <c r="I24" i="8"/>
  <c r="I25" i="8"/>
  <c r="I26" i="8"/>
  <c r="I27" i="8"/>
  <c r="I28" i="8"/>
  <c r="B28" i="8" s="1"/>
  <c r="I29" i="8"/>
  <c r="C29" i="8" s="1"/>
  <c r="I30" i="8"/>
  <c r="C30" i="8" s="1"/>
  <c r="I31" i="8"/>
  <c r="I32" i="8"/>
  <c r="I33" i="8"/>
  <c r="B33" i="8" s="1"/>
  <c r="I34" i="8"/>
  <c r="I35" i="8"/>
  <c r="I36" i="8"/>
  <c r="C36" i="8" s="1"/>
  <c r="I37" i="8"/>
  <c r="B37" i="8" s="1"/>
  <c r="I38" i="8"/>
  <c r="I39" i="8"/>
  <c r="I40" i="8"/>
  <c r="I41" i="8"/>
  <c r="C41" i="8" s="1"/>
  <c r="I42" i="8"/>
  <c r="I43" i="8"/>
  <c r="I44" i="8"/>
  <c r="C44" i="8" s="1"/>
  <c r="I45" i="8"/>
  <c r="C45" i="8" s="1"/>
  <c r="I46" i="8"/>
  <c r="C46" i="8" s="1"/>
  <c r="I47" i="8"/>
  <c r="I48" i="8"/>
  <c r="I49" i="8"/>
  <c r="B49" i="8" s="1"/>
  <c r="I50" i="8"/>
  <c r="I51" i="8"/>
  <c r="I52" i="8"/>
  <c r="I53" i="8"/>
  <c r="C53" i="8" s="1"/>
  <c r="I54" i="8"/>
  <c r="C54" i="8" s="1"/>
  <c r="I55" i="8"/>
  <c r="I56" i="8"/>
  <c r="I57" i="8"/>
  <c r="I58" i="8"/>
  <c r="I59" i="8"/>
  <c r="I60" i="8"/>
  <c r="B60" i="8" s="1"/>
  <c r="I61" i="8"/>
  <c r="I62" i="8"/>
  <c r="I63" i="8"/>
  <c r="C63" i="8" s="1"/>
  <c r="I64" i="8"/>
  <c r="I65" i="8"/>
  <c r="B65" i="8" s="1"/>
  <c r="I66" i="8"/>
  <c r="I67" i="8"/>
  <c r="I68" i="8"/>
  <c r="C68" i="8" s="1"/>
  <c r="I69" i="8"/>
  <c r="B69" i="8" s="1"/>
  <c r="I70" i="8"/>
  <c r="I71" i="8"/>
  <c r="I72" i="8"/>
  <c r="C72" i="8" s="1"/>
  <c r="I73" i="8"/>
  <c r="I74" i="8"/>
  <c r="I75" i="8"/>
  <c r="I76" i="8"/>
  <c r="C76" i="8" s="1"/>
  <c r="I77" i="8"/>
  <c r="C77" i="8" s="1"/>
  <c r="I78" i="8"/>
  <c r="I79" i="8"/>
  <c r="I80" i="8"/>
  <c r="B80" i="8" s="1"/>
  <c r="I81" i="8"/>
  <c r="C81" i="8" s="1"/>
  <c r="I82" i="8"/>
  <c r="B82" i="8" s="1"/>
  <c r="I83" i="8"/>
  <c r="I84" i="8"/>
  <c r="B84" i="8" s="1"/>
  <c r="I85" i="8"/>
  <c r="B85" i="8" s="1"/>
  <c r="I86" i="8"/>
  <c r="I87" i="8"/>
  <c r="I88" i="8"/>
  <c r="I89" i="8"/>
  <c r="I90" i="8"/>
  <c r="B90" i="8" s="1"/>
  <c r="I91" i="8"/>
  <c r="I92" i="8"/>
  <c r="C92" i="8" s="1"/>
  <c r="I93" i="8"/>
  <c r="C93" i="8" s="1"/>
  <c r="I94" i="8"/>
  <c r="C94" i="8" s="1"/>
  <c r="I95" i="8"/>
  <c r="I96" i="8"/>
  <c r="I97" i="8"/>
  <c r="B97" i="8" s="1"/>
  <c r="I98" i="8"/>
  <c r="I99" i="8"/>
  <c r="I100" i="8"/>
  <c r="B100" i="8" s="1"/>
  <c r="I101" i="8"/>
  <c r="B101" i="8" s="1"/>
  <c r="I102" i="8"/>
  <c r="C102" i="8" s="1"/>
  <c r="I103" i="8"/>
  <c r="I104" i="8"/>
  <c r="I105" i="8"/>
  <c r="I106" i="8"/>
  <c r="I107" i="8"/>
  <c r="I108" i="8"/>
  <c r="C108" i="8" s="1"/>
  <c r="I109" i="8"/>
  <c r="C109" i="8" s="1"/>
  <c r="I110" i="8"/>
  <c r="I111" i="8"/>
  <c r="I112" i="8"/>
  <c r="I113" i="8"/>
  <c r="B113" i="8" s="1"/>
  <c r="I114" i="8"/>
  <c r="I115" i="8"/>
  <c r="I116" i="8"/>
  <c r="I117" i="8"/>
  <c r="C117" i="8" s="1"/>
  <c r="I118" i="8"/>
  <c r="C118" i="8" s="1"/>
  <c r="I119" i="8"/>
  <c r="I120" i="8"/>
  <c r="I121" i="8"/>
  <c r="I122" i="8"/>
  <c r="I123" i="8"/>
  <c r="I124" i="8"/>
  <c r="B124" i="8" s="1"/>
  <c r="I125" i="8"/>
  <c r="I126" i="8"/>
  <c r="C126" i="8" s="1"/>
  <c r="I127" i="8"/>
  <c r="C127" i="8" s="1"/>
  <c r="I128" i="8"/>
  <c r="I129" i="8"/>
  <c r="C129" i="8" s="1"/>
  <c r="I130" i="8"/>
  <c r="B130" i="8" s="1"/>
  <c r="I131" i="8"/>
  <c r="I132" i="8"/>
  <c r="C132" i="8" s="1"/>
  <c r="I133" i="8"/>
  <c r="B133" i="8" s="1"/>
  <c r="I134" i="8"/>
  <c r="I135" i="8"/>
  <c r="I136" i="8"/>
  <c r="C136" i="8" s="1"/>
  <c r="I137" i="8"/>
  <c r="B137" i="8" s="1"/>
  <c r="I138" i="8"/>
  <c r="B138" i="8" s="1"/>
  <c r="I139" i="8"/>
  <c r="I140" i="8"/>
  <c r="C140" i="8" s="1"/>
  <c r="I141" i="8"/>
  <c r="C141" i="8" s="1"/>
  <c r="I142" i="8"/>
  <c r="I143" i="8"/>
  <c r="I144" i="8"/>
  <c r="B144" i="8" s="1"/>
  <c r="I145" i="8"/>
  <c r="C145" i="8" s="1"/>
  <c r="I146" i="8"/>
  <c r="B146" i="8" s="1"/>
  <c r="I147" i="8"/>
  <c r="I148" i="8"/>
  <c r="B148" i="8" s="1"/>
  <c r="I149" i="8"/>
  <c r="B149" i="8" s="1"/>
  <c r="I150" i="8"/>
  <c r="C150" i="8" s="1"/>
  <c r="I151" i="8"/>
  <c r="I152" i="8"/>
  <c r="I153" i="8"/>
  <c r="I154" i="8"/>
  <c r="I155" i="8"/>
  <c r="I156" i="8"/>
  <c r="B156" i="8" s="1"/>
  <c r="I157" i="8"/>
  <c r="C157" i="8" s="1"/>
  <c r="I158" i="8"/>
  <c r="I159" i="8"/>
  <c r="I160" i="8"/>
  <c r="I161" i="8"/>
  <c r="B161" i="8" s="1"/>
  <c r="I162" i="8"/>
  <c r="I163" i="8"/>
  <c r="I164" i="8"/>
  <c r="C164" i="8" s="1"/>
  <c r="I165" i="8"/>
  <c r="C165" i="8" s="1"/>
  <c r="I166" i="8"/>
  <c r="C166" i="8" s="1"/>
  <c r="I167" i="8"/>
  <c r="I168" i="8"/>
  <c r="I169" i="8"/>
  <c r="I170" i="8"/>
  <c r="I171" i="8"/>
  <c r="I172" i="8"/>
  <c r="I173" i="8"/>
  <c r="B173" i="8" s="1"/>
  <c r="I174" i="8"/>
  <c r="C174" i="8" s="1"/>
  <c r="I175" i="8"/>
  <c r="I176" i="8"/>
  <c r="I177" i="8"/>
  <c r="C177" i="8" s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Y3" i="10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Y113" i="10"/>
  <c r="Y114" i="10"/>
  <c r="Y115" i="10"/>
  <c r="Y116" i="10"/>
  <c r="Y117" i="10"/>
  <c r="Y118" i="10"/>
  <c r="Y119" i="10"/>
  <c r="Y120" i="10"/>
  <c r="Y121" i="10"/>
  <c r="Y122" i="10"/>
  <c r="Y123" i="10"/>
  <c r="Y124" i="10"/>
  <c r="Y125" i="10"/>
  <c r="Y126" i="10"/>
  <c r="Y127" i="10"/>
  <c r="Y128" i="10"/>
  <c r="Y129" i="10"/>
  <c r="Y130" i="10"/>
  <c r="Y131" i="10"/>
  <c r="Y132" i="10"/>
  <c r="Y133" i="10"/>
  <c r="Y134" i="10"/>
  <c r="Y135" i="10"/>
  <c r="Y136" i="10"/>
  <c r="Y137" i="10"/>
  <c r="Y138" i="10"/>
  <c r="Y139" i="10"/>
  <c r="Y140" i="10"/>
  <c r="Y141" i="10"/>
  <c r="Y142" i="10"/>
  <c r="Y143" i="10"/>
  <c r="Y144" i="10"/>
  <c r="Y145" i="10"/>
  <c r="Y146" i="10"/>
  <c r="Y147" i="10"/>
  <c r="Y148" i="10"/>
  <c r="Y149" i="10"/>
  <c r="Y150" i="10"/>
  <c r="Y151" i="10"/>
  <c r="Y152" i="10"/>
  <c r="Y153" i="10"/>
  <c r="Y154" i="10"/>
  <c r="Y155" i="10"/>
  <c r="Y156" i="10"/>
  <c r="Y157" i="10"/>
  <c r="Y158" i="10"/>
  <c r="Y159" i="10"/>
  <c r="Y160" i="10"/>
  <c r="Y161" i="10"/>
  <c r="Y162" i="10"/>
  <c r="Y163" i="10"/>
  <c r="Y164" i="10"/>
  <c r="Y165" i="10"/>
  <c r="Y166" i="10"/>
  <c r="Y167" i="10"/>
  <c r="Y168" i="10"/>
  <c r="Y169" i="10"/>
  <c r="Y170" i="10"/>
  <c r="Y171" i="10"/>
  <c r="Y172" i="10"/>
  <c r="Y173" i="10"/>
  <c r="Y174" i="10"/>
  <c r="Y175" i="10"/>
  <c r="Y176" i="10"/>
  <c r="Y177" i="10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169" i="10"/>
  <c r="X170" i="10"/>
  <c r="X171" i="10"/>
  <c r="X172" i="10"/>
  <c r="X173" i="10"/>
  <c r="X174" i="10"/>
  <c r="X175" i="10"/>
  <c r="X176" i="10"/>
  <c r="X177" i="10"/>
  <c r="W3" i="10"/>
  <c r="W4" i="10"/>
  <c r="W5" i="10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05" i="10"/>
  <c r="W106" i="10"/>
  <c r="W107" i="10"/>
  <c r="W108" i="10"/>
  <c r="W109" i="10"/>
  <c r="W110" i="10"/>
  <c r="W111" i="10"/>
  <c r="W112" i="10"/>
  <c r="W113" i="10"/>
  <c r="W114" i="10"/>
  <c r="W115" i="10"/>
  <c r="W116" i="10"/>
  <c r="W117" i="10"/>
  <c r="W118" i="10"/>
  <c r="W119" i="10"/>
  <c r="W120" i="10"/>
  <c r="W121" i="10"/>
  <c r="W122" i="10"/>
  <c r="W123" i="10"/>
  <c r="W124" i="10"/>
  <c r="W125" i="10"/>
  <c r="W126" i="10"/>
  <c r="W127" i="10"/>
  <c r="W128" i="10"/>
  <c r="W129" i="10"/>
  <c r="W130" i="10"/>
  <c r="W131" i="10"/>
  <c r="W132" i="10"/>
  <c r="W133" i="10"/>
  <c r="W134" i="10"/>
  <c r="W135" i="10"/>
  <c r="W136" i="10"/>
  <c r="W137" i="10"/>
  <c r="W138" i="10"/>
  <c r="W139" i="10"/>
  <c r="W140" i="10"/>
  <c r="W141" i="10"/>
  <c r="W142" i="10"/>
  <c r="W143" i="10"/>
  <c r="W144" i="10"/>
  <c r="W145" i="10"/>
  <c r="W146" i="10"/>
  <c r="W147" i="10"/>
  <c r="W148" i="10"/>
  <c r="W149" i="10"/>
  <c r="W150" i="10"/>
  <c r="W151" i="10"/>
  <c r="W152" i="10"/>
  <c r="W153" i="10"/>
  <c r="W154" i="10"/>
  <c r="W155" i="10"/>
  <c r="W156" i="10"/>
  <c r="W157" i="10"/>
  <c r="W158" i="10"/>
  <c r="W159" i="10"/>
  <c r="W160" i="10"/>
  <c r="W161" i="10"/>
  <c r="W162" i="10"/>
  <c r="W163" i="10"/>
  <c r="W164" i="10"/>
  <c r="W165" i="10"/>
  <c r="W166" i="10"/>
  <c r="W167" i="10"/>
  <c r="W168" i="10"/>
  <c r="W169" i="10"/>
  <c r="W170" i="10"/>
  <c r="W171" i="10"/>
  <c r="W172" i="10"/>
  <c r="W173" i="10"/>
  <c r="W174" i="10"/>
  <c r="W175" i="10"/>
  <c r="W176" i="10"/>
  <c r="W177" i="10"/>
  <c r="V3" i="10"/>
  <c r="V4" i="10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20" i="10"/>
  <c r="V121" i="10"/>
  <c r="V122" i="10"/>
  <c r="V123" i="10"/>
  <c r="V124" i="10"/>
  <c r="V125" i="10"/>
  <c r="V126" i="10"/>
  <c r="V127" i="10"/>
  <c r="V128" i="10"/>
  <c r="V129" i="10"/>
  <c r="V130" i="10"/>
  <c r="V131" i="10"/>
  <c r="V132" i="10"/>
  <c r="V133" i="10"/>
  <c r="V134" i="10"/>
  <c r="V135" i="10"/>
  <c r="V136" i="10"/>
  <c r="V137" i="10"/>
  <c r="V138" i="10"/>
  <c r="V139" i="10"/>
  <c r="V140" i="10"/>
  <c r="V141" i="10"/>
  <c r="V142" i="10"/>
  <c r="V143" i="10"/>
  <c r="V144" i="10"/>
  <c r="V145" i="10"/>
  <c r="V146" i="10"/>
  <c r="V147" i="10"/>
  <c r="V148" i="10"/>
  <c r="V149" i="10"/>
  <c r="V150" i="10"/>
  <c r="V151" i="10"/>
  <c r="V152" i="10"/>
  <c r="V153" i="10"/>
  <c r="V154" i="10"/>
  <c r="V155" i="10"/>
  <c r="V156" i="10"/>
  <c r="V157" i="10"/>
  <c r="V158" i="10"/>
  <c r="V159" i="10"/>
  <c r="V160" i="10"/>
  <c r="V161" i="10"/>
  <c r="V162" i="10"/>
  <c r="V163" i="10"/>
  <c r="V164" i="10"/>
  <c r="V165" i="10"/>
  <c r="V166" i="10"/>
  <c r="V167" i="10"/>
  <c r="V168" i="10"/>
  <c r="V169" i="10"/>
  <c r="V170" i="10"/>
  <c r="V171" i="10"/>
  <c r="V172" i="10"/>
  <c r="V173" i="10"/>
  <c r="V174" i="10"/>
  <c r="V175" i="10"/>
  <c r="V176" i="10"/>
  <c r="V177" i="10"/>
  <c r="U3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5" i="10"/>
  <c r="U126" i="10"/>
  <c r="U127" i="10"/>
  <c r="U128" i="10"/>
  <c r="U129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170" i="10"/>
  <c r="U171" i="10"/>
  <c r="U172" i="10"/>
  <c r="U173" i="10"/>
  <c r="U174" i="10"/>
  <c r="U175" i="10"/>
  <c r="U176" i="10"/>
  <c r="U177" i="10"/>
  <c r="T3" i="10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E22" i="5"/>
  <c r="D150" i="5"/>
  <c r="B39" i="5"/>
  <c r="B148" i="5"/>
  <c r="B159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D46" i="5" s="1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E62" i="5" s="1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E102" i="5" s="1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C95" i="5" s="1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C159" i="5" s="1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D64" i="5" s="1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D79" i="5" s="1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C16" i="5" s="1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B48" i="5" s="1"/>
  <c r="J49" i="5"/>
  <c r="J50" i="5"/>
  <c r="J51" i="5"/>
  <c r="J52" i="5"/>
  <c r="J53" i="5"/>
  <c r="J54" i="5"/>
  <c r="J55" i="5"/>
  <c r="J56" i="5"/>
  <c r="J57" i="5"/>
  <c r="B57" i="5" s="1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C104" i="5" s="1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B161" i="5" s="1"/>
  <c r="J162" i="5"/>
  <c r="J163" i="5"/>
  <c r="J164" i="5"/>
  <c r="J165" i="5"/>
  <c r="J166" i="5"/>
  <c r="J167" i="5"/>
  <c r="J168" i="5"/>
  <c r="C168" i="5" s="1"/>
  <c r="J169" i="5"/>
  <c r="B169" i="5" s="1"/>
  <c r="J170" i="5"/>
  <c r="J171" i="5"/>
  <c r="J172" i="5"/>
  <c r="J173" i="5"/>
  <c r="J174" i="5"/>
  <c r="J175" i="5"/>
  <c r="J176" i="5"/>
  <c r="J177" i="5"/>
  <c r="M3" i="5"/>
  <c r="M4" i="5"/>
  <c r="M5" i="5"/>
  <c r="M6" i="5"/>
  <c r="M7" i="5"/>
  <c r="M8" i="5"/>
  <c r="M9" i="5"/>
  <c r="M10" i="5"/>
  <c r="E10" i="5" s="1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E26" i="5" s="1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D45" i="5" s="1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D85" i="5" s="1"/>
  <c r="M86" i="5"/>
  <c r="M87" i="5"/>
  <c r="M88" i="5"/>
  <c r="M89" i="5"/>
  <c r="M90" i="5"/>
  <c r="M91" i="5"/>
  <c r="M92" i="5"/>
  <c r="M93" i="5"/>
  <c r="M94" i="5"/>
  <c r="M95" i="5"/>
  <c r="M96" i="5"/>
  <c r="M97" i="5"/>
  <c r="E97" i="5" s="1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D125" i="5" s="1"/>
  <c r="M126" i="5"/>
  <c r="M127" i="5"/>
  <c r="M128" i="5"/>
  <c r="M129" i="5"/>
  <c r="M130" i="5"/>
  <c r="E130" i="5" s="1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D145" i="5" s="1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E164" i="5" s="1"/>
  <c r="M165" i="5"/>
  <c r="D165" i="5" s="1"/>
  <c r="M166" i="5"/>
  <c r="M167" i="5"/>
  <c r="M168" i="5"/>
  <c r="M169" i="5"/>
  <c r="M170" i="5"/>
  <c r="M171" i="5"/>
  <c r="M172" i="5"/>
  <c r="M173" i="5"/>
  <c r="M174" i="5"/>
  <c r="M175" i="5"/>
  <c r="M176" i="5"/>
  <c r="M177" i="5"/>
  <c r="I3" i="5"/>
  <c r="C3" i="5" s="1"/>
  <c r="I4" i="5"/>
  <c r="I5" i="5"/>
  <c r="B5" i="5" s="1"/>
  <c r="I6" i="5"/>
  <c r="I7" i="5"/>
  <c r="I8" i="5"/>
  <c r="I9" i="5"/>
  <c r="I10" i="5"/>
  <c r="I11" i="5"/>
  <c r="I12" i="5"/>
  <c r="C12" i="5" s="1"/>
  <c r="I13" i="5"/>
  <c r="I14" i="5"/>
  <c r="I15" i="5"/>
  <c r="I16" i="5"/>
  <c r="I17" i="5"/>
  <c r="I18" i="5"/>
  <c r="I19" i="5"/>
  <c r="I20" i="5"/>
  <c r="I21" i="5"/>
  <c r="C21" i="5" s="1"/>
  <c r="I22" i="5"/>
  <c r="I23" i="5"/>
  <c r="I24" i="5"/>
  <c r="I25" i="5"/>
  <c r="I26" i="5"/>
  <c r="I27" i="5"/>
  <c r="I28" i="5"/>
  <c r="I29" i="5"/>
  <c r="I30" i="5"/>
  <c r="C30" i="5" s="1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B50" i="5" s="1"/>
  <c r="I51" i="5"/>
  <c r="C51" i="5" s="1"/>
  <c r="I52" i="5"/>
  <c r="I53" i="5"/>
  <c r="I54" i="5"/>
  <c r="I55" i="5"/>
  <c r="I56" i="5"/>
  <c r="I57" i="5"/>
  <c r="I58" i="5"/>
  <c r="I59" i="5"/>
  <c r="B59" i="5" s="1"/>
  <c r="I60" i="5"/>
  <c r="C60" i="5" s="1"/>
  <c r="I61" i="5"/>
  <c r="I62" i="5"/>
  <c r="I63" i="5"/>
  <c r="I64" i="5"/>
  <c r="I65" i="5"/>
  <c r="I66" i="5"/>
  <c r="C66" i="5" s="1"/>
  <c r="I67" i="5"/>
  <c r="C67" i="5" s="1"/>
  <c r="I68" i="5"/>
  <c r="B68" i="5" s="1"/>
  <c r="I69" i="5"/>
  <c r="I70" i="5"/>
  <c r="I71" i="5"/>
  <c r="I72" i="5"/>
  <c r="I73" i="5"/>
  <c r="I74" i="5"/>
  <c r="C74" i="5" s="1"/>
  <c r="I75" i="5"/>
  <c r="C75" i="5" s="1"/>
  <c r="I76" i="5"/>
  <c r="C76" i="5" s="1"/>
  <c r="I77" i="5"/>
  <c r="C77" i="5" s="1"/>
  <c r="I78" i="5"/>
  <c r="C78" i="5" s="1"/>
  <c r="I79" i="5"/>
  <c r="I80" i="5"/>
  <c r="I81" i="5"/>
  <c r="I82" i="5"/>
  <c r="C82" i="5" s="1"/>
  <c r="I83" i="5"/>
  <c r="C83" i="5" s="1"/>
  <c r="I84" i="5"/>
  <c r="C84" i="5" s="1"/>
  <c r="I85" i="5"/>
  <c r="C85" i="5" s="1"/>
  <c r="G85" i="5" s="1"/>
  <c r="I86" i="5"/>
  <c r="C86" i="5" s="1"/>
  <c r="I87" i="5"/>
  <c r="I88" i="5"/>
  <c r="I89" i="5"/>
  <c r="I90" i="5"/>
  <c r="C90" i="5" s="1"/>
  <c r="I91" i="5"/>
  <c r="C91" i="5" s="1"/>
  <c r="I92" i="5"/>
  <c r="C92" i="5" s="1"/>
  <c r="I93" i="5"/>
  <c r="C93" i="5" s="1"/>
  <c r="I94" i="5"/>
  <c r="C94" i="5" s="1"/>
  <c r="I95" i="5"/>
  <c r="I96" i="5"/>
  <c r="I97" i="5"/>
  <c r="I98" i="5"/>
  <c r="C98" i="5" s="1"/>
  <c r="I99" i="5"/>
  <c r="C99" i="5" s="1"/>
  <c r="I100" i="5"/>
  <c r="C100" i="5" s="1"/>
  <c r="I101" i="5"/>
  <c r="C101" i="5" s="1"/>
  <c r="I102" i="5"/>
  <c r="C102" i="5" s="1"/>
  <c r="I103" i="5"/>
  <c r="I104" i="5"/>
  <c r="I105" i="5"/>
  <c r="I106" i="5"/>
  <c r="C106" i="5" s="1"/>
  <c r="I107" i="5"/>
  <c r="C107" i="5" s="1"/>
  <c r="I108" i="5"/>
  <c r="C108" i="5" s="1"/>
  <c r="I109" i="5"/>
  <c r="C109" i="5" s="1"/>
  <c r="I110" i="5"/>
  <c r="C110" i="5" s="1"/>
  <c r="I111" i="5"/>
  <c r="I112" i="5"/>
  <c r="I113" i="5"/>
  <c r="I114" i="5"/>
  <c r="B114" i="5" s="1"/>
  <c r="I115" i="5"/>
  <c r="C115" i="5" s="1"/>
  <c r="I116" i="5"/>
  <c r="C116" i="5" s="1"/>
  <c r="I117" i="5"/>
  <c r="C117" i="5" s="1"/>
  <c r="I118" i="5"/>
  <c r="C118" i="5" s="1"/>
  <c r="I119" i="5"/>
  <c r="I120" i="5"/>
  <c r="I121" i="5"/>
  <c r="I122" i="5"/>
  <c r="C122" i="5" s="1"/>
  <c r="I123" i="5"/>
  <c r="C123" i="5" s="1"/>
  <c r="I124" i="5"/>
  <c r="C124" i="5" s="1"/>
  <c r="I125" i="5"/>
  <c r="C125" i="5" s="1"/>
  <c r="I126" i="5"/>
  <c r="C126" i="5" s="1"/>
  <c r="I127" i="5"/>
  <c r="I128" i="5"/>
  <c r="I129" i="5"/>
  <c r="I130" i="5"/>
  <c r="C130" i="5" s="1"/>
  <c r="I131" i="5"/>
  <c r="C131" i="5" s="1"/>
  <c r="I132" i="5"/>
  <c r="B132" i="5" s="1"/>
  <c r="I133" i="5"/>
  <c r="C133" i="5" s="1"/>
  <c r="I134" i="5"/>
  <c r="C134" i="5" s="1"/>
  <c r="I135" i="5"/>
  <c r="I136" i="5"/>
  <c r="I137" i="5"/>
  <c r="I138" i="5"/>
  <c r="C138" i="5" s="1"/>
  <c r="I139" i="5"/>
  <c r="C139" i="5" s="1"/>
  <c r="I140" i="5"/>
  <c r="C140" i="5" s="1"/>
  <c r="I141" i="5"/>
  <c r="B141" i="5" s="1"/>
  <c r="I142" i="5"/>
  <c r="C142" i="5" s="1"/>
  <c r="I143" i="5"/>
  <c r="I144" i="5"/>
  <c r="I145" i="5"/>
  <c r="I146" i="5"/>
  <c r="C146" i="5" s="1"/>
  <c r="I147" i="5"/>
  <c r="C147" i="5" s="1"/>
  <c r="I148" i="5"/>
  <c r="C148" i="5" s="1"/>
  <c r="I149" i="5"/>
  <c r="C149" i="5" s="1"/>
  <c r="I150" i="5"/>
  <c r="C150" i="5" s="1"/>
  <c r="I151" i="5"/>
  <c r="I152" i="5"/>
  <c r="I153" i="5"/>
  <c r="I154" i="5"/>
  <c r="C154" i="5" s="1"/>
  <c r="I155" i="5"/>
  <c r="C155" i="5" s="1"/>
  <c r="I156" i="5"/>
  <c r="C156" i="5" s="1"/>
  <c r="I157" i="5"/>
  <c r="C157" i="5" s="1"/>
  <c r="I158" i="5"/>
  <c r="C158" i="5" s="1"/>
  <c r="I159" i="5"/>
  <c r="I160" i="5"/>
  <c r="I161" i="5"/>
  <c r="I162" i="5"/>
  <c r="C162" i="5" s="1"/>
  <c r="I163" i="5"/>
  <c r="C163" i="5" s="1"/>
  <c r="I164" i="5"/>
  <c r="C164" i="5" s="1"/>
  <c r="I165" i="5"/>
  <c r="C165" i="5" s="1"/>
  <c r="I166" i="5"/>
  <c r="C166" i="5" s="1"/>
  <c r="I167" i="5"/>
  <c r="B167" i="5" s="1"/>
  <c r="I168" i="5"/>
  <c r="I169" i="5"/>
  <c r="I170" i="5"/>
  <c r="C170" i="5" s="1"/>
  <c r="I171" i="5"/>
  <c r="C171" i="5" s="1"/>
  <c r="I172" i="5"/>
  <c r="C172" i="5" s="1"/>
  <c r="I173" i="5"/>
  <c r="C173" i="5" s="1"/>
  <c r="I174" i="5"/>
  <c r="C174" i="5" s="1"/>
  <c r="I175" i="5"/>
  <c r="B175" i="5" s="1"/>
  <c r="I176" i="5"/>
  <c r="I177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K3" i="7"/>
  <c r="AK4" i="7"/>
  <c r="AK5" i="7"/>
  <c r="AK6" i="7"/>
  <c r="AK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39" i="7"/>
  <c r="AK40" i="7"/>
  <c r="AK41" i="7"/>
  <c r="AK42" i="7"/>
  <c r="AK43" i="7"/>
  <c r="AK44" i="7"/>
  <c r="AK45" i="7"/>
  <c r="AK46" i="7"/>
  <c r="AK47" i="7"/>
  <c r="AK48" i="7"/>
  <c r="AK49" i="7"/>
  <c r="AK50" i="7"/>
  <c r="AK51" i="7"/>
  <c r="AK52" i="7"/>
  <c r="AK53" i="7"/>
  <c r="AK54" i="7"/>
  <c r="AK55" i="7"/>
  <c r="AK56" i="7"/>
  <c r="AK57" i="7"/>
  <c r="AK58" i="7"/>
  <c r="AK59" i="7"/>
  <c r="AK60" i="7"/>
  <c r="AK61" i="7"/>
  <c r="AK62" i="7"/>
  <c r="AK63" i="7"/>
  <c r="AK64" i="7"/>
  <c r="AK65" i="7"/>
  <c r="AK66" i="7"/>
  <c r="AK67" i="7"/>
  <c r="AK68" i="7"/>
  <c r="AK69" i="7"/>
  <c r="AK70" i="7"/>
  <c r="AK71" i="7"/>
  <c r="AK72" i="7"/>
  <c r="AK73" i="7"/>
  <c r="AK74" i="7"/>
  <c r="AK75" i="7"/>
  <c r="AK76" i="7"/>
  <c r="AK77" i="7"/>
  <c r="AK78" i="7"/>
  <c r="AK79" i="7"/>
  <c r="AK80" i="7"/>
  <c r="AK81" i="7"/>
  <c r="AK82" i="7"/>
  <c r="AK83" i="7"/>
  <c r="AK84" i="7"/>
  <c r="AK85" i="7"/>
  <c r="AK86" i="7"/>
  <c r="AK87" i="7"/>
  <c r="AK88" i="7"/>
  <c r="AK89" i="7"/>
  <c r="AK90" i="7"/>
  <c r="AK91" i="7"/>
  <c r="AK92" i="7"/>
  <c r="AK93" i="7"/>
  <c r="AK94" i="7"/>
  <c r="AK95" i="7"/>
  <c r="AK96" i="7"/>
  <c r="AK97" i="7"/>
  <c r="AK98" i="7"/>
  <c r="AK99" i="7"/>
  <c r="AK100" i="7"/>
  <c r="AK101" i="7"/>
  <c r="AK102" i="7"/>
  <c r="AK103" i="7"/>
  <c r="AK104" i="7"/>
  <c r="AK105" i="7"/>
  <c r="AK106" i="7"/>
  <c r="AK107" i="7"/>
  <c r="AK108" i="7"/>
  <c r="AK109" i="7"/>
  <c r="AK110" i="7"/>
  <c r="AK111" i="7"/>
  <c r="AK112" i="7"/>
  <c r="AK113" i="7"/>
  <c r="AK114" i="7"/>
  <c r="AK115" i="7"/>
  <c r="AK116" i="7"/>
  <c r="AK117" i="7"/>
  <c r="AK118" i="7"/>
  <c r="AK119" i="7"/>
  <c r="AK120" i="7"/>
  <c r="AK121" i="7"/>
  <c r="AK122" i="7"/>
  <c r="AK123" i="7"/>
  <c r="AK124" i="7"/>
  <c r="AK125" i="7"/>
  <c r="AK126" i="7"/>
  <c r="AK127" i="7"/>
  <c r="AK128" i="7"/>
  <c r="AK129" i="7"/>
  <c r="AK130" i="7"/>
  <c r="AK131" i="7"/>
  <c r="AK132" i="7"/>
  <c r="AK133" i="7"/>
  <c r="AK134" i="7"/>
  <c r="AK135" i="7"/>
  <c r="AK136" i="7"/>
  <c r="AK137" i="7"/>
  <c r="AK138" i="7"/>
  <c r="AK139" i="7"/>
  <c r="AK140" i="7"/>
  <c r="AK141" i="7"/>
  <c r="AK142" i="7"/>
  <c r="AK143" i="7"/>
  <c r="AK144" i="7"/>
  <c r="AK145" i="7"/>
  <c r="AK146" i="7"/>
  <c r="AK147" i="7"/>
  <c r="AK148" i="7"/>
  <c r="AK149" i="7"/>
  <c r="AK150" i="7"/>
  <c r="AK151" i="7"/>
  <c r="AK152" i="7"/>
  <c r="AK153" i="7"/>
  <c r="AK154" i="7"/>
  <c r="AK155" i="7"/>
  <c r="AK156" i="7"/>
  <c r="AK157" i="7"/>
  <c r="AK158" i="7"/>
  <c r="AK159" i="7"/>
  <c r="AK160" i="7"/>
  <c r="AK161" i="7"/>
  <c r="AK162" i="7"/>
  <c r="AK163" i="7"/>
  <c r="AK164" i="7"/>
  <c r="AK165" i="7"/>
  <c r="AK166" i="7"/>
  <c r="AK167" i="7"/>
  <c r="AK168" i="7"/>
  <c r="AK169" i="7"/>
  <c r="AK170" i="7"/>
  <c r="AK171" i="7"/>
  <c r="AK172" i="7"/>
  <c r="AK173" i="7"/>
  <c r="AK174" i="7"/>
  <c r="AK175" i="7"/>
  <c r="AK176" i="7"/>
  <c r="AK177" i="7"/>
  <c r="AJ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35" i="7"/>
  <c r="AJ36" i="7"/>
  <c r="AJ37" i="7"/>
  <c r="AJ38" i="7"/>
  <c r="AJ39" i="7"/>
  <c r="AJ40" i="7"/>
  <c r="AJ41" i="7"/>
  <c r="AJ42" i="7"/>
  <c r="AJ43" i="7"/>
  <c r="AJ44" i="7"/>
  <c r="AJ45" i="7"/>
  <c r="AJ46" i="7"/>
  <c r="AJ47" i="7"/>
  <c r="AJ48" i="7"/>
  <c r="AJ49" i="7"/>
  <c r="AJ50" i="7"/>
  <c r="AJ51" i="7"/>
  <c r="AJ52" i="7"/>
  <c r="AJ53" i="7"/>
  <c r="AJ54" i="7"/>
  <c r="AJ55" i="7"/>
  <c r="AJ56" i="7"/>
  <c r="AJ57" i="7"/>
  <c r="AJ58" i="7"/>
  <c r="AJ59" i="7"/>
  <c r="AJ60" i="7"/>
  <c r="AJ61" i="7"/>
  <c r="AJ62" i="7"/>
  <c r="AJ63" i="7"/>
  <c r="AJ64" i="7"/>
  <c r="AJ65" i="7"/>
  <c r="AJ66" i="7"/>
  <c r="AJ67" i="7"/>
  <c r="AJ68" i="7"/>
  <c r="AJ69" i="7"/>
  <c r="AJ70" i="7"/>
  <c r="AJ71" i="7"/>
  <c r="AJ72" i="7"/>
  <c r="AJ73" i="7"/>
  <c r="AJ74" i="7"/>
  <c r="AJ75" i="7"/>
  <c r="AJ76" i="7"/>
  <c r="AJ77" i="7"/>
  <c r="AJ78" i="7"/>
  <c r="AJ79" i="7"/>
  <c r="AJ80" i="7"/>
  <c r="AJ81" i="7"/>
  <c r="AJ82" i="7"/>
  <c r="AJ83" i="7"/>
  <c r="AJ84" i="7"/>
  <c r="AJ85" i="7"/>
  <c r="AJ86" i="7"/>
  <c r="AJ87" i="7"/>
  <c r="AJ88" i="7"/>
  <c r="AJ89" i="7"/>
  <c r="AJ90" i="7"/>
  <c r="AJ91" i="7"/>
  <c r="AJ92" i="7"/>
  <c r="AJ93" i="7"/>
  <c r="AJ94" i="7"/>
  <c r="AJ95" i="7"/>
  <c r="AJ96" i="7"/>
  <c r="AJ97" i="7"/>
  <c r="AJ98" i="7"/>
  <c r="AJ99" i="7"/>
  <c r="AJ100" i="7"/>
  <c r="AJ101" i="7"/>
  <c r="AJ102" i="7"/>
  <c r="AJ103" i="7"/>
  <c r="AJ104" i="7"/>
  <c r="AJ105" i="7"/>
  <c r="AJ106" i="7"/>
  <c r="AJ107" i="7"/>
  <c r="AJ108" i="7"/>
  <c r="AJ109" i="7"/>
  <c r="AJ110" i="7"/>
  <c r="AJ111" i="7"/>
  <c r="AJ112" i="7"/>
  <c r="AJ113" i="7"/>
  <c r="AJ114" i="7"/>
  <c r="AJ115" i="7"/>
  <c r="AJ116" i="7"/>
  <c r="AJ117" i="7"/>
  <c r="AJ118" i="7"/>
  <c r="AJ119" i="7"/>
  <c r="AJ120" i="7"/>
  <c r="AJ121" i="7"/>
  <c r="AJ122" i="7"/>
  <c r="AJ123" i="7"/>
  <c r="AJ124" i="7"/>
  <c r="AJ125" i="7"/>
  <c r="AJ126" i="7"/>
  <c r="AJ127" i="7"/>
  <c r="AJ128" i="7"/>
  <c r="AJ129" i="7"/>
  <c r="AJ130" i="7"/>
  <c r="AJ131" i="7"/>
  <c r="AJ132" i="7"/>
  <c r="AJ133" i="7"/>
  <c r="AJ134" i="7"/>
  <c r="AJ135" i="7"/>
  <c r="AJ136" i="7"/>
  <c r="AJ137" i="7"/>
  <c r="AJ138" i="7"/>
  <c r="AJ139" i="7"/>
  <c r="AJ140" i="7"/>
  <c r="AJ141" i="7"/>
  <c r="AJ142" i="7"/>
  <c r="AJ143" i="7"/>
  <c r="AJ144" i="7"/>
  <c r="AJ145" i="7"/>
  <c r="AJ146" i="7"/>
  <c r="AJ147" i="7"/>
  <c r="AJ148" i="7"/>
  <c r="AJ149" i="7"/>
  <c r="AJ150" i="7"/>
  <c r="AJ151" i="7"/>
  <c r="AJ152" i="7"/>
  <c r="AJ153" i="7"/>
  <c r="AJ154" i="7"/>
  <c r="AJ155" i="7"/>
  <c r="AJ156" i="7"/>
  <c r="AJ157" i="7"/>
  <c r="AJ158" i="7"/>
  <c r="AJ159" i="7"/>
  <c r="AJ160" i="7"/>
  <c r="AJ161" i="7"/>
  <c r="AJ162" i="7"/>
  <c r="AJ163" i="7"/>
  <c r="AJ164" i="7"/>
  <c r="AJ165" i="7"/>
  <c r="AJ166" i="7"/>
  <c r="AJ167" i="7"/>
  <c r="AJ168" i="7"/>
  <c r="AJ169" i="7"/>
  <c r="AJ170" i="7"/>
  <c r="AJ171" i="7"/>
  <c r="AJ172" i="7"/>
  <c r="AJ173" i="7"/>
  <c r="AJ174" i="7"/>
  <c r="AJ175" i="7"/>
  <c r="AJ176" i="7"/>
  <c r="AJ177" i="7"/>
  <c r="AI3" i="7"/>
  <c r="AI4" i="7"/>
  <c r="AI5" i="7"/>
  <c r="AI6" i="7"/>
  <c r="AI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41" i="7"/>
  <c r="AI42" i="7"/>
  <c r="AI43" i="7"/>
  <c r="AI44" i="7"/>
  <c r="AI45" i="7"/>
  <c r="AI46" i="7"/>
  <c r="AI47" i="7"/>
  <c r="AI48" i="7"/>
  <c r="AI49" i="7"/>
  <c r="AI50" i="7"/>
  <c r="AI51" i="7"/>
  <c r="AI52" i="7"/>
  <c r="AI53" i="7"/>
  <c r="AI54" i="7"/>
  <c r="AI55" i="7"/>
  <c r="AI56" i="7"/>
  <c r="AI57" i="7"/>
  <c r="AI58" i="7"/>
  <c r="AI59" i="7"/>
  <c r="AI60" i="7"/>
  <c r="AI61" i="7"/>
  <c r="AI62" i="7"/>
  <c r="AI63" i="7"/>
  <c r="AI64" i="7"/>
  <c r="AI65" i="7"/>
  <c r="AI66" i="7"/>
  <c r="AI67" i="7"/>
  <c r="AI68" i="7"/>
  <c r="AI69" i="7"/>
  <c r="AI70" i="7"/>
  <c r="AI71" i="7"/>
  <c r="AI72" i="7"/>
  <c r="AI73" i="7"/>
  <c r="AI74" i="7"/>
  <c r="AI75" i="7"/>
  <c r="AI76" i="7"/>
  <c r="AI77" i="7"/>
  <c r="AI78" i="7"/>
  <c r="AI79" i="7"/>
  <c r="AI80" i="7"/>
  <c r="AI81" i="7"/>
  <c r="AI82" i="7"/>
  <c r="AI83" i="7"/>
  <c r="AI84" i="7"/>
  <c r="AI85" i="7"/>
  <c r="AI86" i="7"/>
  <c r="AI87" i="7"/>
  <c r="AI88" i="7"/>
  <c r="AI89" i="7"/>
  <c r="AI90" i="7"/>
  <c r="AI91" i="7"/>
  <c r="AI92" i="7"/>
  <c r="AI93" i="7"/>
  <c r="AI94" i="7"/>
  <c r="AI95" i="7"/>
  <c r="AI96" i="7"/>
  <c r="AI97" i="7"/>
  <c r="AI98" i="7"/>
  <c r="AI99" i="7"/>
  <c r="AI100" i="7"/>
  <c r="AI101" i="7"/>
  <c r="AI102" i="7"/>
  <c r="AI103" i="7"/>
  <c r="AI104" i="7"/>
  <c r="AI105" i="7"/>
  <c r="AI106" i="7"/>
  <c r="AI107" i="7"/>
  <c r="AI108" i="7"/>
  <c r="AI109" i="7"/>
  <c r="AI110" i="7"/>
  <c r="AI111" i="7"/>
  <c r="AI112" i="7"/>
  <c r="AI113" i="7"/>
  <c r="AI114" i="7"/>
  <c r="AI115" i="7"/>
  <c r="AI116" i="7"/>
  <c r="AI117" i="7"/>
  <c r="AI118" i="7"/>
  <c r="AI119" i="7"/>
  <c r="AI120" i="7"/>
  <c r="AI121" i="7"/>
  <c r="AI122" i="7"/>
  <c r="AI123" i="7"/>
  <c r="AI124" i="7"/>
  <c r="AI125" i="7"/>
  <c r="AI126" i="7"/>
  <c r="AI127" i="7"/>
  <c r="AI128" i="7"/>
  <c r="AI129" i="7"/>
  <c r="AI130" i="7"/>
  <c r="AI131" i="7"/>
  <c r="AI132" i="7"/>
  <c r="AI133" i="7"/>
  <c r="AI134" i="7"/>
  <c r="AI135" i="7"/>
  <c r="AI136" i="7"/>
  <c r="AI137" i="7"/>
  <c r="AI138" i="7"/>
  <c r="AI139" i="7"/>
  <c r="AI140" i="7"/>
  <c r="AI141" i="7"/>
  <c r="AI142" i="7"/>
  <c r="AI143" i="7"/>
  <c r="AI144" i="7"/>
  <c r="AI145" i="7"/>
  <c r="AI146" i="7"/>
  <c r="AI147" i="7"/>
  <c r="AI148" i="7"/>
  <c r="AI149" i="7"/>
  <c r="AI150" i="7"/>
  <c r="AI151" i="7"/>
  <c r="AI152" i="7"/>
  <c r="AI153" i="7"/>
  <c r="AI154" i="7"/>
  <c r="AI155" i="7"/>
  <c r="AI156" i="7"/>
  <c r="AI157" i="7"/>
  <c r="AI158" i="7"/>
  <c r="AI159" i="7"/>
  <c r="AI160" i="7"/>
  <c r="AI161" i="7"/>
  <c r="AI162" i="7"/>
  <c r="AI163" i="7"/>
  <c r="AI164" i="7"/>
  <c r="AI165" i="7"/>
  <c r="AI166" i="7"/>
  <c r="AI167" i="7"/>
  <c r="AI168" i="7"/>
  <c r="AI169" i="7"/>
  <c r="AI170" i="7"/>
  <c r="AI171" i="7"/>
  <c r="AI172" i="7"/>
  <c r="AI173" i="7"/>
  <c r="AI174" i="7"/>
  <c r="AI175" i="7"/>
  <c r="AI176" i="7"/>
  <c r="AI177" i="7"/>
  <c r="AH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98" i="7"/>
  <c r="AH99" i="7"/>
  <c r="AH100" i="7"/>
  <c r="AH101" i="7"/>
  <c r="AH102" i="7"/>
  <c r="AH103" i="7"/>
  <c r="AH104" i="7"/>
  <c r="AH105" i="7"/>
  <c r="AH106" i="7"/>
  <c r="AH107" i="7"/>
  <c r="AH108" i="7"/>
  <c r="AH109" i="7"/>
  <c r="AH110" i="7"/>
  <c r="AH111" i="7"/>
  <c r="AH112" i="7"/>
  <c r="AH113" i="7"/>
  <c r="AH114" i="7"/>
  <c r="AH115" i="7"/>
  <c r="AH116" i="7"/>
  <c r="AH117" i="7"/>
  <c r="AH118" i="7"/>
  <c r="AH119" i="7"/>
  <c r="AH120" i="7"/>
  <c r="AH121" i="7"/>
  <c r="AH122" i="7"/>
  <c r="AH123" i="7"/>
  <c r="AH124" i="7"/>
  <c r="AH125" i="7"/>
  <c r="AH126" i="7"/>
  <c r="AH127" i="7"/>
  <c r="AH128" i="7"/>
  <c r="AH129" i="7"/>
  <c r="AH130" i="7"/>
  <c r="AH131" i="7"/>
  <c r="AH132" i="7"/>
  <c r="AH133" i="7"/>
  <c r="AH134" i="7"/>
  <c r="AH135" i="7"/>
  <c r="AH136" i="7"/>
  <c r="AH137" i="7"/>
  <c r="AH138" i="7"/>
  <c r="AH139" i="7"/>
  <c r="AH140" i="7"/>
  <c r="AH141" i="7"/>
  <c r="AH142" i="7"/>
  <c r="AH143" i="7"/>
  <c r="AH144" i="7"/>
  <c r="AH145" i="7"/>
  <c r="AH146" i="7"/>
  <c r="AH147" i="7"/>
  <c r="AH148" i="7"/>
  <c r="AH149" i="7"/>
  <c r="AH150" i="7"/>
  <c r="AH151" i="7"/>
  <c r="AH152" i="7"/>
  <c r="AH153" i="7"/>
  <c r="AH154" i="7"/>
  <c r="AH155" i="7"/>
  <c r="AH156" i="7"/>
  <c r="AH157" i="7"/>
  <c r="AH158" i="7"/>
  <c r="AH159" i="7"/>
  <c r="AH160" i="7"/>
  <c r="AH161" i="7"/>
  <c r="AH162" i="7"/>
  <c r="AH163" i="7"/>
  <c r="AH164" i="7"/>
  <c r="AH165" i="7"/>
  <c r="AH166" i="7"/>
  <c r="AH167" i="7"/>
  <c r="AH168" i="7"/>
  <c r="AH169" i="7"/>
  <c r="AH170" i="7"/>
  <c r="AH171" i="7"/>
  <c r="AH172" i="7"/>
  <c r="AH173" i="7"/>
  <c r="AH174" i="7"/>
  <c r="AH175" i="7"/>
  <c r="AH176" i="7"/>
  <c r="AH177" i="7"/>
  <c r="AG3" i="7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81" i="7"/>
  <c r="AG82" i="7"/>
  <c r="AG83" i="7"/>
  <c r="AG84" i="7"/>
  <c r="AG85" i="7"/>
  <c r="AG86" i="7"/>
  <c r="AG87" i="7"/>
  <c r="AG88" i="7"/>
  <c r="AG89" i="7"/>
  <c r="AG90" i="7"/>
  <c r="AG91" i="7"/>
  <c r="AG92" i="7"/>
  <c r="AG93" i="7"/>
  <c r="AG94" i="7"/>
  <c r="AG95" i="7"/>
  <c r="AG96" i="7"/>
  <c r="AG97" i="7"/>
  <c r="AG98" i="7"/>
  <c r="AG99" i="7"/>
  <c r="AG100" i="7"/>
  <c r="AG101" i="7"/>
  <c r="AG102" i="7"/>
  <c r="AG103" i="7"/>
  <c r="AG104" i="7"/>
  <c r="AG105" i="7"/>
  <c r="AG106" i="7"/>
  <c r="AG107" i="7"/>
  <c r="AG108" i="7"/>
  <c r="AG109" i="7"/>
  <c r="AG110" i="7"/>
  <c r="AG111" i="7"/>
  <c r="AG112" i="7"/>
  <c r="AG113" i="7"/>
  <c r="AG114" i="7"/>
  <c r="AG115" i="7"/>
  <c r="AG116" i="7"/>
  <c r="AG117" i="7"/>
  <c r="AG118" i="7"/>
  <c r="AG119" i="7"/>
  <c r="AG120" i="7"/>
  <c r="AG121" i="7"/>
  <c r="AG122" i="7"/>
  <c r="AG123" i="7"/>
  <c r="AG124" i="7"/>
  <c r="AG125" i="7"/>
  <c r="AG126" i="7"/>
  <c r="AG127" i="7"/>
  <c r="AG128" i="7"/>
  <c r="AG129" i="7"/>
  <c r="AG130" i="7"/>
  <c r="AG131" i="7"/>
  <c r="AG132" i="7"/>
  <c r="AG133" i="7"/>
  <c r="AG134" i="7"/>
  <c r="AG135" i="7"/>
  <c r="AG136" i="7"/>
  <c r="AG137" i="7"/>
  <c r="AG138" i="7"/>
  <c r="AG139" i="7"/>
  <c r="AG140" i="7"/>
  <c r="AG141" i="7"/>
  <c r="AG142" i="7"/>
  <c r="AG143" i="7"/>
  <c r="AG144" i="7"/>
  <c r="AG145" i="7"/>
  <c r="AG146" i="7"/>
  <c r="AG147" i="7"/>
  <c r="AG148" i="7"/>
  <c r="AG149" i="7"/>
  <c r="AG150" i="7"/>
  <c r="AG151" i="7"/>
  <c r="AG152" i="7"/>
  <c r="AG153" i="7"/>
  <c r="AG154" i="7"/>
  <c r="AG155" i="7"/>
  <c r="AG156" i="7"/>
  <c r="AG157" i="7"/>
  <c r="AG158" i="7"/>
  <c r="AG159" i="7"/>
  <c r="AG160" i="7"/>
  <c r="AG161" i="7"/>
  <c r="AG162" i="7"/>
  <c r="AG163" i="7"/>
  <c r="AG164" i="7"/>
  <c r="AG165" i="7"/>
  <c r="AG166" i="7"/>
  <c r="AG167" i="7"/>
  <c r="AG168" i="7"/>
  <c r="AG169" i="7"/>
  <c r="AG170" i="7"/>
  <c r="AG171" i="7"/>
  <c r="AG172" i="7"/>
  <c r="AG173" i="7"/>
  <c r="AG174" i="7"/>
  <c r="AG175" i="7"/>
  <c r="AG176" i="7"/>
  <c r="AG177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F124" i="7"/>
  <c r="AF125" i="7"/>
  <c r="AF126" i="7"/>
  <c r="AF127" i="7"/>
  <c r="AF128" i="7"/>
  <c r="AF129" i="7"/>
  <c r="AF130" i="7"/>
  <c r="AF131" i="7"/>
  <c r="AF132" i="7"/>
  <c r="AF133" i="7"/>
  <c r="AF134" i="7"/>
  <c r="AF135" i="7"/>
  <c r="AF136" i="7"/>
  <c r="AF137" i="7"/>
  <c r="AF138" i="7"/>
  <c r="AF139" i="7"/>
  <c r="AF140" i="7"/>
  <c r="AF141" i="7"/>
  <c r="AF142" i="7"/>
  <c r="AF143" i="7"/>
  <c r="AF144" i="7"/>
  <c r="AF145" i="7"/>
  <c r="AF146" i="7"/>
  <c r="AF147" i="7"/>
  <c r="AF148" i="7"/>
  <c r="AF149" i="7"/>
  <c r="AF150" i="7"/>
  <c r="AF151" i="7"/>
  <c r="AF152" i="7"/>
  <c r="AF153" i="7"/>
  <c r="AF154" i="7"/>
  <c r="AF155" i="7"/>
  <c r="AF156" i="7"/>
  <c r="AF157" i="7"/>
  <c r="AF158" i="7"/>
  <c r="AF159" i="7"/>
  <c r="AF160" i="7"/>
  <c r="AF161" i="7"/>
  <c r="AF162" i="7"/>
  <c r="AF163" i="7"/>
  <c r="AF164" i="7"/>
  <c r="AF165" i="7"/>
  <c r="AF166" i="7"/>
  <c r="AF167" i="7"/>
  <c r="AF168" i="7"/>
  <c r="AF169" i="7"/>
  <c r="AF170" i="7"/>
  <c r="AF171" i="7"/>
  <c r="AF172" i="7"/>
  <c r="AF173" i="7"/>
  <c r="AF174" i="7"/>
  <c r="AF175" i="7"/>
  <c r="AF176" i="7"/>
  <c r="AF177" i="7"/>
  <c r="AE3" i="7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AE115" i="7"/>
  <c r="AE116" i="7"/>
  <c r="AE117" i="7"/>
  <c r="AE118" i="7"/>
  <c r="AE119" i="7"/>
  <c r="AE120" i="7"/>
  <c r="AE121" i="7"/>
  <c r="AE122" i="7"/>
  <c r="AE123" i="7"/>
  <c r="AE124" i="7"/>
  <c r="AE125" i="7"/>
  <c r="AE126" i="7"/>
  <c r="AE127" i="7"/>
  <c r="AE128" i="7"/>
  <c r="AE129" i="7"/>
  <c r="AE130" i="7"/>
  <c r="AE131" i="7"/>
  <c r="AE132" i="7"/>
  <c r="AE133" i="7"/>
  <c r="AE134" i="7"/>
  <c r="AE135" i="7"/>
  <c r="AE136" i="7"/>
  <c r="AE137" i="7"/>
  <c r="AE138" i="7"/>
  <c r="AE139" i="7"/>
  <c r="AE140" i="7"/>
  <c r="AE141" i="7"/>
  <c r="AE142" i="7"/>
  <c r="AE143" i="7"/>
  <c r="AE144" i="7"/>
  <c r="AE145" i="7"/>
  <c r="AE146" i="7"/>
  <c r="AE147" i="7"/>
  <c r="AE148" i="7"/>
  <c r="AE149" i="7"/>
  <c r="AE150" i="7"/>
  <c r="AE151" i="7"/>
  <c r="AE152" i="7"/>
  <c r="AE153" i="7"/>
  <c r="AE154" i="7"/>
  <c r="AE155" i="7"/>
  <c r="AE156" i="7"/>
  <c r="AE157" i="7"/>
  <c r="AE158" i="7"/>
  <c r="AE159" i="7"/>
  <c r="AE160" i="7"/>
  <c r="AE161" i="7"/>
  <c r="AE162" i="7"/>
  <c r="AE163" i="7"/>
  <c r="AE164" i="7"/>
  <c r="AE165" i="7"/>
  <c r="AE166" i="7"/>
  <c r="AE167" i="7"/>
  <c r="AE168" i="7"/>
  <c r="AE169" i="7"/>
  <c r="AE170" i="7"/>
  <c r="AE171" i="7"/>
  <c r="AE172" i="7"/>
  <c r="AE173" i="7"/>
  <c r="AE174" i="7"/>
  <c r="AE175" i="7"/>
  <c r="AE176" i="7"/>
  <c r="AE177" i="7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127" i="7"/>
  <c r="AD128" i="7"/>
  <c r="AD129" i="7"/>
  <c r="AD130" i="7"/>
  <c r="AD131" i="7"/>
  <c r="AD132" i="7"/>
  <c r="AD133" i="7"/>
  <c r="AD134" i="7"/>
  <c r="AD135" i="7"/>
  <c r="AD136" i="7"/>
  <c r="AD137" i="7"/>
  <c r="AD138" i="7"/>
  <c r="AD139" i="7"/>
  <c r="AD140" i="7"/>
  <c r="AD141" i="7"/>
  <c r="AD142" i="7"/>
  <c r="AD143" i="7"/>
  <c r="AD144" i="7"/>
  <c r="AD145" i="7"/>
  <c r="AD146" i="7"/>
  <c r="AD147" i="7"/>
  <c r="AD148" i="7"/>
  <c r="AD149" i="7"/>
  <c r="AD150" i="7"/>
  <c r="AD151" i="7"/>
  <c r="AD152" i="7"/>
  <c r="AD153" i="7"/>
  <c r="AD154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D168" i="7"/>
  <c r="AD169" i="7"/>
  <c r="AD170" i="7"/>
  <c r="AD171" i="7"/>
  <c r="AD172" i="7"/>
  <c r="AD173" i="7"/>
  <c r="AD174" i="7"/>
  <c r="AD175" i="7"/>
  <c r="AD176" i="7"/>
  <c r="AD177" i="7"/>
  <c r="AC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C130" i="7"/>
  <c r="AC131" i="7"/>
  <c r="AC132" i="7"/>
  <c r="AC133" i="7"/>
  <c r="AC134" i="7"/>
  <c r="AC135" i="7"/>
  <c r="AC136" i="7"/>
  <c r="AC137" i="7"/>
  <c r="AC138" i="7"/>
  <c r="AC139" i="7"/>
  <c r="AC140" i="7"/>
  <c r="AC141" i="7"/>
  <c r="AC142" i="7"/>
  <c r="AC143" i="7"/>
  <c r="AC144" i="7"/>
  <c r="AC145" i="7"/>
  <c r="AC146" i="7"/>
  <c r="AC147" i="7"/>
  <c r="AC148" i="7"/>
  <c r="AC149" i="7"/>
  <c r="AC150" i="7"/>
  <c r="AC151" i="7"/>
  <c r="AC152" i="7"/>
  <c r="AC153" i="7"/>
  <c r="AC154" i="7"/>
  <c r="AC155" i="7"/>
  <c r="AC156" i="7"/>
  <c r="AC157" i="7"/>
  <c r="AC158" i="7"/>
  <c r="AC159" i="7"/>
  <c r="AC160" i="7"/>
  <c r="AC161" i="7"/>
  <c r="AC162" i="7"/>
  <c r="AC163" i="7"/>
  <c r="AC164" i="7"/>
  <c r="AC165" i="7"/>
  <c r="AC166" i="7"/>
  <c r="AC167" i="7"/>
  <c r="AC168" i="7"/>
  <c r="AC169" i="7"/>
  <c r="AC170" i="7"/>
  <c r="AC171" i="7"/>
  <c r="AC172" i="7"/>
  <c r="AC173" i="7"/>
  <c r="AC174" i="7"/>
  <c r="AC175" i="7"/>
  <c r="AC176" i="7"/>
  <c r="AC177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Z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93" i="7"/>
  <c r="Z94" i="7"/>
  <c r="Z95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Z120" i="7"/>
  <c r="Z121" i="7"/>
  <c r="Z122" i="7"/>
  <c r="Z123" i="7"/>
  <c r="Z124" i="7"/>
  <c r="Z125" i="7"/>
  <c r="Z126" i="7"/>
  <c r="Z127" i="7"/>
  <c r="Z128" i="7"/>
  <c r="Z129" i="7"/>
  <c r="Z130" i="7"/>
  <c r="Z131" i="7"/>
  <c r="Z132" i="7"/>
  <c r="Z133" i="7"/>
  <c r="Z134" i="7"/>
  <c r="Z135" i="7"/>
  <c r="Z136" i="7"/>
  <c r="Z137" i="7"/>
  <c r="Z138" i="7"/>
  <c r="Z139" i="7"/>
  <c r="Z140" i="7"/>
  <c r="Z141" i="7"/>
  <c r="Z142" i="7"/>
  <c r="Z143" i="7"/>
  <c r="Z144" i="7"/>
  <c r="Z145" i="7"/>
  <c r="Z146" i="7"/>
  <c r="Z147" i="7"/>
  <c r="Z148" i="7"/>
  <c r="Z149" i="7"/>
  <c r="Z150" i="7"/>
  <c r="Z151" i="7"/>
  <c r="Z152" i="7"/>
  <c r="Z153" i="7"/>
  <c r="Z154" i="7"/>
  <c r="Z155" i="7"/>
  <c r="Z156" i="7"/>
  <c r="Z157" i="7"/>
  <c r="Z158" i="7"/>
  <c r="Z159" i="7"/>
  <c r="Z160" i="7"/>
  <c r="Z161" i="7"/>
  <c r="Z162" i="7"/>
  <c r="Z163" i="7"/>
  <c r="Z164" i="7"/>
  <c r="Z165" i="7"/>
  <c r="Z166" i="7"/>
  <c r="Z167" i="7"/>
  <c r="Z168" i="7"/>
  <c r="Z169" i="7"/>
  <c r="Z170" i="7"/>
  <c r="Z171" i="7"/>
  <c r="Z172" i="7"/>
  <c r="Z173" i="7"/>
  <c r="Z174" i="7"/>
  <c r="Z175" i="7"/>
  <c r="Z176" i="7"/>
  <c r="Z177" i="7"/>
  <c r="Y3" i="7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19" i="7"/>
  <c r="Y120" i="7"/>
  <c r="Y121" i="7"/>
  <c r="Y122" i="7"/>
  <c r="Y123" i="7"/>
  <c r="Y124" i="7"/>
  <c r="Y125" i="7"/>
  <c r="Y126" i="7"/>
  <c r="Y127" i="7"/>
  <c r="Y128" i="7"/>
  <c r="Y129" i="7"/>
  <c r="Y130" i="7"/>
  <c r="Y131" i="7"/>
  <c r="Y132" i="7"/>
  <c r="Y133" i="7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5" i="7"/>
  <c r="Y166" i="7"/>
  <c r="Y167" i="7"/>
  <c r="Y168" i="7"/>
  <c r="Y169" i="7"/>
  <c r="Y170" i="7"/>
  <c r="Y171" i="7"/>
  <c r="Y172" i="7"/>
  <c r="Y173" i="7"/>
  <c r="Y174" i="7"/>
  <c r="Y175" i="7"/>
  <c r="Y176" i="7"/>
  <c r="Y177" i="7"/>
  <c r="X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X168" i="7"/>
  <c r="X169" i="7"/>
  <c r="X170" i="7"/>
  <c r="X171" i="7"/>
  <c r="X172" i="7"/>
  <c r="X173" i="7"/>
  <c r="X174" i="7"/>
  <c r="X175" i="7"/>
  <c r="X176" i="7"/>
  <c r="X177" i="7"/>
  <c r="W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E141" i="1"/>
  <c r="D137" i="1"/>
  <c r="C47" i="1"/>
  <c r="B23" i="1"/>
  <c r="B42" i="1"/>
  <c r="B65" i="1"/>
  <c r="B87" i="1"/>
  <c r="B106" i="1"/>
  <c r="B129" i="1"/>
  <c r="B151" i="1"/>
  <c r="B170" i="1"/>
  <c r="O3" i="1"/>
  <c r="O4" i="1"/>
  <c r="O5" i="1"/>
  <c r="O6" i="1"/>
  <c r="O7" i="1"/>
  <c r="O8" i="1"/>
  <c r="E8" i="1" s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E24" i="1" s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E40" i="1" s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E56" i="1" s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E72" i="1" s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E120" i="1" s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B81" i="1" s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B145" i="1" s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M3" i="1"/>
  <c r="M4" i="1"/>
  <c r="M5" i="1"/>
  <c r="M6" i="1"/>
  <c r="M7" i="1"/>
  <c r="M8" i="1"/>
  <c r="M9" i="1"/>
  <c r="E9" i="1" s="1"/>
  <c r="M10" i="1"/>
  <c r="M11" i="1"/>
  <c r="M12" i="1"/>
  <c r="M13" i="1"/>
  <c r="M14" i="1"/>
  <c r="M15" i="1"/>
  <c r="M16" i="1"/>
  <c r="M17" i="1"/>
  <c r="M18" i="1"/>
  <c r="M19" i="1"/>
  <c r="M20" i="1"/>
  <c r="E20" i="1" s="1"/>
  <c r="M21" i="1"/>
  <c r="M22" i="1"/>
  <c r="M23" i="1"/>
  <c r="M24" i="1"/>
  <c r="M25" i="1"/>
  <c r="M26" i="1"/>
  <c r="M27" i="1"/>
  <c r="M28" i="1"/>
  <c r="M29" i="1"/>
  <c r="M30" i="1"/>
  <c r="E30" i="1" s="1"/>
  <c r="M31" i="1"/>
  <c r="M32" i="1"/>
  <c r="M33" i="1"/>
  <c r="M34" i="1"/>
  <c r="M35" i="1"/>
  <c r="M36" i="1"/>
  <c r="M37" i="1"/>
  <c r="M38" i="1"/>
  <c r="M39" i="1"/>
  <c r="M40" i="1"/>
  <c r="M41" i="1"/>
  <c r="E41" i="1" s="1"/>
  <c r="M42" i="1"/>
  <c r="M43" i="1"/>
  <c r="M44" i="1"/>
  <c r="M45" i="1"/>
  <c r="M46" i="1"/>
  <c r="M47" i="1"/>
  <c r="M48" i="1"/>
  <c r="M49" i="1"/>
  <c r="M50" i="1"/>
  <c r="M51" i="1"/>
  <c r="M52" i="1"/>
  <c r="E52" i="1" s="1"/>
  <c r="M53" i="1"/>
  <c r="M54" i="1"/>
  <c r="M55" i="1"/>
  <c r="M56" i="1"/>
  <c r="M57" i="1"/>
  <c r="M58" i="1"/>
  <c r="M59" i="1"/>
  <c r="M60" i="1"/>
  <c r="M61" i="1"/>
  <c r="M62" i="1"/>
  <c r="E62" i="1" s="1"/>
  <c r="M63" i="1"/>
  <c r="M64" i="1"/>
  <c r="M65" i="1"/>
  <c r="M66" i="1"/>
  <c r="M67" i="1"/>
  <c r="M68" i="1"/>
  <c r="M69" i="1"/>
  <c r="M70" i="1"/>
  <c r="M71" i="1"/>
  <c r="M72" i="1"/>
  <c r="M73" i="1"/>
  <c r="E73" i="1" s="1"/>
  <c r="M74" i="1"/>
  <c r="M75" i="1"/>
  <c r="M76" i="1"/>
  <c r="M77" i="1"/>
  <c r="M78" i="1"/>
  <c r="M79" i="1"/>
  <c r="M80" i="1"/>
  <c r="M81" i="1"/>
  <c r="M82" i="1"/>
  <c r="M83" i="1"/>
  <c r="M84" i="1"/>
  <c r="E84" i="1" s="1"/>
  <c r="M85" i="1"/>
  <c r="M86" i="1"/>
  <c r="M87" i="1"/>
  <c r="M88" i="1"/>
  <c r="M89" i="1"/>
  <c r="M90" i="1"/>
  <c r="M91" i="1"/>
  <c r="M92" i="1"/>
  <c r="M93" i="1"/>
  <c r="M94" i="1"/>
  <c r="E94" i="1" s="1"/>
  <c r="M95" i="1"/>
  <c r="M96" i="1"/>
  <c r="M97" i="1"/>
  <c r="M98" i="1"/>
  <c r="M99" i="1"/>
  <c r="M100" i="1"/>
  <c r="M101" i="1"/>
  <c r="M102" i="1"/>
  <c r="M103" i="1"/>
  <c r="M104" i="1"/>
  <c r="E104" i="1" s="1"/>
  <c r="M105" i="1"/>
  <c r="E105" i="1" s="1"/>
  <c r="M106" i="1"/>
  <c r="M107" i="1"/>
  <c r="M108" i="1"/>
  <c r="M109" i="1"/>
  <c r="M110" i="1"/>
  <c r="M111" i="1"/>
  <c r="M112" i="1"/>
  <c r="M113" i="1"/>
  <c r="M114" i="1"/>
  <c r="M115" i="1"/>
  <c r="M116" i="1"/>
  <c r="E116" i="1" s="1"/>
  <c r="M117" i="1"/>
  <c r="M118" i="1"/>
  <c r="M119" i="1"/>
  <c r="M120" i="1"/>
  <c r="M121" i="1"/>
  <c r="M122" i="1"/>
  <c r="M123" i="1"/>
  <c r="M124" i="1"/>
  <c r="M125" i="1"/>
  <c r="M126" i="1"/>
  <c r="E126" i="1" s="1"/>
  <c r="M127" i="1"/>
  <c r="M128" i="1"/>
  <c r="M129" i="1"/>
  <c r="M130" i="1"/>
  <c r="M131" i="1"/>
  <c r="D131" i="1" s="1"/>
  <c r="M132" i="1"/>
  <c r="M133" i="1"/>
  <c r="M134" i="1"/>
  <c r="M135" i="1"/>
  <c r="M136" i="1"/>
  <c r="M137" i="1"/>
  <c r="E137" i="1" s="1"/>
  <c r="M138" i="1"/>
  <c r="M139" i="1"/>
  <c r="M140" i="1"/>
  <c r="M141" i="1"/>
  <c r="M142" i="1"/>
  <c r="M143" i="1"/>
  <c r="M144" i="1"/>
  <c r="M145" i="1"/>
  <c r="M146" i="1"/>
  <c r="M147" i="1"/>
  <c r="M148" i="1"/>
  <c r="E148" i="1" s="1"/>
  <c r="M149" i="1"/>
  <c r="M150" i="1"/>
  <c r="M151" i="1"/>
  <c r="M152" i="1"/>
  <c r="M153" i="1"/>
  <c r="M154" i="1"/>
  <c r="M155" i="1"/>
  <c r="M156" i="1"/>
  <c r="M157" i="1"/>
  <c r="M158" i="1"/>
  <c r="E158" i="1" s="1"/>
  <c r="M159" i="1"/>
  <c r="M160" i="1"/>
  <c r="M161" i="1"/>
  <c r="M162" i="1"/>
  <c r="M163" i="1"/>
  <c r="D163" i="1" s="1"/>
  <c r="M164" i="1"/>
  <c r="M165" i="1"/>
  <c r="M166" i="1"/>
  <c r="M167" i="1"/>
  <c r="M168" i="1"/>
  <c r="M169" i="1"/>
  <c r="E169" i="1" s="1"/>
  <c r="M170" i="1"/>
  <c r="M171" i="1"/>
  <c r="M172" i="1"/>
  <c r="M173" i="1"/>
  <c r="E173" i="1" s="1"/>
  <c r="M174" i="1"/>
  <c r="M175" i="1"/>
  <c r="M176" i="1"/>
  <c r="M177" i="1"/>
  <c r="I3" i="1"/>
  <c r="I4" i="1"/>
  <c r="I5" i="1"/>
  <c r="B5" i="1" s="1"/>
  <c r="I6" i="1"/>
  <c r="I7" i="1"/>
  <c r="C7" i="1" s="1"/>
  <c r="I8" i="1"/>
  <c r="I9" i="1"/>
  <c r="I10" i="1"/>
  <c r="I11" i="1"/>
  <c r="I12" i="1"/>
  <c r="I13" i="1"/>
  <c r="I14" i="1"/>
  <c r="I15" i="1"/>
  <c r="C15" i="1" s="1"/>
  <c r="I16" i="1"/>
  <c r="I17" i="1"/>
  <c r="I18" i="1"/>
  <c r="C18" i="1" s="1"/>
  <c r="I19" i="1"/>
  <c r="I20" i="1"/>
  <c r="I21" i="1"/>
  <c r="I22" i="1"/>
  <c r="I23" i="1"/>
  <c r="C23" i="1" s="1"/>
  <c r="I24" i="1"/>
  <c r="I25" i="1"/>
  <c r="I26" i="1"/>
  <c r="B26" i="1" s="1"/>
  <c r="I27" i="1"/>
  <c r="I28" i="1"/>
  <c r="I29" i="1"/>
  <c r="I30" i="1"/>
  <c r="I31" i="1"/>
  <c r="C31" i="1" s="1"/>
  <c r="I32" i="1"/>
  <c r="I33" i="1"/>
  <c r="I34" i="1"/>
  <c r="C34" i="1" s="1"/>
  <c r="I35" i="1"/>
  <c r="I36" i="1"/>
  <c r="I37" i="1"/>
  <c r="B37" i="1" s="1"/>
  <c r="I38" i="1"/>
  <c r="I39" i="1"/>
  <c r="C39" i="1" s="1"/>
  <c r="I40" i="1"/>
  <c r="I41" i="1"/>
  <c r="B41" i="1" s="1"/>
  <c r="I42" i="1"/>
  <c r="C42" i="1" s="1"/>
  <c r="I43" i="1"/>
  <c r="I44" i="1"/>
  <c r="I45" i="1"/>
  <c r="I46" i="1"/>
  <c r="I47" i="1"/>
  <c r="B47" i="1" s="1"/>
  <c r="I48" i="1"/>
  <c r="I49" i="1"/>
  <c r="I50" i="1"/>
  <c r="C50" i="1" s="1"/>
  <c r="I51" i="1"/>
  <c r="I52" i="1"/>
  <c r="I53" i="1"/>
  <c r="I54" i="1"/>
  <c r="I55" i="1"/>
  <c r="C55" i="1" s="1"/>
  <c r="I56" i="1"/>
  <c r="I57" i="1"/>
  <c r="B57" i="1" s="1"/>
  <c r="I58" i="1"/>
  <c r="C58" i="1" s="1"/>
  <c r="I59" i="1"/>
  <c r="I60" i="1"/>
  <c r="I61" i="1"/>
  <c r="I62" i="1"/>
  <c r="I63" i="1"/>
  <c r="C63" i="1" s="1"/>
  <c r="I64" i="1"/>
  <c r="I65" i="1"/>
  <c r="I66" i="1"/>
  <c r="C66" i="1" s="1"/>
  <c r="I67" i="1"/>
  <c r="I68" i="1"/>
  <c r="I69" i="1"/>
  <c r="B69" i="1" s="1"/>
  <c r="I70" i="1"/>
  <c r="I71" i="1"/>
  <c r="C71" i="1" s="1"/>
  <c r="I72" i="1"/>
  <c r="I73" i="1"/>
  <c r="I74" i="1"/>
  <c r="C74" i="1" s="1"/>
  <c r="I75" i="1"/>
  <c r="I76" i="1"/>
  <c r="I77" i="1"/>
  <c r="I78" i="1"/>
  <c r="I79" i="1"/>
  <c r="C79" i="1" s="1"/>
  <c r="I80" i="1"/>
  <c r="I81" i="1"/>
  <c r="I82" i="1"/>
  <c r="C82" i="1" s="1"/>
  <c r="I83" i="1"/>
  <c r="I84" i="1"/>
  <c r="I85" i="1"/>
  <c r="I86" i="1"/>
  <c r="I87" i="1"/>
  <c r="C87" i="1" s="1"/>
  <c r="I88" i="1"/>
  <c r="I89" i="1"/>
  <c r="I90" i="1"/>
  <c r="B90" i="1" s="1"/>
  <c r="I91" i="1"/>
  <c r="I92" i="1"/>
  <c r="I93" i="1"/>
  <c r="I94" i="1"/>
  <c r="I95" i="1"/>
  <c r="C95" i="1" s="1"/>
  <c r="I96" i="1"/>
  <c r="I97" i="1"/>
  <c r="I98" i="1"/>
  <c r="C98" i="1" s="1"/>
  <c r="I99" i="1"/>
  <c r="I100" i="1"/>
  <c r="I101" i="1"/>
  <c r="B101" i="1" s="1"/>
  <c r="I102" i="1"/>
  <c r="I103" i="1"/>
  <c r="C103" i="1" s="1"/>
  <c r="I104" i="1"/>
  <c r="I105" i="1"/>
  <c r="B105" i="1" s="1"/>
  <c r="I106" i="1"/>
  <c r="C106" i="1" s="1"/>
  <c r="I107" i="1"/>
  <c r="I108" i="1"/>
  <c r="I109" i="1"/>
  <c r="I110" i="1"/>
  <c r="I111" i="1"/>
  <c r="B111" i="1" s="1"/>
  <c r="I112" i="1"/>
  <c r="I113" i="1"/>
  <c r="I114" i="1"/>
  <c r="C114" i="1" s="1"/>
  <c r="I115" i="1"/>
  <c r="I116" i="1"/>
  <c r="I117" i="1"/>
  <c r="I118" i="1"/>
  <c r="I119" i="1"/>
  <c r="C119" i="1" s="1"/>
  <c r="I120" i="1"/>
  <c r="I121" i="1"/>
  <c r="B121" i="1" s="1"/>
  <c r="I122" i="1"/>
  <c r="B122" i="1" s="1"/>
  <c r="I123" i="1"/>
  <c r="I124" i="1"/>
  <c r="I125" i="1"/>
  <c r="I126" i="1"/>
  <c r="I127" i="1"/>
  <c r="C127" i="1" s="1"/>
  <c r="I128" i="1"/>
  <c r="I129" i="1"/>
  <c r="I130" i="1"/>
  <c r="C130" i="1" s="1"/>
  <c r="I131" i="1"/>
  <c r="I132" i="1"/>
  <c r="I133" i="1"/>
  <c r="B133" i="1" s="1"/>
  <c r="I134" i="1"/>
  <c r="I135" i="1"/>
  <c r="C135" i="1" s="1"/>
  <c r="I136" i="1"/>
  <c r="I137" i="1"/>
  <c r="I138" i="1"/>
  <c r="C138" i="1" s="1"/>
  <c r="I139" i="1"/>
  <c r="I140" i="1"/>
  <c r="I141" i="1"/>
  <c r="I142" i="1"/>
  <c r="I143" i="1"/>
  <c r="C143" i="1" s="1"/>
  <c r="I144" i="1"/>
  <c r="I145" i="1"/>
  <c r="I146" i="1"/>
  <c r="C146" i="1" s="1"/>
  <c r="I147" i="1"/>
  <c r="I148" i="1"/>
  <c r="I149" i="1"/>
  <c r="I150" i="1"/>
  <c r="I151" i="1"/>
  <c r="C151" i="1" s="1"/>
  <c r="I152" i="1"/>
  <c r="I153" i="1"/>
  <c r="I154" i="1"/>
  <c r="C154" i="1" s="1"/>
  <c r="I155" i="1"/>
  <c r="I156" i="1"/>
  <c r="I157" i="1"/>
  <c r="I158" i="1"/>
  <c r="I159" i="1"/>
  <c r="C159" i="1" s="1"/>
  <c r="I160" i="1"/>
  <c r="I161" i="1"/>
  <c r="I162" i="1"/>
  <c r="C162" i="1" s="1"/>
  <c r="I163" i="1"/>
  <c r="I164" i="1"/>
  <c r="I165" i="1"/>
  <c r="B165" i="1" s="1"/>
  <c r="I166" i="1"/>
  <c r="I167" i="1"/>
  <c r="C167" i="1" s="1"/>
  <c r="I168" i="1"/>
  <c r="I169" i="1"/>
  <c r="B169" i="1" s="1"/>
  <c r="I170" i="1"/>
  <c r="C170" i="1" s="1"/>
  <c r="I171" i="1"/>
  <c r="I172" i="1"/>
  <c r="I173" i="1"/>
  <c r="I174" i="1"/>
  <c r="C174" i="1" s="1"/>
  <c r="I175" i="1"/>
  <c r="C175" i="1" s="1"/>
  <c r="I176" i="1"/>
  <c r="I17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Q84" i="11" l="1"/>
  <c r="H130" i="11"/>
  <c r="Q98" i="11"/>
  <c r="H66" i="11"/>
  <c r="C177" i="11"/>
  <c r="C161" i="11"/>
  <c r="C145" i="11"/>
  <c r="C137" i="11"/>
  <c r="C121" i="11"/>
  <c r="C152" i="11"/>
  <c r="C75" i="11"/>
  <c r="C26" i="11"/>
  <c r="H99" i="11"/>
  <c r="D50" i="11"/>
  <c r="Q67" i="11"/>
  <c r="G167" i="11"/>
  <c r="G92" i="11"/>
  <c r="H172" i="11"/>
  <c r="D74" i="11"/>
  <c r="H74" i="11" s="1"/>
  <c r="H12" i="11"/>
  <c r="E66" i="11"/>
  <c r="F166" i="11"/>
  <c r="F134" i="11"/>
  <c r="C91" i="11"/>
  <c r="C42" i="11"/>
  <c r="D122" i="11"/>
  <c r="D73" i="11"/>
  <c r="H11" i="11"/>
  <c r="E146" i="11"/>
  <c r="Q146" i="11" s="1"/>
  <c r="Q3" i="11"/>
  <c r="F118" i="11"/>
  <c r="F70" i="11"/>
  <c r="G70" i="11"/>
  <c r="F30" i="11"/>
  <c r="G30" i="11"/>
  <c r="F6" i="11"/>
  <c r="G6" i="11"/>
  <c r="Q173" i="11"/>
  <c r="Q157" i="11"/>
  <c r="H141" i="11"/>
  <c r="Q133" i="11"/>
  <c r="H77" i="11"/>
  <c r="Q69" i="11"/>
  <c r="H5" i="11"/>
  <c r="C165" i="11"/>
  <c r="C149" i="11"/>
  <c r="H149" i="11" s="1"/>
  <c r="C133" i="11"/>
  <c r="C114" i="11"/>
  <c r="C90" i="11"/>
  <c r="G38" i="11"/>
  <c r="C13" i="11"/>
  <c r="H13" i="11" s="1"/>
  <c r="D163" i="11"/>
  <c r="D139" i="11"/>
  <c r="D114" i="11"/>
  <c r="H114" i="11" s="1"/>
  <c r="H69" i="11"/>
  <c r="D44" i="11"/>
  <c r="H44" i="11" s="1"/>
  <c r="D10" i="11"/>
  <c r="E145" i="11"/>
  <c r="Q145" i="11" s="1"/>
  <c r="E106" i="11"/>
  <c r="Q106" i="11" s="1"/>
  <c r="C169" i="11"/>
  <c r="C153" i="11"/>
  <c r="C129" i="11"/>
  <c r="C168" i="11"/>
  <c r="C136" i="11"/>
  <c r="F100" i="11"/>
  <c r="G100" i="11"/>
  <c r="C50" i="11"/>
  <c r="H173" i="11"/>
  <c r="H124" i="11"/>
  <c r="H75" i="11"/>
  <c r="Q5" i="11"/>
  <c r="F151" i="11"/>
  <c r="G116" i="11"/>
  <c r="C67" i="11"/>
  <c r="F22" i="11"/>
  <c r="G22" i="11"/>
  <c r="D98" i="11"/>
  <c r="H98" i="11" s="1"/>
  <c r="D49" i="11"/>
  <c r="Q147" i="11"/>
  <c r="H22" i="11"/>
  <c r="C115" i="11"/>
  <c r="C66" i="11"/>
  <c r="G14" i="11"/>
  <c r="D97" i="11"/>
  <c r="C109" i="11"/>
  <c r="B109" i="11"/>
  <c r="C93" i="11"/>
  <c r="B93" i="11"/>
  <c r="C85" i="11"/>
  <c r="B85" i="11"/>
  <c r="C69" i="11"/>
  <c r="B69" i="11"/>
  <c r="C45" i="11"/>
  <c r="H45" i="11" s="1"/>
  <c r="B45" i="11"/>
  <c r="C29" i="11"/>
  <c r="B29" i="11"/>
  <c r="C21" i="11"/>
  <c r="B21" i="11"/>
  <c r="C5" i="11"/>
  <c r="B5" i="11"/>
  <c r="Q172" i="11"/>
  <c r="Q164" i="11"/>
  <c r="E156" i="11"/>
  <c r="D156" i="11"/>
  <c r="H156" i="11" s="1"/>
  <c r="E140" i="11"/>
  <c r="D140" i="11"/>
  <c r="E132" i="11"/>
  <c r="D132" i="11"/>
  <c r="Q124" i="11"/>
  <c r="E116" i="11"/>
  <c r="D116" i="11"/>
  <c r="H116" i="11" s="1"/>
  <c r="Q100" i="11"/>
  <c r="E92" i="11"/>
  <c r="D92" i="11"/>
  <c r="H92" i="11" s="1"/>
  <c r="E76" i="11"/>
  <c r="D76" i="11"/>
  <c r="H76" i="11" s="1"/>
  <c r="H68" i="11"/>
  <c r="E52" i="11"/>
  <c r="D52" i="11"/>
  <c r="H52" i="11" s="1"/>
  <c r="H28" i="11"/>
  <c r="Q12" i="11"/>
  <c r="H4" i="11"/>
  <c r="C176" i="11"/>
  <c r="C160" i="11"/>
  <c r="C144" i="11"/>
  <c r="C128" i="11"/>
  <c r="C61" i="11"/>
  <c r="H61" i="11" s="1"/>
  <c r="C37" i="11"/>
  <c r="Q37" i="11" s="1"/>
  <c r="C12" i="11"/>
  <c r="D162" i="11"/>
  <c r="H162" i="11" s="1"/>
  <c r="D138" i="11"/>
  <c r="H138" i="11" s="1"/>
  <c r="D113" i="11"/>
  <c r="D89" i="11"/>
  <c r="D36" i="11"/>
  <c r="E171" i="11"/>
  <c r="Q171" i="11" s="1"/>
  <c r="E91" i="11"/>
  <c r="E43" i="11"/>
  <c r="F92" i="11"/>
  <c r="F28" i="11"/>
  <c r="B171" i="11"/>
  <c r="C171" i="11"/>
  <c r="B163" i="11"/>
  <c r="C163" i="11"/>
  <c r="B155" i="11"/>
  <c r="C155" i="11"/>
  <c r="B147" i="11"/>
  <c r="C147" i="11"/>
  <c r="B139" i="11"/>
  <c r="C139" i="11"/>
  <c r="B131" i="11"/>
  <c r="C131" i="11"/>
  <c r="B123" i="11"/>
  <c r="C123" i="11"/>
  <c r="C107" i="11"/>
  <c r="B107" i="11"/>
  <c r="B99" i="11"/>
  <c r="C99" i="11"/>
  <c r="C83" i="11"/>
  <c r="B83" i="11"/>
  <c r="B59" i="11"/>
  <c r="C59" i="11"/>
  <c r="C43" i="11"/>
  <c r="H43" i="11" s="1"/>
  <c r="B43" i="11"/>
  <c r="B35" i="11"/>
  <c r="C35" i="11"/>
  <c r="C19" i="11"/>
  <c r="B19" i="11"/>
  <c r="E154" i="11"/>
  <c r="D154" i="11"/>
  <c r="Q114" i="11"/>
  <c r="E90" i="11"/>
  <c r="D90" i="11"/>
  <c r="H90" i="11" s="1"/>
  <c r="D82" i="11"/>
  <c r="H82" i="11" s="1"/>
  <c r="E82" i="11"/>
  <c r="Q82" i="11" s="1"/>
  <c r="Q74" i="11"/>
  <c r="E42" i="11"/>
  <c r="D42" i="11"/>
  <c r="Q34" i="11"/>
  <c r="E26" i="11"/>
  <c r="D26" i="11"/>
  <c r="H26" i="11" s="1"/>
  <c r="D18" i="11"/>
  <c r="H18" i="11" s="1"/>
  <c r="E18" i="11"/>
  <c r="F174" i="11"/>
  <c r="F142" i="11"/>
  <c r="G142" i="11"/>
  <c r="G125" i="11"/>
  <c r="F125" i="11"/>
  <c r="G102" i="11"/>
  <c r="G77" i="11"/>
  <c r="F77" i="11"/>
  <c r="F52" i="11"/>
  <c r="C3" i="11"/>
  <c r="H133" i="11"/>
  <c r="D34" i="11"/>
  <c r="H34" i="11" s="1"/>
  <c r="Q169" i="11"/>
  <c r="E130" i="11"/>
  <c r="Q130" i="11" s="1"/>
  <c r="B170" i="11"/>
  <c r="C170" i="11"/>
  <c r="H170" i="11" s="1"/>
  <c r="B162" i="11"/>
  <c r="C162" i="11"/>
  <c r="B154" i="11"/>
  <c r="C154" i="11"/>
  <c r="B146" i="11"/>
  <c r="C146" i="11"/>
  <c r="B138" i="11"/>
  <c r="C138" i="11"/>
  <c r="B130" i="11"/>
  <c r="C130" i="11"/>
  <c r="B122" i="11"/>
  <c r="C122" i="11"/>
  <c r="Q122" i="11" s="1"/>
  <c r="B98" i="11"/>
  <c r="C98" i="11"/>
  <c r="C82" i="11"/>
  <c r="B82" i="11"/>
  <c r="B74" i="11"/>
  <c r="C74" i="11"/>
  <c r="B58" i="11"/>
  <c r="C58" i="11"/>
  <c r="B34" i="11"/>
  <c r="C34" i="11"/>
  <c r="C18" i="11"/>
  <c r="B18" i="11"/>
  <c r="B10" i="11"/>
  <c r="C10" i="11"/>
  <c r="Q177" i="11"/>
  <c r="H169" i="11"/>
  <c r="H145" i="11"/>
  <c r="Q137" i="11"/>
  <c r="E129" i="11"/>
  <c r="Q129" i="11" s="1"/>
  <c r="D129" i="11"/>
  <c r="H129" i="11" s="1"/>
  <c r="E121" i="11"/>
  <c r="D121" i="11"/>
  <c r="H121" i="11" s="1"/>
  <c r="D105" i="11"/>
  <c r="E105" i="11"/>
  <c r="Q97" i="11"/>
  <c r="Q89" i="11"/>
  <c r="E81" i="11"/>
  <c r="D81" i="11"/>
  <c r="H81" i="11" s="1"/>
  <c r="Q73" i="11"/>
  <c r="E65" i="11"/>
  <c r="D65" i="11"/>
  <c r="D57" i="11"/>
  <c r="E57" i="11"/>
  <c r="D41" i="11"/>
  <c r="E41" i="11"/>
  <c r="Q41" i="11" s="1"/>
  <c r="D33" i="11"/>
  <c r="H33" i="11" s="1"/>
  <c r="E33" i="11"/>
  <c r="D25" i="11"/>
  <c r="E25" i="11"/>
  <c r="D17" i="11"/>
  <c r="E17" i="11"/>
  <c r="D9" i="11"/>
  <c r="E9" i="11"/>
  <c r="G173" i="11"/>
  <c r="F173" i="11"/>
  <c r="G157" i="11"/>
  <c r="F157" i="11"/>
  <c r="G141" i="11"/>
  <c r="F141" i="11"/>
  <c r="F124" i="11"/>
  <c r="G124" i="11"/>
  <c r="C51" i="11"/>
  <c r="C27" i="11"/>
  <c r="D177" i="11"/>
  <c r="H177" i="11" s="1"/>
  <c r="D153" i="11"/>
  <c r="H153" i="11" s="1"/>
  <c r="H125" i="11"/>
  <c r="D58" i="11"/>
  <c r="Q68" i="11"/>
  <c r="Q20" i="11"/>
  <c r="C172" i="11"/>
  <c r="B172" i="11"/>
  <c r="B164" i="11"/>
  <c r="C164" i="11"/>
  <c r="C156" i="11"/>
  <c r="B156" i="11"/>
  <c r="B148" i="11"/>
  <c r="C148" i="11"/>
  <c r="Q148" i="11" s="1"/>
  <c r="B140" i="11"/>
  <c r="C140" i="11"/>
  <c r="C132" i="11"/>
  <c r="B132" i="11"/>
  <c r="C108" i="11"/>
  <c r="H108" i="11" s="1"/>
  <c r="B108" i="11"/>
  <c r="C84" i="11"/>
  <c r="B84" i="11"/>
  <c r="C68" i="11"/>
  <c r="B68" i="11"/>
  <c r="C60" i="11"/>
  <c r="Q60" i="11" s="1"/>
  <c r="B60" i="11"/>
  <c r="C44" i="11"/>
  <c r="B44" i="11"/>
  <c r="C20" i="11"/>
  <c r="H20" i="11" s="1"/>
  <c r="B20" i="11"/>
  <c r="C4" i="11"/>
  <c r="B4" i="11"/>
  <c r="H171" i="11"/>
  <c r="E155" i="11"/>
  <c r="D155" i="11"/>
  <c r="Q139" i="11"/>
  <c r="H131" i="11"/>
  <c r="E115" i="11"/>
  <c r="D115" i="11"/>
  <c r="H115" i="11" s="1"/>
  <c r="H107" i="11"/>
  <c r="Q99" i="11"/>
  <c r="Q75" i="11"/>
  <c r="H67" i="11"/>
  <c r="E51" i="11"/>
  <c r="Q51" i="11" s="1"/>
  <c r="D51" i="11"/>
  <c r="Q35" i="11"/>
  <c r="Q11" i="11"/>
  <c r="H3" i="11"/>
  <c r="G159" i="11"/>
  <c r="F159" i="11"/>
  <c r="G143" i="11"/>
  <c r="C106" i="11"/>
  <c r="H106" i="11" s="1"/>
  <c r="F78" i="11"/>
  <c r="G78" i="11"/>
  <c r="C53" i="11"/>
  <c r="C36" i="11"/>
  <c r="C11" i="11"/>
  <c r="D161" i="11"/>
  <c r="H161" i="11" s="1"/>
  <c r="D137" i="11"/>
  <c r="H85" i="11"/>
  <c r="D60" i="11"/>
  <c r="D35" i="11"/>
  <c r="H35" i="11" s="1"/>
  <c r="E170" i="11"/>
  <c r="Q170" i="11" s="1"/>
  <c r="E131" i="11"/>
  <c r="E28" i="11"/>
  <c r="Q28" i="11" s="1"/>
  <c r="C105" i="11"/>
  <c r="C81" i="11"/>
  <c r="C65" i="11"/>
  <c r="C41" i="11"/>
  <c r="C17" i="11"/>
  <c r="E168" i="11"/>
  <c r="Q168" i="11" s="1"/>
  <c r="D168" i="11"/>
  <c r="E144" i="11"/>
  <c r="D144" i="11"/>
  <c r="E120" i="11"/>
  <c r="D120" i="11"/>
  <c r="E96" i="11"/>
  <c r="D96" i="11"/>
  <c r="E80" i="11"/>
  <c r="Q80" i="11" s="1"/>
  <c r="D80" i="11"/>
  <c r="H80" i="11" s="1"/>
  <c r="E56" i="11"/>
  <c r="D56" i="11"/>
  <c r="D32" i="11"/>
  <c r="E32" i="11"/>
  <c r="D16" i="11"/>
  <c r="H16" i="11" s="1"/>
  <c r="E16" i="11"/>
  <c r="Q16" i="11" s="1"/>
  <c r="F46" i="11"/>
  <c r="H157" i="11"/>
  <c r="Q141" i="11"/>
  <c r="C120" i="11"/>
  <c r="C112" i="11"/>
  <c r="C104" i="11"/>
  <c r="C96" i="11"/>
  <c r="C88" i="11"/>
  <c r="C80" i="11"/>
  <c r="C72" i="11"/>
  <c r="C64" i="11"/>
  <c r="C56" i="11"/>
  <c r="C48" i="11"/>
  <c r="C40" i="11"/>
  <c r="C32" i="11"/>
  <c r="C24" i="11"/>
  <c r="C16" i="11"/>
  <c r="C8" i="11"/>
  <c r="E175" i="11"/>
  <c r="D175" i="11"/>
  <c r="H175" i="11" s="1"/>
  <c r="E167" i="11"/>
  <c r="D167" i="11"/>
  <c r="H167" i="11" s="1"/>
  <c r="E159" i="11"/>
  <c r="Q159" i="11" s="1"/>
  <c r="D159" i="11"/>
  <c r="H159" i="11" s="1"/>
  <c r="E151" i="11"/>
  <c r="D151" i="11"/>
  <c r="H151" i="11" s="1"/>
  <c r="E143" i="11"/>
  <c r="D143" i="11"/>
  <c r="H143" i="11" s="1"/>
  <c r="E135" i="11"/>
  <c r="D135" i="11"/>
  <c r="H135" i="11" s="1"/>
  <c r="E127" i="11"/>
  <c r="D127" i="11"/>
  <c r="E119" i="11"/>
  <c r="D119" i="11"/>
  <c r="H119" i="11" s="1"/>
  <c r="E111" i="11"/>
  <c r="D111" i="11"/>
  <c r="H111" i="11" s="1"/>
  <c r="E103" i="11"/>
  <c r="D103" i="11"/>
  <c r="H103" i="11" s="1"/>
  <c r="E95" i="11"/>
  <c r="Q95" i="11" s="1"/>
  <c r="D95" i="11"/>
  <c r="E87" i="11"/>
  <c r="D87" i="11"/>
  <c r="E79" i="11"/>
  <c r="D79" i="11"/>
  <c r="H79" i="11" s="1"/>
  <c r="E71" i="11"/>
  <c r="D71" i="11"/>
  <c r="E63" i="11"/>
  <c r="D63" i="11"/>
  <c r="E55" i="11"/>
  <c r="D55" i="11"/>
  <c r="H55" i="11" s="1"/>
  <c r="E47" i="11"/>
  <c r="D47" i="11"/>
  <c r="H47" i="11" s="1"/>
  <c r="E39" i="11"/>
  <c r="D39" i="11"/>
  <c r="H39" i="11" s="1"/>
  <c r="D31" i="11"/>
  <c r="H31" i="11" s="1"/>
  <c r="E31" i="11"/>
  <c r="D23" i="11"/>
  <c r="E23" i="11"/>
  <c r="D15" i="11"/>
  <c r="H15" i="11" s="1"/>
  <c r="E15" i="11"/>
  <c r="Q15" i="11" s="1"/>
  <c r="D7" i="11"/>
  <c r="E7" i="11"/>
  <c r="D117" i="11"/>
  <c r="H117" i="11" s="1"/>
  <c r="D53" i="11"/>
  <c r="E77" i="11"/>
  <c r="Q77" i="11" s="1"/>
  <c r="C113" i="11"/>
  <c r="C89" i="11"/>
  <c r="C57" i="11"/>
  <c r="C33" i="11"/>
  <c r="C9" i="11"/>
  <c r="E160" i="11"/>
  <c r="Q160" i="11" s="1"/>
  <c r="D160" i="11"/>
  <c r="E136" i="11"/>
  <c r="D136" i="11"/>
  <c r="E112" i="11"/>
  <c r="D112" i="11"/>
  <c r="H112" i="11" s="1"/>
  <c r="E88" i="11"/>
  <c r="D88" i="11"/>
  <c r="H88" i="11" s="1"/>
  <c r="E64" i="11"/>
  <c r="Q64" i="11" s="1"/>
  <c r="D64" i="11"/>
  <c r="E48" i="11"/>
  <c r="D48" i="11"/>
  <c r="D24" i="11"/>
  <c r="H24" i="11" s="1"/>
  <c r="E24" i="11"/>
  <c r="Q24" i="11" s="1"/>
  <c r="F110" i="11"/>
  <c r="G110" i="11"/>
  <c r="C127" i="11"/>
  <c r="C119" i="11"/>
  <c r="C111" i="11"/>
  <c r="C103" i="11"/>
  <c r="C95" i="11"/>
  <c r="C87" i="11"/>
  <c r="C79" i="11"/>
  <c r="C71" i="11"/>
  <c r="C63" i="11"/>
  <c r="C55" i="11"/>
  <c r="C47" i="11"/>
  <c r="C39" i="11"/>
  <c r="C31" i="11"/>
  <c r="C23" i="11"/>
  <c r="C15" i="11"/>
  <c r="C7" i="11"/>
  <c r="E174" i="11"/>
  <c r="Q174" i="11" s="1"/>
  <c r="D174" i="11"/>
  <c r="H174" i="11" s="1"/>
  <c r="E166" i="11"/>
  <c r="D166" i="11"/>
  <c r="H166" i="11" s="1"/>
  <c r="E158" i="11"/>
  <c r="D158" i="11"/>
  <c r="H158" i="11" s="1"/>
  <c r="E150" i="11"/>
  <c r="D150" i="11"/>
  <c r="H150" i="11" s="1"/>
  <c r="E142" i="11"/>
  <c r="Q142" i="11" s="1"/>
  <c r="D142" i="11"/>
  <c r="H142" i="11" s="1"/>
  <c r="E134" i="11"/>
  <c r="D134" i="11"/>
  <c r="H134" i="11" s="1"/>
  <c r="E126" i="11"/>
  <c r="D126" i="11"/>
  <c r="H126" i="11" s="1"/>
  <c r="E118" i="11"/>
  <c r="D118" i="11"/>
  <c r="H118" i="11" s="1"/>
  <c r="E110" i="11"/>
  <c r="Q110" i="11" s="1"/>
  <c r="D110" i="11"/>
  <c r="H110" i="11" s="1"/>
  <c r="E102" i="11"/>
  <c r="D102" i="11"/>
  <c r="H102" i="11" s="1"/>
  <c r="E94" i="11"/>
  <c r="D94" i="11"/>
  <c r="H94" i="11" s="1"/>
  <c r="E86" i="11"/>
  <c r="D86" i="11"/>
  <c r="H86" i="11" s="1"/>
  <c r="E78" i="11"/>
  <c r="Q78" i="11" s="1"/>
  <c r="D78" i="11"/>
  <c r="H78" i="11" s="1"/>
  <c r="E70" i="11"/>
  <c r="D70" i="11"/>
  <c r="H70" i="11" s="1"/>
  <c r="E62" i="11"/>
  <c r="D62" i="11"/>
  <c r="H62" i="11" s="1"/>
  <c r="E54" i="11"/>
  <c r="D54" i="11"/>
  <c r="H54" i="11" s="1"/>
  <c r="E46" i="11"/>
  <c r="Q46" i="11" s="1"/>
  <c r="D46" i="11"/>
  <c r="H46" i="11" s="1"/>
  <c r="E38" i="11"/>
  <c r="D38" i="11"/>
  <c r="H38" i="11" s="1"/>
  <c r="E30" i="11"/>
  <c r="Q30" i="11" s="1"/>
  <c r="E22" i="11"/>
  <c r="Q22" i="11" s="1"/>
  <c r="E14" i="11"/>
  <c r="D14" i="11"/>
  <c r="H14" i="11" s="1"/>
  <c r="E6" i="11"/>
  <c r="Q6" i="11" s="1"/>
  <c r="D21" i="11"/>
  <c r="H21" i="11" s="1"/>
  <c r="E13" i="11"/>
  <c r="C97" i="11"/>
  <c r="C73" i="11"/>
  <c r="C49" i="11"/>
  <c r="C25" i="11"/>
  <c r="E176" i="11"/>
  <c r="D176" i="11"/>
  <c r="H176" i="11" s="1"/>
  <c r="E152" i="11"/>
  <c r="Q152" i="11" s="1"/>
  <c r="D152" i="11"/>
  <c r="H152" i="11" s="1"/>
  <c r="E128" i="11"/>
  <c r="D128" i="11"/>
  <c r="H128" i="11" s="1"/>
  <c r="E104" i="11"/>
  <c r="D104" i="11"/>
  <c r="E72" i="11"/>
  <c r="D72" i="11"/>
  <c r="H72" i="11" s="1"/>
  <c r="E40" i="11"/>
  <c r="D40" i="11"/>
  <c r="D8" i="11"/>
  <c r="H8" i="11" s="1"/>
  <c r="E8" i="11"/>
  <c r="Q8" i="11" s="1"/>
  <c r="Q125" i="11"/>
  <c r="Q101" i="11"/>
  <c r="Q85" i="11"/>
  <c r="Q21" i="11"/>
  <c r="D165" i="11"/>
  <c r="H165" i="11" s="1"/>
  <c r="D101" i="11"/>
  <c r="H101" i="11" s="1"/>
  <c r="D37" i="11"/>
  <c r="E29" i="11"/>
  <c r="Q170" i="8"/>
  <c r="G51" i="8"/>
  <c r="G141" i="8"/>
  <c r="F109" i="8"/>
  <c r="G109" i="8"/>
  <c r="G93" i="8"/>
  <c r="H60" i="8"/>
  <c r="G59" i="8"/>
  <c r="F59" i="8"/>
  <c r="F47" i="8"/>
  <c r="F76" i="8"/>
  <c r="G76" i="8"/>
  <c r="G68" i="8"/>
  <c r="H27" i="8"/>
  <c r="Q3" i="8"/>
  <c r="G170" i="8"/>
  <c r="G122" i="8"/>
  <c r="G106" i="8"/>
  <c r="F106" i="8"/>
  <c r="F10" i="8"/>
  <c r="H65" i="8"/>
  <c r="H57" i="8"/>
  <c r="G57" i="8"/>
  <c r="C116" i="8"/>
  <c r="B116" i="8"/>
  <c r="B140" i="8"/>
  <c r="B76" i="8"/>
  <c r="B10" i="8"/>
  <c r="G137" i="8"/>
  <c r="G87" i="8"/>
  <c r="D113" i="8"/>
  <c r="H38" i="8"/>
  <c r="Q151" i="8"/>
  <c r="E27" i="8"/>
  <c r="Q27" i="8" s="1"/>
  <c r="G56" i="8"/>
  <c r="B122" i="8"/>
  <c r="C98" i="8"/>
  <c r="B98" i="8"/>
  <c r="B50" i="8"/>
  <c r="E177" i="8"/>
  <c r="Q177" i="8" s="1"/>
  <c r="D137" i="8"/>
  <c r="H137" i="8" s="1"/>
  <c r="F168" i="8"/>
  <c r="G168" i="8"/>
  <c r="F37" i="8"/>
  <c r="H70" i="8"/>
  <c r="Q120" i="8"/>
  <c r="G120" i="8"/>
  <c r="C153" i="8"/>
  <c r="B153" i="8"/>
  <c r="Q176" i="8"/>
  <c r="H168" i="8"/>
  <c r="H88" i="8"/>
  <c r="G151" i="8"/>
  <c r="F151" i="8"/>
  <c r="G31" i="8"/>
  <c r="F31" i="8"/>
  <c r="C148" i="8"/>
  <c r="C84" i="8"/>
  <c r="C50" i="8"/>
  <c r="H50" i="8" s="1"/>
  <c r="C20" i="8"/>
  <c r="H92" i="8"/>
  <c r="D11" i="8"/>
  <c r="H11" i="8" s="1"/>
  <c r="Q149" i="8"/>
  <c r="Q87" i="8"/>
  <c r="F136" i="8"/>
  <c r="G136" i="8"/>
  <c r="F72" i="8"/>
  <c r="G72" i="8"/>
  <c r="F8" i="8"/>
  <c r="G8" i="8"/>
  <c r="Q175" i="8"/>
  <c r="B166" i="8"/>
  <c r="F166" i="8" s="1"/>
  <c r="B150" i="8"/>
  <c r="B132" i="8"/>
  <c r="B118" i="8"/>
  <c r="B102" i="8"/>
  <c r="F102" i="8" s="1"/>
  <c r="B68" i="8"/>
  <c r="F68" i="8" s="1"/>
  <c r="B54" i="8"/>
  <c r="F54" i="8" s="1"/>
  <c r="B36" i="8"/>
  <c r="B4" i="8"/>
  <c r="C161" i="8"/>
  <c r="C147" i="8"/>
  <c r="Q147" i="8" s="1"/>
  <c r="C131" i="8"/>
  <c r="C113" i="8"/>
  <c r="C97" i="8"/>
  <c r="C83" i="8"/>
  <c r="Q83" i="8" s="1"/>
  <c r="C65" i="8"/>
  <c r="C49" i="8"/>
  <c r="C33" i="8"/>
  <c r="G15" i="8"/>
  <c r="D176" i="8"/>
  <c r="H176" i="8" s="1"/>
  <c r="D160" i="8"/>
  <c r="H160" i="8" s="1"/>
  <c r="H142" i="8"/>
  <c r="D124" i="8"/>
  <c r="D106" i="8"/>
  <c r="H106" i="8" s="1"/>
  <c r="D67" i="8"/>
  <c r="H67" i="8" s="1"/>
  <c r="D10" i="8"/>
  <c r="H10" i="8" s="1"/>
  <c r="E137" i="8"/>
  <c r="Q112" i="8"/>
  <c r="Q86" i="8"/>
  <c r="E44" i="8"/>
  <c r="Q44" i="8" s="1"/>
  <c r="E5" i="8"/>
  <c r="G140" i="8"/>
  <c r="G108" i="8"/>
  <c r="F4" i="8"/>
  <c r="E163" i="8"/>
  <c r="Q163" i="8" s="1"/>
  <c r="D163" i="8"/>
  <c r="H163" i="8" s="1"/>
  <c r="E155" i="8"/>
  <c r="D155" i="8"/>
  <c r="H155" i="8" s="1"/>
  <c r="E131" i="8"/>
  <c r="D131" i="8"/>
  <c r="H131" i="8" s="1"/>
  <c r="E107" i="8"/>
  <c r="D107" i="8"/>
  <c r="H107" i="8" s="1"/>
  <c r="E91" i="8"/>
  <c r="Q91" i="8" s="1"/>
  <c r="D91" i="8"/>
  <c r="H91" i="8" s="1"/>
  <c r="C156" i="8"/>
  <c r="F40" i="8"/>
  <c r="G40" i="8"/>
  <c r="H20" i="8"/>
  <c r="Q28" i="8"/>
  <c r="B92" i="8"/>
  <c r="F92" i="8" s="1"/>
  <c r="B44" i="8"/>
  <c r="G105" i="8"/>
  <c r="F105" i="8"/>
  <c r="G39" i="8"/>
  <c r="F39" i="8"/>
  <c r="C154" i="8"/>
  <c r="C114" i="8"/>
  <c r="B74" i="8"/>
  <c r="B42" i="8"/>
  <c r="C42" i="8"/>
  <c r="C26" i="8"/>
  <c r="B26" i="8"/>
  <c r="E153" i="8"/>
  <c r="Q153" i="8" s="1"/>
  <c r="G133" i="8"/>
  <c r="F133" i="8"/>
  <c r="F85" i="8"/>
  <c r="G85" i="8"/>
  <c r="D33" i="8"/>
  <c r="H33" i="8" s="1"/>
  <c r="Q150" i="8"/>
  <c r="G177" i="8"/>
  <c r="G129" i="8"/>
  <c r="C89" i="8"/>
  <c r="B89" i="8"/>
  <c r="G41" i="8"/>
  <c r="F41" i="8"/>
  <c r="C25" i="8"/>
  <c r="B25" i="8"/>
  <c r="Q160" i="8"/>
  <c r="H120" i="8"/>
  <c r="H158" i="8"/>
  <c r="B154" i="8"/>
  <c r="G167" i="8"/>
  <c r="C100" i="8"/>
  <c r="D177" i="8"/>
  <c r="H177" i="8" s="1"/>
  <c r="D147" i="8"/>
  <c r="H68" i="8"/>
  <c r="E168" i="8"/>
  <c r="Q168" i="8" s="1"/>
  <c r="Q56" i="8"/>
  <c r="G127" i="8"/>
  <c r="G63" i="8"/>
  <c r="Q166" i="8"/>
  <c r="Q94" i="8"/>
  <c r="H54" i="8"/>
  <c r="H46" i="8"/>
  <c r="B165" i="8"/>
  <c r="B117" i="8"/>
  <c r="F117" i="8" s="1"/>
  <c r="B67" i="8"/>
  <c r="B53" i="8"/>
  <c r="B35" i="8"/>
  <c r="B19" i="8"/>
  <c r="G160" i="8"/>
  <c r="C146" i="8"/>
  <c r="C130" i="8"/>
  <c r="F112" i="8"/>
  <c r="G112" i="8"/>
  <c r="F96" i="8"/>
  <c r="G96" i="8"/>
  <c r="C82" i="8"/>
  <c r="F48" i="8"/>
  <c r="G48" i="8"/>
  <c r="F32" i="8"/>
  <c r="G32" i="8"/>
  <c r="C13" i="8"/>
  <c r="H175" i="8"/>
  <c r="D140" i="8"/>
  <c r="H140" i="8" s="1"/>
  <c r="D123" i="8"/>
  <c r="H123" i="8" s="1"/>
  <c r="D84" i="8"/>
  <c r="H84" i="8" s="1"/>
  <c r="D66" i="8"/>
  <c r="H66" i="8" s="1"/>
  <c r="H48" i="8"/>
  <c r="H24" i="8"/>
  <c r="Q111" i="8"/>
  <c r="E85" i="8"/>
  <c r="Q85" i="8" s="1"/>
  <c r="E43" i="8"/>
  <c r="Q43" i="8" s="1"/>
  <c r="F44" i="8"/>
  <c r="G44" i="8"/>
  <c r="E115" i="8"/>
  <c r="D115" i="8"/>
  <c r="E99" i="8"/>
  <c r="D99" i="8"/>
  <c r="E35" i="8"/>
  <c r="D35" i="8"/>
  <c r="H35" i="8" s="1"/>
  <c r="C58" i="8"/>
  <c r="H114" i="8"/>
  <c r="E171" i="8"/>
  <c r="F57" i="8"/>
  <c r="H76" i="8"/>
  <c r="D19" i="8"/>
  <c r="H19" i="8" s="1"/>
  <c r="Q96" i="8"/>
  <c r="B170" i="8"/>
  <c r="F170" i="8" s="1"/>
  <c r="B106" i="8"/>
  <c r="C66" i="8"/>
  <c r="C34" i="8"/>
  <c r="B34" i="8"/>
  <c r="D169" i="8"/>
  <c r="H169" i="8" s="1"/>
  <c r="D145" i="8"/>
  <c r="E145" i="8"/>
  <c r="F56" i="8"/>
  <c r="F69" i="8"/>
  <c r="G69" i="8"/>
  <c r="H148" i="8"/>
  <c r="D51" i="8"/>
  <c r="H51" i="8" s="1"/>
  <c r="Q88" i="8"/>
  <c r="G166" i="8"/>
  <c r="C158" i="8"/>
  <c r="B158" i="8"/>
  <c r="G150" i="8"/>
  <c r="F150" i="8"/>
  <c r="C142" i="8"/>
  <c r="B142" i="8"/>
  <c r="C134" i="8"/>
  <c r="B134" i="8"/>
  <c r="G126" i="8"/>
  <c r="F126" i="8"/>
  <c r="F118" i="8"/>
  <c r="C110" i="8"/>
  <c r="B110" i="8"/>
  <c r="G102" i="8"/>
  <c r="F94" i="8"/>
  <c r="G94" i="8"/>
  <c r="C86" i="8"/>
  <c r="B86" i="8"/>
  <c r="C78" i="8"/>
  <c r="Q78" i="8" s="1"/>
  <c r="B78" i="8"/>
  <c r="C70" i="8"/>
  <c r="B70" i="8"/>
  <c r="C62" i="8"/>
  <c r="Q62" i="8" s="1"/>
  <c r="B62" i="8"/>
  <c r="G54" i="8"/>
  <c r="F46" i="8"/>
  <c r="G46" i="8"/>
  <c r="C38" i="8"/>
  <c r="B38" i="8"/>
  <c r="G30" i="8"/>
  <c r="G22" i="8"/>
  <c r="F22" i="8"/>
  <c r="C14" i="8"/>
  <c r="B14" i="8"/>
  <c r="C6" i="8"/>
  <c r="H6" i="8" s="1"/>
  <c r="B6" i="8"/>
  <c r="D173" i="8"/>
  <c r="H173" i="8" s="1"/>
  <c r="E173" i="8"/>
  <c r="D165" i="8"/>
  <c r="H165" i="8" s="1"/>
  <c r="E165" i="8"/>
  <c r="Q165" i="8" s="1"/>
  <c r="D157" i="8"/>
  <c r="H157" i="8" s="1"/>
  <c r="E157" i="8"/>
  <c r="H149" i="8"/>
  <c r="D141" i="8"/>
  <c r="H141" i="8" s="1"/>
  <c r="E141" i="8"/>
  <c r="Q141" i="8" s="1"/>
  <c r="D133" i="8"/>
  <c r="H133" i="8" s="1"/>
  <c r="E133" i="8"/>
  <c r="Q133" i="8" s="1"/>
  <c r="D125" i="8"/>
  <c r="E125" i="8"/>
  <c r="Q125" i="8" s="1"/>
  <c r="D117" i="8"/>
  <c r="H117" i="8" s="1"/>
  <c r="E117" i="8"/>
  <c r="H109" i="8"/>
  <c r="D101" i="8"/>
  <c r="H101" i="8" s="1"/>
  <c r="E101" i="8"/>
  <c r="D93" i="8"/>
  <c r="H93" i="8" s="1"/>
  <c r="E93" i="8"/>
  <c r="Q93" i="8" s="1"/>
  <c r="H85" i="8"/>
  <c r="D77" i="8"/>
  <c r="H77" i="8" s="1"/>
  <c r="E77" i="8"/>
  <c r="Q77" i="8" s="1"/>
  <c r="D69" i="8"/>
  <c r="H69" i="8" s="1"/>
  <c r="E69" i="8"/>
  <c r="Q69" i="8" s="1"/>
  <c r="D53" i="8"/>
  <c r="H53" i="8" s="1"/>
  <c r="E53" i="8"/>
  <c r="Q53" i="8" s="1"/>
  <c r="D45" i="8"/>
  <c r="H45" i="8" s="1"/>
  <c r="E45" i="8"/>
  <c r="D37" i="8"/>
  <c r="H37" i="8" s="1"/>
  <c r="E37" i="8"/>
  <c r="E29" i="8"/>
  <c r="Q29" i="8" s="1"/>
  <c r="D29" i="8"/>
  <c r="H29" i="8" s="1"/>
  <c r="E21" i="8"/>
  <c r="D21" i="8"/>
  <c r="H21" i="8" s="1"/>
  <c r="E13" i="8"/>
  <c r="Q13" i="8" s="1"/>
  <c r="D13" i="8"/>
  <c r="H13" i="8" s="1"/>
  <c r="B164" i="8"/>
  <c r="B114" i="8"/>
  <c r="B66" i="8"/>
  <c r="G159" i="8"/>
  <c r="F159" i="8"/>
  <c r="G143" i="8"/>
  <c r="C124" i="8"/>
  <c r="G111" i="8"/>
  <c r="G95" i="8"/>
  <c r="F95" i="8"/>
  <c r="C60" i="8"/>
  <c r="G47" i="8"/>
  <c r="C28" i="8"/>
  <c r="C12" i="8"/>
  <c r="D153" i="8"/>
  <c r="H153" i="8" s="1"/>
  <c r="D139" i="8"/>
  <c r="H139" i="8" s="1"/>
  <c r="D122" i="8"/>
  <c r="H122" i="8" s="1"/>
  <c r="H102" i="8"/>
  <c r="D83" i="8"/>
  <c r="H23" i="8"/>
  <c r="D4" i="8"/>
  <c r="H4" i="8" s="1"/>
  <c r="Q159" i="8"/>
  <c r="E34" i="8"/>
  <c r="F175" i="8"/>
  <c r="G88" i="8"/>
  <c r="Q103" i="8"/>
  <c r="C172" i="8"/>
  <c r="B172" i="8"/>
  <c r="G92" i="8"/>
  <c r="C52" i="8"/>
  <c r="B52" i="8"/>
  <c r="E75" i="8"/>
  <c r="Q75" i="8" s="1"/>
  <c r="D75" i="8"/>
  <c r="E59" i="8"/>
  <c r="Q59" i="8" s="1"/>
  <c r="D59" i="8"/>
  <c r="H59" i="8" s="1"/>
  <c r="Q11" i="8"/>
  <c r="F24" i="8"/>
  <c r="G24" i="8"/>
  <c r="H135" i="8"/>
  <c r="Q152" i="8"/>
  <c r="E97" i="8"/>
  <c r="Q50" i="8"/>
  <c r="B108" i="8"/>
  <c r="F121" i="8"/>
  <c r="G23" i="8"/>
  <c r="F23" i="8"/>
  <c r="H134" i="8"/>
  <c r="Q61" i="8"/>
  <c r="C162" i="8"/>
  <c r="B162" i="8"/>
  <c r="C90" i="8"/>
  <c r="C18" i="8"/>
  <c r="E161" i="8"/>
  <c r="Q161" i="8" s="1"/>
  <c r="E121" i="8"/>
  <c r="Q121" i="8" s="1"/>
  <c r="G104" i="8"/>
  <c r="H87" i="8"/>
  <c r="F149" i="8"/>
  <c r="G149" i="8"/>
  <c r="F51" i="8"/>
  <c r="Q60" i="8"/>
  <c r="G165" i="8"/>
  <c r="C125" i="8"/>
  <c r="B125" i="8"/>
  <c r="G117" i="8"/>
  <c r="F77" i="8"/>
  <c r="C61" i="8"/>
  <c r="B61" i="8"/>
  <c r="G53" i="8"/>
  <c r="F53" i="8"/>
  <c r="G29" i="8"/>
  <c r="F29" i="8"/>
  <c r="B5" i="8"/>
  <c r="C5" i="8"/>
  <c r="E172" i="8"/>
  <c r="D172" i="8"/>
  <c r="E164" i="8"/>
  <c r="D164" i="8"/>
  <c r="H164" i="8" s="1"/>
  <c r="E156" i="8"/>
  <c r="D156" i="8"/>
  <c r="Q140" i="8"/>
  <c r="E132" i="8"/>
  <c r="D132" i="8"/>
  <c r="H132" i="8" s="1"/>
  <c r="Q124" i="8"/>
  <c r="E116" i="8"/>
  <c r="Q116" i="8" s="1"/>
  <c r="D116" i="8"/>
  <c r="E108" i="8"/>
  <c r="Q108" i="8" s="1"/>
  <c r="D108" i="8"/>
  <c r="H108" i="8" s="1"/>
  <c r="E100" i="8"/>
  <c r="Q100" i="8" s="1"/>
  <c r="D100" i="8"/>
  <c r="Q92" i="8"/>
  <c r="Q84" i="8"/>
  <c r="Q76" i="8"/>
  <c r="Q68" i="8"/>
  <c r="D52" i="8"/>
  <c r="E52" i="8"/>
  <c r="H44" i="8"/>
  <c r="E36" i="8"/>
  <c r="D36" i="8"/>
  <c r="H36" i="8" s="1"/>
  <c r="Q20" i="8"/>
  <c r="Q12" i="8"/>
  <c r="C171" i="8"/>
  <c r="H171" i="8" s="1"/>
  <c r="B171" i="8"/>
  <c r="G163" i="8"/>
  <c r="F139" i="8"/>
  <c r="G139" i="8"/>
  <c r="B115" i="8"/>
  <c r="C115" i="8"/>
  <c r="C107" i="8"/>
  <c r="B107" i="8"/>
  <c r="C99" i="8"/>
  <c r="B99" i="8"/>
  <c r="G91" i="8"/>
  <c r="F91" i="8"/>
  <c r="F67" i="8"/>
  <c r="C43" i="8"/>
  <c r="H43" i="8" s="1"/>
  <c r="B43" i="8"/>
  <c r="E154" i="8"/>
  <c r="D154" i="8"/>
  <c r="H154" i="8" s="1"/>
  <c r="E146" i="8"/>
  <c r="D146" i="8"/>
  <c r="Q122" i="8"/>
  <c r="Q114" i="8"/>
  <c r="Q106" i="8"/>
  <c r="E98" i="8"/>
  <c r="D98" i="8"/>
  <c r="H98" i="8" s="1"/>
  <c r="E90" i="8"/>
  <c r="Q90" i="8" s="1"/>
  <c r="D90" i="8"/>
  <c r="H90" i="8" s="1"/>
  <c r="E82" i="8"/>
  <c r="D82" i="8"/>
  <c r="H82" i="8" s="1"/>
  <c r="E74" i="8"/>
  <c r="D74" i="8"/>
  <c r="H74" i="8" s="1"/>
  <c r="E58" i="8"/>
  <c r="D58" i="8"/>
  <c r="H58" i="8" s="1"/>
  <c r="E42" i="8"/>
  <c r="Q42" i="8" s="1"/>
  <c r="D42" i="8"/>
  <c r="H42" i="8" s="1"/>
  <c r="H34" i="8"/>
  <c r="D26" i="8"/>
  <c r="H26" i="8" s="1"/>
  <c r="E26" i="8"/>
  <c r="D18" i="8"/>
  <c r="H18" i="8" s="1"/>
  <c r="E18" i="8"/>
  <c r="Q18" i="8" s="1"/>
  <c r="Q10" i="8"/>
  <c r="B177" i="8"/>
  <c r="F177" i="8" s="1"/>
  <c r="B163" i="8"/>
  <c r="F163" i="8" s="1"/>
  <c r="B145" i="8"/>
  <c r="B129" i="8"/>
  <c r="F129" i="8" s="1"/>
  <c r="B94" i="8"/>
  <c r="B81" i="8"/>
  <c r="B46" i="8"/>
  <c r="B30" i="8"/>
  <c r="F30" i="8" s="1"/>
  <c r="B17" i="8"/>
  <c r="C173" i="8"/>
  <c r="C123" i="8"/>
  <c r="C75" i="8"/>
  <c r="C27" i="8"/>
  <c r="D138" i="8"/>
  <c r="H138" i="8" s="1"/>
  <c r="H79" i="8"/>
  <c r="H40" i="8"/>
  <c r="H22" i="8"/>
  <c r="D3" i="8"/>
  <c r="H3" i="8" s="1"/>
  <c r="Q158" i="8"/>
  <c r="E109" i="8"/>
  <c r="Q109" i="8" s="1"/>
  <c r="Q71" i="8"/>
  <c r="H127" i="8"/>
  <c r="Q167" i="8"/>
  <c r="Q32" i="8"/>
  <c r="E129" i="8"/>
  <c r="Q129" i="8" s="1"/>
  <c r="E105" i="8"/>
  <c r="Q105" i="8" s="1"/>
  <c r="E89" i="8"/>
  <c r="D89" i="8"/>
  <c r="H89" i="8" s="1"/>
  <c r="D81" i="8"/>
  <c r="E81" i="8"/>
  <c r="Q81" i="8" s="1"/>
  <c r="D73" i="8"/>
  <c r="H73" i="8" s="1"/>
  <c r="E65" i="8"/>
  <c r="Q65" i="8" s="1"/>
  <c r="E57" i="8"/>
  <c r="Q57" i="8" s="1"/>
  <c r="E49" i="8"/>
  <c r="Q49" i="8" s="1"/>
  <c r="E41" i="8"/>
  <c r="Q41" i="8" s="1"/>
  <c r="D25" i="8"/>
  <c r="H25" i="8" s="1"/>
  <c r="E25" i="8"/>
  <c r="D17" i="8"/>
  <c r="E9" i="8"/>
  <c r="D9" i="8"/>
  <c r="H9" i="8" s="1"/>
  <c r="F144" i="8"/>
  <c r="G144" i="8"/>
  <c r="G80" i="8"/>
  <c r="F16" i="8"/>
  <c r="G16" i="8"/>
  <c r="Q143" i="8"/>
  <c r="Q95" i="8"/>
  <c r="Q79" i="8"/>
  <c r="H71" i="8"/>
  <c r="H63" i="8"/>
  <c r="C152" i="8"/>
  <c r="H152" i="8" s="1"/>
  <c r="D144" i="8"/>
  <c r="H144" i="8" s="1"/>
  <c r="D104" i="8"/>
  <c r="H104" i="8" s="1"/>
  <c r="Q144" i="8"/>
  <c r="H136" i="8"/>
  <c r="E128" i="8"/>
  <c r="D128" i="8"/>
  <c r="H128" i="8" s="1"/>
  <c r="D80" i="8"/>
  <c r="H80" i="8" s="1"/>
  <c r="E80" i="8"/>
  <c r="Q80" i="8" s="1"/>
  <c r="H72" i="8"/>
  <c r="E64" i="8"/>
  <c r="D64" i="8"/>
  <c r="H64" i="8" s="1"/>
  <c r="Q48" i="8"/>
  <c r="Q24" i="8"/>
  <c r="E8" i="8"/>
  <c r="Q8" i="8" s="1"/>
  <c r="D8" i="8"/>
  <c r="H8" i="8" s="1"/>
  <c r="Q142" i="8"/>
  <c r="H126" i="8"/>
  <c r="Q70" i="8"/>
  <c r="H62" i="8"/>
  <c r="Q6" i="8"/>
  <c r="D143" i="8"/>
  <c r="D103" i="8"/>
  <c r="H103" i="8" s="1"/>
  <c r="E73" i="8"/>
  <c r="Q73" i="8" s="1"/>
  <c r="E17" i="8"/>
  <c r="E63" i="8"/>
  <c r="Q63" i="8" s="1"/>
  <c r="E55" i="8"/>
  <c r="E47" i="8"/>
  <c r="Q47" i="8" s="1"/>
  <c r="E39" i="8"/>
  <c r="Q39" i="8" s="1"/>
  <c r="E31" i="8"/>
  <c r="Q31" i="8" s="1"/>
  <c r="E23" i="8"/>
  <c r="Q23" i="8" s="1"/>
  <c r="E15" i="8"/>
  <c r="Q15" i="8" s="1"/>
  <c r="E7" i="8"/>
  <c r="D174" i="8"/>
  <c r="H174" i="8" s="1"/>
  <c r="D119" i="8"/>
  <c r="H119" i="8" s="1"/>
  <c r="D55" i="8"/>
  <c r="H55" i="8" s="1"/>
  <c r="B175" i="8"/>
  <c r="B167" i="8"/>
  <c r="F167" i="8" s="1"/>
  <c r="B159" i="8"/>
  <c r="B151" i="8"/>
  <c r="B143" i="8"/>
  <c r="B135" i="8"/>
  <c r="B127" i="8"/>
  <c r="F127" i="8" s="1"/>
  <c r="B119" i="8"/>
  <c r="F119" i="8" s="1"/>
  <c r="B111" i="8"/>
  <c r="F111" i="8" s="1"/>
  <c r="B103" i="8"/>
  <c r="B95" i="8"/>
  <c r="B87" i="8"/>
  <c r="F87" i="8" s="1"/>
  <c r="B79" i="8"/>
  <c r="F79" i="8" s="1"/>
  <c r="B71" i="8"/>
  <c r="B63" i="8"/>
  <c r="F63" i="8" s="1"/>
  <c r="B55" i="8"/>
  <c r="B47" i="8"/>
  <c r="B39" i="8"/>
  <c r="B31" i="8"/>
  <c r="B23" i="8"/>
  <c r="B15" i="8"/>
  <c r="F15" i="8" s="1"/>
  <c r="B7" i="8"/>
  <c r="E38" i="8"/>
  <c r="Q38" i="8" s="1"/>
  <c r="E30" i="8"/>
  <c r="Q30" i="8" s="1"/>
  <c r="E22" i="8"/>
  <c r="Q22" i="8" s="1"/>
  <c r="C135" i="8"/>
  <c r="C71" i="8"/>
  <c r="C7" i="8"/>
  <c r="D118" i="8"/>
  <c r="G150" i="5"/>
  <c r="G86" i="5"/>
  <c r="F174" i="5"/>
  <c r="G159" i="5"/>
  <c r="G104" i="5"/>
  <c r="G154" i="5"/>
  <c r="B58" i="5"/>
  <c r="C58" i="5"/>
  <c r="B42" i="5"/>
  <c r="C42" i="5"/>
  <c r="B26" i="5"/>
  <c r="C26" i="5"/>
  <c r="B10" i="5"/>
  <c r="C10" i="5"/>
  <c r="D177" i="5"/>
  <c r="H177" i="5" s="1"/>
  <c r="E177" i="5"/>
  <c r="E169" i="5"/>
  <c r="D169" i="5"/>
  <c r="D161" i="5"/>
  <c r="H161" i="5" s="1"/>
  <c r="E161" i="5"/>
  <c r="E153" i="5"/>
  <c r="D153" i="5"/>
  <c r="D81" i="5"/>
  <c r="E81" i="5"/>
  <c r="E65" i="5"/>
  <c r="D65" i="5"/>
  <c r="H65" i="5" s="1"/>
  <c r="D49" i="5"/>
  <c r="E49" i="5"/>
  <c r="D33" i="5"/>
  <c r="H33" i="5" s="1"/>
  <c r="E33" i="5"/>
  <c r="Q33" i="5" s="1"/>
  <c r="D17" i="5"/>
  <c r="E17" i="5"/>
  <c r="B134" i="5"/>
  <c r="B109" i="5"/>
  <c r="F109" i="5" s="1"/>
  <c r="B84" i="5"/>
  <c r="C68" i="5"/>
  <c r="H150" i="5"/>
  <c r="D10" i="5"/>
  <c r="H10" i="5" s="1"/>
  <c r="C177" i="5"/>
  <c r="C169" i="5"/>
  <c r="C161" i="5"/>
  <c r="C153" i="5"/>
  <c r="B153" i="5"/>
  <c r="C145" i="5"/>
  <c r="B145" i="5"/>
  <c r="C137" i="5"/>
  <c r="B137" i="5"/>
  <c r="C129" i="5"/>
  <c r="B129" i="5"/>
  <c r="C121" i="5"/>
  <c r="B121" i="5"/>
  <c r="C113" i="5"/>
  <c r="B113" i="5"/>
  <c r="C105" i="5"/>
  <c r="B105" i="5"/>
  <c r="C97" i="5"/>
  <c r="B97" i="5"/>
  <c r="C89" i="5"/>
  <c r="B89" i="5"/>
  <c r="C81" i="5"/>
  <c r="B81" i="5"/>
  <c r="C73" i="5"/>
  <c r="B73" i="5"/>
  <c r="C65" i="5"/>
  <c r="B65" i="5"/>
  <c r="C57" i="5"/>
  <c r="C49" i="5"/>
  <c r="B49" i="5"/>
  <c r="C41" i="5"/>
  <c r="B41" i="5"/>
  <c r="C33" i="5"/>
  <c r="B33" i="5"/>
  <c r="C25" i="5"/>
  <c r="B25" i="5"/>
  <c r="C17" i="5"/>
  <c r="B17" i="5"/>
  <c r="C9" i="5"/>
  <c r="B9" i="5"/>
  <c r="D176" i="5"/>
  <c r="E176" i="5"/>
  <c r="E168" i="5"/>
  <c r="D168" i="5"/>
  <c r="H168" i="5" s="1"/>
  <c r="D160" i="5"/>
  <c r="E160" i="5"/>
  <c r="D152" i="5"/>
  <c r="E152" i="5"/>
  <c r="E144" i="5"/>
  <c r="Q144" i="5" s="1"/>
  <c r="D144" i="5"/>
  <c r="D136" i="5"/>
  <c r="E136" i="5"/>
  <c r="E128" i="5"/>
  <c r="D128" i="5"/>
  <c r="D120" i="5"/>
  <c r="E120" i="5"/>
  <c r="E112" i="5"/>
  <c r="E104" i="5"/>
  <c r="Q104" i="5" s="1"/>
  <c r="D104" i="5"/>
  <c r="H104" i="5" s="1"/>
  <c r="E96" i="5"/>
  <c r="Q96" i="5" s="1"/>
  <c r="D96" i="5"/>
  <c r="E88" i="5"/>
  <c r="D88" i="5"/>
  <c r="E80" i="5"/>
  <c r="Q80" i="5" s="1"/>
  <c r="D80" i="5"/>
  <c r="D72" i="5"/>
  <c r="E72" i="5"/>
  <c r="E64" i="5"/>
  <c r="Q64" i="5" s="1"/>
  <c r="E56" i="5"/>
  <c r="D56" i="5"/>
  <c r="D48" i="5"/>
  <c r="H48" i="5" s="1"/>
  <c r="E48" i="5"/>
  <c r="Q48" i="5" s="1"/>
  <c r="E40" i="5"/>
  <c r="D40" i="5"/>
  <c r="D32" i="5"/>
  <c r="E32" i="5"/>
  <c r="Q32" i="5" s="1"/>
  <c r="E24" i="5"/>
  <c r="D24" i="5"/>
  <c r="E16" i="5"/>
  <c r="D16" i="5"/>
  <c r="H16" i="5" s="1"/>
  <c r="D8" i="5"/>
  <c r="E8" i="5"/>
  <c r="B177" i="5"/>
  <c r="B158" i="5"/>
  <c r="F158" i="5" s="1"/>
  <c r="B147" i="5"/>
  <c r="B133" i="5"/>
  <c r="B122" i="5"/>
  <c r="B108" i="5"/>
  <c r="B94" i="5"/>
  <c r="B83" i="5"/>
  <c r="B67" i="5"/>
  <c r="B30" i="5"/>
  <c r="C132" i="5"/>
  <c r="C59" i="5"/>
  <c r="D130" i="5"/>
  <c r="H130" i="5" s="1"/>
  <c r="E165" i="5"/>
  <c r="Q165" i="5" s="1"/>
  <c r="B34" i="5"/>
  <c r="C34" i="5"/>
  <c r="B18" i="5"/>
  <c r="C18" i="5"/>
  <c r="H145" i="5"/>
  <c r="D137" i="5"/>
  <c r="E137" i="5"/>
  <c r="E129" i="5"/>
  <c r="D129" i="5"/>
  <c r="H129" i="5" s="1"/>
  <c r="D121" i="5"/>
  <c r="E121" i="5"/>
  <c r="D113" i="5"/>
  <c r="H113" i="5" s="1"/>
  <c r="E113" i="5"/>
  <c r="Q113" i="5" s="1"/>
  <c r="E105" i="5"/>
  <c r="D105" i="5"/>
  <c r="E89" i="5"/>
  <c r="D89" i="5"/>
  <c r="H89" i="5" s="1"/>
  <c r="D73" i="5"/>
  <c r="E73" i="5"/>
  <c r="E57" i="5"/>
  <c r="D57" i="5"/>
  <c r="E41" i="5"/>
  <c r="D41" i="5"/>
  <c r="E25" i="5"/>
  <c r="D25" i="5"/>
  <c r="H25" i="5" s="1"/>
  <c r="E9" i="5"/>
  <c r="D9" i="5"/>
  <c r="B123" i="5"/>
  <c r="B98" i="5"/>
  <c r="C141" i="5"/>
  <c r="B176" i="5"/>
  <c r="C176" i="5"/>
  <c r="B168" i="5"/>
  <c r="C160" i="5"/>
  <c r="B160" i="5"/>
  <c r="C152" i="5"/>
  <c r="B152" i="5"/>
  <c r="C144" i="5"/>
  <c r="B144" i="5"/>
  <c r="C136" i="5"/>
  <c r="B136" i="5"/>
  <c r="C128" i="5"/>
  <c r="B128" i="5"/>
  <c r="C120" i="5"/>
  <c r="B120" i="5"/>
  <c r="B112" i="5"/>
  <c r="C112" i="5"/>
  <c r="B104" i="5"/>
  <c r="F104" i="5" s="1"/>
  <c r="C96" i="5"/>
  <c r="B96" i="5"/>
  <c r="C88" i="5"/>
  <c r="B88" i="5"/>
  <c r="C80" i="5"/>
  <c r="B80" i="5"/>
  <c r="C72" i="5"/>
  <c r="B72" i="5"/>
  <c r="C64" i="5"/>
  <c r="H64" i="5" s="1"/>
  <c r="B64" i="5"/>
  <c r="C56" i="5"/>
  <c r="B56" i="5"/>
  <c r="C48" i="5"/>
  <c r="B40" i="5"/>
  <c r="C32" i="5"/>
  <c r="B32" i="5"/>
  <c r="B24" i="5"/>
  <c r="C24" i="5"/>
  <c r="B16" i="5"/>
  <c r="C8" i="5"/>
  <c r="B8" i="5"/>
  <c r="E175" i="5"/>
  <c r="D175" i="5"/>
  <c r="E167" i="5"/>
  <c r="Q167" i="5" s="1"/>
  <c r="D167" i="5"/>
  <c r="D159" i="5"/>
  <c r="H159" i="5" s="1"/>
  <c r="E159" i="5"/>
  <c r="Q159" i="5" s="1"/>
  <c r="D151" i="5"/>
  <c r="E151" i="5"/>
  <c r="E143" i="5"/>
  <c r="D143" i="5"/>
  <c r="D135" i="5"/>
  <c r="E135" i="5"/>
  <c r="E111" i="5"/>
  <c r="E87" i="5"/>
  <c r="D47" i="5"/>
  <c r="H47" i="5" s="1"/>
  <c r="E23" i="5"/>
  <c r="B166" i="5"/>
  <c r="B157" i="5"/>
  <c r="B146" i="5"/>
  <c r="B118" i="5"/>
  <c r="B107" i="5"/>
  <c r="B93" i="5"/>
  <c r="F93" i="5" s="1"/>
  <c r="B82" i="5"/>
  <c r="B66" i="5"/>
  <c r="B21" i="5"/>
  <c r="C50" i="5"/>
  <c r="D112" i="5"/>
  <c r="H112" i="5" s="1"/>
  <c r="E145" i="5"/>
  <c r="Q145" i="5" s="1"/>
  <c r="C175" i="5"/>
  <c r="C167" i="5"/>
  <c r="C151" i="5"/>
  <c r="B151" i="5"/>
  <c r="C143" i="5"/>
  <c r="B143" i="5"/>
  <c r="C135" i="5"/>
  <c r="B135" i="5"/>
  <c r="C127" i="5"/>
  <c r="B127" i="5"/>
  <c r="C119" i="5"/>
  <c r="B119" i="5"/>
  <c r="B111" i="5"/>
  <c r="C111" i="5"/>
  <c r="B103" i="5"/>
  <c r="C103" i="5"/>
  <c r="B95" i="5"/>
  <c r="C87" i="5"/>
  <c r="B87" i="5"/>
  <c r="C79" i="5"/>
  <c r="B79" i="5"/>
  <c r="C71" i="5"/>
  <c r="B71" i="5"/>
  <c r="C63" i="5"/>
  <c r="B63" i="5"/>
  <c r="C55" i="5"/>
  <c r="B55" i="5"/>
  <c r="C47" i="5"/>
  <c r="B47" i="5"/>
  <c r="C39" i="5"/>
  <c r="C31" i="5"/>
  <c r="B31" i="5"/>
  <c r="B23" i="5"/>
  <c r="C23" i="5"/>
  <c r="B15" i="5"/>
  <c r="C15" i="5"/>
  <c r="C7" i="5"/>
  <c r="B7" i="5"/>
  <c r="E174" i="5"/>
  <c r="Q174" i="5" s="1"/>
  <c r="D174" i="5"/>
  <c r="H174" i="5" s="1"/>
  <c r="E166" i="5"/>
  <c r="D166" i="5"/>
  <c r="H166" i="5" s="1"/>
  <c r="D158" i="5"/>
  <c r="H158" i="5" s="1"/>
  <c r="E158" i="5"/>
  <c r="E150" i="5"/>
  <c r="Q150" i="5" s="1"/>
  <c r="E142" i="5"/>
  <c r="D142" i="5"/>
  <c r="H142" i="5" s="1"/>
  <c r="D134" i="5"/>
  <c r="H134" i="5" s="1"/>
  <c r="E134" i="5"/>
  <c r="Q134" i="5" s="1"/>
  <c r="D126" i="5"/>
  <c r="H126" i="5" s="1"/>
  <c r="E126" i="5"/>
  <c r="Q126" i="5" s="1"/>
  <c r="E118" i="5"/>
  <c r="Q118" i="5" s="1"/>
  <c r="D118" i="5"/>
  <c r="H118" i="5" s="1"/>
  <c r="E110" i="5"/>
  <c r="D110" i="5"/>
  <c r="H110" i="5" s="1"/>
  <c r="D102" i="5"/>
  <c r="H102" i="5" s="1"/>
  <c r="D94" i="5"/>
  <c r="H94" i="5" s="1"/>
  <c r="E94" i="5"/>
  <c r="Q94" i="5" s="1"/>
  <c r="E86" i="5"/>
  <c r="Q86" i="5" s="1"/>
  <c r="D86" i="5"/>
  <c r="H86" i="5" s="1"/>
  <c r="E78" i="5"/>
  <c r="Q78" i="5" s="1"/>
  <c r="D78" i="5"/>
  <c r="H78" i="5" s="1"/>
  <c r="E70" i="5"/>
  <c r="Q70" i="5" s="1"/>
  <c r="D70" i="5"/>
  <c r="D62" i="5"/>
  <c r="H62" i="5" s="1"/>
  <c r="E54" i="5"/>
  <c r="D54" i="5"/>
  <c r="H54" i="5" s="1"/>
  <c r="E46" i="5"/>
  <c r="D38" i="5"/>
  <c r="E38" i="5"/>
  <c r="D30" i="5"/>
  <c r="H30" i="5" s="1"/>
  <c r="E30" i="5"/>
  <c r="D22" i="5"/>
  <c r="H22" i="5" s="1"/>
  <c r="E14" i="5"/>
  <c r="D14" i="5"/>
  <c r="D6" i="5"/>
  <c r="E6" i="5"/>
  <c r="B174" i="5"/>
  <c r="B165" i="5"/>
  <c r="F165" i="5" s="1"/>
  <c r="B156" i="5"/>
  <c r="B142" i="5"/>
  <c r="B131" i="5"/>
  <c r="B117" i="5"/>
  <c r="B106" i="5"/>
  <c r="B92" i="5"/>
  <c r="B78" i="5"/>
  <c r="B60" i="5"/>
  <c r="B12" i="5"/>
  <c r="C114" i="5"/>
  <c r="C40" i="5"/>
  <c r="D97" i="5"/>
  <c r="H97" i="5" s="1"/>
  <c r="E125" i="5"/>
  <c r="Q125" i="5" s="1"/>
  <c r="G166" i="5"/>
  <c r="F126" i="5"/>
  <c r="G118" i="5"/>
  <c r="F118" i="5"/>
  <c r="F94" i="5"/>
  <c r="F78" i="5"/>
  <c r="G78" i="5"/>
  <c r="C70" i="5"/>
  <c r="B70" i="5"/>
  <c r="C62" i="5"/>
  <c r="B62" i="5"/>
  <c r="C54" i="5"/>
  <c r="B54" i="5"/>
  <c r="C46" i="5"/>
  <c r="H46" i="5" s="1"/>
  <c r="B46" i="5"/>
  <c r="C38" i="5"/>
  <c r="B38" i="5"/>
  <c r="B22" i="5"/>
  <c r="C22" i="5"/>
  <c r="B14" i="5"/>
  <c r="C14" i="5"/>
  <c r="C6" i="5"/>
  <c r="B6" i="5"/>
  <c r="E173" i="5"/>
  <c r="Q173" i="5" s="1"/>
  <c r="D173" i="5"/>
  <c r="H173" i="5" s="1"/>
  <c r="H165" i="5"/>
  <c r="D157" i="5"/>
  <c r="H157" i="5" s="1"/>
  <c r="E157" i="5"/>
  <c r="D149" i="5"/>
  <c r="H149" i="5" s="1"/>
  <c r="E149" i="5"/>
  <c r="D141" i="5"/>
  <c r="H141" i="5" s="1"/>
  <c r="E141" i="5"/>
  <c r="Q141" i="5" s="1"/>
  <c r="D133" i="5"/>
  <c r="H133" i="5" s="1"/>
  <c r="E133" i="5"/>
  <c r="H125" i="5"/>
  <c r="D117" i="5"/>
  <c r="H117" i="5" s="1"/>
  <c r="E117" i="5"/>
  <c r="Q117" i="5" s="1"/>
  <c r="D109" i="5"/>
  <c r="H109" i="5" s="1"/>
  <c r="E109" i="5"/>
  <c r="Q109" i="5" s="1"/>
  <c r="D101" i="5"/>
  <c r="H101" i="5" s="1"/>
  <c r="E101" i="5"/>
  <c r="Q101" i="5" s="1"/>
  <c r="D93" i="5"/>
  <c r="H93" i="5" s="1"/>
  <c r="E93" i="5"/>
  <c r="H85" i="5"/>
  <c r="D77" i="5"/>
  <c r="H77" i="5" s="1"/>
  <c r="E77" i="5"/>
  <c r="D69" i="5"/>
  <c r="H69" i="5" s="1"/>
  <c r="E69" i="5"/>
  <c r="Q69" i="5" s="1"/>
  <c r="D61" i="5"/>
  <c r="H61" i="5" s="1"/>
  <c r="E61" i="5"/>
  <c r="D53" i="5"/>
  <c r="E53" i="5"/>
  <c r="H45" i="5"/>
  <c r="D37" i="5"/>
  <c r="H37" i="5" s="1"/>
  <c r="E37" i="5"/>
  <c r="Q37" i="5" s="1"/>
  <c r="D29" i="5"/>
  <c r="H29" i="5" s="1"/>
  <c r="E29" i="5"/>
  <c r="Q29" i="5" s="1"/>
  <c r="D21" i="5"/>
  <c r="H21" i="5" s="1"/>
  <c r="E21" i="5"/>
  <c r="D13" i="5"/>
  <c r="E13" i="5"/>
  <c r="Q13" i="5" s="1"/>
  <c r="D5" i="5"/>
  <c r="E5" i="5"/>
  <c r="B173" i="5"/>
  <c r="B164" i="5"/>
  <c r="B155" i="5"/>
  <c r="B130" i="5"/>
  <c r="B116" i="5"/>
  <c r="B102" i="5"/>
  <c r="B91" i="5"/>
  <c r="B77" i="5"/>
  <c r="B3" i="5"/>
  <c r="G173" i="5"/>
  <c r="G165" i="5"/>
  <c r="G157" i="5"/>
  <c r="G133" i="5"/>
  <c r="F133" i="5"/>
  <c r="G125" i="5"/>
  <c r="G117" i="5"/>
  <c r="F117" i="5"/>
  <c r="G109" i="5"/>
  <c r="G101" i="5"/>
  <c r="F101" i="5"/>
  <c r="G93" i="5"/>
  <c r="C69" i="5"/>
  <c r="B69" i="5"/>
  <c r="C61" i="5"/>
  <c r="B61" i="5"/>
  <c r="C53" i="5"/>
  <c r="B53" i="5"/>
  <c r="C45" i="5"/>
  <c r="B45" i="5"/>
  <c r="C37" i="5"/>
  <c r="B37" i="5"/>
  <c r="C29" i="5"/>
  <c r="B29" i="5"/>
  <c r="G21" i="5"/>
  <c r="F21" i="5"/>
  <c r="B13" i="5"/>
  <c r="C13" i="5"/>
  <c r="E172" i="5"/>
  <c r="D172" i="5"/>
  <c r="H172" i="5" s="1"/>
  <c r="E156" i="5"/>
  <c r="D156" i="5"/>
  <c r="H156" i="5" s="1"/>
  <c r="E148" i="5"/>
  <c r="Q148" i="5" s="1"/>
  <c r="D148" i="5"/>
  <c r="H148" i="5" s="1"/>
  <c r="E140" i="5"/>
  <c r="Q140" i="5" s="1"/>
  <c r="D140" i="5"/>
  <c r="H140" i="5" s="1"/>
  <c r="E132" i="5"/>
  <c r="Q132" i="5" s="1"/>
  <c r="D132" i="5"/>
  <c r="H132" i="5" s="1"/>
  <c r="E124" i="5"/>
  <c r="D124" i="5"/>
  <c r="H124" i="5" s="1"/>
  <c r="E116" i="5"/>
  <c r="Q116" i="5" s="1"/>
  <c r="D116" i="5"/>
  <c r="H116" i="5" s="1"/>
  <c r="E108" i="5"/>
  <c r="Q108" i="5" s="1"/>
  <c r="D108" i="5"/>
  <c r="H108" i="5" s="1"/>
  <c r="E100" i="5"/>
  <c r="Q100" i="5" s="1"/>
  <c r="D100" i="5"/>
  <c r="H100" i="5" s="1"/>
  <c r="E92" i="5"/>
  <c r="D92" i="5"/>
  <c r="H92" i="5" s="1"/>
  <c r="E84" i="5"/>
  <c r="Q84" i="5" s="1"/>
  <c r="D84" i="5"/>
  <c r="H84" i="5" s="1"/>
  <c r="E76" i="5"/>
  <c r="Q76" i="5" s="1"/>
  <c r="D76" i="5"/>
  <c r="H76" i="5" s="1"/>
  <c r="E68" i="5"/>
  <c r="Q68" i="5" s="1"/>
  <c r="D68" i="5"/>
  <c r="H68" i="5" s="1"/>
  <c r="E60" i="5"/>
  <c r="D60" i="5"/>
  <c r="H60" i="5" s="1"/>
  <c r="E52" i="5"/>
  <c r="Q52" i="5" s="1"/>
  <c r="D52" i="5"/>
  <c r="E44" i="5"/>
  <c r="D44" i="5"/>
  <c r="E36" i="5"/>
  <c r="Q36" i="5" s="1"/>
  <c r="D36" i="5"/>
  <c r="E28" i="5"/>
  <c r="D28" i="5"/>
  <c r="E20" i="5"/>
  <c r="Q20" i="5" s="1"/>
  <c r="D20" i="5"/>
  <c r="D12" i="5"/>
  <c r="H12" i="5" s="1"/>
  <c r="E12" i="5"/>
  <c r="D4" i="5"/>
  <c r="E4" i="5"/>
  <c r="B172" i="5"/>
  <c r="B163" i="5"/>
  <c r="B154" i="5"/>
  <c r="B140" i="5"/>
  <c r="B126" i="5"/>
  <c r="B115" i="5"/>
  <c r="B101" i="5"/>
  <c r="B90" i="5"/>
  <c r="B76" i="5"/>
  <c r="E85" i="5"/>
  <c r="Q85" i="5" s="1"/>
  <c r="F85" i="5"/>
  <c r="G148" i="5"/>
  <c r="F148" i="5"/>
  <c r="F140" i="5"/>
  <c r="G140" i="5"/>
  <c r="F116" i="5"/>
  <c r="G116" i="5"/>
  <c r="F108" i="5"/>
  <c r="G108" i="5"/>
  <c r="G100" i="5"/>
  <c r="G84" i="5"/>
  <c r="F84" i="5"/>
  <c r="F76" i="5"/>
  <c r="G76" i="5"/>
  <c r="F60" i="5"/>
  <c r="C52" i="5"/>
  <c r="B52" i="5"/>
  <c r="C44" i="5"/>
  <c r="B44" i="5"/>
  <c r="C36" i="5"/>
  <c r="B36" i="5"/>
  <c r="C28" i="5"/>
  <c r="B28" i="5"/>
  <c r="C20" i="5"/>
  <c r="B20" i="5"/>
  <c r="G12" i="5"/>
  <c r="F12" i="5"/>
  <c r="B4" i="5"/>
  <c r="C4" i="5"/>
  <c r="D171" i="5"/>
  <c r="H171" i="5" s="1"/>
  <c r="E171" i="5"/>
  <c r="D163" i="5"/>
  <c r="H163" i="5" s="1"/>
  <c r="E163" i="5"/>
  <c r="Q163" i="5" s="1"/>
  <c r="D155" i="5"/>
  <c r="H155" i="5" s="1"/>
  <c r="E155" i="5"/>
  <c r="D147" i="5"/>
  <c r="H147" i="5" s="1"/>
  <c r="E147" i="5"/>
  <c r="Q147" i="5" s="1"/>
  <c r="D139" i="5"/>
  <c r="H139" i="5" s="1"/>
  <c r="E139" i="5"/>
  <c r="D131" i="5"/>
  <c r="H131" i="5" s="1"/>
  <c r="E131" i="5"/>
  <c r="Q131" i="5" s="1"/>
  <c r="D123" i="5"/>
  <c r="H123" i="5" s="1"/>
  <c r="E123" i="5"/>
  <c r="D115" i="5"/>
  <c r="H115" i="5" s="1"/>
  <c r="E115" i="5"/>
  <c r="Q115" i="5" s="1"/>
  <c r="D107" i="5"/>
  <c r="H107" i="5" s="1"/>
  <c r="E107" i="5"/>
  <c r="D99" i="5"/>
  <c r="H99" i="5" s="1"/>
  <c r="E99" i="5"/>
  <c r="Q99" i="5" s="1"/>
  <c r="D91" i="5"/>
  <c r="H91" i="5" s="1"/>
  <c r="E91" i="5"/>
  <c r="D83" i="5"/>
  <c r="H83" i="5" s="1"/>
  <c r="E83" i="5"/>
  <c r="Q83" i="5" s="1"/>
  <c r="D75" i="5"/>
  <c r="H75" i="5" s="1"/>
  <c r="E75" i="5"/>
  <c r="D67" i="5"/>
  <c r="H67" i="5" s="1"/>
  <c r="E67" i="5"/>
  <c r="Q67" i="5" s="1"/>
  <c r="D59" i="5"/>
  <c r="H59" i="5" s="1"/>
  <c r="E59" i="5"/>
  <c r="D51" i="5"/>
  <c r="H51" i="5" s="1"/>
  <c r="E51" i="5"/>
  <c r="Q51" i="5" s="1"/>
  <c r="D43" i="5"/>
  <c r="H43" i="5" s="1"/>
  <c r="E43" i="5"/>
  <c r="D35" i="5"/>
  <c r="E35" i="5"/>
  <c r="D27" i="5"/>
  <c r="H27" i="5" s="1"/>
  <c r="E27" i="5"/>
  <c r="D19" i="5"/>
  <c r="E19" i="5"/>
  <c r="D11" i="5"/>
  <c r="H11" i="5" s="1"/>
  <c r="E11" i="5"/>
  <c r="D3" i="5"/>
  <c r="H3" i="5" s="1"/>
  <c r="E3" i="5"/>
  <c r="Q3" i="5" s="1"/>
  <c r="B171" i="5"/>
  <c r="B162" i="5"/>
  <c r="B150" i="5"/>
  <c r="F150" i="5" s="1"/>
  <c r="B139" i="5"/>
  <c r="B125" i="5"/>
  <c r="F125" i="5" s="1"/>
  <c r="B100" i="5"/>
  <c r="B86" i="5"/>
  <c r="F86" i="5" s="1"/>
  <c r="B75" i="5"/>
  <c r="B51" i="5"/>
  <c r="C5" i="5"/>
  <c r="G163" i="5"/>
  <c r="F147" i="5"/>
  <c r="G147" i="5"/>
  <c r="F131" i="5"/>
  <c r="F99" i="5"/>
  <c r="G99" i="5"/>
  <c r="F91" i="5"/>
  <c r="F67" i="5"/>
  <c r="G67" i="5"/>
  <c r="F51" i="5"/>
  <c r="C43" i="5"/>
  <c r="B43" i="5"/>
  <c r="C35" i="5"/>
  <c r="B35" i="5"/>
  <c r="C27" i="5"/>
  <c r="B27" i="5"/>
  <c r="C19" i="5"/>
  <c r="B19" i="5"/>
  <c r="C11" i="5"/>
  <c r="B11" i="5"/>
  <c r="F3" i="5"/>
  <c r="G3" i="5"/>
  <c r="E170" i="5"/>
  <c r="D170" i="5"/>
  <c r="H170" i="5" s="1"/>
  <c r="E162" i="5"/>
  <c r="Q162" i="5" s="1"/>
  <c r="D162" i="5"/>
  <c r="H162" i="5" s="1"/>
  <c r="E154" i="5"/>
  <c r="D154" i="5"/>
  <c r="H154" i="5" s="1"/>
  <c r="E146" i="5"/>
  <c r="Q146" i="5" s="1"/>
  <c r="D146" i="5"/>
  <c r="H146" i="5" s="1"/>
  <c r="E138" i="5"/>
  <c r="D138" i="5"/>
  <c r="H138" i="5" s="1"/>
  <c r="Q130" i="5"/>
  <c r="E122" i="5"/>
  <c r="D122" i="5"/>
  <c r="H122" i="5" s="1"/>
  <c r="E114" i="5"/>
  <c r="D114" i="5"/>
  <c r="H114" i="5" s="1"/>
  <c r="E106" i="5"/>
  <c r="D106" i="5"/>
  <c r="H106" i="5" s="1"/>
  <c r="E98" i="5"/>
  <c r="D98" i="5"/>
  <c r="H98" i="5" s="1"/>
  <c r="E90" i="5"/>
  <c r="D90" i="5"/>
  <c r="H90" i="5" s="1"/>
  <c r="E82" i="5"/>
  <c r="D82" i="5"/>
  <c r="H82" i="5" s="1"/>
  <c r="E74" i="5"/>
  <c r="D74" i="5"/>
  <c r="H74" i="5" s="1"/>
  <c r="E66" i="5"/>
  <c r="D66" i="5"/>
  <c r="H66" i="5" s="1"/>
  <c r="E58" i="5"/>
  <c r="D58" i="5"/>
  <c r="H58" i="5" s="1"/>
  <c r="E50" i="5"/>
  <c r="D50" i="5"/>
  <c r="H50" i="5" s="1"/>
  <c r="E42" i="5"/>
  <c r="D42" i="5"/>
  <c r="H42" i="5" s="1"/>
  <c r="E34" i="5"/>
  <c r="D34" i="5"/>
  <c r="H34" i="5" s="1"/>
  <c r="E18" i="5"/>
  <c r="D18" i="5"/>
  <c r="H18" i="5" s="1"/>
  <c r="Q10" i="5"/>
  <c r="B170" i="5"/>
  <c r="B149" i="5"/>
  <c r="B138" i="5"/>
  <c r="B124" i="5"/>
  <c r="B110" i="5"/>
  <c r="B99" i="5"/>
  <c r="B85" i="5"/>
  <c r="B74" i="5"/>
  <c r="D164" i="5"/>
  <c r="H164" i="5" s="1"/>
  <c r="D26" i="5"/>
  <c r="H26" i="5" s="1"/>
  <c r="E45" i="5"/>
  <c r="Q45" i="5" s="1"/>
  <c r="D111" i="5"/>
  <c r="H111" i="5" s="1"/>
  <c r="D127" i="5"/>
  <c r="H127" i="5" s="1"/>
  <c r="E119" i="5"/>
  <c r="E103" i="5"/>
  <c r="D103" i="5"/>
  <c r="H103" i="5" s="1"/>
  <c r="D95" i="5"/>
  <c r="H95" i="5" s="1"/>
  <c r="E79" i="5"/>
  <c r="Q79" i="5" s="1"/>
  <c r="D71" i="5"/>
  <c r="H71" i="5" s="1"/>
  <c r="D63" i="5"/>
  <c r="H63" i="5" s="1"/>
  <c r="E55" i="5"/>
  <c r="E39" i="5"/>
  <c r="D39" i="5"/>
  <c r="H39" i="5" s="1"/>
  <c r="D31" i="5"/>
  <c r="H31" i="5" s="1"/>
  <c r="E15" i="5"/>
  <c r="D7" i="5"/>
  <c r="H7" i="5" s="1"/>
  <c r="D23" i="5"/>
  <c r="H23" i="5" s="1"/>
  <c r="D55" i="5"/>
  <c r="H55" i="5" s="1"/>
  <c r="E95" i="5"/>
  <c r="D87" i="5"/>
  <c r="E71" i="5"/>
  <c r="E31" i="5"/>
  <c r="Q31" i="5" s="1"/>
  <c r="D119" i="5"/>
  <c r="H119" i="5" s="1"/>
  <c r="D15" i="5"/>
  <c r="H15" i="5" s="1"/>
  <c r="E127" i="5"/>
  <c r="Q127" i="5" s="1"/>
  <c r="E47" i="5"/>
  <c r="Q47" i="5" s="1"/>
  <c r="E7" i="5"/>
  <c r="E63" i="5"/>
  <c r="G15" i="1"/>
  <c r="D172" i="1"/>
  <c r="H172" i="1" s="1"/>
  <c r="E172" i="1"/>
  <c r="Q172" i="1" s="1"/>
  <c r="B172" i="1"/>
  <c r="C172" i="1"/>
  <c r="B164" i="1"/>
  <c r="C164" i="1"/>
  <c r="C156" i="1"/>
  <c r="B156" i="1"/>
  <c r="C148" i="1"/>
  <c r="B148" i="1"/>
  <c r="C140" i="1"/>
  <c r="B140" i="1"/>
  <c r="B132" i="1"/>
  <c r="C132" i="1"/>
  <c r="C124" i="1"/>
  <c r="B124" i="1"/>
  <c r="C116" i="1"/>
  <c r="B116" i="1"/>
  <c r="C108" i="1"/>
  <c r="B108" i="1"/>
  <c r="B100" i="1"/>
  <c r="C100" i="1"/>
  <c r="C92" i="1"/>
  <c r="B92" i="1"/>
  <c r="C84" i="1"/>
  <c r="B84" i="1"/>
  <c r="C76" i="1"/>
  <c r="B76" i="1"/>
  <c r="B68" i="1"/>
  <c r="C68" i="1"/>
  <c r="C60" i="1"/>
  <c r="B60" i="1"/>
  <c r="C52" i="1"/>
  <c r="B52" i="1"/>
  <c r="C44" i="1"/>
  <c r="B44" i="1"/>
  <c r="B36" i="1"/>
  <c r="C36" i="1"/>
  <c r="C28" i="1"/>
  <c r="B28" i="1"/>
  <c r="C20" i="1"/>
  <c r="B20" i="1"/>
  <c r="C12" i="1"/>
  <c r="B12" i="1"/>
  <c r="B4" i="1"/>
  <c r="C4" i="1"/>
  <c r="D171" i="1"/>
  <c r="H171" i="1" s="1"/>
  <c r="E171" i="1"/>
  <c r="E155" i="1"/>
  <c r="Q155" i="1" s="1"/>
  <c r="D155" i="1"/>
  <c r="H155" i="1" s="1"/>
  <c r="E147" i="1"/>
  <c r="D147" i="1"/>
  <c r="D139" i="1"/>
  <c r="H139" i="1" s="1"/>
  <c r="E139" i="1"/>
  <c r="Q139" i="1" s="1"/>
  <c r="E123" i="1"/>
  <c r="D123" i="1"/>
  <c r="H123" i="1" s="1"/>
  <c r="E115" i="1"/>
  <c r="D115" i="1"/>
  <c r="E107" i="1"/>
  <c r="D107" i="1"/>
  <c r="H107" i="1" s="1"/>
  <c r="D99" i="1"/>
  <c r="E99" i="1"/>
  <c r="E91" i="1"/>
  <c r="D91" i="1"/>
  <c r="H91" i="1" s="1"/>
  <c r="E83" i="1"/>
  <c r="D83" i="1"/>
  <c r="E75" i="1"/>
  <c r="D75" i="1"/>
  <c r="H75" i="1" s="1"/>
  <c r="D67" i="1"/>
  <c r="E67" i="1"/>
  <c r="E59" i="1"/>
  <c r="D59" i="1"/>
  <c r="H59" i="1" s="1"/>
  <c r="E51" i="1"/>
  <c r="D51" i="1"/>
  <c r="E43" i="1"/>
  <c r="D43" i="1"/>
  <c r="H43" i="1" s="1"/>
  <c r="D35" i="1"/>
  <c r="E35" i="1"/>
  <c r="E27" i="1"/>
  <c r="D27" i="1"/>
  <c r="H27" i="1" s="1"/>
  <c r="E19" i="1"/>
  <c r="D19" i="1"/>
  <c r="E11" i="1"/>
  <c r="D11" i="1"/>
  <c r="H11" i="1" s="1"/>
  <c r="D3" i="1"/>
  <c r="E3" i="1"/>
  <c r="B146" i="1"/>
  <c r="B127" i="1"/>
  <c r="B82" i="1"/>
  <c r="B63" i="1"/>
  <c r="B18" i="1"/>
  <c r="C122" i="1"/>
  <c r="C37" i="1"/>
  <c r="D126" i="1"/>
  <c r="D41" i="1"/>
  <c r="E131" i="1"/>
  <c r="Q131" i="1" s="1"/>
  <c r="B173" i="1"/>
  <c r="C173" i="1"/>
  <c r="C157" i="1"/>
  <c r="B157" i="1"/>
  <c r="C149" i="1"/>
  <c r="B149" i="1"/>
  <c r="C141" i="1"/>
  <c r="B141" i="1"/>
  <c r="C125" i="1"/>
  <c r="B125" i="1"/>
  <c r="C117" i="1"/>
  <c r="B117" i="1"/>
  <c r="C109" i="1"/>
  <c r="B109" i="1"/>
  <c r="C93" i="1"/>
  <c r="B93" i="1"/>
  <c r="C85" i="1"/>
  <c r="B85" i="1"/>
  <c r="C77" i="1"/>
  <c r="B77" i="1"/>
  <c r="C61" i="1"/>
  <c r="B61" i="1"/>
  <c r="C53" i="1"/>
  <c r="B53" i="1"/>
  <c r="C45" i="1"/>
  <c r="B45" i="1"/>
  <c r="C29" i="1"/>
  <c r="B29" i="1"/>
  <c r="D140" i="1"/>
  <c r="E140" i="1"/>
  <c r="E132" i="1"/>
  <c r="Q132" i="1" s="1"/>
  <c r="D132" i="1"/>
  <c r="H132" i="1" s="1"/>
  <c r="E124" i="1"/>
  <c r="D124" i="1"/>
  <c r="E108" i="1"/>
  <c r="D108" i="1"/>
  <c r="E100" i="1"/>
  <c r="D100" i="1"/>
  <c r="H100" i="1" s="1"/>
  <c r="E92" i="1"/>
  <c r="Q92" i="1" s="1"/>
  <c r="D92" i="1"/>
  <c r="E76" i="1"/>
  <c r="D76" i="1"/>
  <c r="E68" i="1"/>
  <c r="D68" i="1"/>
  <c r="E60" i="1"/>
  <c r="Q60" i="1" s="1"/>
  <c r="D60" i="1"/>
  <c r="H60" i="1" s="1"/>
  <c r="E44" i="1"/>
  <c r="D44" i="1"/>
  <c r="E36" i="1"/>
  <c r="Q36" i="1" s="1"/>
  <c r="D36" i="1"/>
  <c r="E28" i="1"/>
  <c r="D28" i="1"/>
  <c r="H28" i="1" s="1"/>
  <c r="Q20" i="1"/>
  <c r="E12" i="1"/>
  <c r="D12" i="1"/>
  <c r="E4" i="1"/>
  <c r="D4" i="1"/>
  <c r="H4" i="1" s="1"/>
  <c r="C133" i="1"/>
  <c r="D52" i="1"/>
  <c r="H52" i="1" s="1"/>
  <c r="B171" i="1"/>
  <c r="C171" i="1"/>
  <c r="C163" i="1"/>
  <c r="H163" i="1" s="1"/>
  <c r="B163" i="1"/>
  <c r="C155" i="1"/>
  <c r="B155" i="1"/>
  <c r="C147" i="1"/>
  <c r="B147" i="1"/>
  <c r="C139" i="1"/>
  <c r="B139" i="1"/>
  <c r="C131" i="1"/>
  <c r="H131" i="1" s="1"/>
  <c r="B131" i="1"/>
  <c r="C123" i="1"/>
  <c r="B123" i="1"/>
  <c r="C115" i="1"/>
  <c r="B115" i="1"/>
  <c r="C107" i="1"/>
  <c r="B107" i="1"/>
  <c r="C99" i="1"/>
  <c r="B99" i="1"/>
  <c r="C91" i="1"/>
  <c r="B91" i="1"/>
  <c r="C83" i="1"/>
  <c r="B83" i="1"/>
  <c r="C75" i="1"/>
  <c r="B75" i="1"/>
  <c r="C67" i="1"/>
  <c r="B67" i="1"/>
  <c r="C59" i="1"/>
  <c r="B59" i="1"/>
  <c r="C51" i="1"/>
  <c r="B51" i="1"/>
  <c r="C43" i="1"/>
  <c r="B43" i="1"/>
  <c r="C35" i="1"/>
  <c r="B35" i="1"/>
  <c r="C27" i="1"/>
  <c r="B27" i="1"/>
  <c r="C19" i="1"/>
  <c r="B19" i="1"/>
  <c r="C11" i="1"/>
  <c r="B11" i="1"/>
  <c r="C3" i="1"/>
  <c r="B3" i="1"/>
  <c r="D170" i="1"/>
  <c r="H170" i="1" s="1"/>
  <c r="E170" i="1"/>
  <c r="Q170" i="1" s="1"/>
  <c r="E162" i="1"/>
  <c r="Q162" i="1" s="1"/>
  <c r="E130" i="1"/>
  <c r="B167" i="1"/>
  <c r="B103" i="1"/>
  <c r="B58" i="1"/>
  <c r="B39" i="1"/>
  <c r="B15" i="1"/>
  <c r="C111" i="1"/>
  <c r="C26" i="1"/>
  <c r="D116" i="1"/>
  <c r="H116" i="1" s="1"/>
  <c r="D30" i="1"/>
  <c r="E156" i="1"/>
  <c r="D156" i="1"/>
  <c r="H156" i="1" s="1"/>
  <c r="G170" i="1"/>
  <c r="F170" i="1"/>
  <c r="F162" i="1"/>
  <c r="G106" i="1"/>
  <c r="F42" i="1"/>
  <c r="G42" i="1"/>
  <c r="B10" i="1"/>
  <c r="C10" i="1"/>
  <c r="E177" i="1"/>
  <c r="D177" i="1"/>
  <c r="E161" i="1"/>
  <c r="D161" i="1"/>
  <c r="H161" i="1" s="1"/>
  <c r="E153" i="1"/>
  <c r="D153" i="1"/>
  <c r="E145" i="1"/>
  <c r="D145" i="1"/>
  <c r="Q137" i="1"/>
  <c r="E129" i="1"/>
  <c r="D129" i="1"/>
  <c r="E121" i="1"/>
  <c r="Q121" i="1" s="1"/>
  <c r="D121" i="1"/>
  <c r="H121" i="1" s="1"/>
  <c r="E113" i="1"/>
  <c r="D113" i="1"/>
  <c r="E97" i="1"/>
  <c r="Q97" i="1" s="1"/>
  <c r="D97" i="1"/>
  <c r="E89" i="1"/>
  <c r="D89" i="1"/>
  <c r="E81" i="1"/>
  <c r="D81" i="1"/>
  <c r="E65" i="1"/>
  <c r="D65" i="1"/>
  <c r="H65" i="1" s="1"/>
  <c r="E57" i="1"/>
  <c r="D57" i="1"/>
  <c r="E49" i="1"/>
  <c r="Q49" i="1" s="1"/>
  <c r="D49" i="1"/>
  <c r="H49" i="1" s="1"/>
  <c r="Q41" i="1"/>
  <c r="E33" i="1"/>
  <c r="D33" i="1"/>
  <c r="H33" i="1" s="1"/>
  <c r="E25" i="1"/>
  <c r="D25" i="1"/>
  <c r="E17" i="1"/>
  <c r="D17" i="1"/>
  <c r="H17" i="1" s="1"/>
  <c r="B162" i="1"/>
  <c r="B143" i="1"/>
  <c r="B98" i="1"/>
  <c r="B79" i="1"/>
  <c r="B34" i="1"/>
  <c r="B7" i="1"/>
  <c r="C101" i="1"/>
  <c r="D105" i="1"/>
  <c r="H105" i="1" s="1"/>
  <c r="D20" i="1"/>
  <c r="H20" i="1" s="1"/>
  <c r="E164" i="1"/>
  <c r="D164" i="1"/>
  <c r="H164" i="1" s="1"/>
  <c r="C177" i="1"/>
  <c r="C169" i="1"/>
  <c r="C161" i="1"/>
  <c r="C153" i="1"/>
  <c r="C145" i="1"/>
  <c r="C137" i="1"/>
  <c r="H137" i="1" s="1"/>
  <c r="C129" i="1"/>
  <c r="C121" i="1"/>
  <c r="C113" i="1"/>
  <c r="C105" i="1"/>
  <c r="C97" i="1"/>
  <c r="C89" i="1"/>
  <c r="C81" i="1"/>
  <c r="C73" i="1"/>
  <c r="Q73" i="1" s="1"/>
  <c r="C65" i="1"/>
  <c r="C57" i="1"/>
  <c r="C49" i="1"/>
  <c r="C41" i="1"/>
  <c r="C33" i="1"/>
  <c r="C25" i="1"/>
  <c r="C17" i="1"/>
  <c r="B17" i="1"/>
  <c r="C9" i="1"/>
  <c r="B9" i="1"/>
  <c r="D176" i="1"/>
  <c r="H176" i="1" s="1"/>
  <c r="E176" i="1"/>
  <c r="D168" i="1"/>
  <c r="E168" i="1"/>
  <c r="Q168" i="1" s="1"/>
  <c r="D160" i="1"/>
  <c r="H160" i="1" s="1"/>
  <c r="E160" i="1"/>
  <c r="D152" i="1"/>
  <c r="D144" i="1"/>
  <c r="E144" i="1"/>
  <c r="D136" i="1"/>
  <c r="E136" i="1"/>
  <c r="D128" i="1"/>
  <c r="H128" i="1" s="1"/>
  <c r="E128" i="1"/>
  <c r="D120" i="1"/>
  <c r="D112" i="1"/>
  <c r="E112" i="1"/>
  <c r="D104" i="1"/>
  <c r="D96" i="1"/>
  <c r="E96" i="1"/>
  <c r="D88" i="1"/>
  <c r="D80" i="1"/>
  <c r="E80" i="1"/>
  <c r="B161" i="1"/>
  <c r="B138" i="1"/>
  <c r="B119" i="1"/>
  <c r="B97" i="1"/>
  <c r="B74" i="1"/>
  <c r="B55" i="1"/>
  <c r="B33" i="1"/>
  <c r="C90" i="1"/>
  <c r="C5" i="1"/>
  <c r="D94" i="1"/>
  <c r="D9" i="1"/>
  <c r="H9" i="1" s="1"/>
  <c r="E88" i="1"/>
  <c r="C21" i="1"/>
  <c r="B21" i="1"/>
  <c r="B176" i="1"/>
  <c r="C176" i="1"/>
  <c r="B168" i="1"/>
  <c r="C168" i="1"/>
  <c r="B160" i="1"/>
  <c r="C160" i="1"/>
  <c r="B152" i="1"/>
  <c r="C152" i="1"/>
  <c r="C144" i="1"/>
  <c r="B144" i="1"/>
  <c r="B136" i="1"/>
  <c r="C136" i="1"/>
  <c r="B128" i="1"/>
  <c r="C128" i="1"/>
  <c r="B120" i="1"/>
  <c r="C120" i="1"/>
  <c r="C112" i="1"/>
  <c r="B112" i="1"/>
  <c r="B104" i="1"/>
  <c r="C104" i="1"/>
  <c r="Q104" i="1" s="1"/>
  <c r="B96" i="1"/>
  <c r="C96" i="1"/>
  <c r="B88" i="1"/>
  <c r="C88" i="1"/>
  <c r="C80" i="1"/>
  <c r="B80" i="1"/>
  <c r="B72" i="1"/>
  <c r="C72" i="1"/>
  <c r="B64" i="1"/>
  <c r="C64" i="1"/>
  <c r="B56" i="1"/>
  <c r="C56" i="1"/>
  <c r="C48" i="1"/>
  <c r="B48" i="1"/>
  <c r="B40" i="1"/>
  <c r="C40" i="1"/>
  <c r="Q40" i="1" s="1"/>
  <c r="B32" i="1"/>
  <c r="C32" i="1"/>
  <c r="B24" i="1"/>
  <c r="C24" i="1"/>
  <c r="C16" i="1"/>
  <c r="B16" i="1"/>
  <c r="B8" i="1"/>
  <c r="C8" i="1"/>
  <c r="Q8" i="1" s="1"/>
  <c r="E175" i="1"/>
  <c r="Q175" i="1" s="1"/>
  <c r="D175" i="1"/>
  <c r="H175" i="1" s="1"/>
  <c r="E167" i="1"/>
  <c r="D167" i="1"/>
  <c r="H167" i="1" s="1"/>
  <c r="E159" i="1"/>
  <c r="Q159" i="1" s="1"/>
  <c r="D159" i="1"/>
  <c r="H159" i="1" s="1"/>
  <c r="E151" i="1"/>
  <c r="D151" i="1"/>
  <c r="H151" i="1" s="1"/>
  <c r="E143" i="1"/>
  <c r="Q143" i="1" s="1"/>
  <c r="D143" i="1"/>
  <c r="H143" i="1" s="1"/>
  <c r="E135" i="1"/>
  <c r="D135" i="1"/>
  <c r="H135" i="1" s="1"/>
  <c r="E127" i="1"/>
  <c r="Q127" i="1" s="1"/>
  <c r="D127" i="1"/>
  <c r="H127" i="1" s="1"/>
  <c r="E119" i="1"/>
  <c r="D119" i="1"/>
  <c r="H119" i="1" s="1"/>
  <c r="E111" i="1"/>
  <c r="Q111" i="1" s="1"/>
  <c r="D111" i="1"/>
  <c r="H111" i="1" s="1"/>
  <c r="E103" i="1"/>
  <c r="D103" i="1"/>
  <c r="H103" i="1" s="1"/>
  <c r="E95" i="1"/>
  <c r="Q95" i="1" s="1"/>
  <c r="D95" i="1"/>
  <c r="F95" i="1" s="1"/>
  <c r="E87" i="1"/>
  <c r="D87" i="1"/>
  <c r="H87" i="1" s="1"/>
  <c r="E79" i="1"/>
  <c r="Q79" i="1" s="1"/>
  <c r="D79" i="1"/>
  <c r="H79" i="1" s="1"/>
  <c r="E71" i="1"/>
  <c r="D71" i="1"/>
  <c r="H71" i="1" s="1"/>
  <c r="E63" i="1"/>
  <c r="Q63" i="1" s="1"/>
  <c r="D63" i="1"/>
  <c r="H63" i="1" s="1"/>
  <c r="E55" i="1"/>
  <c r="D55" i="1"/>
  <c r="H55" i="1" s="1"/>
  <c r="E47" i="1"/>
  <c r="Q47" i="1" s="1"/>
  <c r="D47" i="1"/>
  <c r="H47" i="1" s="1"/>
  <c r="E39" i="1"/>
  <c r="D39" i="1"/>
  <c r="H39" i="1" s="1"/>
  <c r="E31" i="1"/>
  <c r="Q31" i="1" s="1"/>
  <c r="D31" i="1"/>
  <c r="H31" i="1" s="1"/>
  <c r="E23" i="1"/>
  <c r="D23" i="1"/>
  <c r="H23" i="1" s="1"/>
  <c r="E15" i="1"/>
  <c r="Q15" i="1" s="1"/>
  <c r="D15" i="1"/>
  <c r="H15" i="1" s="1"/>
  <c r="E7" i="1"/>
  <c r="D7" i="1"/>
  <c r="H7" i="1" s="1"/>
  <c r="B159" i="1"/>
  <c r="B137" i="1"/>
  <c r="B114" i="1"/>
  <c r="B95" i="1"/>
  <c r="B73" i="1"/>
  <c r="B50" i="1"/>
  <c r="B31" i="1"/>
  <c r="C165" i="1"/>
  <c r="D169" i="1"/>
  <c r="H169" i="1" s="1"/>
  <c r="D84" i="1"/>
  <c r="H84" i="1" s="1"/>
  <c r="F151" i="1"/>
  <c r="G135" i="1"/>
  <c r="F127" i="1"/>
  <c r="G127" i="1"/>
  <c r="G119" i="1"/>
  <c r="F87" i="1"/>
  <c r="G87" i="1"/>
  <c r="F63" i="1"/>
  <c r="G63" i="1"/>
  <c r="F39" i="1"/>
  <c r="F31" i="1"/>
  <c r="G31" i="1"/>
  <c r="F23" i="1"/>
  <c r="G23" i="1"/>
  <c r="E174" i="1"/>
  <c r="Q174" i="1" s="1"/>
  <c r="D174" i="1"/>
  <c r="H174" i="1" s="1"/>
  <c r="E166" i="1"/>
  <c r="D166" i="1"/>
  <c r="D150" i="1"/>
  <c r="H150" i="1" s="1"/>
  <c r="E150" i="1"/>
  <c r="E142" i="1"/>
  <c r="D142" i="1"/>
  <c r="E134" i="1"/>
  <c r="Q134" i="1" s="1"/>
  <c r="D134" i="1"/>
  <c r="D118" i="1"/>
  <c r="H118" i="1" s="1"/>
  <c r="E118" i="1"/>
  <c r="Q118" i="1" s="1"/>
  <c r="E110" i="1"/>
  <c r="D110" i="1"/>
  <c r="Q94" i="1"/>
  <c r="D86" i="1"/>
  <c r="H86" i="1" s="1"/>
  <c r="E86" i="1"/>
  <c r="E78" i="1"/>
  <c r="D78" i="1"/>
  <c r="D70" i="1"/>
  <c r="H70" i="1" s="1"/>
  <c r="E70" i="1"/>
  <c r="D54" i="1"/>
  <c r="H54" i="1" s="1"/>
  <c r="E54" i="1"/>
  <c r="E46" i="1"/>
  <c r="D46" i="1"/>
  <c r="D38" i="1"/>
  <c r="H38" i="1" s="1"/>
  <c r="E38" i="1"/>
  <c r="Q38" i="1" s="1"/>
  <c r="D22" i="1"/>
  <c r="E22" i="1"/>
  <c r="Q22" i="1" s="1"/>
  <c r="E14" i="1"/>
  <c r="D14" i="1"/>
  <c r="D6" i="1"/>
  <c r="E6" i="1"/>
  <c r="Q6" i="1" s="1"/>
  <c r="B177" i="1"/>
  <c r="B154" i="1"/>
  <c r="B135" i="1"/>
  <c r="B113" i="1"/>
  <c r="B71" i="1"/>
  <c r="B49" i="1"/>
  <c r="C69" i="1"/>
  <c r="D158" i="1"/>
  <c r="D73" i="1"/>
  <c r="H73" i="1" s="1"/>
  <c r="E163" i="1"/>
  <c r="C13" i="1"/>
  <c r="B13" i="1"/>
  <c r="F47" i="1"/>
  <c r="G47" i="1"/>
  <c r="G175" i="1"/>
  <c r="F175" i="1"/>
  <c r="G159" i="1"/>
  <c r="D102" i="1"/>
  <c r="E102" i="1"/>
  <c r="Q102" i="1" s="1"/>
  <c r="B174" i="1"/>
  <c r="C166" i="1"/>
  <c r="B166" i="1"/>
  <c r="C158" i="1"/>
  <c r="B158" i="1"/>
  <c r="C150" i="1"/>
  <c r="B150" i="1"/>
  <c r="C142" i="1"/>
  <c r="B142" i="1"/>
  <c r="C134" i="1"/>
  <c r="B134" i="1"/>
  <c r="C126" i="1"/>
  <c r="B126" i="1"/>
  <c r="C118" i="1"/>
  <c r="B118" i="1"/>
  <c r="C110" i="1"/>
  <c r="B110" i="1"/>
  <c r="C102" i="1"/>
  <c r="B102" i="1"/>
  <c r="C94" i="1"/>
  <c r="B94" i="1"/>
  <c r="C86" i="1"/>
  <c r="B86" i="1"/>
  <c r="C78" i="1"/>
  <c r="B78" i="1"/>
  <c r="C70" i="1"/>
  <c r="B70" i="1"/>
  <c r="C62" i="1"/>
  <c r="Q62" i="1" s="1"/>
  <c r="B62" i="1"/>
  <c r="C54" i="1"/>
  <c r="B54" i="1"/>
  <c r="C46" i="1"/>
  <c r="B46" i="1"/>
  <c r="C38" i="1"/>
  <c r="B38" i="1"/>
  <c r="C30" i="1"/>
  <c r="Q30" i="1" s="1"/>
  <c r="B30" i="1"/>
  <c r="C22" i="1"/>
  <c r="B22" i="1"/>
  <c r="C14" i="1"/>
  <c r="B14" i="1"/>
  <c r="C6" i="1"/>
  <c r="B6" i="1"/>
  <c r="D173" i="1"/>
  <c r="H173" i="1" s="1"/>
  <c r="E165" i="1"/>
  <c r="Q165" i="1" s="1"/>
  <c r="D165" i="1"/>
  <c r="E157" i="1"/>
  <c r="D157" i="1"/>
  <c r="H157" i="1" s="1"/>
  <c r="D149" i="1"/>
  <c r="H149" i="1" s="1"/>
  <c r="E149" i="1"/>
  <c r="D141" i="1"/>
  <c r="H141" i="1" s="1"/>
  <c r="E133" i="1"/>
  <c r="D133" i="1"/>
  <c r="H133" i="1" s="1"/>
  <c r="E125" i="1"/>
  <c r="D125" i="1"/>
  <c r="D117" i="1"/>
  <c r="H117" i="1" s="1"/>
  <c r="E117" i="1"/>
  <c r="E109" i="1"/>
  <c r="Q109" i="1" s="1"/>
  <c r="D109" i="1"/>
  <c r="H109" i="1" s="1"/>
  <c r="D101" i="1"/>
  <c r="H101" i="1" s="1"/>
  <c r="E101" i="1"/>
  <c r="Q101" i="1" s="1"/>
  <c r="E93" i="1"/>
  <c r="Q93" i="1" s="1"/>
  <c r="D93" i="1"/>
  <c r="H93" i="1" s="1"/>
  <c r="D85" i="1"/>
  <c r="H85" i="1" s="1"/>
  <c r="E85" i="1"/>
  <c r="E77" i="1"/>
  <c r="Q77" i="1" s="1"/>
  <c r="D77" i="1"/>
  <c r="H77" i="1" s="1"/>
  <c r="D69" i="1"/>
  <c r="H69" i="1" s="1"/>
  <c r="E69" i="1"/>
  <c r="Q69" i="1" s="1"/>
  <c r="E61" i="1"/>
  <c r="Q61" i="1" s="1"/>
  <c r="D61" i="1"/>
  <c r="H61" i="1" s="1"/>
  <c r="D53" i="1"/>
  <c r="H53" i="1" s="1"/>
  <c r="E53" i="1"/>
  <c r="E45" i="1"/>
  <c r="Q45" i="1" s="1"/>
  <c r="D45" i="1"/>
  <c r="H45" i="1" s="1"/>
  <c r="D37" i="1"/>
  <c r="H37" i="1" s="1"/>
  <c r="E37" i="1"/>
  <c r="Q37" i="1" s="1"/>
  <c r="E29" i="1"/>
  <c r="Q29" i="1" s="1"/>
  <c r="D29" i="1"/>
  <c r="H29" i="1" s="1"/>
  <c r="D21" i="1"/>
  <c r="H21" i="1" s="1"/>
  <c r="E21" i="1"/>
  <c r="E13" i="1"/>
  <c r="Q13" i="1" s="1"/>
  <c r="D13" i="1"/>
  <c r="H13" i="1" s="1"/>
  <c r="D5" i="1"/>
  <c r="H5" i="1" s="1"/>
  <c r="E5" i="1"/>
  <c r="Q5" i="1" s="1"/>
  <c r="B175" i="1"/>
  <c r="B153" i="1"/>
  <c r="B130" i="1"/>
  <c r="B89" i="1"/>
  <c r="B66" i="1"/>
  <c r="B25" i="1"/>
  <c r="D148" i="1"/>
  <c r="H148" i="1" s="1"/>
  <c r="D62" i="1"/>
  <c r="H62" i="1" s="1"/>
  <c r="E152" i="1"/>
  <c r="D162" i="1"/>
  <c r="H162" i="1" s="1"/>
  <c r="D154" i="1"/>
  <c r="H154" i="1" s="1"/>
  <c r="D146" i="1"/>
  <c r="H146" i="1" s="1"/>
  <c r="D138" i="1"/>
  <c r="H138" i="1" s="1"/>
  <c r="D130" i="1"/>
  <c r="H130" i="1" s="1"/>
  <c r="D122" i="1"/>
  <c r="H122" i="1" s="1"/>
  <c r="D114" i="1"/>
  <c r="H114" i="1" s="1"/>
  <c r="E114" i="1"/>
  <c r="D106" i="1"/>
  <c r="H106" i="1" s="1"/>
  <c r="E106" i="1"/>
  <c r="Q106" i="1" s="1"/>
  <c r="D98" i="1"/>
  <c r="H98" i="1" s="1"/>
  <c r="E98" i="1"/>
  <c r="D90" i="1"/>
  <c r="H90" i="1" s="1"/>
  <c r="E90" i="1"/>
  <c r="Q90" i="1" s="1"/>
  <c r="D82" i="1"/>
  <c r="H82" i="1" s="1"/>
  <c r="E82" i="1"/>
  <c r="D74" i="1"/>
  <c r="H74" i="1" s="1"/>
  <c r="E74" i="1"/>
  <c r="Q74" i="1" s="1"/>
  <c r="D66" i="1"/>
  <c r="H66" i="1" s="1"/>
  <c r="E66" i="1"/>
  <c r="D58" i="1"/>
  <c r="H58" i="1" s="1"/>
  <c r="E58" i="1"/>
  <c r="Q58" i="1" s="1"/>
  <c r="D50" i="1"/>
  <c r="H50" i="1" s="1"/>
  <c r="E50" i="1"/>
  <c r="D42" i="1"/>
  <c r="H42" i="1" s="1"/>
  <c r="E42" i="1"/>
  <c r="Q42" i="1" s="1"/>
  <c r="D34" i="1"/>
  <c r="H34" i="1" s="1"/>
  <c r="E34" i="1"/>
  <c r="D26" i="1"/>
  <c r="E26" i="1"/>
  <c r="Q26" i="1" s="1"/>
  <c r="D18" i="1"/>
  <c r="H18" i="1" s="1"/>
  <c r="E18" i="1"/>
  <c r="D10" i="1"/>
  <c r="H10" i="1" s="1"/>
  <c r="E10" i="1"/>
  <c r="Q10" i="1" s="1"/>
  <c r="E138" i="1"/>
  <c r="Q138" i="1" s="1"/>
  <c r="D72" i="1"/>
  <c r="H72" i="1" s="1"/>
  <c r="D64" i="1"/>
  <c r="H64" i="1" s="1"/>
  <c r="D56" i="1"/>
  <c r="H56" i="1" s="1"/>
  <c r="D48" i="1"/>
  <c r="H48" i="1" s="1"/>
  <c r="D40" i="1"/>
  <c r="D32" i="1"/>
  <c r="H32" i="1" s="1"/>
  <c r="D24" i="1"/>
  <c r="H24" i="1" s="1"/>
  <c r="D16" i="1"/>
  <c r="H16" i="1" s="1"/>
  <c r="D8" i="1"/>
  <c r="H8" i="1" s="1"/>
  <c r="E64" i="1"/>
  <c r="Q64" i="1" s="1"/>
  <c r="E48" i="1"/>
  <c r="E32" i="1"/>
  <c r="Q32" i="1" s="1"/>
  <c r="E16" i="1"/>
  <c r="E146" i="1"/>
  <c r="E154" i="1"/>
  <c r="Q154" i="1" s="1"/>
  <c r="E122" i="1"/>
  <c r="Q122" i="1" s="1"/>
  <c r="G127" i="11" l="1"/>
  <c r="F127" i="11"/>
  <c r="Q63" i="11"/>
  <c r="Q72" i="11"/>
  <c r="H71" i="11"/>
  <c r="F40" i="11"/>
  <c r="G40" i="11"/>
  <c r="G104" i="11"/>
  <c r="F104" i="11"/>
  <c r="G17" i="11"/>
  <c r="F17" i="11"/>
  <c r="G53" i="11"/>
  <c r="F53" i="11"/>
  <c r="G140" i="11"/>
  <c r="F140" i="11"/>
  <c r="Q9" i="11"/>
  <c r="Q121" i="11"/>
  <c r="G52" i="11"/>
  <c r="Q154" i="11"/>
  <c r="F59" i="11"/>
  <c r="G59" i="11"/>
  <c r="F123" i="11"/>
  <c r="G123" i="11"/>
  <c r="G155" i="11"/>
  <c r="F155" i="11"/>
  <c r="Q43" i="11"/>
  <c r="F160" i="11"/>
  <c r="G160" i="11"/>
  <c r="Q52" i="11"/>
  <c r="Q156" i="11"/>
  <c r="G29" i="11"/>
  <c r="F29" i="11"/>
  <c r="G93" i="11"/>
  <c r="F93" i="11"/>
  <c r="F14" i="11"/>
  <c r="H49" i="11"/>
  <c r="G165" i="11"/>
  <c r="F165" i="11"/>
  <c r="G54" i="11"/>
  <c r="G91" i="11"/>
  <c r="F91" i="11"/>
  <c r="H91" i="11"/>
  <c r="G117" i="11"/>
  <c r="Q149" i="11"/>
  <c r="H104" i="11"/>
  <c r="G25" i="11"/>
  <c r="F25" i="11"/>
  <c r="Q14" i="11"/>
  <c r="Q54" i="11"/>
  <c r="Q86" i="11"/>
  <c r="Q118" i="11"/>
  <c r="Q150" i="11"/>
  <c r="F15" i="11"/>
  <c r="G15" i="11"/>
  <c r="G79" i="11"/>
  <c r="F79" i="11"/>
  <c r="Q88" i="11"/>
  <c r="F33" i="11"/>
  <c r="G33" i="11"/>
  <c r="H7" i="11"/>
  <c r="Q39" i="11"/>
  <c r="Q71" i="11"/>
  <c r="Q103" i="11"/>
  <c r="Q135" i="11"/>
  <c r="Q167" i="11"/>
  <c r="F48" i="11"/>
  <c r="G48" i="11"/>
  <c r="F112" i="11"/>
  <c r="G112" i="11"/>
  <c r="Q96" i="11"/>
  <c r="G41" i="11"/>
  <c r="F41" i="11"/>
  <c r="H60" i="11"/>
  <c r="H51" i="11"/>
  <c r="Q115" i="11"/>
  <c r="F4" i="11"/>
  <c r="G4" i="11"/>
  <c r="F68" i="11"/>
  <c r="G68" i="11"/>
  <c r="G172" i="11"/>
  <c r="F172" i="11"/>
  <c r="H9" i="11"/>
  <c r="H41" i="11"/>
  <c r="Q81" i="11"/>
  <c r="G10" i="11"/>
  <c r="F10" i="11"/>
  <c r="F74" i="11"/>
  <c r="G74" i="11"/>
  <c r="F130" i="11"/>
  <c r="G130" i="11"/>
  <c r="F162" i="11"/>
  <c r="G162" i="11"/>
  <c r="F158" i="11"/>
  <c r="Q26" i="11"/>
  <c r="Q91" i="11"/>
  <c r="G12" i="11"/>
  <c r="F12" i="11"/>
  <c r="G176" i="11"/>
  <c r="F176" i="11"/>
  <c r="Q116" i="11"/>
  <c r="F66" i="11"/>
  <c r="G66" i="11"/>
  <c r="G151" i="11"/>
  <c r="H10" i="11"/>
  <c r="F38" i="11"/>
  <c r="F54" i="11"/>
  <c r="Q45" i="11"/>
  <c r="G134" i="11"/>
  <c r="H123" i="11"/>
  <c r="G152" i="11"/>
  <c r="F152" i="11"/>
  <c r="H120" i="11"/>
  <c r="F121" i="11"/>
  <c r="G121" i="11"/>
  <c r="Q126" i="11"/>
  <c r="G95" i="11"/>
  <c r="F95" i="11"/>
  <c r="Q175" i="11"/>
  <c r="Q128" i="11"/>
  <c r="F97" i="11"/>
  <c r="G97" i="11"/>
  <c r="F39" i="11"/>
  <c r="G39" i="11"/>
  <c r="G103" i="11"/>
  <c r="F103" i="11"/>
  <c r="H48" i="11"/>
  <c r="H136" i="11"/>
  <c r="F113" i="11"/>
  <c r="G113" i="11"/>
  <c r="Q23" i="11"/>
  <c r="H87" i="11"/>
  <c r="F8" i="11"/>
  <c r="G8" i="11"/>
  <c r="F72" i="11"/>
  <c r="G72" i="11"/>
  <c r="H93" i="11"/>
  <c r="H56" i="11"/>
  <c r="H144" i="11"/>
  <c r="G105" i="11"/>
  <c r="F105" i="11"/>
  <c r="H137" i="11"/>
  <c r="G126" i="11"/>
  <c r="H155" i="11"/>
  <c r="Q123" i="11"/>
  <c r="F76" i="11"/>
  <c r="Q25" i="11"/>
  <c r="H57" i="11"/>
  <c r="Q105" i="11"/>
  <c r="F18" i="11"/>
  <c r="G18" i="11"/>
  <c r="F82" i="11"/>
  <c r="G82" i="11"/>
  <c r="F102" i="11"/>
  <c r="G174" i="11"/>
  <c r="Q42" i="11"/>
  <c r="G35" i="11"/>
  <c r="F35" i="11"/>
  <c r="F99" i="11"/>
  <c r="G99" i="11"/>
  <c r="F139" i="11"/>
  <c r="G139" i="11"/>
  <c r="G171" i="11"/>
  <c r="F171" i="11"/>
  <c r="G86" i="11"/>
  <c r="Q76" i="11"/>
  <c r="Q132" i="11"/>
  <c r="G5" i="11"/>
  <c r="F5" i="11"/>
  <c r="G69" i="11"/>
  <c r="F69" i="11"/>
  <c r="F150" i="11"/>
  <c r="G129" i="11"/>
  <c r="F129" i="11"/>
  <c r="G90" i="11"/>
  <c r="F90" i="11"/>
  <c r="G94" i="11"/>
  <c r="H73" i="11"/>
  <c r="G166" i="11"/>
  <c r="F135" i="11"/>
  <c r="G145" i="11"/>
  <c r="F145" i="11"/>
  <c r="Q162" i="11"/>
  <c r="G63" i="11"/>
  <c r="F63" i="11"/>
  <c r="Q127" i="11"/>
  <c r="F96" i="11"/>
  <c r="G96" i="11"/>
  <c r="F36" i="11"/>
  <c r="G36" i="11"/>
  <c r="F60" i="11"/>
  <c r="G60" i="11"/>
  <c r="F132" i="11"/>
  <c r="G132" i="11"/>
  <c r="G101" i="11"/>
  <c r="F58" i="11"/>
  <c r="G58" i="11"/>
  <c r="F122" i="11"/>
  <c r="G122" i="11"/>
  <c r="G154" i="11"/>
  <c r="F154" i="11"/>
  <c r="H154" i="11"/>
  <c r="F43" i="11"/>
  <c r="G43" i="11"/>
  <c r="F107" i="11"/>
  <c r="G107" i="11"/>
  <c r="G144" i="11"/>
  <c r="F144" i="11"/>
  <c r="G50" i="11"/>
  <c r="F50" i="11"/>
  <c r="G13" i="11"/>
  <c r="F13" i="11"/>
  <c r="G149" i="11"/>
  <c r="F149" i="11"/>
  <c r="Q117" i="11"/>
  <c r="G42" i="11"/>
  <c r="F42" i="11"/>
  <c r="F117" i="11"/>
  <c r="Q176" i="11"/>
  <c r="F7" i="11"/>
  <c r="G7" i="11"/>
  <c r="G71" i="11"/>
  <c r="F71" i="11"/>
  <c r="Q7" i="11"/>
  <c r="H96" i="11"/>
  <c r="Q165" i="11"/>
  <c r="Q104" i="11"/>
  <c r="G49" i="11"/>
  <c r="F49" i="11"/>
  <c r="F23" i="11"/>
  <c r="G23" i="11"/>
  <c r="G87" i="11"/>
  <c r="F87" i="11"/>
  <c r="F57" i="11"/>
  <c r="G57" i="11"/>
  <c r="F56" i="11"/>
  <c r="G56" i="11"/>
  <c r="Q32" i="11"/>
  <c r="G65" i="11"/>
  <c r="F65" i="11"/>
  <c r="F175" i="11"/>
  <c r="F148" i="11"/>
  <c r="G148" i="11"/>
  <c r="G27" i="11"/>
  <c r="F27" i="11"/>
  <c r="Q17" i="11"/>
  <c r="Q49" i="11"/>
  <c r="H59" i="11"/>
  <c r="G158" i="11"/>
  <c r="F131" i="11"/>
  <c r="G131" i="11"/>
  <c r="G163" i="11"/>
  <c r="F163" i="11"/>
  <c r="G37" i="11"/>
  <c r="F37" i="11"/>
  <c r="G45" i="11"/>
  <c r="F45" i="11"/>
  <c r="G109" i="11"/>
  <c r="F109" i="11"/>
  <c r="G115" i="11"/>
  <c r="F115" i="11"/>
  <c r="H148" i="11"/>
  <c r="G136" i="11"/>
  <c r="F136" i="11"/>
  <c r="G62" i="11"/>
  <c r="Q53" i="11"/>
  <c r="H29" i="11"/>
  <c r="F73" i="11"/>
  <c r="G73" i="11"/>
  <c r="Q94" i="11"/>
  <c r="Q158" i="11"/>
  <c r="F31" i="11"/>
  <c r="G31" i="11"/>
  <c r="G89" i="11"/>
  <c r="F89" i="11"/>
  <c r="Q47" i="11"/>
  <c r="Q79" i="11"/>
  <c r="Q111" i="11"/>
  <c r="Q143" i="11"/>
  <c r="G64" i="11"/>
  <c r="F64" i="11"/>
  <c r="H32" i="11"/>
  <c r="Q120" i="11"/>
  <c r="G81" i="11"/>
  <c r="F81" i="11"/>
  <c r="H109" i="11"/>
  <c r="G106" i="11"/>
  <c r="F106" i="11"/>
  <c r="G175" i="11"/>
  <c r="Q59" i="11"/>
  <c r="F20" i="11"/>
  <c r="G20" i="11"/>
  <c r="F84" i="11"/>
  <c r="G84" i="11"/>
  <c r="G51" i="11"/>
  <c r="F51" i="11"/>
  <c r="H17" i="11"/>
  <c r="Q57" i="11"/>
  <c r="G138" i="11"/>
  <c r="F138" i="11"/>
  <c r="G170" i="11"/>
  <c r="F170" i="11"/>
  <c r="H84" i="11"/>
  <c r="H42" i="11"/>
  <c r="Q90" i="11"/>
  <c r="F19" i="11"/>
  <c r="G19" i="11"/>
  <c r="G83" i="11"/>
  <c r="F83" i="11"/>
  <c r="H36" i="11"/>
  <c r="G61" i="11"/>
  <c r="F61" i="11"/>
  <c r="H132" i="11"/>
  <c r="Q107" i="11"/>
  <c r="G150" i="11"/>
  <c r="H19" i="11"/>
  <c r="G168" i="11"/>
  <c r="F168" i="11"/>
  <c r="F62" i="11"/>
  <c r="G137" i="11"/>
  <c r="F137" i="11"/>
  <c r="Q138" i="11"/>
  <c r="Q29" i="11"/>
  <c r="Q61" i="11"/>
  <c r="H40" i="11"/>
  <c r="Q13" i="11"/>
  <c r="Q38" i="11"/>
  <c r="Q70" i="11"/>
  <c r="Q102" i="11"/>
  <c r="Q134" i="11"/>
  <c r="Q166" i="11"/>
  <c r="F47" i="11"/>
  <c r="G47" i="11"/>
  <c r="G111" i="11"/>
  <c r="F111" i="11"/>
  <c r="Q48" i="11"/>
  <c r="Q136" i="11"/>
  <c r="H23" i="11"/>
  <c r="Q55" i="11"/>
  <c r="Q87" i="11"/>
  <c r="Q119" i="11"/>
  <c r="Q151" i="11"/>
  <c r="F16" i="11"/>
  <c r="G16" i="11"/>
  <c r="G80" i="11"/>
  <c r="F80" i="11"/>
  <c r="Q56" i="11"/>
  <c r="Q144" i="11"/>
  <c r="F126" i="11"/>
  <c r="Q155" i="11"/>
  <c r="F44" i="11"/>
  <c r="G44" i="11"/>
  <c r="G108" i="11"/>
  <c r="F108" i="11"/>
  <c r="G156" i="11"/>
  <c r="F156" i="11"/>
  <c r="H58" i="11"/>
  <c r="G76" i="11"/>
  <c r="H25" i="11"/>
  <c r="H65" i="11"/>
  <c r="H105" i="11"/>
  <c r="Q153" i="11"/>
  <c r="F34" i="11"/>
  <c r="G34" i="11"/>
  <c r="F98" i="11"/>
  <c r="G98" i="11"/>
  <c r="F146" i="11"/>
  <c r="G146" i="11"/>
  <c r="Q27" i="11"/>
  <c r="Q10" i="11"/>
  <c r="Q50" i="11"/>
  <c r="H89" i="11"/>
  <c r="F86" i="11"/>
  <c r="H140" i="11"/>
  <c r="H97" i="11"/>
  <c r="F67" i="11"/>
  <c r="G67" i="11"/>
  <c r="G153" i="11"/>
  <c r="F153" i="11"/>
  <c r="H139" i="11"/>
  <c r="F114" i="11"/>
  <c r="G114" i="11"/>
  <c r="Q93" i="11"/>
  <c r="F94" i="11"/>
  <c r="H122" i="11"/>
  <c r="Q66" i="11"/>
  <c r="G135" i="11"/>
  <c r="G26" i="11"/>
  <c r="F26" i="11"/>
  <c r="F161" i="11"/>
  <c r="G161" i="11"/>
  <c r="H27" i="11"/>
  <c r="F32" i="11"/>
  <c r="G32" i="11"/>
  <c r="F9" i="11"/>
  <c r="G9" i="11"/>
  <c r="G120" i="11"/>
  <c r="F120" i="11"/>
  <c r="H50" i="11"/>
  <c r="Q62" i="11"/>
  <c r="Q112" i="11"/>
  <c r="H37" i="11"/>
  <c r="Q40" i="11"/>
  <c r="F55" i="11"/>
  <c r="G55" i="11"/>
  <c r="G119" i="11"/>
  <c r="F119" i="11"/>
  <c r="H64" i="11"/>
  <c r="H160" i="11"/>
  <c r="H53" i="11"/>
  <c r="Q31" i="11"/>
  <c r="H63" i="11"/>
  <c r="H95" i="11"/>
  <c r="H127" i="11"/>
  <c r="F24" i="11"/>
  <c r="G24" i="11"/>
  <c r="G88" i="11"/>
  <c r="F88" i="11"/>
  <c r="G46" i="11"/>
  <c r="H168" i="11"/>
  <c r="Q131" i="11"/>
  <c r="F11" i="11"/>
  <c r="G11" i="11"/>
  <c r="F143" i="11"/>
  <c r="Q19" i="11"/>
  <c r="Q163" i="11"/>
  <c r="F164" i="11"/>
  <c r="G164" i="11"/>
  <c r="H83" i="11"/>
  <c r="F101" i="11"/>
  <c r="Q33" i="11"/>
  <c r="Q65" i="11"/>
  <c r="Q113" i="11"/>
  <c r="Q161" i="11"/>
  <c r="Q83" i="11"/>
  <c r="G3" i="11"/>
  <c r="F3" i="11"/>
  <c r="Q18" i="11"/>
  <c r="Q58" i="11"/>
  <c r="H146" i="11"/>
  <c r="F147" i="11"/>
  <c r="G147" i="11"/>
  <c r="H113" i="11"/>
  <c r="G128" i="11"/>
  <c r="F128" i="11"/>
  <c r="Q36" i="11"/>
  <c r="Q92" i="11"/>
  <c r="Q140" i="11"/>
  <c r="G21" i="11"/>
  <c r="F21" i="11"/>
  <c r="G85" i="11"/>
  <c r="F85" i="11"/>
  <c r="H147" i="11"/>
  <c r="Q4" i="11"/>
  <c r="F116" i="11"/>
  <c r="G169" i="11"/>
  <c r="F169" i="11"/>
  <c r="H163" i="11"/>
  <c r="G133" i="11"/>
  <c r="F133" i="11"/>
  <c r="Q109" i="11"/>
  <c r="G118" i="11"/>
  <c r="H164" i="11"/>
  <c r="Q108" i="11"/>
  <c r="F167" i="11"/>
  <c r="F75" i="11"/>
  <c r="G75" i="11"/>
  <c r="F177" i="11"/>
  <c r="G177" i="11"/>
  <c r="Q44" i="11"/>
  <c r="F172" i="8"/>
  <c r="G172" i="8"/>
  <c r="F14" i="8"/>
  <c r="G14" i="8"/>
  <c r="G110" i="8"/>
  <c r="F110" i="8"/>
  <c r="H145" i="8"/>
  <c r="F145" i="8"/>
  <c r="G19" i="8"/>
  <c r="Q9" i="8"/>
  <c r="Q58" i="8"/>
  <c r="Q98" i="8"/>
  <c r="Q154" i="8"/>
  <c r="G125" i="8"/>
  <c r="F125" i="8"/>
  <c r="G28" i="8"/>
  <c r="F28" i="8"/>
  <c r="H125" i="8"/>
  <c r="Q35" i="8"/>
  <c r="F130" i="8"/>
  <c r="G130" i="8"/>
  <c r="Q174" i="8"/>
  <c r="F55" i="8"/>
  <c r="Q107" i="8"/>
  <c r="G4" i="8"/>
  <c r="F97" i="8"/>
  <c r="G97" i="8"/>
  <c r="G119" i="8"/>
  <c r="G116" i="8"/>
  <c r="F116" i="8"/>
  <c r="F12" i="8"/>
  <c r="G12" i="8"/>
  <c r="Q164" i="8"/>
  <c r="Q64" i="8"/>
  <c r="F19" i="8"/>
  <c r="F18" i="8"/>
  <c r="G18" i="8"/>
  <c r="Q21" i="8"/>
  <c r="G86" i="8"/>
  <c r="F86" i="8"/>
  <c r="Q51" i="8"/>
  <c r="G64" i="8"/>
  <c r="G146" i="8"/>
  <c r="F146" i="8"/>
  <c r="H147" i="8"/>
  <c r="G55" i="8"/>
  <c r="F89" i="8"/>
  <c r="G89" i="8"/>
  <c r="G21" i="8"/>
  <c r="F26" i="8"/>
  <c r="G26" i="8"/>
  <c r="Q137" i="8"/>
  <c r="F113" i="8"/>
  <c r="G113" i="8"/>
  <c r="F148" i="8"/>
  <c r="G148" i="8"/>
  <c r="F164" i="8"/>
  <c r="H97" i="8"/>
  <c r="F132" i="8"/>
  <c r="G83" i="8"/>
  <c r="F83" i="8"/>
  <c r="Q55" i="8"/>
  <c r="H17" i="8"/>
  <c r="F17" i="8"/>
  <c r="H172" i="8"/>
  <c r="F73" i="8"/>
  <c r="H118" i="8"/>
  <c r="G118" i="8"/>
  <c r="Q7" i="8"/>
  <c r="Q17" i="8"/>
  <c r="Q25" i="8"/>
  <c r="H81" i="8"/>
  <c r="F81" i="8"/>
  <c r="G27" i="8"/>
  <c r="F27" i="8"/>
  <c r="Q26" i="8"/>
  <c r="Q74" i="8"/>
  <c r="G35" i="8"/>
  <c r="Q36" i="8"/>
  <c r="H100" i="8"/>
  <c r="Q132" i="8"/>
  <c r="Q172" i="8"/>
  <c r="G61" i="8"/>
  <c r="F61" i="8"/>
  <c r="F165" i="8"/>
  <c r="F90" i="8"/>
  <c r="G90" i="8"/>
  <c r="G73" i="8"/>
  <c r="H83" i="8"/>
  <c r="G60" i="8"/>
  <c r="F60" i="8"/>
  <c r="H61" i="8"/>
  <c r="Q101" i="8"/>
  <c r="Q173" i="8"/>
  <c r="F158" i="8"/>
  <c r="G158" i="8"/>
  <c r="F34" i="8"/>
  <c r="G34" i="8"/>
  <c r="F155" i="8"/>
  <c r="H99" i="8"/>
  <c r="F64" i="8"/>
  <c r="F160" i="8"/>
  <c r="F21" i="8"/>
  <c r="G42" i="8"/>
  <c r="F42" i="8"/>
  <c r="Q131" i="8"/>
  <c r="F108" i="8"/>
  <c r="F131" i="8"/>
  <c r="G131" i="8"/>
  <c r="H14" i="8"/>
  <c r="G37" i="8"/>
  <c r="H113" i="8"/>
  <c r="G164" i="8"/>
  <c r="Q113" i="8"/>
  <c r="F122" i="8"/>
  <c r="G132" i="8"/>
  <c r="H28" i="8"/>
  <c r="F141" i="8"/>
  <c r="G17" i="8"/>
  <c r="F78" i="8"/>
  <c r="G78" i="8"/>
  <c r="G7" i="8"/>
  <c r="F7" i="8"/>
  <c r="H7" i="8"/>
  <c r="F35" i="8"/>
  <c r="G52" i="8"/>
  <c r="F52" i="8"/>
  <c r="F66" i="8"/>
  <c r="G66" i="8"/>
  <c r="Q66" i="8"/>
  <c r="Q99" i="8"/>
  <c r="G82" i="8"/>
  <c r="F82" i="8"/>
  <c r="G100" i="8"/>
  <c r="F100" i="8"/>
  <c r="F169" i="8"/>
  <c r="G156" i="8"/>
  <c r="F156" i="8"/>
  <c r="G147" i="8"/>
  <c r="F147" i="8"/>
  <c r="G9" i="8"/>
  <c r="H78" i="8"/>
  <c r="G155" i="8"/>
  <c r="Q138" i="8"/>
  <c r="G36" i="8"/>
  <c r="Q104" i="8"/>
  <c r="G71" i="8"/>
  <c r="F71" i="8"/>
  <c r="F80" i="8"/>
  <c r="Q89" i="8"/>
  <c r="G123" i="8"/>
  <c r="F123" i="8"/>
  <c r="Q82" i="8"/>
  <c r="Q130" i="8"/>
  <c r="Q52" i="8"/>
  <c r="Q148" i="8"/>
  <c r="G77" i="8"/>
  <c r="H12" i="8"/>
  <c r="F104" i="8"/>
  <c r="G162" i="8"/>
  <c r="F162" i="8"/>
  <c r="H162" i="8"/>
  <c r="Q34" i="8"/>
  <c r="Q37" i="8"/>
  <c r="F134" i="8"/>
  <c r="G134" i="8"/>
  <c r="Q134" i="8"/>
  <c r="Q171" i="8"/>
  <c r="H115" i="8"/>
  <c r="G13" i="8"/>
  <c r="F13" i="8"/>
  <c r="G145" i="8"/>
  <c r="G169" i="8"/>
  <c r="Q155" i="8"/>
  <c r="F140" i="8"/>
  <c r="H86" i="8"/>
  <c r="G33" i="8"/>
  <c r="F33" i="8"/>
  <c r="F161" i="8"/>
  <c r="G161" i="8"/>
  <c r="G20" i="8"/>
  <c r="F20" i="8"/>
  <c r="G81" i="8"/>
  <c r="G101" i="8"/>
  <c r="F98" i="8"/>
  <c r="G98" i="8"/>
  <c r="Q19" i="8"/>
  <c r="Q33" i="8"/>
  <c r="G10" i="8"/>
  <c r="G138" i="8"/>
  <c r="F36" i="8"/>
  <c r="Q162" i="8"/>
  <c r="G45" i="8"/>
  <c r="F157" i="8"/>
  <c r="F176" i="8"/>
  <c r="F75" i="8"/>
  <c r="G75" i="8"/>
  <c r="F99" i="8"/>
  <c r="G99" i="8"/>
  <c r="F5" i="8"/>
  <c r="G5" i="8"/>
  <c r="G62" i="8"/>
  <c r="F62" i="8"/>
  <c r="G135" i="8"/>
  <c r="F135" i="8"/>
  <c r="H143" i="8"/>
  <c r="F143" i="8"/>
  <c r="G173" i="8"/>
  <c r="F173" i="8"/>
  <c r="H146" i="8"/>
  <c r="G43" i="8"/>
  <c r="F43" i="8"/>
  <c r="F107" i="8"/>
  <c r="G107" i="8"/>
  <c r="F171" i="8"/>
  <c r="G171" i="8"/>
  <c r="H52" i="8"/>
  <c r="H156" i="8"/>
  <c r="G3" i="8"/>
  <c r="G128" i="8"/>
  <c r="Q110" i="8"/>
  <c r="H5" i="8"/>
  <c r="Q117" i="8"/>
  <c r="F6" i="8"/>
  <c r="G6" i="8"/>
  <c r="F38" i="8"/>
  <c r="G38" i="8"/>
  <c r="F70" i="8"/>
  <c r="G70" i="8"/>
  <c r="G174" i="8"/>
  <c r="G176" i="8"/>
  <c r="Q115" i="8"/>
  <c r="H110" i="8"/>
  <c r="F9" i="8"/>
  <c r="F25" i="8"/>
  <c r="G25" i="8"/>
  <c r="G114" i="8"/>
  <c r="F114" i="8"/>
  <c r="Q5" i="8"/>
  <c r="F49" i="8"/>
  <c r="G49" i="8"/>
  <c r="G50" i="8"/>
  <c r="F50" i="8"/>
  <c r="F103" i="8"/>
  <c r="F101" i="8"/>
  <c r="Q67" i="8"/>
  <c r="H49" i="8"/>
  <c r="F74" i="8"/>
  <c r="F138" i="8"/>
  <c r="F11" i="8"/>
  <c r="F45" i="8"/>
  <c r="G157" i="8"/>
  <c r="H161" i="8"/>
  <c r="F152" i="8"/>
  <c r="G152" i="8"/>
  <c r="Q128" i="8"/>
  <c r="Q146" i="8"/>
  <c r="G67" i="8"/>
  <c r="G115" i="8"/>
  <c r="F115" i="8"/>
  <c r="Q4" i="8"/>
  <c r="H116" i="8"/>
  <c r="Q156" i="8"/>
  <c r="F3" i="8"/>
  <c r="F128" i="8"/>
  <c r="Q97" i="8"/>
  <c r="H75" i="8"/>
  <c r="Q135" i="8"/>
  <c r="G124" i="8"/>
  <c r="F124" i="8"/>
  <c r="Q45" i="8"/>
  <c r="Q157" i="8"/>
  <c r="G142" i="8"/>
  <c r="F142" i="8"/>
  <c r="F174" i="8"/>
  <c r="Q145" i="8"/>
  <c r="F58" i="8"/>
  <c r="G58" i="8"/>
  <c r="Q139" i="8"/>
  <c r="Q118" i="8"/>
  <c r="F154" i="8"/>
  <c r="G154" i="8"/>
  <c r="H124" i="8"/>
  <c r="F65" i="8"/>
  <c r="G65" i="8"/>
  <c r="Q119" i="8"/>
  <c r="Q14" i="8"/>
  <c r="G84" i="8"/>
  <c r="F84" i="8"/>
  <c r="G103" i="8"/>
  <c r="F153" i="8"/>
  <c r="G153" i="8"/>
  <c r="F137" i="8"/>
  <c r="Q123" i="8"/>
  <c r="G74" i="8"/>
  <c r="G11" i="8"/>
  <c r="F93" i="8"/>
  <c r="H130" i="8"/>
  <c r="Q169" i="8"/>
  <c r="F171" i="5"/>
  <c r="F107" i="5"/>
  <c r="F44" i="5"/>
  <c r="G44" i="5"/>
  <c r="H4" i="5"/>
  <c r="G14" i="5"/>
  <c r="F14" i="5"/>
  <c r="G176" i="5"/>
  <c r="F176" i="5"/>
  <c r="G153" i="5"/>
  <c r="F153" i="5"/>
  <c r="Q71" i="5"/>
  <c r="Q103" i="5"/>
  <c r="Q50" i="5"/>
  <c r="Q82" i="5"/>
  <c r="Q114" i="5"/>
  <c r="G83" i="5"/>
  <c r="G115" i="5"/>
  <c r="G155" i="5"/>
  <c r="Q35" i="5"/>
  <c r="G92" i="5"/>
  <c r="F124" i="5"/>
  <c r="G164" i="5"/>
  <c r="Q12" i="5"/>
  <c r="H44" i="5"/>
  <c r="Q172" i="5"/>
  <c r="G37" i="5"/>
  <c r="F37" i="5"/>
  <c r="G69" i="5"/>
  <c r="F69" i="5"/>
  <c r="H13" i="5"/>
  <c r="Q53" i="5"/>
  <c r="Q157" i="5"/>
  <c r="G54" i="5"/>
  <c r="F54" i="5"/>
  <c r="G94" i="5"/>
  <c r="G134" i="5"/>
  <c r="G174" i="5"/>
  <c r="Q38" i="5"/>
  <c r="Q110" i="5"/>
  <c r="Q142" i="5"/>
  <c r="G39" i="5"/>
  <c r="F39" i="5"/>
  <c r="F71" i="5"/>
  <c r="G71" i="5"/>
  <c r="G111" i="5"/>
  <c r="F111" i="5"/>
  <c r="G50" i="5"/>
  <c r="F50" i="5"/>
  <c r="H143" i="5"/>
  <c r="H175" i="5"/>
  <c r="G32" i="5"/>
  <c r="F32" i="5"/>
  <c r="F72" i="5"/>
  <c r="G72" i="5"/>
  <c r="G112" i="5"/>
  <c r="F112" i="5"/>
  <c r="Q25" i="5"/>
  <c r="Q89" i="5"/>
  <c r="Q129" i="5"/>
  <c r="F74" i="5"/>
  <c r="G146" i="5"/>
  <c r="H32" i="5"/>
  <c r="Q72" i="5"/>
  <c r="H136" i="5"/>
  <c r="Q168" i="5"/>
  <c r="G25" i="5"/>
  <c r="F25" i="5"/>
  <c r="G161" i="5"/>
  <c r="F161" i="5"/>
  <c r="Q65" i="5"/>
  <c r="H169" i="5"/>
  <c r="G42" i="5"/>
  <c r="F42" i="5"/>
  <c r="F98" i="5"/>
  <c r="F170" i="5"/>
  <c r="G168" i="5"/>
  <c r="F77" i="5"/>
  <c r="Q66" i="5"/>
  <c r="F168" i="5"/>
  <c r="H87" i="5"/>
  <c r="Q154" i="5"/>
  <c r="F11" i="5"/>
  <c r="G11" i="5"/>
  <c r="F43" i="5"/>
  <c r="G43" i="5"/>
  <c r="F115" i="5"/>
  <c r="F155" i="5"/>
  <c r="H35" i="5"/>
  <c r="G20" i="5"/>
  <c r="F20" i="5"/>
  <c r="F52" i="5"/>
  <c r="G52" i="5"/>
  <c r="F92" i="5"/>
  <c r="G124" i="5"/>
  <c r="F172" i="5"/>
  <c r="Q44" i="5"/>
  <c r="G13" i="5"/>
  <c r="F13" i="5"/>
  <c r="Q21" i="5"/>
  <c r="H53" i="5"/>
  <c r="Q93" i="5"/>
  <c r="G22" i="5"/>
  <c r="F22" i="5"/>
  <c r="F102" i="5"/>
  <c r="F134" i="5"/>
  <c r="F130" i="5"/>
  <c r="Q6" i="5"/>
  <c r="H38" i="5"/>
  <c r="F7" i="5"/>
  <c r="G7" i="5"/>
  <c r="F143" i="5"/>
  <c r="G143" i="5"/>
  <c r="Q143" i="5"/>
  <c r="Q175" i="5"/>
  <c r="G144" i="5"/>
  <c r="F144" i="5"/>
  <c r="Q22" i="5"/>
  <c r="H41" i="5"/>
  <c r="H105" i="5"/>
  <c r="Q137" i="5"/>
  <c r="G74" i="5"/>
  <c r="F162" i="5"/>
  <c r="Q8" i="5"/>
  <c r="H40" i="5"/>
  <c r="H72" i="5"/>
  <c r="H144" i="5"/>
  <c r="Q176" i="5"/>
  <c r="G65" i="5"/>
  <c r="F65" i="5"/>
  <c r="G97" i="5"/>
  <c r="F97" i="5"/>
  <c r="G129" i="5"/>
  <c r="F129" i="5"/>
  <c r="G169" i="5"/>
  <c r="F169" i="5"/>
  <c r="Q17" i="5"/>
  <c r="Q81" i="5"/>
  <c r="Q169" i="5"/>
  <c r="G98" i="5"/>
  <c r="G170" i="5"/>
  <c r="G123" i="5"/>
  <c r="G77" i="5"/>
  <c r="Q19" i="5"/>
  <c r="F35" i="5"/>
  <c r="G35" i="5"/>
  <c r="F75" i="5"/>
  <c r="F164" i="5"/>
  <c r="F31" i="5"/>
  <c r="G31" i="5"/>
  <c r="F135" i="5"/>
  <c r="G135" i="5"/>
  <c r="H135" i="5"/>
  <c r="F136" i="5"/>
  <c r="G136" i="5"/>
  <c r="F146" i="5"/>
  <c r="Q136" i="5"/>
  <c r="G57" i="5"/>
  <c r="F57" i="5"/>
  <c r="G89" i="5"/>
  <c r="F89" i="5"/>
  <c r="G121" i="5"/>
  <c r="F121" i="5"/>
  <c r="G82" i="5"/>
  <c r="Q63" i="5"/>
  <c r="Q39" i="5"/>
  <c r="Q119" i="5"/>
  <c r="Q18" i="5"/>
  <c r="F83" i="5"/>
  <c r="Q7" i="5"/>
  <c r="Q95" i="5"/>
  <c r="Q55" i="5"/>
  <c r="Q26" i="5"/>
  <c r="Q58" i="5"/>
  <c r="Q90" i="5"/>
  <c r="Q122" i="5"/>
  <c r="G51" i="5"/>
  <c r="G91" i="5"/>
  <c r="G131" i="5"/>
  <c r="F163" i="5"/>
  <c r="Q11" i="5"/>
  <c r="Q43" i="5"/>
  <c r="Q75" i="5"/>
  <c r="Q107" i="5"/>
  <c r="Q139" i="5"/>
  <c r="Q171" i="5"/>
  <c r="G60" i="5"/>
  <c r="F100" i="5"/>
  <c r="G172" i="5"/>
  <c r="H20" i="5"/>
  <c r="H52" i="5"/>
  <c r="G45" i="5"/>
  <c r="F45" i="5"/>
  <c r="F173" i="5"/>
  <c r="Q61" i="5"/>
  <c r="Q133" i="5"/>
  <c r="F62" i="5"/>
  <c r="G62" i="5"/>
  <c r="G102" i="5"/>
  <c r="G142" i="5"/>
  <c r="H6" i="5"/>
  <c r="Q46" i="5"/>
  <c r="Q158" i="5"/>
  <c r="G15" i="5"/>
  <c r="F15" i="5"/>
  <c r="F47" i="5"/>
  <c r="G47" i="5"/>
  <c r="F79" i="5"/>
  <c r="G79" i="5"/>
  <c r="Q23" i="5"/>
  <c r="Q151" i="5"/>
  <c r="G48" i="5"/>
  <c r="F48" i="5"/>
  <c r="G80" i="5"/>
  <c r="F80" i="5"/>
  <c r="G141" i="5"/>
  <c r="F141" i="5"/>
  <c r="Q41" i="5"/>
  <c r="Q105" i="5"/>
  <c r="H137" i="5"/>
  <c r="F90" i="5"/>
  <c r="G162" i="5"/>
  <c r="H8" i="5"/>
  <c r="Q40" i="5"/>
  <c r="H80" i="5"/>
  <c r="Q112" i="5"/>
  <c r="H176" i="5"/>
  <c r="G33" i="5"/>
  <c r="F33" i="5"/>
  <c r="G177" i="5"/>
  <c r="F177" i="5"/>
  <c r="H17" i="5"/>
  <c r="H81" i="5"/>
  <c r="Q177" i="5"/>
  <c r="G58" i="5"/>
  <c r="F58" i="5"/>
  <c r="F122" i="5"/>
  <c r="H79" i="5"/>
  <c r="Q62" i="5"/>
  <c r="F123" i="5"/>
  <c r="F157" i="5"/>
  <c r="F28" i="5"/>
  <c r="G28" i="5"/>
  <c r="F110" i="5"/>
  <c r="F142" i="5"/>
  <c r="H14" i="5"/>
  <c r="G119" i="5"/>
  <c r="F119" i="5"/>
  <c r="G151" i="5"/>
  <c r="F151" i="5"/>
  <c r="H151" i="5"/>
  <c r="F8" i="5"/>
  <c r="G8" i="5"/>
  <c r="G120" i="5"/>
  <c r="F120" i="5"/>
  <c r="F152" i="5"/>
  <c r="G152" i="5"/>
  <c r="H57" i="5"/>
  <c r="G90" i="5"/>
  <c r="Q120" i="5"/>
  <c r="Q152" i="5"/>
  <c r="G73" i="5"/>
  <c r="F73" i="5"/>
  <c r="G105" i="5"/>
  <c r="F105" i="5"/>
  <c r="G137" i="5"/>
  <c r="F137" i="5"/>
  <c r="Q97" i="5"/>
  <c r="G122" i="5"/>
  <c r="F16" i="5"/>
  <c r="Q102" i="5"/>
  <c r="G156" i="5"/>
  <c r="Q98" i="5"/>
  <c r="G139" i="5"/>
  <c r="H28" i="5"/>
  <c r="G53" i="5"/>
  <c r="F53" i="5"/>
  <c r="G38" i="5"/>
  <c r="F38" i="5"/>
  <c r="F70" i="5"/>
  <c r="G70" i="5"/>
  <c r="F40" i="5"/>
  <c r="G40" i="5"/>
  <c r="Q14" i="5"/>
  <c r="Q54" i="5"/>
  <c r="G23" i="5"/>
  <c r="F23" i="5"/>
  <c r="G55" i="5"/>
  <c r="F55" i="5"/>
  <c r="F87" i="5"/>
  <c r="G87" i="5"/>
  <c r="G167" i="5"/>
  <c r="F167" i="5"/>
  <c r="Q87" i="5"/>
  <c r="G56" i="5"/>
  <c r="F56" i="5"/>
  <c r="F88" i="5"/>
  <c r="G88" i="5"/>
  <c r="Q57" i="5"/>
  <c r="G18" i="5"/>
  <c r="F18" i="5"/>
  <c r="F106" i="5"/>
  <c r="Q16" i="5"/>
  <c r="H88" i="5"/>
  <c r="H120" i="5"/>
  <c r="H152" i="5"/>
  <c r="G9" i="5"/>
  <c r="F9" i="5"/>
  <c r="G41" i="5"/>
  <c r="F41" i="5"/>
  <c r="H153" i="5"/>
  <c r="F10" i="5"/>
  <c r="G10" i="5"/>
  <c r="F66" i="5"/>
  <c r="F138" i="5"/>
  <c r="G16" i="5"/>
  <c r="F95" i="5"/>
  <c r="G30" i="5"/>
  <c r="F19" i="5"/>
  <c r="G19" i="5"/>
  <c r="Q138" i="5"/>
  <c r="Q170" i="5"/>
  <c r="F27" i="5"/>
  <c r="G27" i="5"/>
  <c r="F139" i="5"/>
  <c r="G171" i="5"/>
  <c r="H19" i="5"/>
  <c r="G36" i="5"/>
  <c r="F36" i="5"/>
  <c r="Q28" i="5"/>
  <c r="Q60" i="5"/>
  <c r="Q92" i="5"/>
  <c r="Q124" i="5"/>
  <c r="Q156" i="5"/>
  <c r="F149" i="5"/>
  <c r="Q5" i="5"/>
  <c r="G158" i="5"/>
  <c r="G114" i="5"/>
  <c r="F114" i="5"/>
  <c r="Q166" i="5"/>
  <c r="F127" i="5"/>
  <c r="G127" i="5"/>
  <c r="F175" i="5"/>
  <c r="G175" i="5"/>
  <c r="Q111" i="5"/>
  <c r="F24" i="5"/>
  <c r="G24" i="5"/>
  <c r="G128" i="5"/>
  <c r="F128" i="5"/>
  <c r="G160" i="5"/>
  <c r="F160" i="5"/>
  <c r="H9" i="5"/>
  <c r="Q73" i="5"/>
  <c r="Q121" i="5"/>
  <c r="G106" i="5"/>
  <c r="F59" i="5"/>
  <c r="G59" i="5"/>
  <c r="H24" i="5"/>
  <c r="H56" i="5"/>
  <c r="Q88" i="5"/>
  <c r="H128" i="5"/>
  <c r="Q160" i="5"/>
  <c r="G81" i="5"/>
  <c r="F81" i="5"/>
  <c r="G113" i="5"/>
  <c r="F113" i="5"/>
  <c r="G145" i="5"/>
  <c r="F145" i="5"/>
  <c r="G68" i="5"/>
  <c r="F68" i="5"/>
  <c r="Q49" i="5"/>
  <c r="Q153" i="5"/>
  <c r="G66" i="5"/>
  <c r="G138" i="5"/>
  <c r="G95" i="5"/>
  <c r="F30" i="5"/>
  <c r="Q34" i="5"/>
  <c r="F4" i="5"/>
  <c r="G4" i="5"/>
  <c r="Q15" i="5"/>
  <c r="Q42" i="5"/>
  <c r="Q74" i="5"/>
  <c r="Q106" i="5"/>
  <c r="G75" i="5"/>
  <c r="G107" i="5"/>
  <c r="G5" i="5"/>
  <c r="F5" i="5"/>
  <c r="Q27" i="5"/>
  <c r="Q59" i="5"/>
  <c r="Q91" i="5"/>
  <c r="Q123" i="5"/>
  <c r="Q155" i="5"/>
  <c r="F156" i="5"/>
  <c r="Q4" i="5"/>
  <c r="H36" i="5"/>
  <c r="Q164" i="5"/>
  <c r="G29" i="5"/>
  <c r="F29" i="5"/>
  <c r="G61" i="5"/>
  <c r="F61" i="5"/>
  <c r="G149" i="5"/>
  <c r="H5" i="5"/>
  <c r="Q77" i="5"/>
  <c r="Q149" i="5"/>
  <c r="F6" i="5"/>
  <c r="G6" i="5"/>
  <c r="G46" i="5"/>
  <c r="F46" i="5"/>
  <c r="G126" i="5"/>
  <c r="F166" i="5"/>
  <c r="Q30" i="5"/>
  <c r="H70" i="5"/>
  <c r="F63" i="5"/>
  <c r="G63" i="5"/>
  <c r="G103" i="5"/>
  <c r="F103" i="5"/>
  <c r="Q135" i="5"/>
  <c r="H167" i="5"/>
  <c r="G64" i="5"/>
  <c r="F64" i="5"/>
  <c r="G96" i="5"/>
  <c r="F96" i="5"/>
  <c r="Q9" i="5"/>
  <c r="H73" i="5"/>
  <c r="H121" i="5"/>
  <c r="G34" i="5"/>
  <c r="F34" i="5"/>
  <c r="G130" i="5"/>
  <c r="G132" i="5"/>
  <c r="F132" i="5"/>
  <c r="Q24" i="5"/>
  <c r="Q56" i="5"/>
  <c r="H96" i="5"/>
  <c r="Q128" i="5"/>
  <c r="H160" i="5"/>
  <c r="G17" i="5"/>
  <c r="F17" i="5"/>
  <c r="G49" i="5"/>
  <c r="F49" i="5"/>
  <c r="H49" i="5"/>
  <c r="Q161" i="5"/>
  <c r="G26" i="5"/>
  <c r="F26" i="5"/>
  <c r="F82" i="5"/>
  <c r="F154" i="5"/>
  <c r="F159" i="5"/>
  <c r="G110" i="5"/>
  <c r="Q21" i="1"/>
  <c r="Q53" i="1"/>
  <c r="Q85" i="1"/>
  <c r="Q117" i="1"/>
  <c r="Q14" i="1"/>
  <c r="Q54" i="1"/>
  <c r="G39" i="1"/>
  <c r="G16" i="1"/>
  <c r="F16" i="1"/>
  <c r="G48" i="1"/>
  <c r="F48" i="1"/>
  <c r="G80" i="1"/>
  <c r="F80" i="1"/>
  <c r="G112" i="1"/>
  <c r="F112" i="1"/>
  <c r="G144" i="1"/>
  <c r="F144" i="1"/>
  <c r="H80" i="1"/>
  <c r="Q128" i="1"/>
  <c r="F17" i="1"/>
  <c r="G17" i="1"/>
  <c r="F81" i="1"/>
  <c r="G81" i="1"/>
  <c r="G145" i="1"/>
  <c r="F145" i="1"/>
  <c r="Q9" i="1"/>
  <c r="Q81" i="1"/>
  <c r="Q153" i="1"/>
  <c r="G18" i="1"/>
  <c r="G66" i="1"/>
  <c r="G146" i="1"/>
  <c r="Q130" i="1"/>
  <c r="Q141" i="1"/>
  <c r="G45" i="1"/>
  <c r="F45" i="1"/>
  <c r="G85" i="1"/>
  <c r="F85" i="1"/>
  <c r="G125" i="1"/>
  <c r="F125" i="1"/>
  <c r="Q19" i="1"/>
  <c r="Q51" i="1"/>
  <c r="Q83" i="1"/>
  <c r="Q115" i="1"/>
  <c r="F12" i="1"/>
  <c r="G12" i="1"/>
  <c r="F44" i="1"/>
  <c r="G44" i="1"/>
  <c r="F76" i="1"/>
  <c r="G76" i="1"/>
  <c r="F108" i="1"/>
  <c r="G108" i="1"/>
  <c r="F140" i="1"/>
  <c r="G140" i="1"/>
  <c r="Q173" i="1"/>
  <c r="G174" i="1"/>
  <c r="H142" i="1"/>
  <c r="G24" i="1"/>
  <c r="F24" i="1"/>
  <c r="G88" i="1"/>
  <c r="F88" i="1"/>
  <c r="G152" i="1"/>
  <c r="F152" i="1"/>
  <c r="H88" i="1"/>
  <c r="F25" i="1"/>
  <c r="G25" i="1"/>
  <c r="G153" i="1"/>
  <c r="F153" i="1"/>
  <c r="H89" i="1"/>
  <c r="F66" i="1"/>
  <c r="F51" i="1"/>
  <c r="G51" i="1"/>
  <c r="G115" i="1"/>
  <c r="F115" i="1"/>
  <c r="G147" i="1"/>
  <c r="F147" i="1"/>
  <c r="Q146" i="1"/>
  <c r="H125" i="1"/>
  <c r="Q157" i="1"/>
  <c r="H102" i="1"/>
  <c r="G13" i="1"/>
  <c r="F13" i="1"/>
  <c r="H22" i="1"/>
  <c r="H110" i="1"/>
  <c r="Q142" i="1"/>
  <c r="G7" i="1"/>
  <c r="G55" i="1"/>
  <c r="F135" i="1"/>
  <c r="Q7" i="1"/>
  <c r="Q39" i="1"/>
  <c r="Q71" i="1"/>
  <c r="Q103" i="1"/>
  <c r="Q135" i="1"/>
  <c r="Q167" i="1"/>
  <c r="G21" i="1"/>
  <c r="F21" i="1"/>
  <c r="Q96" i="1"/>
  <c r="Q136" i="1"/>
  <c r="H168" i="1"/>
  <c r="F33" i="1"/>
  <c r="G33" i="1"/>
  <c r="G97" i="1"/>
  <c r="F97" i="1"/>
  <c r="G161" i="1"/>
  <c r="F161" i="1"/>
  <c r="Q17" i="1"/>
  <c r="H57" i="1"/>
  <c r="Q89" i="1"/>
  <c r="H129" i="1"/>
  <c r="Q161" i="1"/>
  <c r="G34" i="1"/>
  <c r="G74" i="1"/>
  <c r="G114" i="1"/>
  <c r="G162" i="1"/>
  <c r="F111" i="1"/>
  <c r="G111" i="1"/>
  <c r="Q28" i="1"/>
  <c r="H68" i="1"/>
  <c r="Q100" i="1"/>
  <c r="Q140" i="1"/>
  <c r="G53" i="1"/>
  <c r="F53" i="1"/>
  <c r="G93" i="1"/>
  <c r="F93" i="1"/>
  <c r="G141" i="1"/>
  <c r="F141" i="1"/>
  <c r="H41" i="1"/>
  <c r="Q27" i="1"/>
  <c r="Q59" i="1"/>
  <c r="Q91" i="1"/>
  <c r="Q123" i="1"/>
  <c r="F20" i="1"/>
  <c r="G20" i="1"/>
  <c r="F52" i="1"/>
  <c r="G52" i="1"/>
  <c r="F84" i="1"/>
  <c r="G84" i="1"/>
  <c r="F116" i="1"/>
  <c r="G116" i="1"/>
  <c r="F148" i="1"/>
  <c r="G148" i="1"/>
  <c r="Q24" i="1"/>
  <c r="F15" i="1"/>
  <c r="F14" i="1"/>
  <c r="G14" i="1"/>
  <c r="G110" i="1"/>
  <c r="F110" i="1"/>
  <c r="G165" i="1"/>
  <c r="F165" i="1"/>
  <c r="G56" i="1"/>
  <c r="F56" i="1"/>
  <c r="G120" i="1"/>
  <c r="F120" i="1"/>
  <c r="G89" i="1"/>
  <c r="F89" i="1"/>
  <c r="G101" i="1"/>
  <c r="F101" i="1"/>
  <c r="F18" i="1"/>
  <c r="F114" i="1"/>
  <c r="F26" i="1"/>
  <c r="G26" i="1"/>
  <c r="F19" i="1"/>
  <c r="G19" i="1"/>
  <c r="G83" i="1"/>
  <c r="F83" i="1"/>
  <c r="Q16" i="1"/>
  <c r="H40" i="1"/>
  <c r="Q18" i="1"/>
  <c r="Q50" i="1"/>
  <c r="Q82" i="1"/>
  <c r="Q114" i="1"/>
  <c r="Q152" i="1"/>
  <c r="Q125" i="1"/>
  <c r="H165" i="1"/>
  <c r="F22" i="1"/>
  <c r="G22" i="1"/>
  <c r="F54" i="1"/>
  <c r="G54" i="1"/>
  <c r="G86" i="1"/>
  <c r="F86" i="1"/>
  <c r="G118" i="1"/>
  <c r="F118" i="1"/>
  <c r="G150" i="1"/>
  <c r="F150" i="1"/>
  <c r="F159" i="1"/>
  <c r="Q163" i="1"/>
  <c r="Q70" i="1"/>
  <c r="Q110" i="1"/>
  <c r="Q150" i="1"/>
  <c r="F7" i="1"/>
  <c r="F55" i="1"/>
  <c r="G103" i="1"/>
  <c r="G151" i="1"/>
  <c r="G32" i="1"/>
  <c r="F32" i="1"/>
  <c r="G64" i="1"/>
  <c r="F64" i="1"/>
  <c r="G96" i="1"/>
  <c r="F96" i="1"/>
  <c r="G128" i="1"/>
  <c r="F128" i="1"/>
  <c r="G160" i="1"/>
  <c r="F160" i="1"/>
  <c r="Q88" i="1"/>
  <c r="H96" i="1"/>
  <c r="H136" i="1"/>
  <c r="Q176" i="1"/>
  <c r="F41" i="1"/>
  <c r="G41" i="1"/>
  <c r="G105" i="1"/>
  <c r="F105" i="1"/>
  <c r="G169" i="1"/>
  <c r="F169" i="1"/>
  <c r="H25" i="1"/>
  <c r="Q57" i="1"/>
  <c r="H97" i="1"/>
  <c r="Q129" i="1"/>
  <c r="Q169" i="1"/>
  <c r="F34" i="1"/>
  <c r="F74" i="1"/>
  <c r="F130" i="1"/>
  <c r="F27" i="1"/>
  <c r="G27" i="1"/>
  <c r="F59" i="1"/>
  <c r="G59" i="1"/>
  <c r="G91" i="1"/>
  <c r="F91" i="1"/>
  <c r="G123" i="1"/>
  <c r="F123" i="1"/>
  <c r="G155" i="1"/>
  <c r="F155" i="1"/>
  <c r="G133" i="1"/>
  <c r="F133" i="1"/>
  <c r="H36" i="1"/>
  <c r="Q68" i="1"/>
  <c r="H108" i="1"/>
  <c r="H140" i="1"/>
  <c r="H126" i="1"/>
  <c r="Q3" i="1"/>
  <c r="Q35" i="1"/>
  <c r="Q67" i="1"/>
  <c r="Q99" i="1"/>
  <c r="Q171" i="1"/>
  <c r="G79" i="1"/>
  <c r="F46" i="1"/>
  <c r="G46" i="1"/>
  <c r="F103" i="1"/>
  <c r="H104" i="1"/>
  <c r="Q144" i="1"/>
  <c r="F49" i="1"/>
  <c r="G49" i="1"/>
  <c r="G113" i="1"/>
  <c r="F113" i="1"/>
  <c r="G177" i="1"/>
  <c r="F177" i="1"/>
  <c r="Q25" i="1"/>
  <c r="H177" i="1"/>
  <c r="G82" i="1"/>
  <c r="G130" i="1"/>
  <c r="H76" i="1"/>
  <c r="Q108" i="1"/>
  <c r="Q148" i="1"/>
  <c r="G61" i="1"/>
  <c r="F61" i="1"/>
  <c r="G109" i="1"/>
  <c r="F109" i="1"/>
  <c r="G149" i="1"/>
  <c r="F149" i="1"/>
  <c r="G37" i="1"/>
  <c r="F37" i="1"/>
  <c r="H3" i="1"/>
  <c r="H35" i="1"/>
  <c r="H67" i="1"/>
  <c r="H99" i="1"/>
  <c r="F28" i="1"/>
  <c r="G28" i="1"/>
  <c r="F60" i="1"/>
  <c r="G60" i="1"/>
  <c r="F92" i="1"/>
  <c r="G92" i="1"/>
  <c r="F124" i="1"/>
  <c r="G124" i="1"/>
  <c r="F156" i="1"/>
  <c r="G156" i="1"/>
  <c r="G58" i="1"/>
  <c r="Q56" i="1"/>
  <c r="F79" i="1"/>
  <c r="F78" i="1"/>
  <c r="G78" i="1"/>
  <c r="Q133" i="1"/>
  <c r="G94" i="1"/>
  <c r="F94" i="1"/>
  <c r="H158" i="1"/>
  <c r="G167" i="1"/>
  <c r="G8" i="1"/>
  <c r="F8" i="1"/>
  <c r="G40" i="1"/>
  <c r="F40" i="1"/>
  <c r="G72" i="1"/>
  <c r="F72" i="1"/>
  <c r="G104" i="1"/>
  <c r="F104" i="1"/>
  <c r="G136" i="1"/>
  <c r="F136" i="1"/>
  <c r="G168" i="1"/>
  <c r="F168" i="1"/>
  <c r="H94" i="1"/>
  <c r="Q112" i="1"/>
  <c r="H144" i="1"/>
  <c r="F57" i="1"/>
  <c r="G57" i="1"/>
  <c r="G121" i="1"/>
  <c r="F121" i="1"/>
  <c r="Q65" i="1"/>
  <c r="Q105" i="1"/>
  <c r="H145" i="1"/>
  <c r="Q177" i="1"/>
  <c r="F82" i="1"/>
  <c r="F138" i="1"/>
  <c r="F3" i="1"/>
  <c r="G3" i="1"/>
  <c r="F35" i="1"/>
  <c r="G35" i="1"/>
  <c r="F67" i="1"/>
  <c r="G67" i="1"/>
  <c r="G99" i="1"/>
  <c r="F99" i="1"/>
  <c r="G131" i="1"/>
  <c r="F131" i="1"/>
  <c r="G163" i="1"/>
  <c r="F163" i="1"/>
  <c r="Q4" i="1"/>
  <c r="H44" i="1"/>
  <c r="Q76" i="1"/>
  <c r="Q116" i="1"/>
  <c r="G122" i="1"/>
  <c r="F122" i="1"/>
  <c r="F4" i="1"/>
  <c r="G4" i="1"/>
  <c r="F36" i="1"/>
  <c r="G36" i="1"/>
  <c r="F68" i="1"/>
  <c r="G68" i="1"/>
  <c r="F100" i="1"/>
  <c r="G100" i="1"/>
  <c r="F132" i="1"/>
  <c r="G132" i="1"/>
  <c r="G164" i="1"/>
  <c r="F164" i="1"/>
  <c r="F58" i="1"/>
  <c r="Q72" i="1"/>
  <c r="G143" i="1"/>
  <c r="G142" i="1"/>
  <c r="F142" i="1"/>
  <c r="Q48" i="1"/>
  <c r="F30" i="1"/>
  <c r="G30" i="1"/>
  <c r="G126" i="1"/>
  <c r="F126" i="1"/>
  <c r="H78" i="1"/>
  <c r="H26" i="1"/>
  <c r="G69" i="1"/>
  <c r="F69" i="1"/>
  <c r="H6" i="1"/>
  <c r="H46" i="1"/>
  <c r="Q78" i="1"/>
  <c r="Q126" i="1"/>
  <c r="H166" i="1"/>
  <c r="G71" i="1"/>
  <c r="F119" i="1"/>
  <c r="F106" i="1"/>
  <c r="Q23" i="1"/>
  <c r="Q55" i="1"/>
  <c r="Q87" i="1"/>
  <c r="Q119" i="1"/>
  <c r="Q151" i="1"/>
  <c r="F5" i="1"/>
  <c r="G5" i="1"/>
  <c r="H112" i="1"/>
  <c r="H152" i="1"/>
  <c r="F9" i="1"/>
  <c r="G9" i="1"/>
  <c r="F65" i="1"/>
  <c r="G65" i="1"/>
  <c r="G129" i="1"/>
  <c r="F129" i="1"/>
  <c r="Q164" i="1"/>
  <c r="Q33" i="1"/>
  <c r="H113" i="1"/>
  <c r="Q145" i="1"/>
  <c r="F10" i="1"/>
  <c r="G10" i="1"/>
  <c r="G50" i="1"/>
  <c r="F98" i="1"/>
  <c r="G138" i="1"/>
  <c r="Q156" i="1"/>
  <c r="G171" i="1"/>
  <c r="F171" i="1"/>
  <c r="H12" i="1"/>
  <c r="Q44" i="1"/>
  <c r="Q84" i="1"/>
  <c r="H124" i="1"/>
  <c r="G29" i="1"/>
  <c r="F29" i="1"/>
  <c r="G77" i="1"/>
  <c r="F77" i="1"/>
  <c r="G117" i="1"/>
  <c r="F117" i="1"/>
  <c r="G157" i="1"/>
  <c r="F157" i="1"/>
  <c r="Q11" i="1"/>
  <c r="Q43" i="1"/>
  <c r="Q75" i="1"/>
  <c r="Q107" i="1"/>
  <c r="H147" i="1"/>
  <c r="F154" i="1"/>
  <c r="Q120" i="1"/>
  <c r="F143" i="1"/>
  <c r="F62" i="1"/>
  <c r="G62" i="1"/>
  <c r="G158" i="1"/>
  <c r="F158" i="1"/>
  <c r="Q158" i="1"/>
  <c r="Q34" i="1"/>
  <c r="Q66" i="1"/>
  <c r="Q98" i="1"/>
  <c r="Q149" i="1"/>
  <c r="F6" i="1"/>
  <c r="G6" i="1"/>
  <c r="F38" i="1"/>
  <c r="G38" i="1"/>
  <c r="F70" i="1"/>
  <c r="G70" i="1"/>
  <c r="G102" i="1"/>
  <c r="F102" i="1"/>
  <c r="G134" i="1"/>
  <c r="F134" i="1"/>
  <c r="G166" i="1"/>
  <c r="F166" i="1"/>
  <c r="H14" i="1"/>
  <c r="Q46" i="1"/>
  <c r="Q86" i="1"/>
  <c r="H134" i="1"/>
  <c r="Q166" i="1"/>
  <c r="F71" i="1"/>
  <c r="H95" i="1"/>
  <c r="G95" i="1"/>
  <c r="G176" i="1"/>
  <c r="F176" i="1"/>
  <c r="G90" i="1"/>
  <c r="F90" i="1"/>
  <c r="Q80" i="1"/>
  <c r="H120" i="1"/>
  <c r="Q160" i="1"/>
  <c r="F73" i="1"/>
  <c r="G73" i="1"/>
  <c r="G137" i="1"/>
  <c r="F137" i="1"/>
  <c r="H81" i="1"/>
  <c r="Q113" i="1"/>
  <c r="H153" i="1"/>
  <c r="F50" i="1"/>
  <c r="G98" i="1"/>
  <c r="F146" i="1"/>
  <c r="H30" i="1"/>
  <c r="F11" i="1"/>
  <c r="G11" i="1"/>
  <c r="F43" i="1"/>
  <c r="G43" i="1"/>
  <c r="G75" i="1"/>
  <c r="F75" i="1"/>
  <c r="G107" i="1"/>
  <c r="F107" i="1"/>
  <c r="G139" i="1"/>
  <c r="F139" i="1"/>
  <c r="Q12" i="1"/>
  <c r="Q52" i="1"/>
  <c r="H92" i="1"/>
  <c r="Q124" i="1"/>
  <c r="G173" i="1"/>
  <c r="F173" i="1"/>
  <c r="H19" i="1"/>
  <c r="H51" i="1"/>
  <c r="H83" i="1"/>
  <c r="H115" i="1"/>
  <c r="Q147" i="1"/>
  <c r="G172" i="1"/>
  <c r="F172" i="1"/>
  <c r="G154" i="1"/>
  <c r="F174" i="1"/>
  <c r="F167" i="1"/>
</calcChain>
</file>

<file path=xl/sharedStrings.xml><?xml version="1.0" encoding="utf-8"?>
<sst xmlns="http://schemas.openxmlformats.org/spreadsheetml/2006/main" count="173" uniqueCount="60">
  <si>
    <t>Year</t>
  </si>
  <si>
    <t>annex2_OWID</t>
  </si>
  <si>
    <t>annex1_OWID</t>
  </si>
  <si>
    <t>non_annex1_OWID</t>
  </si>
  <si>
    <t>annex2_PRIMAP</t>
  </si>
  <si>
    <t>annex1_PRIMAP</t>
  </si>
  <si>
    <t>non_annex1_PRIMAP</t>
  </si>
  <si>
    <t>annex2_GCP_fossil</t>
  </si>
  <si>
    <t>annex1_GCP_fossil</t>
  </si>
  <si>
    <t>non_annex1_GCP_fossil</t>
  </si>
  <si>
    <t>cum_annex2_OWID</t>
  </si>
  <si>
    <t>cum_annex1_OWID</t>
  </si>
  <si>
    <t>cum_non_ann1_OWID</t>
  </si>
  <si>
    <t>cum_world_OWID</t>
  </si>
  <si>
    <t>pct_annex2_OWID</t>
  </si>
  <si>
    <t>pct_annex1_OWID</t>
  </si>
  <si>
    <t>cum_annex2_PRIMAP</t>
  </si>
  <si>
    <t>cum_annex1_PRIMAP</t>
  </si>
  <si>
    <t>cum_non_ann1_PRIMAP</t>
  </si>
  <si>
    <t>cum_world_PRIMAP</t>
  </si>
  <si>
    <t>pct_annex2_PRIMAP</t>
  </si>
  <si>
    <t>pct_annex1_PRIMAP</t>
  </si>
  <si>
    <t>cum_annex2_GCP_fossil</t>
  </si>
  <si>
    <t>cum_annex1_GCP_fossil</t>
  </si>
  <si>
    <t>cum_non_ann1_GCP_fossil</t>
  </si>
  <si>
    <t>cum_world_GCP_fossil</t>
  </si>
  <si>
    <t>pct_annex2_GCP_fossil</t>
  </si>
  <si>
    <t>pct_annex1_GCP_fossil</t>
  </si>
  <si>
    <t>AII_Min</t>
  </si>
  <si>
    <t>AII_Max</t>
  </si>
  <si>
    <t>AI_Min</t>
  </si>
  <si>
    <t>AI_Max</t>
  </si>
  <si>
    <t>Pure_AII</t>
  </si>
  <si>
    <t>Overlap</t>
  </si>
  <si>
    <t>AI_Gap</t>
  </si>
  <si>
    <t>Pure_AI</t>
  </si>
  <si>
    <t>annex2_GCP_BLUE</t>
  </si>
  <si>
    <t>annex1_GCP_BLUE</t>
  </si>
  <si>
    <t>non_annex1_GCP_BLUE</t>
  </si>
  <si>
    <t>annex2_GCP_OSCAR</t>
  </si>
  <si>
    <t>annex1_GCP_OSCAR</t>
  </si>
  <si>
    <t>non_annex1_GCP_OSCAR</t>
  </si>
  <si>
    <t>cum_annex2_GCP_BLUE</t>
  </si>
  <si>
    <t>cum_annex1_GCP_BLUE</t>
  </si>
  <si>
    <t>cum_non_ann1_GCP_BLUE</t>
  </si>
  <si>
    <t>cum_world_GCP_BLUE</t>
  </si>
  <si>
    <t>pct_annex2_GCP_BLUE</t>
  </si>
  <si>
    <t>pct_annex1_GCP_BLUE</t>
  </si>
  <si>
    <t>cum_annex2_GCP_OSCAR</t>
  </si>
  <si>
    <t>cum_annex1_GCP_OSCAR</t>
  </si>
  <si>
    <t>cum_non_ann1_GCP_OSCAR</t>
  </si>
  <si>
    <t>cum_world_GCP_OSCAR</t>
  </si>
  <si>
    <t>pct_annex2_GCP_OSCAR</t>
  </si>
  <si>
    <t>pct_annex1_GCP_OSCAR</t>
  </si>
  <si>
    <t>Cumulative CO2 emissions excluding LULUCF since 1850, different end points</t>
  </si>
  <si>
    <t>Annex II GMST</t>
  </si>
  <si>
    <t>Annex I GMST</t>
  </si>
  <si>
    <t>Cumulative CO2 emissions including from LULUCF since 1850, different end points</t>
  </si>
  <si>
    <t>Cumulative GHG emissions excluding LULUCF since 1850, different end points</t>
  </si>
  <si>
    <t>Cumulative GHG emissions including LULUCF since 1850, different end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</si>
</sst>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rgb="FFFFFFFF"/>
      <name val="Sofia Pro Semi Bold"/>
      <family val="3"/>
    </font>
    <font>
      <b/>
      <sz val="9"/>
      <color rgb="FFFFFFFF"/>
      <name val="Sofia Pro Semi Bold"/>
      <family val="3"/>
    </font>
    <font>
      <sz val="9"/>
      <color rgb="FF333333"/>
      <name val="Sofia Pro"/>
      <family val="3"/>
    </font>
    <font>
      <i/>
      <sz val="9"/>
      <color rgb="FF333333"/>
      <name val="Sofia Pro"/>
      <family val="3"/>
    </font>
    <font>
      <sz val="9"/>
      <color theme="1"/>
      <name val="Sofia Pro"/>
      <family val="3"/>
    </font>
  </fonts>
  <fills count="5">
    <fill>
      <patternFill patternType="none"/>
    </fill>
    <fill>
      <patternFill patternType="gray125"/>
    </fill>
    <fill>
      <patternFill patternType="solid">
        <fgColor rgb="FF0B4C5B"/>
        <bgColor indexed="64"/>
      </patternFill>
    </fill>
    <fill>
      <patternFill patternType="solid">
        <fgColor rgb="FF1A8A9E"/>
        <bgColor indexed="64"/>
      </patternFill>
    </fill>
    <fill>
      <patternFill patternType="solid">
        <fgColor rgb="FFD6EA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" fontId="3" fillId="0" borderId="0" xfId="0" applyNumberFormat="1" applyFont="1"/>
    <xf numFmtId="164" fontId="4" fillId="0" borderId="0" xfId="0" applyNumberFormat="1" applyFont="1"/>
    <xf numFmtId="164" fontId="3" fillId="0" borderId="0" xfId="0" applyNumberFormat="1" applyFont="1"/>
    <xf numFmtId="1" fontId="3" fillId="4" borderId="0" xfId="0" applyNumberFormat="1" applyFont="1" applyFill="1"/>
    <xf numFmtId="164" fontId="4" fillId="4" borderId="0" xfId="0" applyNumberFormat="1" applyFont="1" applyFill="1"/>
    <xf numFmtId="164" fontId="3" fillId="4" borderId="0" xfId="0" applyNumberFormat="1" applyFont="1" applyFill="1"/>
    <xf numFmtId="164" fontId="5" fillId="0" borderId="0" xfId="0" applyNumberFormat="1" applyFont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Cumulative GHG emissions including LULUCF since 1850, different end points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data_ghg_incLUC!$B$3:$B$177</c:f>
              <c:numCache>
                <c:formatCode>0.0</c:formatCode>
                <c:ptCount val="175"/>
                <c:pt idx="0">
                  <c:v>36.117602475106047</c:v>
                </c:pt>
                <c:pt idx="1">
                  <c:v>36.199508645811314</c:v>
                </c:pt>
                <c:pt idx="2">
                  <c:v>36.147776786226665</c:v>
                </c:pt>
                <c:pt idx="3">
                  <c:v>36.340561031595627</c:v>
                </c:pt>
                <c:pt idx="4">
                  <c:v>36.624606494935144</c:v>
                </c:pt>
                <c:pt idx="5">
                  <c:v>36.796073543703685</c:v>
                </c:pt>
                <c:pt idx="6">
                  <c:v>36.964209248762295</c:v>
                </c:pt>
                <c:pt idx="7">
                  <c:v>37.099803773937332</c:v>
                </c:pt>
                <c:pt idx="8">
                  <c:v>37.249017671989279</c:v>
                </c:pt>
                <c:pt idx="9">
                  <c:v>37.419861445132952</c:v>
                </c:pt>
                <c:pt idx="10">
                  <c:v>37.673572147850273</c:v>
                </c:pt>
                <c:pt idx="11">
                  <c:v>37.873267423898092</c:v>
                </c:pt>
                <c:pt idx="12">
                  <c:v>38.094748602434159</c:v>
                </c:pt>
                <c:pt idx="13">
                  <c:v>38.328860079746974</c:v>
                </c:pt>
                <c:pt idx="14">
                  <c:v>38.519813300272077</c:v>
                </c:pt>
                <c:pt idx="15">
                  <c:v>38.717656293011188</c:v>
                </c:pt>
                <c:pt idx="16">
                  <c:v>38.88246724416036</c:v>
                </c:pt>
                <c:pt idx="17">
                  <c:v>39.090834412268762</c:v>
                </c:pt>
                <c:pt idx="18">
                  <c:v>39.277927064583835</c:v>
                </c:pt>
                <c:pt idx="19">
                  <c:v>39.448727858653108</c:v>
                </c:pt>
                <c:pt idx="20">
                  <c:v>39.708992137858402</c:v>
                </c:pt>
                <c:pt idx="21">
                  <c:v>40.034475924731019</c:v>
                </c:pt>
                <c:pt idx="22">
                  <c:v>40.360673859377016</c:v>
                </c:pt>
                <c:pt idx="23">
                  <c:v>40.721328850299379</c:v>
                </c:pt>
                <c:pt idx="24">
                  <c:v>41.034048026297995</c:v>
                </c:pt>
                <c:pt idx="25">
                  <c:v>41.369031589133655</c:v>
                </c:pt>
                <c:pt idx="26">
                  <c:v>41.684277062365396</c:v>
                </c:pt>
                <c:pt idx="27">
                  <c:v>41.987680785717515</c:v>
                </c:pt>
                <c:pt idx="28">
                  <c:v>42.277611374038557</c:v>
                </c:pt>
                <c:pt idx="29">
                  <c:v>42.577370445922433</c:v>
                </c:pt>
                <c:pt idx="30">
                  <c:v>42.823472456786341</c:v>
                </c:pt>
                <c:pt idx="31">
                  <c:v>43.01672779108489</c:v>
                </c:pt>
                <c:pt idx="32">
                  <c:v>43.200278418399492</c:v>
                </c:pt>
                <c:pt idx="33">
                  <c:v>43.38598082234337</c:v>
                </c:pt>
                <c:pt idx="34">
                  <c:v>43.547939975174636</c:v>
                </c:pt>
                <c:pt idx="35">
                  <c:v>43.684647572494804</c:v>
                </c:pt>
                <c:pt idx="36">
                  <c:v>43.81520658536926</c:v>
                </c:pt>
                <c:pt idx="37">
                  <c:v>43.953303832937287</c:v>
                </c:pt>
                <c:pt idx="38">
                  <c:v>44.107044646915526</c:v>
                </c:pt>
                <c:pt idx="39">
                  <c:v>44.228022568502816</c:v>
                </c:pt>
                <c:pt idx="40">
                  <c:v>44.348405637685588</c:v>
                </c:pt>
                <c:pt idx="41">
                  <c:v>44.468442971709372</c:v>
                </c:pt>
                <c:pt idx="42">
                  <c:v>44.583151294246306</c:v>
                </c:pt>
                <c:pt idx="43">
                  <c:v>44.687741006476706</c:v>
                </c:pt>
                <c:pt idx="44">
                  <c:v>44.784010476898679</c:v>
                </c:pt>
                <c:pt idx="45">
                  <c:v>44.889767213773048</c:v>
                </c:pt>
                <c:pt idx="46">
                  <c:v>44.998917016951232</c:v>
                </c:pt>
                <c:pt idx="47">
                  <c:v>45.106058860071379</c:v>
                </c:pt>
                <c:pt idx="48">
                  <c:v>45.221738963250921</c:v>
                </c:pt>
                <c:pt idx="49">
                  <c:v>45.358346099170333</c:v>
                </c:pt>
                <c:pt idx="50">
                  <c:v>45.493397178025411</c:v>
                </c:pt>
                <c:pt idx="51">
                  <c:v>45.599152856235889</c:v>
                </c:pt>
                <c:pt idx="52">
                  <c:v>45.70419497079898</c:v>
                </c:pt>
                <c:pt idx="53">
                  <c:v>45.825175371201475</c:v>
                </c:pt>
                <c:pt idx="54">
                  <c:v>45.933208732030245</c:v>
                </c:pt>
                <c:pt idx="55">
                  <c:v>46.054606442996494</c:v>
                </c:pt>
                <c:pt idx="56">
                  <c:v>46.168314597018586</c:v>
                </c:pt>
                <c:pt idx="57">
                  <c:v>46.319510249324011</c:v>
                </c:pt>
                <c:pt idx="58">
                  <c:v>46.435105705191013</c:v>
                </c:pt>
                <c:pt idx="59">
                  <c:v>46.552429068991422</c:v>
                </c:pt>
                <c:pt idx="60">
                  <c:v>46.694899436703238</c:v>
                </c:pt>
                <c:pt idx="61">
                  <c:v>46.831962728085145</c:v>
                </c:pt>
                <c:pt idx="62">
                  <c:v>46.971997514337431</c:v>
                </c:pt>
                <c:pt idx="63">
                  <c:v>47.134637029215867</c:v>
                </c:pt>
                <c:pt idx="64">
                  <c:v>47.256740322160006</c:v>
                </c:pt>
                <c:pt idx="65">
                  <c:v>47.367666625978607</c:v>
                </c:pt>
                <c:pt idx="66">
                  <c:v>47.492977228902902</c:v>
                </c:pt>
                <c:pt idx="67">
                  <c:v>47.631447692560535</c:v>
                </c:pt>
                <c:pt idx="68">
                  <c:v>47.783197247306411</c:v>
                </c:pt>
                <c:pt idx="69">
                  <c:v>47.889757133897348</c:v>
                </c:pt>
                <c:pt idx="70">
                  <c:v>47.990262529581095</c:v>
                </c:pt>
                <c:pt idx="71">
                  <c:v>48.018992752654214</c:v>
                </c:pt>
                <c:pt idx="72">
                  <c:v>48.057338762674966</c:v>
                </c:pt>
                <c:pt idx="73">
                  <c:v>48.122993491146246</c:v>
                </c:pt>
                <c:pt idx="74">
                  <c:v>48.18193515979145</c:v>
                </c:pt>
                <c:pt idx="75">
                  <c:v>48.231464983074055</c:v>
                </c:pt>
                <c:pt idx="76">
                  <c:v>48.260081009352461</c:v>
                </c:pt>
                <c:pt idx="77">
                  <c:v>48.305255005737735</c:v>
                </c:pt>
                <c:pt idx="78">
                  <c:v>48.334576645656611</c:v>
                </c:pt>
                <c:pt idx="79">
                  <c:v>48.373814282373402</c:v>
                </c:pt>
                <c:pt idx="80">
                  <c:v>48.356985153918139</c:v>
                </c:pt>
                <c:pt idx="81">
                  <c:v>48.289156226197818</c:v>
                </c:pt>
                <c:pt idx="82">
                  <c:v>48.17861755623413</c:v>
                </c:pt>
                <c:pt idx="83">
                  <c:v>48.077027268668523</c:v>
                </c:pt>
                <c:pt idx="84">
                  <c:v>47.982248469206723</c:v>
                </c:pt>
                <c:pt idx="85">
                  <c:v>47.890446204829921</c:v>
                </c:pt>
                <c:pt idx="86">
                  <c:v>47.808535912450637</c:v>
                </c:pt>
                <c:pt idx="87">
                  <c:v>47.738448529334335</c:v>
                </c:pt>
                <c:pt idx="88">
                  <c:v>47.638636609459098</c:v>
                </c:pt>
                <c:pt idx="89">
                  <c:v>47.553234588906328</c:v>
                </c:pt>
                <c:pt idx="90">
                  <c:v>47.462306193723037</c:v>
                </c:pt>
                <c:pt idx="91">
                  <c:v>47.381365234008442</c:v>
                </c:pt>
                <c:pt idx="92">
                  <c:v>47.325606084173785</c:v>
                </c:pt>
                <c:pt idx="93">
                  <c:v>47.271716555009633</c:v>
                </c:pt>
                <c:pt idx="94">
                  <c:v>47.21485688054095</c:v>
                </c:pt>
                <c:pt idx="95">
                  <c:v>47.122063648229414</c:v>
                </c:pt>
                <c:pt idx="96">
                  <c:v>47.035235795593742</c:v>
                </c:pt>
                <c:pt idx="97">
                  <c:v>46.974283824531007</c:v>
                </c:pt>
                <c:pt idx="98">
                  <c:v>46.930671240291822</c:v>
                </c:pt>
                <c:pt idx="99">
                  <c:v>46.859591471623091</c:v>
                </c:pt>
                <c:pt idx="100">
                  <c:v>46.762234301602291</c:v>
                </c:pt>
                <c:pt idx="101">
                  <c:v>46.645230403460189</c:v>
                </c:pt>
                <c:pt idx="102">
                  <c:v>46.520072390791512</c:v>
                </c:pt>
                <c:pt idx="103">
                  <c:v>46.391147216488577</c:v>
                </c:pt>
                <c:pt idx="104">
                  <c:v>46.234353682797838</c:v>
                </c:pt>
                <c:pt idx="105">
                  <c:v>46.081655088878101</c:v>
                </c:pt>
                <c:pt idx="106">
                  <c:v>45.93505432898035</c:v>
                </c:pt>
                <c:pt idx="107">
                  <c:v>45.77323929856319</c:v>
                </c:pt>
                <c:pt idx="108">
                  <c:v>45.590529621482432</c:v>
                </c:pt>
                <c:pt idx="109">
                  <c:v>45.375601664796434</c:v>
                </c:pt>
                <c:pt idx="110">
                  <c:v>45.210764992061698</c:v>
                </c:pt>
                <c:pt idx="111">
                  <c:v>45.053719722996462</c:v>
                </c:pt>
                <c:pt idx="112">
                  <c:v>44.93556642208533</c:v>
                </c:pt>
                <c:pt idx="113">
                  <c:v>44.826901531576098</c:v>
                </c:pt>
                <c:pt idx="114">
                  <c:v>44.736154783311562</c:v>
                </c:pt>
                <c:pt idx="115">
                  <c:v>44.657563834112118</c:v>
                </c:pt>
                <c:pt idx="116">
                  <c:v>44.59012236670246</c:v>
                </c:pt>
                <c:pt idx="117">
                  <c:v>44.559477891971191</c:v>
                </c:pt>
                <c:pt idx="118">
                  <c:v>44.542919376335163</c:v>
                </c:pt>
                <c:pt idx="119">
                  <c:v>44.487754182507558</c:v>
                </c:pt>
                <c:pt idx="120">
                  <c:v>44.428135378654126</c:v>
                </c:pt>
                <c:pt idx="121">
                  <c:v>44.380138852227951</c:v>
                </c:pt>
                <c:pt idx="122">
                  <c:v>44.318680848371791</c:v>
                </c:pt>
                <c:pt idx="123">
                  <c:v>44.263452335067825</c:v>
                </c:pt>
                <c:pt idx="124">
                  <c:v>44.192977433836347</c:v>
                </c:pt>
                <c:pt idx="125">
                  <c:v>44.103013457340978</c:v>
                </c:pt>
                <c:pt idx="126">
                  <c:v>44.022262866873227</c:v>
                </c:pt>
                <c:pt idx="127">
                  <c:v>43.927064086541755</c:v>
                </c:pt>
                <c:pt idx="128">
                  <c:v>43.821899832917573</c:v>
                </c:pt>
                <c:pt idx="129">
                  <c:v>43.738369651803957</c:v>
                </c:pt>
                <c:pt idx="130">
                  <c:v>43.641822397001754</c:v>
                </c:pt>
                <c:pt idx="131">
                  <c:v>43.544221871475195</c:v>
                </c:pt>
                <c:pt idx="132">
                  <c:v>43.43073134264268</c:v>
                </c:pt>
                <c:pt idx="133">
                  <c:v>43.306703470057691</c:v>
                </c:pt>
                <c:pt idx="134">
                  <c:v>43.169444081589248</c:v>
                </c:pt>
                <c:pt idx="135">
                  <c:v>43.013482542459982</c:v>
                </c:pt>
                <c:pt idx="136">
                  <c:v>42.844945824242146</c:v>
                </c:pt>
                <c:pt idx="137">
                  <c:v>42.688363431875764</c:v>
                </c:pt>
                <c:pt idx="138">
                  <c:v>42.541293994321769</c:v>
                </c:pt>
                <c:pt idx="139">
                  <c:v>42.404777909757044</c:v>
                </c:pt>
                <c:pt idx="140">
                  <c:v>42.288507486965337</c:v>
                </c:pt>
                <c:pt idx="141">
                  <c:v>42.166308530272339</c:v>
                </c:pt>
                <c:pt idx="142">
                  <c:v>42.058633425558305</c:v>
                </c:pt>
                <c:pt idx="143">
                  <c:v>41.955290782967616</c:v>
                </c:pt>
                <c:pt idx="144">
                  <c:v>41.83872094663711</c:v>
                </c:pt>
                <c:pt idx="145">
                  <c:v>41.728628447020888</c:v>
                </c:pt>
                <c:pt idx="146">
                  <c:v>41.615977072565677</c:v>
                </c:pt>
                <c:pt idx="147">
                  <c:v>41.476329768654395</c:v>
                </c:pt>
                <c:pt idx="148">
                  <c:v>41.369744411531187</c:v>
                </c:pt>
                <c:pt idx="149">
                  <c:v>41.265531768376995</c:v>
                </c:pt>
                <c:pt idx="150">
                  <c:v>41.173235201533842</c:v>
                </c:pt>
                <c:pt idx="151">
                  <c:v>41.082428434529575</c:v>
                </c:pt>
                <c:pt idx="152">
                  <c:v>40.976830857802462</c:v>
                </c:pt>
                <c:pt idx="153">
                  <c:v>40.841925415245171</c:v>
                </c:pt>
                <c:pt idx="154">
                  <c:v>40.711126972453009</c:v>
                </c:pt>
                <c:pt idx="155">
                  <c:v>40.574748783754742</c:v>
                </c:pt>
                <c:pt idx="156">
                  <c:v>40.408930257550537</c:v>
                </c:pt>
                <c:pt idx="157">
                  <c:v>40.246374924847608</c:v>
                </c:pt>
                <c:pt idx="158">
                  <c:v>40.068240362630227</c:v>
                </c:pt>
                <c:pt idx="159">
                  <c:v>39.858640092724471</c:v>
                </c:pt>
                <c:pt idx="160">
                  <c:v>39.649530807695392</c:v>
                </c:pt>
                <c:pt idx="161">
                  <c:v>39.416929980758979</c:v>
                </c:pt>
                <c:pt idx="162">
                  <c:v>39.174290398520185</c:v>
                </c:pt>
                <c:pt idx="163">
                  <c:v>38.939589350546676</c:v>
                </c:pt>
                <c:pt idx="164">
                  <c:v>38.704307114999537</c:v>
                </c:pt>
                <c:pt idx="165">
                  <c:v>38.468939302269334</c:v>
                </c:pt>
                <c:pt idx="166">
                  <c:v>38.249986702530414</c:v>
                </c:pt>
                <c:pt idx="167">
                  <c:v>38.031829710975778</c:v>
                </c:pt>
                <c:pt idx="168">
                  <c:v>37.815929859834917</c:v>
                </c:pt>
                <c:pt idx="169">
                  <c:v>37.592006398611346</c:v>
                </c:pt>
                <c:pt idx="170">
                  <c:v>37.365976273004222</c:v>
                </c:pt>
                <c:pt idx="171">
                  <c:v>37.141489340821373</c:v>
                </c:pt>
                <c:pt idx="172">
                  <c:v>36.911996924475638</c:v>
                </c:pt>
                <c:pt idx="173">
                  <c:v>36.673499400702113</c:v>
                </c:pt>
                <c:pt idx="174">
                  <c:v>36.435551692977214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C-4AD1-A601-5D32464E8DD2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data_ghg_incLUC!$F$3:$F$177</c:f>
              <c:numCache>
                <c:formatCode>0.0</c:formatCode>
                <c:ptCount val="175"/>
                <c:pt idx="0">
                  <c:v>5.3884204754123459</c:v>
                </c:pt>
                <c:pt idx="1">
                  <c:v>5.5571364831443546</c:v>
                </c:pt>
                <c:pt idx="2">
                  <c:v>7.0831701170905816</c:v>
                </c:pt>
                <c:pt idx="3">
                  <c:v>7.8581362568872279</c:v>
                </c:pt>
                <c:pt idx="4">
                  <c:v>8.4373658398204299</c:v>
                </c:pt>
                <c:pt idx="5">
                  <c:v>8.9795344059480371</c:v>
                </c:pt>
                <c:pt idx="6">
                  <c:v>9.4140373243668662</c:v>
                </c:pt>
                <c:pt idx="7">
                  <c:v>9.7774105650148542</c:v>
                </c:pt>
                <c:pt idx="8">
                  <c:v>10.054392069845932</c:v>
                </c:pt>
                <c:pt idx="9">
                  <c:v>10.281685658203003</c:v>
                </c:pt>
                <c:pt idx="10">
                  <c:v>10.419404040472713</c:v>
                </c:pt>
                <c:pt idx="11">
                  <c:v>10.560800868413516</c:v>
                </c:pt>
                <c:pt idx="12">
                  <c:v>10.468273127052321</c:v>
                </c:pt>
                <c:pt idx="13">
                  <c:v>10.36172330014125</c:v>
                </c:pt>
                <c:pt idx="14">
                  <c:v>10.303474703975866</c:v>
                </c:pt>
                <c:pt idx="15">
                  <c:v>10.237975080610397</c:v>
                </c:pt>
                <c:pt idx="16">
                  <c:v>10.198437623925862</c:v>
                </c:pt>
                <c:pt idx="17">
                  <c:v>10.117780334777066</c:v>
                </c:pt>
                <c:pt idx="18">
                  <c:v>10.047998024142267</c:v>
                </c:pt>
                <c:pt idx="19">
                  <c:v>9.9980781251996476</c:v>
                </c:pt>
                <c:pt idx="20">
                  <c:v>9.8472877367265852</c:v>
                </c:pt>
                <c:pt idx="21">
                  <c:v>9.5980870639039395</c:v>
                </c:pt>
                <c:pt idx="22">
                  <c:v>9.5221985479662621</c:v>
                </c:pt>
                <c:pt idx="23">
                  <c:v>9.4117932332397274</c:v>
                </c:pt>
                <c:pt idx="24">
                  <c:v>9.30510784788639</c:v>
                </c:pt>
                <c:pt idx="25">
                  <c:v>9.1888340282425105</c:v>
                </c:pt>
                <c:pt idx="26">
                  <c:v>9.0727092008246331</c:v>
                </c:pt>
                <c:pt idx="27">
                  <c:v>8.9633402441619552</c:v>
                </c:pt>
                <c:pt idx="28">
                  <c:v>8.852897333867908</c:v>
                </c:pt>
                <c:pt idx="29">
                  <c:v>8.7410123080787869</c:v>
                </c:pt>
                <c:pt idx="30">
                  <c:v>8.7104234504342983</c:v>
                </c:pt>
                <c:pt idx="31">
                  <c:v>8.6852473276011963</c:v>
                </c:pt>
                <c:pt idx="32">
                  <c:v>8.5943277195280672</c:v>
                </c:pt>
                <c:pt idx="33">
                  <c:v>8.4977293404577665</c:v>
                </c:pt>
                <c:pt idx="34">
                  <c:v>8.408487785015879</c:v>
                </c:pt>
                <c:pt idx="35">
                  <c:v>8.3292121067498712</c:v>
                </c:pt>
                <c:pt idx="36">
                  <c:v>8.2478675024011139</c:v>
                </c:pt>
                <c:pt idx="37">
                  <c:v>8.1606448646670771</c:v>
                </c:pt>
                <c:pt idx="38">
                  <c:v>8.0775195222678633</c:v>
                </c:pt>
                <c:pt idx="39">
                  <c:v>8.011262826448089</c:v>
                </c:pt>
                <c:pt idx="40">
                  <c:v>7.9608079326016039</c:v>
                </c:pt>
                <c:pt idx="41">
                  <c:v>7.9137617870814125</c:v>
                </c:pt>
                <c:pt idx="42">
                  <c:v>7.8779783594366819</c:v>
                </c:pt>
                <c:pt idx="43">
                  <c:v>7.8357125547104474</c:v>
                </c:pt>
                <c:pt idx="44">
                  <c:v>7.7952970124212158</c:v>
                </c:pt>
                <c:pt idx="45">
                  <c:v>7.7529972595960785</c:v>
                </c:pt>
                <c:pt idx="46">
                  <c:v>7.7080341495549476</c:v>
                </c:pt>
                <c:pt idx="47">
                  <c:v>7.6692389078024945</c:v>
                </c:pt>
                <c:pt idx="48">
                  <c:v>7.6256170390357596</c:v>
                </c:pt>
                <c:pt idx="49">
                  <c:v>7.581426440417836</c:v>
                </c:pt>
                <c:pt idx="50">
                  <c:v>7.5471734928683247</c:v>
                </c:pt>
                <c:pt idx="51">
                  <c:v>7.4925565322678409</c:v>
                </c:pt>
                <c:pt idx="52">
                  <c:v>7.3984939924237949</c:v>
                </c:pt>
                <c:pt idx="53">
                  <c:v>7.2913204272958652</c:v>
                </c:pt>
                <c:pt idx="54">
                  <c:v>7.1664620975789717</c:v>
                </c:pt>
                <c:pt idx="55">
                  <c:v>7.0285927098815506</c:v>
                </c:pt>
                <c:pt idx="56">
                  <c:v>6.8787245489534001</c:v>
                </c:pt>
                <c:pt idx="57">
                  <c:v>6.7273753615133458</c:v>
                </c:pt>
                <c:pt idx="58">
                  <c:v>6.5765979820243601</c:v>
                </c:pt>
                <c:pt idx="59">
                  <c:v>6.4316000632782391</c:v>
                </c:pt>
                <c:pt idx="60">
                  <c:v>6.2771941630185424</c:v>
                </c:pt>
                <c:pt idx="61">
                  <c:v>6.1563907602725507</c:v>
                </c:pt>
                <c:pt idx="62">
                  <c:v>6.0438255120334503</c:v>
                </c:pt>
                <c:pt idx="63">
                  <c:v>5.9460833515168616</c:v>
                </c:pt>
                <c:pt idx="64">
                  <c:v>5.8528463971213611</c:v>
                </c:pt>
                <c:pt idx="65">
                  <c:v>5.7675134057899982</c:v>
                </c:pt>
                <c:pt idx="66">
                  <c:v>5.6851602889070847</c:v>
                </c:pt>
                <c:pt idx="67">
                  <c:v>5.5971289046014476</c:v>
                </c:pt>
                <c:pt idx="68">
                  <c:v>5.5038653013675614</c:v>
                </c:pt>
                <c:pt idx="69">
                  <c:v>5.4137944780288905</c:v>
                </c:pt>
                <c:pt idx="70">
                  <c:v>5.3568922149723193</c:v>
                </c:pt>
                <c:pt idx="71">
                  <c:v>5.2853927754383747</c:v>
                </c:pt>
                <c:pt idx="72">
                  <c:v>5.2051617168619444</c:v>
                </c:pt>
                <c:pt idx="73">
                  <c:v>5.1378194877684962</c:v>
                </c:pt>
                <c:pt idx="74">
                  <c:v>5.0619215719893162</c:v>
                </c:pt>
                <c:pt idx="75">
                  <c:v>4.9920088590431178</c:v>
                </c:pt>
                <c:pt idx="76">
                  <c:v>4.9214047742193614</c:v>
                </c:pt>
                <c:pt idx="77">
                  <c:v>4.8709009185283421</c:v>
                </c:pt>
                <c:pt idx="78">
                  <c:v>4.8222819037702109</c:v>
                </c:pt>
                <c:pt idx="79">
                  <c:v>4.7888898645323152</c:v>
                </c:pt>
                <c:pt idx="80">
                  <c:v>4.7930284821642317</c:v>
                </c:pt>
                <c:pt idx="81">
                  <c:v>4.7961890156838791</c:v>
                </c:pt>
                <c:pt idx="82">
                  <c:v>4.7741057788522951</c:v>
                </c:pt>
                <c:pt idx="83">
                  <c:v>4.7490773662954524</c:v>
                </c:pt>
                <c:pt idx="84">
                  <c:v>4.7266004000040027</c:v>
                </c:pt>
                <c:pt idx="85">
                  <c:v>4.7030895565595472</c:v>
                </c:pt>
                <c:pt idx="86">
                  <c:v>4.6815012733871342</c:v>
                </c:pt>
                <c:pt idx="87">
                  <c:v>4.6557753487465448</c:v>
                </c:pt>
                <c:pt idx="88">
                  <c:v>4.6287962673687488</c:v>
                </c:pt>
                <c:pt idx="89">
                  <c:v>4.602748225002081</c:v>
                </c:pt>
                <c:pt idx="90">
                  <c:v>4.5723977274928487</c:v>
                </c:pt>
                <c:pt idx="91">
                  <c:v>4.5549659555026096</c:v>
                </c:pt>
                <c:pt idx="92">
                  <c:v>4.5402664225188971</c:v>
                </c:pt>
                <c:pt idx="93">
                  <c:v>4.5117587487496564</c:v>
                </c:pt>
                <c:pt idx="94">
                  <c:v>4.4804032617426088</c:v>
                </c:pt>
                <c:pt idx="95">
                  <c:v>4.4444476241655053</c:v>
                </c:pt>
                <c:pt idx="96">
                  <c:v>4.3812602821121018</c:v>
                </c:pt>
                <c:pt idx="97">
                  <c:v>4.3203197508451581</c:v>
                </c:pt>
                <c:pt idx="98">
                  <c:v>4.2543041992287414</c:v>
                </c:pt>
                <c:pt idx="99">
                  <c:v>4.1801984975434436</c:v>
                </c:pt>
                <c:pt idx="100">
                  <c:v>4.1664408451409045</c:v>
                </c:pt>
                <c:pt idx="101">
                  <c:v>4.1524271928748249</c:v>
                </c:pt>
                <c:pt idx="102">
                  <c:v>4.1148629684202618</c:v>
                </c:pt>
                <c:pt idx="103">
                  <c:v>4.0779077845751601</c:v>
                </c:pt>
                <c:pt idx="104">
                  <c:v>4.0494756866922046</c:v>
                </c:pt>
                <c:pt idx="105">
                  <c:v>4.0166564405226381</c:v>
                </c:pt>
                <c:pt idx="106">
                  <c:v>3.979713271635049</c:v>
                </c:pt>
                <c:pt idx="107">
                  <c:v>3.9426950733025876</c:v>
                </c:pt>
                <c:pt idx="108">
                  <c:v>3.9049189145340506</c:v>
                </c:pt>
                <c:pt idx="109">
                  <c:v>3.8985878474130331</c:v>
                </c:pt>
                <c:pt idx="110">
                  <c:v>3.8542593123582307</c:v>
                </c:pt>
                <c:pt idx="111">
                  <c:v>3.8040886355042645</c:v>
                </c:pt>
                <c:pt idx="112">
                  <c:v>3.7377795993999428</c:v>
                </c:pt>
                <c:pt idx="113">
                  <c:v>3.6724189866565951</c:v>
                </c:pt>
                <c:pt idx="114">
                  <c:v>3.5980139687444179</c:v>
                </c:pt>
                <c:pt idx="115">
                  <c:v>3.5134214979749245</c:v>
                </c:pt>
                <c:pt idx="116">
                  <c:v>3.4250569146991694</c:v>
                </c:pt>
                <c:pt idx="117">
                  <c:v>3.318690087205681</c:v>
                </c:pt>
                <c:pt idx="118">
                  <c:v>3.220425173011435</c:v>
                </c:pt>
                <c:pt idx="119">
                  <c:v>3.1731515865904996</c:v>
                </c:pt>
                <c:pt idx="120">
                  <c:v>3.1346770549057723</c:v>
                </c:pt>
                <c:pt idx="121">
                  <c:v>3.0806148787362915</c:v>
                </c:pt>
                <c:pt idx="122">
                  <c:v>3.0505973525299481</c:v>
                </c:pt>
                <c:pt idx="123">
                  <c:v>3.0156472803825665</c:v>
                </c:pt>
                <c:pt idx="124">
                  <c:v>2.9799680024208968</c:v>
                </c:pt>
                <c:pt idx="125">
                  <c:v>2.9352525583993838</c:v>
                </c:pt>
                <c:pt idx="126">
                  <c:v>2.8877305306457828</c:v>
                </c:pt>
                <c:pt idx="127">
                  <c:v>2.8466354780685919</c:v>
                </c:pt>
                <c:pt idx="128">
                  <c:v>2.814457637811941</c:v>
                </c:pt>
                <c:pt idx="129">
                  <c:v>2.7678805749618007</c:v>
                </c:pt>
                <c:pt idx="130">
                  <c:v>2.724593280439521</c:v>
                </c:pt>
                <c:pt idx="131">
                  <c:v>2.678013532167725</c:v>
                </c:pt>
                <c:pt idx="132">
                  <c:v>2.6061438617333792</c:v>
                </c:pt>
                <c:pt idx="133">
                  <c:v>2.5356099743949656</c:v>
                </c:pt>
                <c:pt idx="134">
                  <c:v>2.4769059614723616</c:v>
                </c:pt>
                <c:pt idx="135">
                  <c:v>2.4264595139246126</c:v>
                </c:pt>
                <c:pt idx="136">
                  <c:v>2.3831882134424731</c:v>
                </c:pt>
                <c:pt idx="137">
                  <c:v>2.3314176475665889</c:v>
                </c:pt>
                <c:pt idx="138">
                  <c:v>2.2751246149993918</c:v>
                </c:pt>
                <c:pt idx="139">
                  <c:v>2.2157816650676452</c:v>
                </c:pt>
                <c:pt idx="140">
                  <c:v>2.2142087089848701</c:v>
                </c:pt>
                <c:pt idx="141">
                  <c:v>2.2141145661084423</c:v>
                </c:pt>
                <c:pt idx="142">
                  <c:v>2.2169629364499173</c:v>
                </c:pt>
                <c:pt idx="143">
                  <c:v>2.2195710197055973</c:v>
                </c:pt>
                <c:pt idx="144">
                  <c:v>2.2991603516460799</c:v>
                </c:pt>
                <c:pt idx="145">
                  <c:v>2.3543107768942946</c:v>
                </c:pt>
                <c:pt idx="146">
                  <c:v>2.4196687245346098</c:v>
                </c:pt>
                <c:pt idx="147">
                  <c:v>2.5246898523028491</c:v>
                </c:pt>
                <c:pt idx="148">
                  <c:v>2.5865534865660962</c:v>
                </c:pt>
                <c:pt idx="149">
                  <c:v>2.6506548919619561</c:v>
                </c:pt>
                <c:pt idx="150">
                  <c:v>2.7137257176052429</c:v>
                </c:pt>
                <c:pt idx="151">
                  <c:v>2.7647957188178935</c:v>
                </c:pt>
                <c:pt idx="152">
                  <c:v>2.8145357027505966</c:v>
                </c:pt>
                <c:pt idx="153">
                  <c:v>2.8482841631510638</c:v>
                </c:pt>
                <c:pt idx="154">
                  <c:v>2.8582161541820312</c:v>
                </c:pt>
                <c:pt idx="155">
                  <c:v>2.8718697441085794</c:v>
                </c:pt>
                <c:pt idx="156">
                  <c:v>2.9033276394878769</c:v>
                </c:pt>
                <c:pt idx="157">
                  <c:v>2.9365124325501597</c:v>
                </c:pt>
                <c:pt idx="158">
                  <c:v>2.9638618158198184</c:v>
                </c:pt>
                <c:pt idx="159">
                  <c:v>3.0133929208433443</c:v>
                </c:pt>
                <c:pt idx="160">
                  <c:v>3.0580505196099352</c:v>
                </c:pt>
                <c:pt idx="161">
                  <c:v>3.0804871019269555</c:v>
                </c:pt>
                <c:pt idx="162">
                  <c:v>3.0949056906160592</c:v>
                </c:pt>
                <c:pt idx="163">
                  <c:v>3.1168059906089098</c:v>
                </c:pt>
                <c:pt idx="164">
                  <c:v>3.1302606613949564</c:v>
                </c:pt>
                <c:pt idx="165">
                  <c:v>3.1295084506638204</c:v>
                </c:pt>
                <c:pt idx="166">
                  <c:v>3.1143578486177574</c:v>
                </c:pt>
                <c:pt idx="167">
                  <c:v>3.098965883321398</c:v>
                </c:pt>
                <c:pt idx="168">
                  <c:v>3.0850821596440028</c:v>
                </c:pt>
                <c:pt idx="169">
                  <c:v>3.0665286193842647</c:v>
                </c:pt>
                <c:pt idx="170">
                  <c:v>3.0534160115763243</c:v>
                </c:pt>
                <c:pt idx="171">
                  <c:v>3.0215269067882247</c:v>
                </c:pt>
                <c:pt idx="172">
                  <c:v>2.9864388423997781</c:v>
                </c:pt>
                <c:pt idx="173">
                  <c:v>2.9519722778572302</c:v>
                </c:pt>
                <c:pt idx="174">
                  <c:v>3.0187333026094478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1C-4AD1-A601-5D32464E8DD2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1C-4AD1-A601-5D32464E8DD2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data_ghg_incLUC!$H$3:$H$177</c:f>
              <c:numCache>
                <c:formatCode>0.0</c:formatCode>
                <c:ptCount val="175"/>
                <c:pt idx="0">
                  <c:v>12.667667238708525</c:v>
                </c:pt>
                <c:pt idx="1">
                  <c:v>12.276147822019219</c:v>
                </c:pt>
                <c:pt idx="2">
                  <c:v>10.82332314313831</c:v>
                </c:pt>
                <c:pt idx="3">
                  <c:v>9.9106115048949945</c:v>
                </c:pt>
                <c:pt idx="4">
                  <c:v>9.2991757823176613</c:v>
                </c:pt>
                <c:pt idx="5">
                  <c:v>8.7163914328586785</c:v>
                </c:pt>
                <c:pt idx="6">
                  <c:v>8.2534968755725941</c:v>
                </c:pt>
                <c:pt idx="7">
                  <c:v>7.8760913413393894</c:v>
                </c:pt>
                <c:pt idx="8">
                  <c:v>7.584408068842734</c:v>
                </c:pt>
                <c:pt idx="9">
                  <c:v>7.3363377103420859</c:v>
                </c:pt>
                <c:pt idx="10">
                  <c:v>7.1974940368577833</c:v>
                </c:pt>
                <c:pt idx="11">
                  <c:v>7.0955119782673606</c:v>
                </c:pt>
                <c:pt idx="12">
                  <c:v>7.2297416287733185</c:v>
                </c:pt>
                <c:pt idx="13">
                  <c:v>7.354780361281783</c:v>
                </c:pt>
                <c:pt idx="14">
                  <c:v>7.4718662272686984</c:v>
                </c:pt>
                <c:pt idx="15">
                  <c:v>7.5777911641593221</c:v>
                </c:pt>
                <c:pt idx="16">
                  <c:v>7.6962932813978426</c:v>
                </c:pt>
                <c:pt idx="17">
                  <c:v>7.7948451869117505</c:v>
                </c:pt>
                <c:pt idx="18">
                  <c:v>7.900578187967831</c:v>
                </c:pt>
                <c:pt idx="19">
                  <c:v>7.987098663993244</c:v>
                </c:pt>
                <c:pt idx="20">
                  <c:v>8.1742171068507403</c:v>
                </c:pt>
                <c:pt idx="21">
                  <c:v>8.4165358391865155</c:v>
                </c:pt>
                <c:pt idx="22">
                  <c:v>8.4920444597209297</c:v>
                </c:pt>
                <c:pt idx="23">
                  <c:v>8.5761821707437704</c:v>
                </c:pt>
                <c:pt idx="24">
                  <c:v>8.6847754054969144</c:v>
                </c:pt>
                <c:pt idx="25">
                  <c:v>8.7819431312322465</c:v>
                </c:pt>
                <c:pt idx="26">
                  <c:v>8.8889963620083066</c:v>
                </c:pt>
                <c:pt idx="27">
                  <c:v>8.9848014218984389</c:v>
                </c:pt>
                <c:pt idx="28">
                  <c:v>9.0897533640984278</c:v>
                </c:pt>
                <c:pt idx="29">
                  <c:v>9.1933308591620317</c:v>
                </c:pt>
                <c:pt idx="30">
                  <c:v>9.2163181725794843</c:v>
                </c:pt>
                <c:pt idx="31">
                  <c:v>9.2361926775237535</c:v>
                </c:pt>
                <c:pt idx="32">
                  <c:v>9.3187399103420674</c:v>
                </c:pt>
                <c:pt idx="33">
                  <c:v>9.4045367684428669</c:v>
                </c:pt>
                <c:pt idx="34">
                  <c:v>9.4960137673958513</c:v>
                </c:pt>
                <c:pt idx="35">
                  <c:v>9.5859621327975049</c:v>
                </c:pt>
                <c:pt idx="36">
                  <c:v>9.6691810089055181</c:v>
                </c:pt>
                <c:pt idx="37">
                  <c:v>9.7427799446220007</c:v>
                </c:pt>
                <c:pt idx="38">
                  <c:v>9.8123975932691962</c:v>
                </c:pt>
                <c:pt idx="39">
                  <c:v>9.8725742134561898</c:v>
                </c:pt>
                <c:pt idx="40">
                  <c:v>9.9367147798988071</c:v>
                </c:pt>
                <c:pt idx="41">
                  <c:v>9.9963626719918963</c:v>
                </c:pt>
                <c:pt idx="42">
                  <c:v>10.051006338066905</c:v>
                </c:pt>
                <c:pt idx="43">
                  <c:v>10.112185335570885</c:v>
                </c:pt>
                <c:pt idx="44">
                  <c:v>10.181236229426595</c:v>
                </c:pt>
                <c:pt idx="45">
                  <c:v>10.241324781074169</c:v>
                </c:pt>
                <c:pt idx="46">
                  <c:v>10.300978058075813</c:v>
                </c:pt>
                <c:pt idx="47">
                  <c:v>10.355512890000909</c:v>
                </c:pt>
                <c:pt idx="48">
                  <c:v>10.41807646154448</c:v>
                </c:pt>
                <c:pt idx="49">
                  <c:v>10.471149682046466</c:v>
                </c:pt>
                <c:pt idx="50">
                  <c:v>10.521129837405979</c:v>
                </c:pt>
                <c:pt idx="51">
                  <c:v>10.60304188786737</c:v>
                </c:pt>
                <c:pt idx="52">
                  <c:v>10.721133602642098</c:v>
                </c:pt>
                <c:pt idx="53">
                  <c:v>10.850420030242148</c:v>
                </c:pt>
                <c:pt idx="54">
                  <c:v>11.000603137079914</c:v>
                </c:pt>
                <c:pt idx="55">
                  <c:v>11.165225778850974</c:v>
                </c:pt>
                <c:pt idx="56">
                  <c:v>11.341734476358617</c:v>
                </c:pt>
                <c:pt idx="57">
                  <c:v>11.514477085230602</c:v>
                </c:pt>
                <c:pt idx="58">
                  <c:v>11.699076368606413</c:v>
                </c:pt>
                <c:pt idx="59">
                  <c:v>11.877962737267033</c:v>
                </c:pt>
                <c:pt idx="60">
                  <c:v>11.991052759215243</c:v>
                </c:pt>
                <c:pt idx="61">
                  <c:v>12.051976962070775</c:v>
                </c:pt>
                <c:pt idx="62">
                  <c:v>12.102491413021625</c:v>
                </c:pt>
                <c:pt idx="63">
                  <c:v>12.115304572909736</c:v>
                </c:pt>
                <c:pt idx="64">
                  <c:v>12.119432007688388</c:v>
                </c:pt>
                <c:pt idx="65">
                  <c:v>12.109037530288511</c:v>
                </c:pt>
                <c:pt idx="66">
                  <c:v>12.095388834310384</c:v>
                </c:pt>
                <c:pt idx="67">
                  <c:v>12.069354710053439</c:v>
                </c:pt>
                <c:pt idx="68">
                  <c:v>12.021479722826527</c:v>
                </c:pt>
                <c:pt idx="69">
                  <c:v>11.966252386233393</c:v>
                </c:pt>
                <c:pt idx="70">
                  <c:v>11.893954303840466</c:v>
                </c:pt>
                <c:pt idx="71">
                  <c:v>11.861850408243434</c:v>
                </c:pt>
                <c:pt idx="72">
                  <c:v>11.837460000850882</c:v>
                </c:pt>
                <c:pt idx="73">
                  <c:v>11.793403440612323</c:v>
                </c:pt>
                <c:pt idx="74">
                  <c:v>11.754342218152672</c:v>
                </c:pt>
                <c:pt idx="75">
                  <c:v>11.723194315476434</c:v>
                </c:pt>
                <c:pt idx="76">
                  <c:v>11.707250279796177</c:v>
                </c:pt>
                <c:pt idx="77">
                  <c:v>11.672426950840951</c:v>
                </c:pt>
                <c:pt idx="78">
                  <c:v>11.642383673776344</c:v>
                </c:pt>
                <c:pt idx="79">
                  <c:v>11.605926631941934</c:v>
                </c:pt>
                <c:pt idx="80">
                  <c:v>11.571970877990957</c:v>
                </c:pt>
                <c:pt idx="81">
                  <c:v>11.565563980971646</c:v>
                </c:pt>
                <c:pt idx="82">
                  <c:v>11.600565147203845</c:v>
                </c:pt>
                <c:pt idx="83">
                  <c:v>11.636846350212544</c:v>
                </c:pt>
                <c:pt idx="84">
                  <c:v>11.672229244651888</c:v>
                </c:pt>
                <c:pt idx="85">
                  <c:v>11.716951055856008</c:v>
                </c:pt>
                <c:pt idx="86">
                  <c:v>11.763618903217882</c:v>
                </c:pt>
                <c:pt idx="87">
                  <c:v>11.809850162054033</c:v>
                </c:pt>
                <c:pt idx="88">
                  <c:v>11.870605688911333</c:v>
                </c:pt>
                <c:pt idx="89">
                  <c:v>11.923740419572198</c:v>
                </c:pt>
                <c:pt idx="90">
                  <c:v>11.954963041699791</c:v>
                </c:pt>
                <c:pt idx="91">
                  <c:v>11.941698166318041</c:v>
                </c:pt>
                <c:pt idx="92">
                  <c:v>11.889177213219178</c:v>
                </c:pt>
                <c:pt idx="93">
                  <c:v>11.843729790852258</c:v>
                </c:pt>
                <c:pt idx="94">
                  <c:v>11.79707710822391</c:v>
                </c:pt>
                <c:pt idx="95">
                  <c:v>11.747719454470399</c:v>
                </c:pt>
                <c:pt idx="96">
                  <c:v>11.724527912437928</c:v>
                </c:pt>
                <c:pt idx="97">
                  <c:v>11.690654924275286</c:v>
                </c:pt>
                <c:pt idx="98">
                  <c:v>11.656916032556708</c:v>
                </c:pt>
                <c:pt idx="99">
                  <c:v>11.641357739537767</c:v>
                </c:pt>
                <c:pt idx="100">
                  <c:v>11.5721913161468</c:v>
                </c:pt>
                <c:pt idx="101">
                  <c:v>11.510938290603498</c:v>
                </c:pt>
                <c:pt idx="102">
                  <c:v>11.487434352885565</c:v>
                </c:pt>
                <c:pt idx="103">
                  <c:v>11.47367773987159</c:v>
                </c:pt>
                <c:pt idx="104">
                  <c:v>11.46124659096148</c:v>
                </c:pt>
                <c:pt idx="105">
                  <c:v>11.459857440140688</c:v>
                </c:pt>
                <c:pt idx="106">
                  <c:v>11.470557329215929</c:v>
                </c:pt>
                <c:pt idx="107">
                  <c:v>11.490986019042026</c:v>
                </c:pt>
                <c:pt idx="108">
                  <c:v>11.521362772461828</c:v>
                </c:pt>
                <c:pt idx="109">
                  <c:v>11.542092098005952</c:v>
                </c:pt>
                <c:pt idx="110">
                  <c:v>11.591517778933934</c:v>
                </c:pt>
                <c:pt idx="111">
                  <c:v>11.652310473043045</c:v>
                </c:pt>
                <c:pt idx="112">
                  <c:v>11.715293092666606</c:v>
                </c:pt>
                <c:pt idx="113">
                  <c:v>11.783219561242063</c:v>
                </c:pt>
                <c:pt idx="114">
                  <c:v>11.860947565456961</c:v>
                </c:pt>
                <c:pt idx="115">
                  <c:v>11.949953197325527</c:v>
                </c:pt>
                <c:pt idx="116">
                  <c:v>12.043623733659359</c:v>
                </c:pt>
                <c:pt idx="117">
                  <c:v>12.156154249938403</c:v>
                </c:pt>
                <c:pt idx="118">
                  <c:v>12.263538217004395</c:v>
                </c:pt>
                <c:pt idx="119">
                  <c:v>12.306065108646962</c:v>
                </c:pt>
                <c:pt idx="120">
                  <c:v>12.347088702506049</c:v>
                </c:pt>
                <c:pt idx="121">
                  <c:v>12.404367195533098</c:v>
                </c:pt>
                <c:pt idx="122">
                  <c:v>12.434883508182487</c:v>
                </c:pt>
                <c:pt idx="123">
                  <c:v>12.474690697619785</c:v>
                </c:pt>
                <c:pt idx="124">
                  <c:v>12.523961497947084</c:v>
                </c:pt>
                <c:pt idx="125">
                  <c:v>12.592941127377927</c:v>
                </c:pt>
                <c:pt idx="126">
                  <c:v>12.667876253477608</c:v>
                </c:pt>
                <c:pt idx="127">
                  <c:v>12.732042423403868</c:v>
                </c:pt>
                <c:pt idx="128">
                  <c:v>12.790640375801246</c:v>
                </c:pt>
                <c:pt idx="129">
                  <c:v>12.861814066593645</c:v>
                </c:pt>
                <c:pt idx="130">
                  <c:v>12.944124112778447</c:v>
                </c:pt>
                <c:pt idx="131">
                  <c:v>13.020934929924344</c:v>
                </c:pt>
                <c:pt idx="132">
                  <c:v>13.131430359301731</c:v>
                </c:pt>
                <c:pt idx="133">
                  <c:v>13.237910311473165</c:v>
                </c:pt>
                <c:pt idx="134">
                  <c:v>13.324612631089074</c:v>
                </c:pt>
                <c:pt idx="135">
                  <c:v>13.408265807645016</c:v>
                </c:pt>
                <c:pt idx="136">
                  <c:v>13.480534470202365</c:v>
                </c:pt>
                <c:pt idx="137">
                  <c:v>13.558344147310834</c:v>
                </c:pt>
                <c:pt idx="138">
                  <c:v>13.63626498669025</c:v>
                </c:pt>
                <c:pt idx="139">
                  <c:v>13.70628179301513</c:v>
                </c:pt>
                <c:pt idx="140">
                  <c:v>13.715884613890751</c:v>
                </c:pt>
                <c:pt idx="141">
                  <c:v>13.704003894965894</c:v>
                </c:pt>
                <c:pt idx="142">
                  <c:v>13.658724624220419</c:v>
                </c:pt>
                <c:pt idx="143">
                  <c:v>13.600910212224271</c:v>
                </c:pt>
                <c:pt idx="144">
                  <c:v>13.437705812901719</c:v>
                </c:pt>
                <c:pt idx="145">
                  <c:v>13.293045285803885</c:v>
                </c:pt>
                <c:pt idx="146">
                  <c:v>13.148144815899066</c:v>
                </c:pt>
                <c:pt idx="147">
                  <c:v>12.932378350034739</c:v>
                </c:pt>
                <c:pt idx="148">
                  <c:v>12.769468814542641</c:v>
                </c:pt>
                <c:pt idx="149">
                  <c:v>12.604026208528651</c:v>
                </c:pt>
                <c:pt idx="150">
                  <c:v>12.435884225166234</c:v>
                </c:pt>
                <c:pt idx="151">
                  <c:v>12.28785304122129</c:v>
                </c:pt>
                <c:pt idx="152">
                  <c:v>12.134297975656793</c:v>
                </c:pt>
                <c:pt idx="153">
                  <c:v>11.990770737227884</c:v>
                </c:pt>
                <c:pt idx="154">
                  <c:v>11.872998019762505</c:v>
                </c:pt>
                <c:pt idx="155">
                  <c:v>11.754810747115606</c:v>
                </c:pt>
                <c:pt idx="156">
                  <c:v>11.620306866860282</c:v>
                </c:pt>
                <c:pt idx="157">
                  <c:v>11.490092071530469</c:v>
                </c:pt>
                <c:pt idx="158">
                  <c:v>11.362016997821101</c:v>
                </c:pt>
                <c:pt idx="159">
                  <c:v>11.214249168690202</c:v>
                </c:pt>
                <c:pt idx="160">
                  <c:v>11.074520392958945</c:v>
                </c:pt>
                <c:pt idx="161">
                  <c:v>10.949417411841907</c:v>
                </c:pt>
                <c:pt idx="162">
                  <c:v>10.840901655371049</c:v>
                </c:pt>
                <c:pt idx="163">
                  <c:v>10.721973766952125</c:v>
                </c:pt>
                <c:pt idx="164">
                  <c:v>10.608019225869192</c:v>
                </c:pt>
                <c:pt idx="165">
                  <c:v>10.519982472493908</c:v>
                </c:pt>
                <c:pt idx="166">
                  <c:v>10.455252800101512</c:v>
                </c:pt>
                <c:pt idx="167">
                  <c:v>10.392000545404692</c:v>
                </c:pt>
                <c:pt idx="168">
                  <c:v>10.326999451183333</c:v>
                </c:pt>
                <c:pt idx="169">
                  <c:v>10.264987218964293</c:v>
                </c:pt>
                <c:pt idx="170">
                  <c:v>10.202348033165599</c:v>
                </c:pt>
                <c:pt idx="171">
                  <c:v>10.159075838181415</c:v>
                </c:pt>
                <c:pt idx="172">
                  <c:v>10.117150740651518</c:v>
                </c:pt>
                <c:pt idx="173">
                  <c:v>10.075811889968314</c:v>
                </c:pt>
                <c:pt idx="174">
                  <c:v>9.935670643795028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1C-4AD1-A601-5D32464E8DD2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data_ghg_incLUC!$Q$3:$Q$177</c:f>
              <c:numCache>
                <c:formatCode>0.0</c:formatCode>
                <c:ptCount val="175"/>
                <c:pt idx="0">
                  <c:v>1.6009239644589925</c:v>
                </c:pt>
                <c:pt idx="1">
                  <c:v>2.066294396746855</c:v>
                </c:pt>
                <c:pt idx="2">
                  <c:v>3.2991940938424591</c:v>
                </c:pt>
                <c:pt idx="3">
                  <c:v>4.1163956681312683</c:v>
                </c:pt>
                <c:pt idx="4">
                  <c:v>4.6592125919248986</c:v>
                </c:pt>
                <c:pt idx="5">
                  <c:v>5.2140237192870558</c:v>
                </c:pt>
                <c:pt idx="6">
                  <c:v>5.6476346420704857</c:v>
                </c:pt>
                <c:pt idx="7">
                  <c:v>6.002176631218461</c:v>
                </c:pt>
                <c:pt idx="8">
                  <c:v>6.2767084970692579</c:v>
                </c:pt>
                <c:pt idx="9">
                  <c:v>6.5023953128915863</c:v>
                </c:pt>
                <c:pt idx="10">
                  <c:v>6.6139634195072361</c:v>
                </c:pt>
                <c:pt idx="11">
                  <c:v>6.7099316383468164</c:v>
                </c:pt>
                <c:pt idx="12">
                  <c:v>6.5806719035819725</c:v>
                </c:pt>
                <c:pt idx="13">
                  <c:v>6.4625721453174805</c:v>
                </c:pt>
                <c:pt idx="14">
                  <c:v>6.3504314723952504</c:v>
                </c:pt>
                <c:pt idx="15">
                  <c:v>6.2487728292725535</c:v>
                </c:pt>
                <c:pt idx="16">
                  <c:v>6.1365218926769955</c:v>
                </c:pt>
                <c:pt idx="17">
                  <c:v>6.0436172779251862</c:v>
                </c:pt>
                <c:pt idx="18">
                  <c:v>5.9460557611784779</c:v>
                </c:pt>
                <c:pt idx="19">
                  <c:v>5.8668166575518583</c:v>
                </c:pt>
                <c:pt idx="20">
                  <c:v>5.6891242830889581</c:v>
                </c:pt>
                <c:pt idx="21">
                  <c:v>5.4349820105700104</c:v>
                </c:pt>
                <c:pt idx="22">
                  <c:v>5.2967382262154175</c:v>
                </c:pt>
                <c:pt idx="23">
                  <c:v>5.1479225013476935</c:v>
                </c:pt>
                <c:pt idx="24">
                  <c:v>4.9889978884271997</c:v>
                </c:pt>
                <c:pt idx="25">
                  <c:v>4.8376319636058938</c:v>
                </c:pt>
                <c:pt idx="26">
                  <c:v>4.6888109891929233</c:v>
                </c:pt>
                <c:pt idx="27">
                  <c:v>4.5511125454986825</c:v>
                </c:pt>
                <c:pt idx="28">
                  <c:v>4.409532708774627</c:v>
                </c:pt>
                <c:pt idx="29">
                  <c:v>4.2676518030954611</c:v>
                </c:pt>
                <c:pt idx="30">
                  <c:v>4.1991394905682782</c:v>
                </c:pt>
                <c:pt idx="31">
                  <c:v>4.1243374224218314</c:v>
                </c:pt>
                <c:pt idx="32">
                  <c:v>4.0036052661047492</c:v>
                </c:pt>
                <c:pt idx="33">
                  <c:v>3.880450243652831</c:v>
                </c:pt>
                <c:pt idx="34">
                  <c:v>3.7546124066756548</c:v>
                </c:pt>
                <c:pt idx="35">
                  <c:v>3.634551803597077</c:v>
                </c:pt>
                <c:pt idx="36">
                  <c:v>3.5240023954962894</c:v>
                </c:pt>
                <c:pt idx="37">
                  <c:v>3.4239060832831072</c:v>
                </c:pt>
                <c:pt idx="38">
                  <c:v>3.3258570905335318</c:v>
                </c:pt>
                <c:pt idx="39">
                  <c:v>3.2444907597235542</c:v>
                </c:pt>
                <c:pt idx="40">
                  <c:v>3.157968635762181</c:v>
                </c:pt>
                <c:pt idx="41">
                  <c:v>3.0795666750411073</c:v>
                </c:pt>
                <c:pt idx="42">
                  <c:v>3.0045126610419075</c:v>
                </c:pt>
                <c:pt idx="43">
                  <c:v>2.9308575852720082</c:v>
                </c:pt>
                <c:pt idx="44">
                  <c:v>2.8448305862202687</c:v>
                </c:pt>
                <c:pt idx="45">
                  <c:v>2.7687368993139785</c:v>
                </c:pt>
                <c:pt idx="46">
                  <c:v>2.6941412259767148</c:v>
                </c:pt>
                <c:pt idx="47">
                  <c:v>2.6265613570495319</c:v>
                </c:pt>
                <c:pt idx="48">
                  <c:v>2.5531723350788127</c:v>
                </c:pt>
                <c:pt idx="49">
                  <c:v>2.4863849824816526</c:v>
                </c:pt>
                <c:pt idx="50">
                  <c:v>2.4230692617505625</c:v>
                </c:pt>
                <c:pt idx="51">
                  <c:v>2.3208741671747148</c:v>
                </c:pt>
                <c:pt idx="52">
                  <c:v>2.1804544835320883</c:v>
                </c:pt>
                <c:pt idx="53">
                  <c:v>2.0182705864940829</c:v>
                </c:pt>
                <c:pt idx="54">
                  <c:v>1.8373772165100064</c:v>
                </c:pt>
                <c:pt idx="55">
                  <c:v>1.6333957186396617</c:v>
                </c:pt>
                <c:pt idx="56">
                  <c:v>1.4174208593030642</c:v>
                </c:pt>
                <c:pt idx="57">
                  <c:v>1.2000700813055687</c:v>
                </c:pt>
                <c:pt idx="58">
                  <c:v>0.98080240599581714</c:v>
                </c:pt>
                <c:pt idx="59">
                  <c:v>0.7679246937650106</c:v>
                </c:pt>
                <c:pt idx="60">
                  <c:v>0.61601665751689438</c:v>
                </c:pt>
                <c:pt idx="61">
                  <c:v>0.52656274608851561</c:v>
                </c:pt>
                <c:pt idx="62">
                  <c:v>0.45594325032190852</c:v>
                </c:pt>
                <c:pt idx="63">
                  <c:v>0.42761293359596664</c:v>
                </c:pt>
                <c:pt idx="64">
                  <c:v>0.41204526562786725</c:v>
                </c:pt>
                <c:pt idx="65">
                  <c:v>0.41171414801678452</c:v>
                </c:pt>
                <c:pt idx="66">
                  <c:v>0.41256472239764719</c:v>
                </c:pt>
                <c:pt idx="67">
                  <c:v>0.42119900881945682</c:v>
                </c:pt>
                <c:pt idx="68">
                  <c:v>0.43047481560579115</c:v>
                </c:pt>
                <c:pt idx="69">
                  <c:v>0.43564493628500145</c:v>
                </c:pt>
                <c:pt idx="70">
                  <c:v>0.46224755172342213</c:v>
                </c:pt>
                <c:pt idx="71">
                  <c:v>0.46138636113747111</c:v>
                </c:pt>
                <c:pt idx="72">
                  <c:v>0.45147731808457081</c:v>
                </c:pt>
                <c:pt idx="73">
                  <c:v>0.4477026075928876</c:v>
                </c:pt>
                <c:pt idx="74">
                  <c:v>0.44479503269018039</c:v>
                </c:pt>
                <c:pt idx="75">
                  <c:v>0.43489450665187235</c:v>
                </c:pt>
                <c:pt idx="76">
                  <c:v>0.42483130238447586</c:v>
                </c:pt>
                <c:pt idx="77">
                  <c:v>0.43220056680191021</c:v>
                </c:pt>
                <c:pt idx="78">
                  <c:v>0.44077941338593973</c:v>
                </c:pt>
                <c:pt idx="79">
                  <c:v>0.45315518172746749</c:v>
                </c:pt>
                <c:pt idx="80">
                  <c:v>0.47119623365725261</c:v>
                </c:pt>
                <c:pt idx="81">
                  <c:v>0.47850106945128346</c:v>
                </c:pt>
                <c:pt idx="82">
                  <c:v>0.46128846936245793</c:v>
                </c:pt>
                <c:pt idx="83">
                  <c:v>0.44254353590760331</c:v>
                </c:pt>
                <c:pt idx="84">
                  <c:v>0.42770924446057279</c:v>
                </c:pt>
                <c:pt idx="85">
                  <c:v>0.40453736563885911</c:v>
                </c:pt>
                <c:pt idx="86">
                  <c:v>0.37803251162630147</c:v>
                </c:pt>
                <c:pt idx="87">
                  <c:v>0.3479316194680564</c:v>
                </c:pt>
                <c:pt idx="88">
                  <c:v>0.31236336119847863</c:v>
                </c:pt>
                <c:pt idx="89">
                  <c:v>0.27658421897673691</c:v>
                </c:pt>
                <c:pt idx="90">
                  <c:v>0.28720661492071997</c:v>
                </c:pt>
                <c:pt idx="91">
                  <c:v>0.3200547789351802</c:v>
                </c:pt>
                <c:pt idx="92">
                  <c:v>0.36872569914553566</c:v>
                </c:pt>
                <c:pt idx="93">
                  <c:v>0.41841987261954472</c:v>
                </c:pt>
                <c:pt idx="94">
                  <c:v>0.45929270313872905</c:v>
                </c:pt>
                <c:pt idx="95">
                  <c:v>0.48845172658342761</c:v>
                </c:pt>
                <c:pt idx="96">
                  <c:v>0.4916910584839016</c:v>
                </c:pt>
                <c:pt idx="97">
                  <c:v>0.50386296264188957</c:v>
                </c:pt>
                <c:pt idx="98">
                  <c:v>0.51586366896803071</c:v>
                </c:pt>
                <c:pt idx="99">
                  <c:v>0.52533381344193941</c:v>
                </c:pt>
                <c:pt idx="100">
                  <c:v>0.59000713529135851</c:v>
                </c:pt>
                <c:pt idx="101">
                  <c:v>0.68291376880323895</c:v>
                </c:pt>
                <c:pt idx="102">
                  <c:v>0.75289469809209919</c:v>
                </c:pt>
                <c:pt idx="103">
                  <c:v>0.82629392691281112</c:v>
                </c:pt>
                <c:pt idx="104">
                  <c:v>0.91102721559075661</c:v>
                </c:pt>
                <c:pt idx="105">
                  <c:v>0.993981627486896</c:v>
                </c:pt>
                <c:pt idx="106">
                  <c:v>1.0745604142755951</c:v>
                </c:pt>
                <c:pt idx="107">
                  <c:v>1.1607044258459851</c:v>
                </c:pt>
                <c:pt idx="108">
                  <c:v>1.2453675918214131</c:v>
                </c:pt>
                <c:pt idx="109">
                  <c:v>1.3176667466893051</c:v>
                </c:pt>
                <c:pt idx="110">
                  <c:v>1.3602766352088196</c:v>
                </c:pt>
                <c:pt idx="111">
                  <c:v>1.3891233021264924</c:v>
                </c:pt>
                <c:pt idx="112">
                  <c:v>1.4183626910688858</c:v>
                </c:pt>
                <c:pt idx="113">
                  <c:v>1.4443577599610578</c:v>
                </c:pt>
                <c:pt idx="114">
                  <c:v>1.4614388466033716</c:v>
                </c:pt>
                <c:pt idx="115">
                  <c:v>1.4651521093182396</c:v>
                </c:pt>
                <c:pt idx="116">
                  <c:v>1.4593432107727367</c:v>
                </c:pt>
                <c:pt idx="117">
                  <c:v>1.4332710934950725</c:v>
                </c:pt>
                <c:pt idx="118">
                  <c:v>1.4072552074547531</c:v>
                </c:pt>
                <c:pt idx="119">
                  <c:v>1.4386444786908612</c:v>
                </c:pt>
                <c:pt idx="120">
                  <c:v>1.4603141463082068</c:v>
                </c:pt>
                <c:pt idx="121">
                  <c:v>1.4704556017317998</c:v>
                </c:pt>
                <c:pt idx="122">
                  <c:v>1.507452887724682</c:v>
                </c:pt>
                <c:pt idx="123">
                  <c:v>1.5310721717702549</c:v>
                </c:pt>
                <c:pt idx="124">
                  <c:v>1.5495727008319591</c:v>
                </c:pt>
                <c:pt idx="125">
                  <c:v>1.5574869601055497</c:v>
                </c:pt>
                <c:pt idx="126">
                  <c:v>1.5558562878797986</c:v>
                </c:pt>
                <c:pt idx="127">
                  <c:v>1.564382547485458</c:v>
                </c:pt>
                <c:pt idx="128">
                  <c:v>1.5775726679682833</c:v>
                </c:pt>
                <c:pt idx="129">
                  <c:v>1.570872912020512</c:v>
                </c:pt>
                <c:pt idx="130">
                  <c:v>1.561363521144564</c:v>
                </c:pt>
                <c:pt idx="131">
                  <c:v>1.5501326169363949</c:v>
                </c:pt>
                <c:pt idx="132">
                  <c:v>1.5024303471492217</c:v>
                </c:pt>
                <c:pt idx="133">
                  <c:v>1.4558377896981227</c:v>
                </c:pt>
                <c:pt idx="134">
                  <c:v>1.42265370728947</c:v>
                </c:pt>
                <c:pt idx="135">
                  <c:v>1.398164837850338</c:v>
                </c:pt>
                <c:pt idx="136">
                  <c:v>1.3830205063280374</c:v>
                </c:pt>
                <c:pt idx="137">
                  <c:v>1.3559728358534215</c:v>
                </c:pt>
                <c:pt idx="138">
                  <c:v>1.3190894386834415</c:v>
                </c:pt>
                <c:pt idx="139">
                  <c:v>1.2773976820260629</c:v>
                </c:pt>
                <c:pt idx="140">
                  <c:v>1.2668074937596714</c:v>
                </c:pt>
                <c:pt idx="141">
                  <c:v>1.2476295141391418</c:v>
                </c:pt>
                <c:pt idx="142">
                  <c:v>1.232540090857654</c:v>
                </c:pt>
                <c:pt idx="143">
                  <c:v>1.2110151357417678</c:v>
                </c:pt>
                <c:pt idx="144">
                  <c:v>1.2840630652082439</c:v>
                </c:pt>
                <c:pt idx="145">
                  <c:v>1.3232345879873577</c:v>
                </c:pt>
                <c:pt idx="146">
                  <c:v>1.37313220449564</c:v>
                </c:pt>
                <c:pt idx="147">
                  <c:v>1.4808078044104533</c:v>
                </c:pt>
                <c:pt idx="148">
                  <c:v>1.5431611743865332</c:v>
                </c:pt>
                <c:pt idx="149">
                  <c:v>1.590673232410559</c:v>
                </c:pt>
                <c:pt idx="150">
                  <c:v>1.6470231182017798</c:v>
                </c:pt>
                <c:pt idx="151">
                  <c:v>1.6830379434861129</c:v>
                </c:pt>
                <c:pt idx="152">
                  <c:v>1.7207857595391474</c:v>
                </c:pt>
                <c:pt idx="153">
                  <c:v>1.7449577570563619</c:v>
                </c:pt>
                <c:pt idx="154">
                  <c:v>1.7220453224316969</c:v>
                </c:pt>
                <c:pt idx="155">
                  <c:v>1.7065502435797342</c:v>
                </c:pt>
                <c:pt idx="156">
                  <c:v>1.712218571449398</c:v>
                </c:pt>
                <c:pt idx="157">
                  <c:v>1.7159369199247436</c:v>
                </c:pt>
                <c:pt idx="158">
                  <c:v>1.722848640120759</c:v>
                </c:pt>
                <c:pt idx="159">
                  <c:v>1.7456899760151288</c:v>
                </c:pt>
                <c:pt idx="160">
                  <c:v>1.7629863160906112</c:v>
                </c:pt>
                <c:pt idx="161">
                  <c:v>1.7765558200865215</c:v>
                </c:pt>
                <c:pt idx="162">
                  <c:v>1.7878797348719502</c:v>
                </c:pt>
                <c:pt idx="163">
                  <c:v>1.7913417224869335</c:v>
                </c:pt>
                <c:pt idx="164">
                  <c:v>1.7960209835976428</c:v>
                </c:pt>
                <c:pt idx="165">
                  <c:v>1.7733930180315767</c:v>
                </c:pt>
                <c:pt idx="166">
                  <c:v>1.7391574729698505</c:v>
                </c:pt>
                <c:pt idx="167">
                  <c:v>1.7026115884031583</c:v>
                </c:pt>
                <c:pt idx="168">
                  <c:v>1.6757657422318246</c:v>
                </c:pt>
                <c:pt idx="169">
                  <c:v>1.6484027015927225</c:v>
                </c:pt>
                <c:pt idx="170">
                  <c:v>1.6228829933462521</c:v>
                </c:pt>
                <c:pt idx="171">
                  <c:v>1.5861793206096593</c:v>
                </c:pt>
                <c:pt idx="172">
                  <c:v>1.5260920797086186</c:v>
                </c:pt>
                <c:pt idx="173">
                  <c:v>1.4672339131053675</c:v>
                </c:pt>
                <c:pt idx="174">
                  <c:v>1.5666652342306122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1C-4AD1-A601-5D32464E8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data_ghg_incLUC!$I$2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data_ghg_incLUC!$I$3:$I$177</c:f>
              <c:numCache>
                <c:formatCode>0.0</c:formatCode>
                <c:ptCount val="175"/>
                <c:pt idx="0">
                  <c:v>36.117602475106047</c:v>
                </c:pt>
                <c:pt idx="1">
                  <c:v>36.199508645811314</c:v>
                </c:pt>
                <c:pt idx="2">
                  <c:v>36.147776786226665</c:v>
                </c:pt>
                <c:pt idx="3">
                  <c:v>36.340561031595627</c:v>
                </c:pt>
                <c:pt idx="4">
                  <c:v>36.624606494935144</c:v>
                </c:pt>
                <c:pt idx="5">
                  <c:v>36.796073543703685</c:v>
                </c:pt>
                <c:pt idx="6">
                  <c:v>36.964209248762295</c:v>
                </c:pt>
                <c:pt idx="7">
                  <c:v>37.099803773937332</c:v>
                </c:pt>
                <c:pt idx="8">
                  <c:v>37.249017671989279</c:v>
                </c:pt>
                <c:pt idx="9">
                  <c:v>37.419861445132952</c:v>
                </c:pt>
                <c:pt idx="10">
                  <c:v>37.673572147850273</c:v>
                </c:pt>
                <c:pt idx="11">
                  <c:v>37.873267423898092</c:v>
                </c:pt>
                <c:pt idx="12">
                  <c:v>38.094748602434159</c:v>
                </c:pt>
                <c:pt idx="13">
                  <c:v>38.328860079746974</c:v>
                </c:pt>
                <c:pt idx="14">
                  <c:v>38.519813300272077</c:v>
                </c:pt>
                <c:pt idx="15">
                  <c:v>38.717656293011188</c:v>
                </c:pt>
                <c:pt idx="16">
                  <c:v>38.88246724416036</c:v>
                </c:pt>
                <c:pt idx="17">
                  <c:v>39.090834412268762</c:v>
                </c:pt>
                <c:pt idx="18">
                  <c:v>39.277927064583835</c:v>
                </c:pt>
                <c:pt idx="19">
                  <c:v>39.448727858653108</c:v>
                </c:pt>
                <c:pt idx="20">
                  <c:v>39.708992137858402</c:v>
                </c:pt>
                <c:pt idx="21">
                  <c:v>40.034475924731019</c:v>
                </c:pt>
                <c:pt idx="22">
                  <c:v>40.360673859377016</c:v>
                </c:pt>
                <c:pt idx="23">
                  <c:v>40.721328850299379</c:v>
                </c:pt>
                <c:pt idx="24">
                  <c:v>41.034048026297995</c:v>
                </c:pt>
                <c:pt idx="25">
                  <c:v>41.369031589133655</c:v>
                </c:pt>
                <c:pt idx="26">
                  <c:v>41.684277062365396</c:v>
                </c:pt>
                <c:pt idx="27">
                  <c:v>41.987680785717515</c:v>
                </c:pt>
                <c:pt idx="28">
                  <c:v>42.277611374038557</c:v>
                </c:pt>
                <c:pt idx="29">
                  <c:v>42.577370445922433</c:v>
                </c:pt>
                <c:pt idx="30">
                  <c:v>42.823472456786341</c:v>
                </c:pt>
                <c:pt idx="31">
                  <c:v>43.01672779108489</c:v>
                </c:pt>
                <c:pt idx="32">
                  <c:v>43.200278418399492</c:v>
                </c:pt>
                <c:pt idx="33">
                  <c:v>43.38598082234337</c:v>
                </c:pt>
                <c:pt idx="34">
                  <c:v>43.547939975174636</c:v>
                </c:pt>
                <c:pt idx="35">
                  <c:v>43.684647572494804</c:v>
                </c:pt>
                <c:pt idx="36">
                  <c:v>43.81520658536926</c:v>
                </c:pt>
                <c:pt idx="37">
                  <c:v>43.953303832937287</c:v>
                </c:pt>
                <c:pt idx="38">
                  <c:v>44.107044646915526</c:v>
                </c:pt>
                <c:pt idx="39">
                  <c:v>44.228022568502816</c:v>
                </c:pt>
                <c:pt idx="40">
                  <c:v>44.348405637685588</c:v>
                </c:pt>
                <c:pt idx="41">
                  <c:v>44.468442971709372</c:v>
                </c:pt>
                <c:pt idx="42">
                  <c:v>44.583151294246306</c:v>
                </c:pt>
                <c:pt idx="43">
                  <c:v>44.687741006476706</c:v>
                </c:pt>
                <c:pt idx="44">
                  <c:v>44.784010476898679</c:v>
                </c:pt>
                <c:pt idx="45">
                  <c:v>44.889767213773048</c:v>
                </c:pt>
                <c:pt idx="46">
                  <c:v>44.998917016951232</c:v>
                </c:pt>
                <c:pt idx="47">
                  <c:v>45.106058860071379</c:v>
                </c:pt>
                <c:pt idx="48">
                  <c:v>45.221738963250921</c:v>
                </c:pt>
                <c:pt idx="49">
                  <c:v>45.358346099170333</c:v>
                </c:pt>
                <c:pt idx="50">
                  <c:v>45.493397178025411</c:v>
                </c:pt>
                <c:pt idx="51">
                  <c:v>45.599152856235889</c:v>
                </c:pt>
                <c:pt idx="52">
                  <c:v>45.70419497079898</c:v>
                </c:pt>
                <c:pt idx="53">
                  <c:v>45.825175371201475</c:v>
                </c:pt>
                <c:pt idx="54">
                  <c:v>45.933208732030245</c:v>
                </c:pt>
                <c:pt idx="55">
                  <c:v>46.054606442996494</c:v>
                </c:pt>
                <c:pt idx="56">
                  <c:v>46.168314597018586</c:v>
                </c:pt>
                <c:pt idx="57">
                  <c:v>46.319510249324011</c:v>
                </c:pt>
                <c:pt idx="58">
                  <c:v>46.435105705191013</c:v>
                </c:pt>
                <c:pt idx="59">
                  <c:v>46.552429068991422</c:v>
                </c:pt>
                <c:pt idx="60">
                  <c:v>46.694899436703238</c:v>
                </c:pt>
                <c:pt idx="61">
                  <c:v>46.831962728085145</c:v>
                </c:pt>
                <c:pt idx="62">
                  <c:v>46.971997514337431</c:v>
                </c:pt>
                <c:pt idx="63">
                  <c:v>47.134637029215867</c:v>
                </c:pt>
                <c:pt idx="64">
                  <c:v>47.256740322160006</c:v>
                </c:pt>
                <c:pt idx="65">
                  <c:v>47.367666625978607</c:v>
                </c:pt>
                <c:pt idx="66">
                  <c:v>47.492977228902902</c:v>
                </c:pt>
                <c:pt idx="67">
                  <c:v>47.631447692560535</c:v>
                </c:pt>
                <c:pt idx="68">
                  <c:v>47.783197247306411</c:v>
                </c:pt>
                <c:pt idx="69">
                  <c:v>47.889757133897348</c:v>
                </c:pt>
                <c:pt idx="70">
                  <c:v>47.990262529581095</c:v>
                </c:pt>
                <c:pt idx="71">
                  <c:v>48.018992752654214</c:v>
                </c:pt>
                <c:pt idx="72">
                  <c:v>48.057338762674966</c:v>
                </c:pt>
                <c:pt idx="73">
                  <c:v>48.122993491146246</c:v>
                </c:pt>
                <c:pt idx="74">
                  <c:v>48.18193515979145</c:v>
                </c:pt>
                <c:pt idx="75">
                  <c:v>48.231464983074055</c:v>
                </c:pt>
                <c:pt idx="76">
                  <c:v>48.260081009352461</c:v>
                </c:pt>
                <c:pt idx="77">
                  <c:v>48.305255005737735</c:v>
                </c:pt>
                <c:pt idx="78">
                  <c:v>48.334576645656611</c:v>
                </c:pt>
                <c:pt idx="79">
                  <c:v>48.373814282373402</c:v>
                </c:pt>
                <c:pt idx="80">
                  <c:v>48.356985153918139</c:v>
                </c:pt>
                <c:pt idx="81">
                  <c:v>48.289156226197818</c:v>
                </c:pt>
                <c:pt idx="82">
                  <c:v>48.17861755623413</c:v>
                </c:pt>
                <c:pt idx="83">
                  <c:v>48.077027268668523</c:v>
                </c:pt>
                <c:pt idx="84">
                  <c:v>47.982248469206723</c:v>
                </c:pt>
                <c:pt idx="85">
                  <c:v>47.890446204829921</c:v>
                </c:pt>
                <c:pt idx="86">
                  <c:v>47.808535912450637</c:v>
                </c:pt>
                <c:pt idx="87">
                  <c:v>47.738448529334335</c:v>
                </c:pt>
                <c:pt idx="88">
                  <c:v>47.638636609459098</c:v>
                </c:pt>
                <c:pt idx="89">
                  <c:v>47.553234588906328</c:v>
                </c:pt>
                <c:pt idx="90">
                  <c:v>47.462306193723037</c:v>
                </c:pt>
                <c:pt idx="91">
                  <c:v>47.381365234008442</c:v>
                </c:pt>
                <c:pt idx="92">
                  <c:v>47.325606084173785</c:v>
                </c:pt>
                <c:pt idx="93">
                  <c:v>47.271716555009633</c:v>
                </c:pt>
                <c:pt idx="94">
                  <c:v>47.21485688054095</c:v>
                </c:pt>
                <c:pt idx="95">
                  <c:v>47.122063648229414</c:v>
                </c:pt>
                <c:pt idx="96">
                  <c:v>47.035235795593742</c:v>
                </c:pt>
                <c:pt idx="97">
                  <c:v>46.974283824531007</c:v>
                </c:pt>
                <c:pt idx="98">
                  <c:v>46.930671240291822</c:v>
                </c:pt>
                <c:pt idx="99">
                  <c:v>46.859591471623091</c:v>
                </c:pt>
                <c:pt idx="100">
                  <c:v>46.762234301602291</c:v>
                </c:pt>
                <c:pt idx="101">
                  <c:v>46.645230403460189</c:v>
                </c:pt>
                <c:pt idx="102">
                  <c:v>46.520072390791512</c:v>
                </c:pt>
                <c:pt idx="103">
                  <c:v>46.391147216488577</c:v>
                </c:pt>
                <c:pt idx="104">
                  <c:v>46.234353682797838</c:v>
                </c:pt>
                <c:pt idx="105">
                  <c:v>46.081655088878101</c:v>
                </c:pt>
                <c:pt idx="106">
                  <c:v>45.93505432898035</c:v>
                </c:pt>
                <c:pt idx="107">
                  <c:v>45.77323929856319</c:v>
                </c:pt>
                <c:pt idx="108">
                  <c:v>45.590529621482432</c:v>
                </c:pt>
                <c:pt idx="109">
                  <c:v>45.375601664796434</c:v>
                </c:pt>
                <c:pt idx="110">
                  <c:v>45.210764992061698</c:v>
                </c:pt>
                <c:pt idx="111">
                  <c:v>45.053719722996462</c:v>
                </c:pt>
                <c:pt idx="112">
                  <c:v>44.93556642208533</c:v>
                </c:pt>
                <c:pt idx="113">
                  <c:v>44.826901531576098</c:v>
                </c:pt>
                <c:pt idx="114">
                  <c:v>44.736154783311562</c:v>
                </c:pt>
                <c:pt idx="115">
                  <c:v>44.657563834112118</c:v>
                </c:pt>
                <c:pt idx="116">
                  <c:v>44.59012236670246</c:v>
                </c:pt>
                <c:pt idx="117">
                  <c:v>44.559477891971191</c:v>
                </c:pt>
                <c:pt idx="118">
                  <c:v>44.542919376335163</c:v>
                </c:pt>
                <c:pt idx="119">
                  <c:v>44.487754182507558</c:v>
                </c:pt>
                <c:pt idx="120">
                  <c:v>44.428135378654126</c:v>
                </c:pt>
                <c:pt idx="121">
                  <c:v>44.380138852227951</c:v>
                </c:pt>
                <c:pt idx="122">
                  <c:v>44.318680848371791</c:v>
                </c:pt>
                <c:pt idx="123">
                  <c:v>44.263452335067825</c:v>
                </c:pt>
                <c:pt idx="124">
                  <c:v>44.192977433836347</c:v>
                </c:pt>
                <c:pt idx="125">
                  <c:v>44.103013457340978</c:v>
                </c:pt>
                <c:pt idx="126">
                  <c:v>44.022262866873227</c:v>
                </c:pt>
                <c:pt idx="127">
                  <c:v>43.927064086541755</c:v>
                </c:pt>
                <c:pt idx="128">
                  <c:v>43.821899832917573</c:v>
                </c:pt>
                <c:pt idx="129">
                  <c:v>43.738369651803957</c:v>
                </c:pt>
                <c:pt idx="130">
                  <c:v>43.641822397001754</c:v>
                </c:pt>
                <c:pt idx="131">
                  <c:v>43.544221871475195</c:v>
                </c:pt>
                <c:pt idx="132">
                  <c:v>43.43073134264268</c:v>
                </c:pt>
                <c:pt idx="133">
                  <c:v>43.306703470057691</c:v>
                </c:pt>
                <c:pt idx="134">
                  <c:v>43.169444081589248</c:v>
                </c:pt>
                <c:pt idx="135">
                  <c:v>43.013482542459982</c:v>
                </c:pt>
                <c:pt idx="136">
                  <c:v>42.844945824242146</c:v>
                </c:pt>
                <c:pt idx="137">
                  <c:v>42.688363431875764</c:v>
                </c:pt>
                <c:pt idx="138">
                  <c:v>42.541293994321769</c:v>
                </c:pt>
                <c:pt idx="139">
                  <c:v>42.404777909757044</c:v>
                </c:pt>
                <c:pt idx="140">
                  <c:v>42.288507486965337</c:v>
                </c:pt>
                <c:pt idx="141">
                  <c:v>42.166308530272339</c:v>
                </c:pt>
                <c:pt idx="142">
                  <c:v>42.058633425558305</c:v>
                </c:pt>
                <c:pt idx="143">
                  <c:v>41.955290782967616</c:v>
                </c:pt>
                <c:pt idx="144">
                  <c:v>41.83872094663711</c:v>
                </c:pt>
                <c:pt idx="145">
                  <c:v>41.728628447020888</c:v>
                </c:pt>
                <c:pt idx="146">
                  <c:v>41.615977072565677</c:v>
                </c:pt>
                <c:pt idx="147">
                  <c:v>41.476329768654395</c:v>
                </c:pt>
                <c:pt idx="148">
                  <c:v>41.369744411531187</c:v>
                </c:pt>
                <c:pt idx="149">
                  <c:v>41.265531768376995</c:v>
                </c:pt>
                <c:pt idx="150">
                  <c:v>41.173235201533842</c:v>
                </c:pt>
                <c:pt idx="151">
                  <c:v>41.082428434529575</c:v>
                </c:pt>
                <c:pt idx="152">
                  <c:v>40.976830857802462</c:v>
                </c:pt>
                <c:pt idx="153">
                  <c:v>40.841925415245171</c:v>
                </c:pt>
                <c:pt idx="154">
                  <c:v>40.711126972453009</c:v>
                </c:pt>
                <c:pt idx="155">
                  <c:v>40.574748783754742</c:v>
                </c:pt>
                <c:pt idx="156">
                  <c:v>40.408930257550537</c:v>
                </c:pt>
                <c:pt idx="157">
                  <c:v>40.246374924847608</c:v>
                </c:pt>
                <c:pt idx="158">
                  <c:v>40.068240362630227</c:v>
                </c:pt>
                <c:pt idx="159">
                  <c:v>39.858640092724471</c:v>
                </c:pt>
                <c:pt idx="160">
                  <c:v>39.649530807695392</c:v>
                </c:pt>
                <c:pt idx="161">
                  <c:v>39.416929980758979</c:v>
                </c:pt>
                <c:pt idx="162">
                  <c:v>39.174290398520185</c:v>
                </c:pt>
                <c:pt idx="163">
                  <c:v>38.939589350546676</c:v>
                </c:pt>
                <c:pt idx="164">
                  <c:v>38.704307114999537</c:v>
                </c:pt>
                <c:pt idx="165">
                  <c:v>38.468939302269334</c:v>
                </c:pt>
                <c:pt idx="166">
                  <c:v>38.249986702530414</c:v>
                </c:pt>
                <c:pt idx="167">
                  <c:v>38.031829710975778</c:v>
                </c:pt>
                <c:pt idx="168">
                  <c:v>37.815929859834917</c:v>
                </c:pt>
                <c:pt idx="169">
                  <c:v>37.592006398611346</c:v>
                </c:pt>
                <c:pt idx="170">
                  <c:v>37.365976273004222</c:v>
                </c:pt>
                <c:pt idx="171">
                  <c:v>37.141489340821373</c:v>
                </c:pt>
                <c:pt idx="172">
                  <c:v>36.911996924475638</c:v>
                </c:pt>
                <c:pt idx="173">
                  <c:v>36.673499400702113</c:v>
                </c:pt>
                <c:pt idx="174">
                  <c:v>36.435551692977214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1C-4AD1-A601-5D32464E8DD2}"/>
            </c:ext>
          </c:extLst>
        </c:ser>
        <c:ser>
          <c:idx val="6"/>
          <c:order val="6"/>
          <c:tx>
            <c:strRef>
              <c:f>data_ghg_incLUC!$J$2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data_ghg_incLUC!$J$3:$J$177</c:f>
              <c:numCache>
                <c:formatCode>0.0</c:formatCode>
                <c:ptCount val="175"/>
                <c:pt idx="0">
                  <c:v>41.506022950518393</c:v>
                </c:pt>
                <c:pt idx="1">
                  <c:v>41.756645128955668</c:v>
                </c:pt>
                <c:pt idx="2">
                  <c:v>43.230946903317246</c:v>
                </c:pt>
                <c:pt idx="3">
                  <c:v>44.198697288482855</c:v>
                </c:pt>
                <c:pt idx="4">
                  <c:v>45.061972334755573</c:v>
                </c:pt>
                <c:pt idx="5">
                  <c:v>45.775607949651722</c:v>
                </c:pt>
                <c:pt idx="6">
                  <c:v>46.378246573129161</c:v>
                </c:pt>
                <c:pt idx="7">
                  <c:v>46.877214338952186</c:v>
                </c:pt>
                <c:pt idx="8">
                  <c:v>47.30340974183521</c:v>
                </c:pt>
                <c:pt idx="9">
                  <c:v>47.701547103335955</c:v>
                </c:pt>
                <c:pt idx="10">
                  <c:v>48.092976188322986</c:v>
                </c:pt>
                <c:pt idx="11">
                  <c:v>48.434068292311608</c:v>
                </c:pt>
                <c:pt idx="12">
                  <c:v>48.563021729486479</c:v>
                </c:pt>
                <c:pt idx="13">
                  <c:v>48.690583379888224</c:v>
                </c:pt>
                <c:pt idx="14">
                  <c:v>48.823288004247942</c:v>
                </c:pt>
                <c:pt idx="15">
                  <c:v>48.955631373621586</c:v>
                </c:pt>
                <c:pt idx="16">
                  <c:v>49.080904868086222</c:v>
                </c:pt>
                <c:pt idx="17">
                  <c:v>49.208614747045829</c:v>
                </c:pt>
                <c:pt idx="18">
                  <c:v>49.325925088726102</c:v>
                </c:pt>
                <c:pt idx="19">
                  <c:v>49.446805983852755</c:v>
                </c:pt>
                <c:pt idx="20">
                  <c:v>49.556279874584988</c:v>
                </c:pt>
                <c:pt idx="21">
                  <c:v>49.632562988634959</c:v>
                </c:pt>
                <c:pt idx="22">
                  <c:v>49.882872407343278</c:v>
                </c:pt>
                <c:pt idx="23">
                  <c:v>50.133122083539106</c:v>
                </c:pt>
                <c:pt idx="24">
                  <c:v>50.339155874184385</c:v>
                </c:pt>
                <c:pt idx="25">
                  <c:v>50.557865617376166</c:v>
                </c:pt>
                <c:pt idx="26">
                  <c:v>50.756986263190029</c:v>
                </c:pt>
                <c:pt idx="27">
                  <c:v>50.95102102987947</c:v>
                </c:pt>
                <c:pt idx="28">
                  <c:v>51.130508707906465</c:v>
                </c:pt>
                <c:pt idx="29">
                  <c:v>51.31838275400122</c:v>
                </c:pt>
                <c:pt idx="30">
                  <c:v>51.533895907220639</c:v>
                </c:pt>
                <c:pt idx="31">
                  <c:v>51.701975118686086</c:v>
                </c:pt>
                <c:pt idx="32">
                  <c:v>51.794606137927559</c:v>
                </c:pt>
                <c:pt idx="33">
                  <c:v>51.883710162801137</c:v>
                </c:pt>
                <c:pt idx="34">
                  <c:v>51.956427760190515</c:v>
                </c:pt>
                <c:pt idx="35">
                  <c:v>52.013859679244675</c:v>
                </c:pt>
                <c:pt idx="36">
                  <c:v>52.063074087770374</c:v>
                </c:pt>
                <c:pt idx="37">
                  <c:v>52.113948697604364</c:v>
                </c:pt>
                <c:pt idx="38">
                  <c:v>52.184564169183389</c:v>
                </c:pt>
                <c:pt idx="39">
                  <c:v>52.239285394950905</c:v>
                </c:pt>
                <c:pt idx="40">
                  <c:v>52.309213570287191</c:v>
                </c:pt>
                <c:pt idx="41">
                  <c:v>52.382204758790785</c:v>
                </c:pt>
                <c:pt idx="42">
                  <c:v>52.461129653682988</c:v>
                </c:pt>
                <c:pt idx="43">
                  <c:v>52.523453561187154</c:v>
                </c:pt>
                <c:pt idx="44">
                  <c:v>52.579307489319895</c:v>
                </c:pt>
                <c:pt idx="45">
                  <c:v>52.642764473369127</c:v>
                </c:pt>
                <c:pt idx="46">
                  <c:v>52.70695116650618</c:v>
                </c:pt>
                <c:pt idx="47">
                  <c:v>52.775297767873873</c:v>
                </c:pt>
                <c:pt idx="48">
                  <c:v>52.847356002286681</c:v>
                </c:pt>
                <c:pt idx="49">
                  <c:v>52.939772539588169</c:v>
                </c:pt>
                <c:pt idx="50">
                  <c:v>53.040570670893736</c:v>
                </c:pt>
                <c:pt idx="51">
                  <c:v>53.09170938850373</c:v>
                </c:pt>
                <c:pt idx="52">
                  <c:v>53.102688963222775</c:v>
                </c:pt>
                <c:pt idx="53">
                  <c:v>53.11649579849734</c:v>
                </c:pt>
                <c:pt idx="54">
                  <c:v>53.099670829609217</c:v>
                </c:pt>
                <c:pt idx="55">
                  <c:v>53.083199152878045</c:v>
                </c:pt>
                <c:pt idx="56">
                  <c:v>53.047039145971986</c:v>
                </c:pt>
                <c:pt idx="57">
                  <c:v>53.046885610837357</c:v>
                </c:pt>
                <c:pt idx="58">
                  <c:v>53.011703687215373</c:v>
                </c:pt>
                <c:pt idx="59">
                  <c:v>52.984029132269661</c:v>
                </c:pt>
                <c:pt idx="60">
                  <c:v>52.972093599721781</c:v>
                </c:pt>
                <c:pt idx="61">
                  <c:v>52.988353488357696</c:v>
                </c:pt>
                <c:pt idx="62">
                  <c:v>53.015823026370882</c:v>
                </c:pt>
                <c:pt idx="63">
                  <c:v>53.080720380732728</c:v>
                </c:pt>
                <c:pt idx="64">
                  <c:v>53.109586719281367</c:v>
                </c:pt>
                <c:pt idx="65">
                  <c:v>53.135180031768606</c:v>
                </c:pt>
                <c:pt idx="66">
                  <c:v>53.178137517809986</c:v>
                </c:pt>
                <c:pt idx="67">
                  <c:v>53.228576597161982</c:v>
                </c:pt>
                <c:pt idx="68">
                  <c:v>53.287062548673973</c:v>
                </c:pt>
                <c:pt idx="69">
                  <c:v>53.303551611926238</c:v>
                </c:pt>
                <c:pt idx="70">
                  <c:v>53.347154744553414</c:v>
                </c:pt>
                <c:pt idx="71">
                  <c:v>53.304385528092588</c:v>
                </c:pt>
                <c:pt idx="72">
                  <c:v>53.262500479536911</c:v>
                </c:pt>
                <c:pt idx="73">
                  <c:v>53.260812978914743</c:v>
                </c:pt>
                <c:pt idx="74">
                  <c:v>53.243856731780767</c:v>
                </c:pt>
                <c:pt idx="75">
                  <c:v>53.223473842117173</c:v>
                </c:pt>
                <c:pt idx="76">
                  <c:v>53.181485783571823</c:v>
                </c:pt>
                <c:pt idx="77">
                  <c:v>53.176155924266077</c:v>
                </c:pt>
                <c:pt idx="78">
                  <c:v>53.156858549426822</c:v>
                </c:pt>
                <c:pt idx="79">
                  <c:v>53.162704146905718</c:v>
                </c:pt>
                <c:pt idx="80">
                  <c:v>53.15001363608237</c:v>
                </c:pt>
                <c:pt idx="81">
                  <c:v>53.085345241881697</c:v>
                </c:pt>
                <c:pt idx="82">
                  <c:v>52.952723335086425</c:v>
                </c:pt>
                <c:pt idx="83">
                  <c:v>52.826104634963976</c:v>
                </c:pt>
                <c:pt idx="84">
                  <c:v>52.708848869210726</c:v>
                </c:pt>
                <c:pt idx="85">
                  <c:v>52.593535761389468</c:v>
                </c:pt>
                <c:pt idx="86">
                  <c:v>52.490037185837771</c:v>
                </c:pt>
                <c:pt idx="87">
                  <c:v>52.394223878080879</c:v>
                </c:pt>
                <c:pt idx="88">
                  <c:v>52.267432876827847</c:v>
                </c:pt>
                <c:pt idx="89">
                  <c:v>52.155982813908409</c:v>
                </c:pt>
                <c:pt idx="90">
                  <c:v>52.034703921215886</c:v>
                </c:pt>
                <c:pt idx="91">
                  <c:v>51.936331189511051</c:v>
                </c:pt>
                <c:pt idx="92">
                  <c:v>51.865872506692682</c:v>
                </c:pt>
                <c:pt idx="93">
                  <c:v>51.783475303759289</c:v>
                </c:pt>
                <c:pt idx="94">
                  <c:v>51.695260142283558</c:v>
                </c:pt>
                <c:pt idx="95">
                  <c:v>51.566511272394919</c:v>
                </c:pt>
                <c:pt idx="96">
                  <c:v>51.416496077705844</c:v>
                </c:pt>
                <c:pt idx="97">
                  <c:v>51.294603575376165</c:v>
                </c:pt>
                <c:pt idx="98">
                  <c:v>51.184975439520564</c:v>
                </c:pt>
                <c:pt idx="99">
                  <c:v>51.039789969166534</c:v>
                </c:pt>
                <c:pt idx="100">
                  <c:v>50.928675146743196</c:v>
                </c:pt>
                <c:pt idx="101">
                  <c:v>50.797657596335014</c:v>
                </c:pt>
                <c:pt idx="102">
                  <c:v>50.634935359211774</c:v>
                </c:pt>
                <c:pt idx="103">
                  <c:v>50.469055001063737</c:v>
                </c:pt>
                <c:pt idx="104">
                  <c:v>50.283829369490043</c:v>
                </c:pt>
                <c:pt idx="105">
                  <c:v>50.098311529400739</c:v>
                </c:pt>
                <c:pt idx="106">
                  <c:v>49.914767600615399</c:v>
                </c:pt>
                <c:pt idx="107">
                  <c:v>49.715934371865778</c:v>
                </c:pt>
                <c:pt idx="108">
                  <c:v>49.495448536016482</c:v>
                </c:pt>
                <c:pt idx="109">
                  <c:v>49.274189512209468</c:v>
                </c:pt>
                <c:pt idx="110">
                  <c:v>49.065024304419929</c:v>
                </c:pt>
                <c:pt idx="111">
                  <c:v>48.857808358500726</c:v>
                </c:pt>
                <c:pt idx="112">
                  <c:v>48.673346021485273</c:v>
                </c:pt>
                <c:pt idx="113">
                  <c:v>48.499320518232693</c:v>
                </c:pt>
                <c:pt idx="114">
                  <c:v>48.33416875205598</c:v>
                </c:pt>
                <c:pt idx="115">
                  <c:v>48.170985332087042</c:v>
                </c:pt>
                <c:pt idx="116">
                  <c:v>48.015179281401629</c:v>
                </c:pt>
                <c:pt idx="117">
                  <c:v>47.878167979176872</c:v>
                </c:pt>
                <c:pt idx="118">
                  <c:v>47.763344549346598</c:v>
                </c:pt>
                <c:pt idx="119">
                  <c:v>47.660905769098058</c:v>
                </c:pt>
                <c:pt idx="120">
                  <c:v>47.562812433559898</c:v>
                </c:pt>
                <c:pt idx="121">
                  <c:v>47.460753730964242</c:v>
                </c:pt>
                <c:pt idx="122">
                  <c:v>47.369278200901739</c:v>
                </c:pt>
                <c:pt idx="123">
                  <c:v>47.279099615450392</c:v>
                </c:pt>
                <c:pt idx="124">
                  <c:v>47.172945436257244</c:v>
                </c:pt>
                <c:pt idx="125">
                  <c:v>47.038266015740362</c:v>
                </c:pt>
                <c:pt idx="126">
                  <c:v>46.90999339751901</c:v>
                </c:pt>
                <c:pt idx="127">
                  <c:v>46.773699564610347</c:v>
                </c:pt>
                <c:pt idx="128">
                  <c:v>46.636357470729514</c:v>
                </c:pt>
                <c:pt idx="129">
                  <c:v>46.506250226765758</c:v>
                </c:pt>
                <c:pt idx="130">
                  <c:v>46.366415677441275</c:v>
                </c:pt>
                <c:pt idx="131">
                  <c:v>46.222235403642919</c:v>
                </c:pt>
                <c:pt idx="132">
                  <c:v>46.036875204376059</c:v>
                </c:pt>
                <c:pt idx="133">
                  <c:v>45.842313444452657</c:v>
                </c:pt>
                <c:pt idx="134">
                  <c:v>45.646350043061609</c:v>
                </c:pt>
                <c:pt idx="135">
                  <c:v>45.439942056384595</c:v>
                </c:pt>
                <c:pt idx="136">
                  <c:v>45.228134037684619</c:v>
                </c:pt>
                <c:pt idx="137">
                  <c:v>45.019781079442353</c:v>
                </c:pt>
                <c:pt idx="138">
                  <c:v>44.816418609321161</c:v>
                </c:pt>
                <c:pt idx="139">
                  <c:v>44.620559574824689</c:v>
                </c:pt>
                <c:pt idx="140">
                  <c:v>44.502716195950207</c:v>
                </c:pt>
                <c:pt idx="141">
                  <c:v>44.380423096380781</c:v>
                </c:pt>
                <c:pt idx="142">
                  <c:v>44.275596362008223</c:v>
                </c:pt>
                <c:pt idx="143">
                  <c:v>44.174861802673213</c:v>
                </c:pt>
                <c:pt idx="144">
                  <c:v>44.13788129828319</c:v>
                </c:pt>
                <c:pt idx="145">
                  <c:v>44.082939223915183</c:v>
                </c:pt>
                <c:pt idx="146">
                  <c:v>44.035645797100287</c:v>
                </c:pt>
                <c:pt idx="147">
                  <c:v>44.001019620957244</c:v>
                </c:pt>
                <c:pt idx="148">
                  <c:v>43.956297898097283</c:v>
                </c:pt>
                <c:pt idx="149">
                  <c:v>43.916186660338951</c:v>
                </c:pt>
                <c:pt idx="150">
                  <c:v>43.886960919139085</c:v>
                </c:pt>
                <c:pt idx="151">
                  <c:v>43.847224153347469</c:v>
                </c:pt>
                <c:pt idx="152">
                  <c:v>43.791366560553058</c:v>
                </c:pt>
                <c:pt idx="153">
                  <c:v>43.690209578396235</c:v>
                </c:pt>
                <c:pt idx="154">
                  <c:v>43.56934312663504</c:v>
                </c:pt>
                <c:pt idx="155">
                  <c:v>43.446618527863322</c:v>
                </c:pt>
                <c:pt idx="156">
                  <c:v>43.312257897038414</c:v>
                </c:pt>
                <c:pt idx="157">
                  <c:v>43.182887357397767</c:v>
                </c:pt>
                <c:pt idx="158">
                  <c:v>43.032102178450046</c:v>
                </c:pt>
                <c:pt idx="159">
                  <c:v>42.872033013567815</c:v>
                </c:pt>
                <c:pt idx="160">
                  <c:v>42.707581327305327</c:v>
                </c:pt>
                <c:pt idx="161">
                  <c:v>42.497417082685935</c:v>
                </c:pt>
                <c:pt idx="162">
                  <c:v>42.269196089136244</c:v>
                </c:pt>
                <c:pt idx="163">
                  <c:v>42.056395341155586</c:v>
                </c:pt>
                <c:pt idx="164">
                  <c:v>41.834567776394493</c:v>
                </c:pt>
                <c:pt idx="165">
                  <c:v>41.598447752933154</c:v>
                </c:pt>
                <c:pt idx="166">
                  <c:v>41.364344551148172</c:v>
                </c:pt>
                <c:pt idx="167">
                  <c:v>41.130795594297176</c:v>
                </c:pt>
                <c:pt idx="168">
                  <c:v>40.90101201947892</c:v>
                </c:pt>
                <c:pt idx="169">
                  <c:v>40.658535017995611</c:v>
                </c:pt>
                <c:pt idx="170">
                  <c:v>40.419392284580546</c:v>
                </c:pt>
                <c:pt idx="171">
                  <c:v>40.163016247609598</c:v>
                </c:pt>
                <c:pt idx="172">
                  <c:v>39.898435766875416</c:v>
                </c:pt>
                <c:pt idx="173">
                  <c:v>39.625471678559343</c:v>
                </c:pt>
                <c:pt idx="174">
                  <c:v>39.454284995586661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1C-4AD1-A601-5D32464E8DD2}"/>
            </c:ext>
          </c:extLst>
        </c:ser>
        <c:ser>
          <c:idx val="7"/>
          <c:order val="7"/>
          <c:tx>
            <c:strRef>
              <c:f>data_ghg_incLUC!$K$2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data_ghg_incLUC!$K$3:$K$177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1C-4AD1-A601-5D32464E8DD2}"/>
            </c:ext>
          </c:extLst>
        </c:ser>
        <c:ser>
          <c:idx val="8"/>
          <c:order val="8"/>
          <c:tx>
            <c:strRef>
              <c:f>data_ghg_incLUC!$L$2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data_ghg_incLUC!$L$3:$L$177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1C-4AD1-A601-5D32464E8DD2}"/>
            </c:ext>
          </c:extLst>
        </c:ser>
        <c:ser>
          <c:idx val="9"/>
          <c:order val="9"/>
          <c:tx>
            <c:strRef>
              <c:f>data_ghg_incLUC!$M$2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data_ghg_incLUC!$M$3:$M$177</c:f>
              <c:numCache>
                <c:formatCode>0.0</c:formatCode>
                <c:ptCount val="175"/>
                <c:pt idx="0">
                  <c:v>54.173690189226917</c:v>
                </c:pt>
                <c:pt idx="1">
                  <c:v>54.032792950974887</c:v>
                </c:pt>
                <c:pt idx="2">
                  <c:v>54.054270046455557</c:v>
                </c:pt>
                <c:pt idx="3">
                  <c:v>54.109308793377849</c:v>
                </c:pt>
                <c:pt idx="4">
                  <c:v>54.361148117073235</c:v>
                </c:pt>
                <c:pt idx="5">
                  <c:v>54.4919993825104</c:v>
                </c:pt>
                <c:pt idx="6">
                  <c:v>54.631743448701755</c:v>
                </c:pt>
                <c:pt idx="7">
                  <c:v>54.753305680291575</c:v>
                </c:pt>
                <c:pt idx="8">
                  <c:v>54.887817810677944</c:v>
                </c:pt>
                <c:pt idx="9">
                  <c:v>55.037884813678041</c:v>
                </c:pt>
                <c:pt idx="10">
                  <c:v>55.290470225180769</c:v>
                </c:pt>
                <c:pt idx="11">
                  <c:v>55.529580270578968</c:v>
                </c:pt>
                <c:pt idx="12">
                  <c:v>55.792763358259798</c:v>
                </c:pt>
                <c:pt idx="13">
                  <c:v>56.045363741170007</c:v>
                </c:pt>
                <c:pt idx="14">
                  <c:v>56.295154231516641</c:v>
                </c:pt>
                <c:pt idx="15">
                  <c:v>56.533422537780908</c:v>
                </c:pt>
                <c:pt idx="16">
                  <c:v>56.777198149484065</c:v>
                </c:pt>
                <c:pt idx="17">
                  <c:v>57.003459933957579</c:v>
                </c:pt>
                <c:pt idx="18">
                  <c:v>57.226503276693933</c:v>
                </c:pt>
                <c:pt idx="19">
                  <c:v>57.433904647845999</c:v>
                </c:pt>
                <c:pt idx="20">
                  <c:v>57.730496981435728</c:v>
                </c:pt>
                <c:pt idx="21">
                  <c:v>58.049098827821474</c:v>
                </c:pt>
                <c:pt idx="22">
                  <c:v>58.374916867064208</c:v>
                </c:pt>
                <c:pt idx="23">
                  <c:v>58.709304254282877</c:v>
                </c:pt>
                <c:pt idx="24">
                  <c:v>59.0239312796813</c:v>
                </c:pt>
                <c:pt idx="25">
                  <c:v>59.339808748608412</c:v>
                </c:pt>
                <c:pt idx="26">
                  <c:v>59.645982625198336</c:v>
                </c:pt>
                <c:pt idx="27">
                  <c:v>59.935822451777909</c:v>
                </c:pt>
                <c:pt idx="28">
                  <c:v>60.220262072004893</c:v>
                </c:pt>
                <c:pt idx="29">
                  <c:v>60.511713613163252</c:v>
                </c:pt>
                <c:pt idx="30">
                  <c:v>60.750214079800124</c:v>
                </c:pt>
                <c:pt idx="31">
                  <c:v>60.938167796209839</c:v>
                </c:pt>
                <c:pt idx="32">
                  <c:v>61.113346048269626</c:v>
                </c:pt>
                <c:pt idx="33">
                  <c:v>61.288246931244004</c:v>
                </c:pt>
                <c:pt idx="34">
                  <c:v>61.452441527586366</c:v>
                </c:pt>
                <c:pt idx="35">
                  <c:v>61.59982181204218</c:v>
                </c:pt>
                <c:pt idx="36">
                  <c:v>61.732255096675893</c:v>
                </c:pt>
                <c:pt idx="37">
                  <c:v>61.856728642226365</c:v>
                </c:pt>
                <c:pt idx="38">
                  <c:v>61.996961762452585</c:v>
                </c:pt>
                <c:pt idx="39">
                  <c:v>62.111859608407094</c:v>
                </c:pt>
                <c:pt idx="40">
                  <c:v>62.245928350185999</c:v>
                </c:pt>
                <c:pt idx="41">
                  <c:v>62.378567430782681</c:v>
                </c:pt>
                <c:pt idx="42">
                  <c:v>62.512135991749894</c:v>
                </c:pt>
                <c:pt idx="43">
                  <c:v>62.635638896758039</c:v>
                </c:pt>
                <c:pt idx="44">
                  <c:v>62.76054371874649</c:v>
                </c:pt>
                <c:pt idx="45">
                  <c:v>62.884089254443296</c:v>
                </c:pt>
                <c:pt idx="46">
                  <c:v>63.007929224581993</c:v>
                </c:pt>
                <c:pt idx="47">
                  <c:v>63.130810657874783</c:v>
                </c:pt>
                <c:pt idx="48">
                  <c:v>63.265432463831161</c:v>
                </c:pt>
                <c:pt idx="49">
                  <c:v>63.410922221634635</c:v>
                </c:pt>
                <c:pt idx="50">
                  <c:v>63.561700508299715</c:v>
                </c:pt>
                <c:pt idx="51">
                  <c:v>63.6947512763711</c:v>
                </c:pt>
                <c:pt idx="52">
                  <c:v>63.823822565864873</c:v>
                </c:pt>
                <c:pt idx="53">
                  <c:v>63.966915828739488</c:v>
                </c:pt>
                <c:pt idx="54">
                  <c:v>64.10027396668913</c:v>
                </c:pt>
                <c:pt idx="55">
                  <c:v>64.248424931729019</c:v>
                </c:pt>
                <c:pt idx="56">
                  <c:v>64.388773622330604</c:v>
                </c:pt>
                <c:pt idx="57">
                  <c:v>64.56136269606796</c:v>
                </c:pt>
                <c:pt idx="58">
                  <c:v>64.710780055821786</c:v>
                </c:pt>
                <c:pt idx="59">
                  <c:v>64.861991869536695</c:v>
                </c:pt>
                <c:pt idx="60">
                  <c:v>64.963146358937024</c:v>
                </c:pt>
                <c:pt idx="61">
                  <c:v>65.04033045042847</c:v>
                </c:pt>
                <c:pt idx="62">
                  <c:v>65.118314439392506</c:v>
                </c:pt>
                <c:pt idx="63">
                  <c:v>65.196024953642464</c:v>
                </c:pt>
                <c:pt idx="64">
                  <c:v>65.229018726969755</c:v>
                </c:pt>
                <c:pt idx="65">
                  <c:v>65.244217562057116</c:v>
                </c:pt>
                <c:pt idx="66">
                  <c:v>65.273526352120371</c:v>
                </c:pt>
                <c:pt idx="67">
                  <c:v>65.297931307215421</c:v>
                </c:pt>
                <c:pt idx="68">
                  <c:v>65.3085422715005</c:v>
                </c:pt>
                <c:pt idx="69">
                  <c:v>65.269803998159631</c:v>
                </c:pt>
                <c:pt idx="70">
                  <c:v>65.241109048393881</c:v>
                </c:pt>
                <c:pt idx="71">
                  <c:v>65.166235936336022</c:v>
                </c:pt>
                <c:pt idx="72">
                  <c:v>65.099960480387793</c:v>
                </c:pt>
                <c:pt idx="73">
                  <c:v>65.054216419527066</c:v>
                </c:pt>
                <c:pt idx="74">
                  <c:v>64.998198949933439</c:v>
                </c:pt>
                <c:pt idx="75">
                  <c:v>64.946668157593606</c:v>
                </c:pt>
                <c:pt idx="76">
                  <c:v>64.888736063368</c:v>
                </c:pt>
                <c:pt idx="77">
                  <c:v>64.848582875107027</c:v>
                </c:pt>
                <c:pt idx="78">
                  <c:v>64.799242223203166</c:v>
                </c:pt>
                <c:pt idx="79">
                  <c:v>64.768630778847651</c:v>
                </c:pt>
                <c:pt idx="80">
                  <c:v>64.721984514073327</c:v>
                </c:pt>
                <c:pt idx="81">
                  <c:v>64.650909222853343</c:v>
                </c:pt>
                <c:pt idx="82">
                  <c:v>64.55328848229027</c:v>
                </c:pt>
                <c:pt idx="83">
                  <c:v>64.462950985176519</c:v>
                </c:pt>
                <c:pt idx="84">
                  <c:v>64.381078113862614</c:v>
                </c:pt>
                <c:pt idx="85">
                  <c:v>64.310486817245476</c:v>
                </c:pt>
                <c:pt idx="86">
                  <c:v>64.253656089055653</c:v>
                </c:pt>
                <c:pt idx="87">
                  <c:v>64.204074040134913</c:v>
                </c:pt>
                <c:pt idx="88">
                  <c:v>64.13803856573918</c:v>
                </c:pt>
                <c:pt idx="89">
                  <c:v>64.079723233480607</c:v>
                </c:pt>
                <c:pt idx="90">
                  <c:v>63.989666962915678</c:v>
                </c:pt>
                <c:pt idx="91">
                  <c:v>63.878029355829092</c:v>
                </c:pt>
                <c:pt idx="92">
                  <c:v>63.75504971991186</c:v>
                </c:pt>
                <c:pt idx="93">
                  <c:v>63.627205094611547</c:v>
                </c:pt>
                <c:pt idx="94">
                  <c:v>63.492337250507468</c:v>
                </c:pt>
                <c:pt idx="95">
                  <c:v>63.314230726865318</c:v>
                </c:pt>
                <c:pt idx="96">
                  <c:v>63.141023990143772</c:v>
                </c:pt>
                <c:pt idx="97">
                  <c:v>62.985258499651451</c:v>
                </c:pt>
                <c:pt idx="98">
                  <c:v>62.841891472077272</c:v>
                </c:pt>
                <c:pt idx="99">
                  <c:v>62.681147708704302</c:v>
                </c:pt>
                <c:pt idx="100">
                  <c:v>62.500866462889995</c:v>
                </c:pt>
                <c:pt idx="101">
                  <c:v>62.308595886938512</c:v>
                </c:pt>
                <c:pt idx="102">
                  <c:v>62.122369712097338</c:v>
                </c:pt>
                <c:pt idx="103">
                  <c:v>61.942732740935327</c:v>
                </c:pt>
                <c:pt idx="104">
                  <c:v>61.745075960451523</c:v>
                </c:pt>
                <c:pt idx="105">
                  <c:v>61.558168969541427</c:v>
                </c:pt>
                <c:pt idx="106">
                  <c:v>61.385324929831327</c:v>
                </c:pt>
                <c:pt idx="107">
                  <c:v>61.206920390907804</c:v>
                </c:pt>
                <c:pt idx="108">
                  <c:v>61.01681130847831</c:v>
                </c:pt>
                <c:pt idx="109">
                  <c:v>60.81628161021542</c:v>
                </c:pt>
                <c:pt idx="110">
                  <c:v>60.656542083353862</c:v>
                </c:pt>
                <c:pt idx="111">
                  <c:v>60.510118831543771</c:v>
                </c:pt>
                <c:pt idx="112">
                  <c:v>60.388639114151879</c:v>
                </c:pt>
                <c:pt idx="113">
                  <c:v>60.282540079474757</c:v>
                </c:pt>
                <c:pt idx="114">
                  <c:v>60.195116317512941</c:v>
                </c:pt>
                <c:pt idx="115">
                  <c:v>60.12093852941257</c:v>
                </c:pt>
                <c:pt idx="116">
                  <c:v>60.058803015060988</c:v>
                </c:pt>
                <c:pt idx="117">
                  <c:v>60.034322229115276</c:v>
                </c:pt>
                <c:pt idx="118">
                  <c:v>60.026882766350994</c:v>
                </c:pt>
                <c:pt idx="119">
                  <c:v>59.96697087774502</c:v>
                </c:pt>
                <c:pt idx="120">
                  <c:v>59.909901136065947</c:v>
                </c:pt>
                <c:pt idx="121">
                  <c:v>59.86512092649734</c:v>
                </c:pt>
                <c:pt idx="122">
                  <c:v>59.804161709084227</c:v>
                </c:pt>
                <c:pt idx="123">
                  <c:v>59.753790313070176</c:v>
                </c:pt>
                <c:pt idx="124">
                  <c:v>59.696906934204328</c:v>
                </c:pt>
                <c:pt idx="125">
                  <c:v>59.631207143118289</c:v>
                </c:pt>
                <c:pt idx="126">
                  <c:v>59.577869650996618</c:v>
                </c:pt>
                <c:pt idx="127">
                  <c:v>59.505741988014215</c:v>
                </c:pt>
                <c:pt idx="128">
                  <c:v>59.42699784653076</c:v>
                </c:pt>
                <c:pt idx="129">
                  <c:v>59.368064293359403</c:v>
                </c:pt>
                <c:pt idx="130">
                  <c:v>59.310539790219721</c:v>
                </c:pt>
                <c:pt idx="131">
                  <c:v>59.243170333567264</c:v>
                </c:pt>
                <c:pt idx="132">
                  <c:v>59.168305563677791</c:v>
                </c:pt>
                <c:pt idx="133">
                  <c:v>59.080223755925822</c:v>
                </c:pt>
                <c:pt idx="134">
                  <c:v>58.970962674150684</c:v>
                </c:pt>
                <c:pt idx="135">
                  <c:v>58.848207864029611</c:v>
                </c:pt>
                <c:pt idx="136">
                  <c:v>58.708668507886983</c:v>
                </c:pt>
                <c:pt idx="137">
                  <c:v>58.578125226753187</c:v>
                </c:pt>
                <c:pt idx="138">
                  <c:v>58.452683596011411</c:v>
                </c:pt>
                <c:pt idx="139">
                  <c:v>58.326841367839819</c:v>
                </c:pt>
                <c:pt idx="140">
                  <c:v>58.218600809840957</c:v>
                </c:pt>
                <c:pt idx="141">
                  <c:v>58.084426991346675</c:v>
                </c:pt>
                <c:pt idx="142">
                  <c:v>57.934320986228641</c:v>
                </c:pt>
                <c:pt idx="143">
                  <c:v>57.775772014897484</c:v>
                </c:pt>
                <c:pt idx="144">
                  <c:v>57.575587111184909</c:v>
                </c:pt>
                <c:pt idx="145">
                  <c:v>57.375984509719068</c:v>
                </c:pt>
                <c:pt idx="146">
                  <c:v>57.183790612999353</c:v>
                </c:pt>
                <c:pt idx="147">
                  <c:v>56.933397970991983</c:v>
                </c:pt>
                <c:pt idx="148">
                  <c:v>56.725766712639924</c:v>
                </c:pt>
                <c:pt idx="149">
                  <c:v>56.520212868867603</c:v>
                </c:pt>
                <c:pt idx="150">
                  <c:v>56.322845144305319</c:v>
                </c:pt>
                <c:pt idx="151">
                  <c:v>56.135077194568758</c:v>
                </c:pt>
                <c:pt idx="152">
                  <c:v>55.925664536209851</c:v>
                </c:pt>
                <c:pt idx="153">
                  <c:v>55.680980315624119</c:v>
                </c:pt>
                <c:pt idx="154">
                  <c:v>55.442341146397546</c:v>
                </c:pt>
                <c:pt idx="155">
                  <c:v>55.201429274978928</c:v>
                </c:pt>
                <c:pt idx="156">
                  <c:v>54.932564763898696</c:v>
                </c:pt>
                <c:pt idx="157">
                  <c:v>54.672979428928237</c:v>
                </c:pt>
                <c:pt idx="158">
                  <c:v>54.394119176271147</c:v>
                </c:pt>
                <c:pt idx="159">
                  <c:v>54.086282182258017</c:v>
                </c:pt>
                <c:pt idx="160">
                  <c:v>53.782101720264272</c:v>
                </c:pt>
                <c:pt idx="161">
                  <c:v>53.446834494527842</c:v>
                </c:pt>
                <c:pt idx="162">
                  <c:v>53.110097744507293</c:v>
                </c:pt>
                <c:pt idx="163">
                  <c:v>52.778369108107711</c:v>
                </c:pt>
                <c:pt idx="164">
                  <c:v>52.442587002263686</c:v>
                </c:pt>
                <c:pt idx="165">
                  <c:v>52.118430225427062</c:v>
                </c:pt>
                <c:pt idx="166">
                  <c:v>51.819597351249683</c:v>
                </c:pt>
                <c:pt idx="167">
                  <c:v>51.522796139701867</c:v>
                </c:pt>
                <c:pt idx="168">
                  <c:v>51.228011470662253</c:v>
                </c:pt>
                <c:pt idx="169">
                  <c:v>50.923522236959904</c:v>
                </c:pt>
                <c:pt idx="170">
                  <c:v>50.621740317746145</c:v>
                </c:pt>
                <c:pt idx="171">
                  <c:v>50.322092085791013</c:v>
                </c:pt>
                <c:pt idx="172">
                  <c:v>50.015586507526933</c:v>
                </c:pt>
                <c:pt idx="173">
                  <c:v>49.701283568527657</c:v>
                </c:pt>
                <c:pt idx="174">
                  <c:v>49.389955639381689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A1C-4AD1-A601-5D32464E8DD2}"/>
            </c:ext>
          </c:extLst>
        </c:ser>
        <c:ser>
          <c:idx val="10"/>
          <c:order val="10"/>
          <c:tx>
            <c:strRef>
              <c:f>data_ghg_incLUC!$N$2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data_ghg_incLUC!$N$3:$N$177</c:f>
              <c:numCache>
                <c:formatCode>0.0</c:formatCode>
                <c:ptCount val="175"/>
                <c:pt idx="0">
                  <c:v>55.77461415368591</c:v>
                </c:pt>
                <c:pt idx="1">
                  <c:v>56.099087347721742</c:v>
                </c:pt>
                <c:pt idx="2">
                  <c:v>57.353464140298016</c:v>
                </c:pt>
                <c:pt idx="3">
                  <c:v>58.225704461509117</c:v>
                </c:pt>
                <c:pt idx="4">
                  <c:v>59.020360708998133</c:v>
                </c:pt>
                <c:pt idx="5">
                  <c:v>59.706023101797456</c:v>
                </c:pt>
                <c:pt idx="6">
                  <c:v>60.279378090772241</c:v>
                </c:pt>
                <c:pt idx="7">
                  <c:v>60.755482311510036</c:v>
                </c:pt>
                <c:pt idx="8">
                  <c:v>61.164526307747202</c:v>
                </c:pt>
                <c:pt idx="9">
                  <c:v>61.540280126569627</c:v>
                </c:pt>
                <c:pt idx="10">
                  <c:v>61.904433644688005</c:v>
                </c:pt>
                <c:pt idx="11">
                  <c:v>62.239511908925785</c:v>
                </c:pt>
                <c:pt idx="12">
                  <c:v>62.37343526184177</c:v>
                </c:pt>
                <c:pt idx="13">
                  <c:v>62.507935886487488</c:v>
                </c:pt>
                <c:pt idx="14">
                  <c:v>62.645585703911891</c:v>
                </c:pt>
                <c:pt idx="15">
                  <c:v>62.782195367053461</c:v>
                </c:pt>
                <c:pt idx="16">
                  <c:v>62.91372004216106</c:v>
                </c:pt>
                <c:pt idx="17">
                  <c:v>63.047077211882765</c:v>
                </c:pt>
                <c:pt idx="18">
                  <c:v>63.172559037872411</c:v>
                </c:pt>
                <c:pt idx="19">
                  <c:v>63.300721305397857</c:v>
                </c:pt>
                <c:pt idx="20">
                  <c:v>63.419621264524686</c:v>
                </c:pt>
                <c:pt idx="21">
                  <c:v>63.484080838391485</c:v>
                </c:pt>
                <c:pt idx="22">
                  <c:v>63.671655093279625</c:v>
                </c:pt>
                <c:pt idx="23">
                  <c:v>63.85722675563057</c:v>
                </c:pt>
                <c:pt idx="24">
                  <c:v>64.012929168108499</c:v>
                </c:pt>
                <c:pt idx="25">
                  <c:v>64.177440712214306</c:v>
                </c:pt>
                <c:pt idx="26">
                  <c:v>64.334793614391259</c:v>
                </c:pt>
                <c:pt idx="27">
                  <c:v>64.486934997276592</c:v>
                </c:pt>
                <c:pt idx="28">
                  <c:v>64.62979478077952</c:v>
                </c:pt>
                <c:pt idx="29">
                  <c:v>64.779365416258713</c:v>
                </c:pt>
                <c:pt idx="30">
                  <c:v>64.949353570368402</c:v>
                </c:pt>
                <c:pt idx="31">
                  <c:v>65.062505218631671</c:v>
                </c:pt>
                <c:pt idx="32">
                  <c:v>65.116951314374376</c:v>
                </c:pt>
                <c:pt idx="33">
                  <c:v>65.168697174896835</c:v>
                </c:pt>
                <c:pt idx="34">
                  <c:v>65.207053934262021</c:v>
                </c:pt>
                <c:pt idx="35">
                  <c:v>65.234373615639257</c:v>
                </c:pt>
                <c:pt idx="36">
                  <c:v>65.256257492172182</c:v>
                </c:pt>
                <c:pt idx="37">
                  <c:v>65.280634725509472</c:v>
                </c:pt>
                <c:pt idx="38">
                  <c:v>65.322818852986117</c:v>
                </c:pt>
                <c:pt idx="39">
                  <c:v>65.356350368130649</c:v>
                </c:pt>
                <c:pt idx="40">
                  <c:v>65.40389698594818</c:v>
                </c:pt>
                <c:pt idx="41">
                  <c:v>65.458134105823788</c:v>
                </c:pt>
                <c:pt idx="42">
                  <c:v>65.516648652791801</c:v>
                </c:pt>
                <c:pt idx="43">
                  <c:v>65.566496482030047</c:v>
                </c:pt>
                <c:pt idx="44">
                  <c:v>65.605374304966759</c:v>
                </c:pt>
                <c:pt idx="45">
                  <c:v>65.652826153757275</c:v>
                </c:pt>
                <c:pt idx="46">
                  <c:v>65.702070450558708</c:v>
                </c:pt>
                <c:pt idx="47">
                  <c:v>65.757372014924314</c:v>
                </c:pt>
                <c:pt idx="48">
                  <c:v>65.818604798909973</c:v>
                </c:pt>
                <c:pt idx="49">
                  <c:v>65.897307204116288</c:v>
                </c:pt>
                <c:pt idx="50">
                  <c:v>65.984769770050278</c:v>
                </c:pt>
                <c:pt idx="51">
                  <c:v>66.015625443545815</c:v>
                </c:pt>
                <c:pt idx="52">
                  <c:v>66.004277049396961</c:v>
                </c:pt>
                <c:pt idx="53">
                  <c:v>65.985186415233571</c:v>
                </c:pt>
                <c:pt idx="54">
                  <c:v>65.937651183199137</c:v>
                </c:pt>
                <c:pt idx="55">
                  <c:v>65.881820650368681</c:v>
                </c:pt>
                <c:pt idx="56">
                  <c:v>65.806194481633668</c:v>
                </c:pt>
                <c:pt idx="57">
                  <c:v>65.761432777373528</c:v>
                </c:pt>
                <c:pt idx="58">
                  <c:v>65.691582461817603</c:v>
                </c:pt>
                <c:pt idx="59">
                  <c:v>65.629916563301705</c:v>
                </c:pt>
                <c:pt idx="60">
                  <c:v>65.579163016453919</c:v>
                </c:pt>
                <c:pt idx="61">
                  <c:v>65.566893196516986</c:v>
                </c:pt>
                <c:pt idx="62">
                  <c:v>65.574257689714415</c:v>
                </c:pt>
                <c:pt idx="63">
                  <c:v>65.623637887238431</c:v>
                </c:pt>
                <c:pt idx="64">
                  <c:v>65.641063992597623</c:v>
                </c:pt>
                <c:pt idx="65">
                  <c:v>65.655931710073901</c:v>
                </c:pt>
                <c:pt idx="66">
                  <c:v>65.686091074518018</c:v>
                </c:pt>
                <c:pt idx="67">
                  <c:v>65.719130316034878</c:v>
                </c:pt>
                <c:pt idx="68">
                  <c:v>65.739017087106291</c:v>
                </c:pt>
                <c:pt idx="69">
                  <c:v>65.705448934444632</c:v>
                </c:pt>
                <c:pt idx="70">
                  <c:v>65.703356600117303</c:v>
                </c:pt>
                <c:pt idx="71">
                  <c:v>65.627622297473494</c:v>
                </c:pt>
                <c:pt idx="72">
                  <c:v>65.551437798472364</c:v>
                </c:pt>
                <c:pt idx="73">
                  <c:v>65.501919027119953</c:v>
                </c:pt>
                <c:pt idx="74">
                  <c:v>65.442993982623619</c:v>
                </c:pt>
                <c:pt idx="75">
                  <c:v>65.381562664245479</c:v>
                </c:pt>
                <c:pt idx="76">
                  <c:v>65.313567365752476</c:v>
                </c:pt>
                <c:pt idx="77">
                  <c:v>65.280783441908937</c:v>
                </c:pt>
                <c:pt idx="78">
                  <c:v>65.240021636589105</c:v>
                </c:pt>
                <c:pt idx="79">
                  <c:v>65.221785960575119</c:v>
                </c:pt>
                <c:pt idx="80">
                  <c:v>65.19318074773058</c:v>
                </c:pt>
                <c:pt idx="81">
                  <c:v>65.129410292304627</c:v>
                </c:pt>
                <c:pt idx="82">
                  <c:v>65.014576951652728</c:v>
                </c:pt>
                <c:pt idx="83">
                  <c:v>64.905494521084123</c:v>
                </c:pt>
                <c:pt idx="84">
                  <c:v>64.808787358323187</c:v>
                </c:pt>
                <c:pt idx="85">
                  <c:v>64.715024182884335</c:v>
                </c:pt>
                <c:pt idx="86">
                  <c:v>64.631688600681954</c:v>
                </c:pt>
                <c:pt idx="87">
                  <c:v>64.552005659602969</c:v>
                </c:pt>
                <c:pt idx="88">
                  <c:v>64.450401926937658</c:v>
                </c:pt>
                <c:pt idx="89">
                  <c:v>64.356307452457344</c:v>
                </c:pt>
                <c:pt idx="90">
                  <c:v>64.276873577836398</c:v>
                </c:pt>
                <c:pt idx="91">
                  <c:v>64.198084134764272</c:v>
                </c:pt>
                <c:pt idx="92">
                  <c:v>64.123775419057395</c:v>
                </c:pt>
                <c:pt idx="93">
                  <c:v>64.045624967231092</c:v>
                </c:pt>
                <c:pt idx="94">
                  <c:v>63.951629953646197</c:v>
                </c:pt>
                <c:pt idx="95">
                  <c:v>63.802682453448746</c:v>
                </c:pt>
                <c:pt idx="96">
                  <c:v>63.632715048627674</c:v>
                </c:pt>
                <c:pt idx="97">
                  <c:v>63.48912146229334</c:v>
                </c:pt>
                <c:pt idx="98">
                  <c:v>63.357755141045303</c:v>
                </c:pt>
                <c:pt idx="99">
                  <c:v>63.206481522146241</c:v>
                </c:pt>
                <c:pt idx="100">
                  <c:v>63.090873598181354</c:v>
                </c:pt>
                <c:pt idx="101">
                  <c:v>62.991509655741751</c:v>
                </c:pt>
                <c:pt idx="102">
                  <c:v>62.875264410189438</c:v>
                </c:pt>
                <c:pt idx="103">
                  <c:v>62.769026667848138</c:v>
                </c:pt>
                <c:pt idx="104">
                  <c:v>62.656103176042279</c:v>
                </c:pt>
                <c:pt idx="105">
                  <c:v>62.552150597028323</c:v>
                </c:pt>
                <c:pt idx="106">
                  <c:v>62.459885344106922</c:v>
                </c:pt>
                <c:pt idx="107">
                  <c:v>62.367624816753789</c:v>
                </c:pt>
                <c:pt idx="108">
                  <c:v>62.262178900299723</c:v>
                </c:pt>
                <c:pt idx="109">
                  <c:v>62.133948356904725</c:v>
                </c:pt>
                <c:pt idx="110">
                  <c:v>62.016818718562682</c:v>
                </c:pt>
                <c:pt idx="111">
                  <c:v>61.899242133670263</c:v>
                </c:pt>
                <c:pt idx="112">
                  <c:v>61.807001805220764</c:v>
                </c:pt>
                <c:pt idx="113">
                  <c:v>61.726897839435814</c:v>
                </c:pt>
                <c:pt idx="114">
                  <c:v>61.656555164116313</c:v>
                </c:pt>
                <c:pt idx="115">
                  <c:v>61.586090638730809</c:v>
                </c:pt>
                <c:pt idx="116">
                  <c:v>61.518146225833725</c:v>
                </c:pt>
                <c:pt idx="117">
                  <c:v>61.467593322610348</c:v>
                </c:pt>
                <c:pt idx="118">
                  <c:v>61.434137973805747</c:v>
                </c:pt>
                <c:pt idx="119">
                  <c:v>61.405615356435881</c:v>
                </c:pt>
                <c:pt idx="120">
                  <c:v>61.370215282374154</c:v>
                </c:pt>
                <c:pt idx="121">
                  <c:v>61.33557652822914</c:v>
                </c:pt>
                <c:pt idx="122">
                  <c:v>61.311614596808909</c:v>
                </c:pt>
                <c:pt idx="123">
                  <c:v>61.284862484840431</c:v>
                </c:pt>
                <c:pt idx="124">
                  <c:v>61.246479635036287</c:v>
                </c:pt>
                <c:pt idx="125">
                  <c:v>61.188694103223838</c:v>
                </c:pt>
                <c:pt idx="126">
                  <c:v>61.133725938876417</c:v>
                </c:pt>
                <c:pt idx="127">
                  <c:v>61.070124535499673</c:v>
                </c:pt>
                <c:pt idx="128">
                  <c:v>61.004570514499044</c:v>
                </c:pt>
                <c:pt idx="129">
                  <c:v>60.938937205379915</c:v>
                </c:pt>
                <c:pt idx="130">
                  <c:v>60.871903311364285</c:v>
                </c:pt>
                <c:pt idx="131">
                  <c:v>60.793302950503659</c:v>
                </c:pt>
                <c:pt idx="132">
                  <c:v>60.670735910827013</c:v>
                </c:pt>
                <c:pt idx="133">
                  <c:v>60.536061545623944</c:v>
                </c:pt>
                <c:pt idx="134">
                  <c:v>60.393616381440154</c:v>
                </c:pt>
                <c:pt idx="135">
                  <c:v>60.246372701879949</c:v>
                </c:pt>
                <c:pt idx="136">
                  <c:v>60.091689014215021</c:v>
                </c:pt>
                <c:pt idx="137">
                  <c:v>59.934098062606608</c:v>
                </c:pt>
                <c:pt idx="138">
                  <c:v>59.771773034694853</c:v>
                </c:pt>
                <c:pt idx="139">
                  <c:v>59.604239049865882</c:v>
                </c:pt>
                <c:pt idx="140">
                  <c:v>59.485408303600629</c:v>
                </c:pt>
                <c:pt idx="141">
                  <c:v>59.332056505485816</c:v>
                </c:pt>
                <c:pt idx="142">
                  <c:v>59.166861077086295</c:v>
                </c:pt>
                <c:pt idx="143">
                  <c:v>58.986787150639252</c:v>
                </c:pt>
                <c:pt idx="144">
                  <c:v>58.859650176393153</c:v>
                </c:pt>
                <c:pt idx="145">
                  <c:v>58.699219097706425</c:v>
                </c:pt>
                <c:pt idx="146">
                  <c:v>58.556922817494993</c:v>
                </c:pt>
                <c:pt idx="147">
                  <c:v>58.414205775402436</c:v>
                </c:pt>
                <c:pt idx="148">
                  <c:v>58.268927887026457</c:v>
                </c:pt>
                <c:pt idx="149">
                  <c:v>58.110886101278162</c:v>
                </c:pt>
                <c:pt idx="150">
                  <c:v>57.969868262507099</c:v>
                </c:pt>
                <c:pt idx="151">
                  <c:v>57.818115138054871</c:v>
                </c:pt>
                <c:pt idx="152">
                  <c:v>57.646450295748998</c:v>
                </c:pt>
                <c:pt idx="153">
                  <c:v>57.425938072680481</c:v>
                </c:pt>
                <c:pt idx="154">
                  <c:v>57.164386468829242</c:v>
                </c:pt>
                <c:pt idx="155">
                  <c:v>56.907979518558662</c:v>
                </c:pt>
                <c:pt idx="156">
                  <c:v>56.644783335348095</c:v>
                </c:pt>
                <c:pt idx="157">
                  <c:v>56.38891634885298</c:v>
                </c:pt>
                <c:pt idx="158">
                  <c:v>56.116967816391906</c:v>
                </c:pt>
                <c:pt idx="159">
                  <c:v>55.831972158273146</c:v>
                </c:pt>
                <c:pt idx="160">
                  <c:v>55.545088036354883</c:v>
                </c:pt>
                <c:pt idx="161">
                  <c:v>55.223390314614363</c:v>
                </c:pt>
                <c:pt idx="162">
                  <c:v>54.897977479379243</c:v>
                </c:pt>
                <c:pt idx="163">
                  <c:v>54.569710830594644</c:v>
                </c:pt>
                <c:pt idx="164">
                  <c:v>54.238607985861329</c:v>
                </c:pt>
                <c:pt idx="165">
                  <c:v>53.891823243458639</c:v>
                </c:pt>
                <c:pt idx="166">
                  <c:v>53.558754824219534</c:v>
                </c:pt>
                <c:pt idx="167">
                  <c:v>53.225407728105026</c:v>
                </c:pt>
                <c:pt idx="168">
                  <c:v>52.903777212894077</c:v>
                </c:pt>
                <c:pt idx="169">
                  <c:v>52.571924938552627</c:v>
                </c:pt>
                <c:pt idx="170">
                  <c:v>52.244623311092397</c:v>
                </c:pt>
                <c:pt idx="171">
                  <c:v>51.908271406400672</c:v>
                </c:pt>
                <c:pt idx="172">
                  <c:v>51.541678587235552</c:v>
                </c:pt>
                <c:pt idx="173">
                  <c:v>51.168517481633025</c:v>
                </c:pt>
                <c:pt idx="174">
                  <c:v>50.956620873612302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A1C-4AD1-A601-5D32464E8DD2}"/>
            </c:ext>
          </c:extLst>
        </c:ser>
        <c:ser>
          <c:idx val="11"/>
          <c:order val="11"/>
          <c:tx>
            <c:strRef>
              <c:f>data_ghg_incLUC!$O$2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data_ghg_incLUC!$O$3:$O$177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A1C-4AD1-A601-5D32464E8DD2}"/>
            </c:ext>
          </c:extLst>
        </c:ser>
        <c:ser>
          <c:idx val="12"/>
          <c:order val="12"/>
          <c:tx>
            <c:strRef>
              <c:f>data_ghg_incLUC!$P$2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data_ghg_incLUC!$P$3:$P$177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A1C-4AD1-A601-5D32464E8DD2}"/>
            </c:ext>
          </c:extLst>
        </c:ser>
        <c:ser>
          <c:idx val="13"/>
          <c:order val="13"/>
          <c:tx>
            <c:strRef>
              <c:f>data_ghg_incLUC!$R$2</c:f>
              <c:strCache>
                <c:ptCount val="1"/>
                <c:pt idx="0">
                  <c:v>Annex II GMST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data_ghg_incLUC!$R$3:$R$177</c:f>
              <c:numCache>
                <c:formatCode>0.0</c:formatCode>
                <c:ptCount val="175"/>
                <c:pt idx="1">
                  <c:v>39.591999999999999</c:v>
                </c:pt>
                <c:pt idx="2">
                  <c:v>39.462000000000003</c:v>
                </c:pt>
                <c:pt idx="3">
                  <c:v>39.752000000000002</c:v>
                </c:pt>
                <c:pt idx="4">
                  <c:v>40.186</c:v>
                </c:pt>
                <c:pt idx="5">
                  <c:v>40.423999999999999</c:v>
                </c:pt>
                <c:pt idx="6">
                  <c:v>40.637</c:v>
                </c:pt>
                <c:pt idx="7">
                  <c:v>40.802</c:v>
                </c:pt>
                <c:pt idx="8">
                  <c:v>40.972999999999999</c:v>
                </c:pt>
                <c:pt idx="9">
                  <c:v>41.18</c:v>
                </c:pt>
                <c:pt idx="10">
                  <c:v>41.52</c:v>
                </c:pt>
                <c:pt idx="11">
                  <c:v>41.801000000000002</c:v>
                </c:pt>
                <c:pt idx="12">
                  <c:v>42.097000000000001</c:v>
                </c:pt>
                <c:pt idx="13">
                  <c:v>42.405000000000001</c:v>
                </c:pt>
                <c:pt idx="14">
                  <c:v>42.661999999999999</c:v>
                </c:pt>
                <c:pt idx="15">
                  <c:v>42.926000000000002</c:v>
                </c:pt>
                <c:pt idx="16">
                  <c:v>43.156999999999996</c:v>
                </c:pt>
                <c:pt idx="17">
                  <c:v>43.427999999999997</c:v>
                </c:pt>
                <c:pt idx="18">
                  <c:v>43.673999999999999</c:v>
                </c:pt>
                <c:pt idx="19">
                  <c:v>43.9</c:v>
                </c:pt>
                <c:pt idx="20">
                  <c:v>44.192999999999998</c:v>
                </c:pt>
                <c:pt idx="21">
                  <c:v>44.552</c:v>
                </c:pt>
                <c:pt idx="22">
                  <c:v>44.906999999999996</c:v>
                </c:pt>
                <c:pt idx="23">
                  <c:v>45.293999999999997</c:v>
                </c:pt>
                <c:pt idx="24">
                  <c:v>45.593000000000004</c:v>
                </c:pt>
                <c:pt idx="25">
                  <c:v>45.917999999999999</c:v>
                </c:pt>
                <c:pt idx="26">
                  <c:v>46.207000000000001</c:v>
                </c:pt>
                <c:pt idx="27">
                  <c:v>46.48</c:v>
                </c:pt>
                <c:pt idx="28">
                  <c:v>46.731999999999999</c:v>
                </c:pt>
                <c:pt idx="29">
                  <c:v>46.991</c:v>
                </c:pt>
                <c:pt idx="30">
                  <c:v>47.192999999999998</c:v>
                </c:pt>
                <c:pt idx="31">
                  <c:v>47.337000000000003</c:v>
                </c:pt>
                <c:pt idx="32">
                  <c:v>47.470999999999997</c:v>
                </c:pt>
                <c:pt idx="33">
                  <c:v>47.606000000000002</c:v>
                </c:pt>
                <c:pt idx="34">
                  <c:v>47.706000000000003</c:v>
                </c:pt>
                <c:pt idx="35">
                  <c:v>47.771999999999998</c:v>
                </c:pt>
                <c:pt idx="36">
                  <c:v>47.826999999999998</c:v>
                </c:pt>
                <c:pt idx="37">
                  <c:v>47.89</c:v>
                </c:pt>
                <c:pt idx="38">
                  <c:v>47.978000000000002</c:v>
                </c:pt>
                <c:pt idx="39">
                  <c:v>48.024999999999999</c:v>
                </c:pt>
                <c:pt idx="40">
                  <c:v>48.076000000000001</c:v>
                </c:pt>
                <c:pt idx="41">
                  <c:v>48.127000000000002</c:v>
                </c:pt>
                <c:pt idx="42">
                  <c:v>48.167000000000002</c:v>
                </c:pt>
                <c:pt idx="43">
                  <c:v>48.189</c:v>
                </c:pt>
                <c:pt idx="44">
                  <c:v>48.213999999999999</c:v>
                </c:pt>
                <c:pt idx="45">
                  <c:v>48.25</c:v>
                </c:pt>
                <c:pt idx="46">
                  <c:v>48.295000000000002</c:v>
                </c:pt>
                <c:pt idx="47">
                  <c:v>48.34</c:v>
                </c:pt>
                <c:pt idx="48">
                  <c:v>48.4</c:v>
                </c:pt>
                <c:pt idx="49">
                  <c:v>48.485999999999997</c:v>
                </c:pt>
                <c:pt idx="50">
                  <c:v>48.567</c:v>
                </c:pt>
                <c:pt idx="51">
                  <c:v>48.616999999999997</c:v>
                </c:pt>
                <c:pt idx="52">
                  <c:v>48.668999999999997</c:v>
                </c:pt>
                <c:pt idx="53">
                  <c:v>48.747</c:v>
                </c:pt>
                <c:pt idx="54">
                  <c:v>48.813000000000002</c:v>
                </c:pt>
                <c:pt idx="55">
                  <c:v>48.905000000000001</c:v>
                </c:pt>
                <c:pt idx="56">
                  <c:v>48.991999999999997</c:v>
                </c:pt>
                <c:pt idx="57">
                  <c:v>49.128</c:v>
                </c:pt>
                <c:pt idx="58">
                  <c:v>49.213000000000001</c:v>
                </c:pt>
                <c:pt idx="59">
                  <c:v>49.308</c:v>
                </c:pt>
                <c:pt idx="60">
                  <c:v>49.43</c:v>
                </c:pt>
                <c:pt idx="61">
                  <c:v>49.545999999999999</c:v>
                </c:pt>
                <c:pt idx="62">
                  <c:v>49.668999999999997</c:v>
                </c:pt>
                <c:pt idx="63">
                  <c:v>49.828000000000003</c:v>
                </c:pt>
                <c:pt idx="64">
                  <c:v>49.929000000000002</c:v>
                </c:pt>
                <c:pt idx="65">
                  <c:v>50.015999999999998</c:v>
                </c:pt>
                <c:pt idx="66">
                  <c:v>50.122999999999998</c:v>
                </c:pt>
                <c:pt idx="67">
                  <c:v>50.25</c:v>
                </c:pt>
                <c:pt idx="68">
                  <c:v>50.393999999999998</c:v>
                </c:pt>
                <c:pt idx="69">
                  <c:v>50.476999999999997</c:v>
                </c:pt>
                <c:pt idx="70">
                  <c:v>50.561999999999998</c:v>
                </c:pt>
                <c:pt idx="71">
                  <c:v>50.552999999999997</c:v>
                </c:pt>
                <c:pt idx="72">
                  <c:v>50.557000000000002</c:v>
                </c:pt>
                <c:pt idx="73">
                  <c:v>50.593000000000004</c:v>
                </c:pt>
                <c:pt idx="74">
                  <c:v>50.622</c:v>
                </c:pt>
                <c:pt idx="75">
                  <c:v>50.631999999999998</c:v>
                </c:pt>
                <c:pt idx="76">
                  <c:v>50.610999999999997</c:v>
                </c:pt>
                <c:pt idx="77">
                  <c:v>50.603999999999999</c:v>
                </c:pt>
                <c:pt idx="78">
                  <c:v>50.582999999999998</c:v>
                </c:pt>
                <c:pt idx="79">
                  <c:v>50.573</c:v>
                </c:pt>
                <c:pt idx="80">
                  <c:v>50.488999999999997</c:v>
                </c:pt>
                <c:pt idx="81">
                  <c:v>50.338999999999999</c:v>
                </c:pt>
                <c:pt idx="82">
                  <c:v>50.13</c:v>
                </c:pt>
                <c:pt idx="83">
                  <c:v>49.923999999999999</c:v>
                </c:pt>
                <c:pt idx="84">
                  <c:v>49.737000000000002</c:v>
                </c:pt>
                <c:pt idx="85">
                  <c:v>49.552</c:v>
                </c:pt>
                <c:pt idx="86">
                  <c:v>49.372999999999998</c:v>
                </c:pt>
                <c:pt idx="87">
                  <c:v>49.204000000000001</c:v>
                </c:pt>
                <c:pt idx="88">
                  <c:v>48.993000000000002</c:v>
                </c:pt>
                <c:pt idx="89">
                  <c:v>48.81</c:v>
                </c:pt>
                <c:pt idx="90">
                  <c:v>48.606000000000002</c:v>
                </c:pt>
                <c:pt idx="91">
                  <c:v>48.442</c:v>
                </c:pt>
                <c:pt idx="92">
                  <c:v>48.311</c:v>
                </c:pt>
                <c:pt idx="93">
                  <c:v>48.17</c:v>
                </c:pt>
                <c:pt idx="94">
                  <c:v>48.027999999999999</c:v>
                </c:pt>
                <c:pt idx="95">
                  <c:v>47.85</c:v>
                </c:pt>
                <c:pt idx="96">
                  <c:v>47.680999999999997</c:v>
                </c:pt>
                <c:pt idx="97">
                  <c:v>47.545999999999999</c:v>
                </c:pt>
                <c:pt idx="98">
                  <c:v>47.444000000000003</c:v>
                </c:pt>
                <c:pt idx="99">
                  <c:v>47.304000000000002</c:v>
                </c:pt>
                <c:pt idx="100">
                  <c:v>47.158999999999999</c:v>
                </c:pt>
                <c:pt idx="101">
                  <c:v>47.012</c:v>
                </c:pt>
                <c:pt idx="102">
                  <c:v>46.866999999999997</c:v>
                </c:pt>
                <c:pt idx="103">
                  <c:v>46.716000000000001</c:v>
                </c:pt>
                <c:pt idx="104">
                  <c:v>46.533999999999999</c:v>
                </c:pt>
                <c:pt idx="105">
                  <c:v>46.353000000000002</c:v>
                </c:pt>
                <c:pt idx="106">
                  <c:v>46.176000000000002</c:v>
                </c:pt>
                <c:pt idx="107">
                  <c:v>45.976999999999997</c:v>
                </c:pt>
                <c:pt idx="108">
                  <c:v>45.762999999999998</c:v>
                </c:pt>
                <c:pt idx="109">
                  <c:v>45.5</c:v>
                </c:pt>
                <c:pt idx="110">
                  <c:v>45.292000000000002</c:v>
                </c:pt>
                <c:pt idx="111">
                  <c:v>45.094000000000001</c:v>
                </c:pt>
                <c:pt idx="112">
                  <c:v>44.933</c:v>
                </c:pt>
                <c:pt idx="113">
                  <c:v>44.783000000000001</c:v>
                </c:pt>
                <c:pt idx="114">
                  <c:v>44.655000000000001</c:v>
                </c:pt>
                <c:pt idx="115">
                  <c:v>44.539000000000001</c:v>
                </c:pt>
                <c:pt idx="116">
                  <c:v>44.427999999999997</c:v>
                </c:pt>
                <c:pt idx="117">
                  <c:v>44.347999999999999</c:v>
                </c:pt>
                <c:pt idx="118">
                  <c:v>44.280999999999999</c:v>
                </c:pt>
                <c:pt idx="119">
                  <c:v>44.182000000000002</c:v>
                </c:pt>
                <c:pt idx="120">
                  <c:v>44.058</c:v>
                </c:pt>
                <c:pt idx="121">
                  <c:v>43.945999999999998</c:v>
                </c:pt>
                <c:pt idx="122">
                  <c:v>43.823</c:v>
                </c:pt>
                <c:pt idx="123">
                  <c:v>43.697000000000003</c:v>
                </c:pt>
                <c:pt idx="124">
                  <c:v>43.564</c:v>
                </c:pt>
                <c:pt idx="125">
                  <c:v>43.414999999999999</c:v>
                </c:pt>
                <c:pt idx="126">
                  <c:v>43.271000000000001</c:v>
                </c:pt>
                <c:pt idx="127">
                  <c:v>43.113</c:v>
                </c:pt>
                <c:pt idx="128">
                  <c:v>42.948</c:v>
                </c:pt>
                <c:pt idx="129">
                  <c:v>42.814</c:v>
                </c:pt>
                <c:pt idx="130">
                  <c:v>42.68</c:v>
                </c:pt>
                <c:pt idx="131">
                  <c:v>42.552</c:v>
                </c:pt>
                <c:pt idx="132">
                  <c:v>42.402999999999999</c:v>
                </c:pt>
                <c:pt idx="133">
                  <c:v>42.237000000000002</c:v>
                </c:pt>
                <c:pt idx="134">
                  <c:v>42.055999999999997</c:v>
                </c:pt>
                <c:pt idx="135">
                  <c:v>41.863999999999997</c:v>
                </c:pt>
                <c:pt idx="136">
                  <c:v>41.664000000000001</c:v>
                </c:pt>
                <c:pt idx="137">
                  <c:v>41.463999999999999</c:v>
                </c:pt>
                <c:pt idx="138">
                  <c:v>41.264000000000003</c:v>
                </c:pt>
                <c:pt idx="139">
                  <c:v>41.07</c:v>
                </c:pt>
                <c:pt idx="140">
                  <c:v>40.906999999999996</c:v>
                </c:pt>
                <c:pt idx="141">
                  <c:v>40.744999999999997</c:v>
                </c:pt>
                <c:pt idx="142">
                  <c:v>40.600999999999999</c:v>
                </c:pt>
                <c:pt idx="143">
                  <c:v>40.472000000000001</c:v>
                </c:pt>
                <c:pt idx="144">
                  <c:v>40.33</c:v>
                </c:pt>
                <c:pt idx="145">
                  <c:v>40.192</c:v>
                </c:pt>
                <c:pt idx="146">
                  <c:v>40.052</c:v>
                </c:pt>
                <c:pt idx="147">
                  <c:v>39.898000000000003</c:v>
                </c:pt>
                <c:pt idx="148">
                  <c:v>39.780999999999999</c:v>
                </c:pt>
                <c:pt idx="149">
                  <c:v>39.667999999999999</c:v>
                </c:pt>
                <c:pt idx="150">
                  <c:v>39.552999999999997</c:v>
                </c:pt>
                <c:pt idx="151">
                  <c:v>39.432000000000002</c:v>
                </c:pt>
                <c:pt idx="152">
                  <c:v>39.299999999999997</c:v>
                </c:pt>
                <c:pt idx="153">
                  <c:v>39.134999999999998</c:v>
                </c:pt>
                <c:pt idx="154">
                  <c:v>38.975000000000001</c:v>
                </c:pt>
                <c:pt idx="155">
                  <c:v>38.802</c:v>
                </c:pt>
                <c:pt idx="156">
                  <c:v>38.606999999999999</c:v>
                </c:pt>
                <c:pt idx="157">
                  <c:v>38.421999999999997</c:v>
                </c:pt>
                <c:pt idx="158">
                  <c:v>38.225000000000001</c:v>
                </c:pt>
                <c:pt idx="159">
                  <c:v>38.002000000000002</c:v>
                </c:pt>
                <c:pt idx="160">
                  <c:v>37.774999999999999</c:v>
                </c:pt>
                <c:pt idx="161">
                  <c:v>37.518999999999998</c:v>
                </c:pt>
                <c:pt idx="162">
                  <c:v>37.252000000000002</c:v>
                </c:pt>
                <c:pt idx="163">
                  <c:v>36.991</c:v>
                </c:pt>
                <c:pt idx="164">
                  <c:v>36.732999999999997</c:v>
                </c:pt>
                <c:pt idx="165">
                  <c:v>36.479999999999997</c:v>
                </c:pt>
                <c:pt idx="166">
                  <c:v>36.241999999999997</c:v>
                </c:pt>
                <c:pt idx="167">
                  <c:v>36.003999999999998</c:v>
                </c:pt>
                <c:pt idx="168">
                  <c:v>35.768000000000001</c:v>
                </c:pt>
                <c:pt idx="169">
                  <c:v>35.524000000000001</c:v>
                </c:pt>
                <c:pt idx="170">
                  <c:v>35.279000000000003</c:v>
                </c:pt>
                <c:pt idx="171">
                  <c:v>35.036000000000001</c:v>
                </c:pt>
                <c:pt idx="172">
                  <c:v>34.784999999999997</c:v>
                </c:pt>
                <c:pt idx="173">
                  <c:v>34.536999999999999</c:v>
                </c:pt>
                <c:pt idx="174">
                  <c:v>34.289000000000001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A1C-4AD1-A601-5D32464E8DD2}"/>
            </c:ext>
          </c:extLst>
        </c:ser>
        <c:ser>
          <c:idx val="14"/>
          <c:order val="14"/>
          <c:tx>
            <c:strRef>
              <c:f>data_ghg_incLUC!$S$2</c:f>
              <c:strCache>
                <c:ptCount val="1"/>
                <c:pt idx="0">
                  <c:v>Annex I GMST</c:v>
                </c:pt>
              </c:strCache>
            </c:strRef>
          </c:tx>
          <c:spPr>
            <a:ln w="317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data_ghg_incLUC!$S$3:$S$177</c:f>
              <c:numCache>
                <c:formatCode>0.0</c:formatCode>
                <c:ptCount val="175"/>
                <c:pt idx="1">
                  <c:v>58.146000000000001</c:v>
                </c:pt>
                <c:pt idx="2">
                  <c:v>58.249000000000002</c:v>
                </c:pt>
                <c:pt idx="3">
                  <c:v>58.375999999999998</c:v>
                </c:pt>
                <c:pt idx="4">
                  <c:v>58.776000000000003</c:v>
                </c:pt>
                <c:pt idx="5">
                  <c:v>58.975000000000001</c:v>
                </c:pt>
                <c:pt idx="6">
                  <c:v>59.167999999999999</c:v>
                </c:pt>
                <c:pt idx="7">
                  <c:v>59.33</c:v>
                </c:pt>
                <c:pt idx="8">
                  <c:v>59.500999999999998</c:v>
                </c:pt>
                <c:pt idx="9">
                  <c:v>59.695</c:v>
                </c:pt>
                <c:pt idx="10">
                  <c:v>60.043999999999997</c:v>
                </c:pt>
                <c:pt idx="11">
                  <c:v>60.384999999999998</c:v>
                </c:pt>
                <c:pt idx="12">
                  <c:v>60.75</c:v>
                </c:pt>
                <c:pt idx="13">
                  <c:v>61.095999999999997</c:v>
                </c:pt>
                <c:pt idx="14">
                  <c:v>61.436</c:v>
                </c:pt>
                <c:pt idx="15">
                  <c:v>61.762999999999998</c:v>
                </c:pt>
                <c:pt idx="16">
                  <c:v>62.098999999999997</c:v>
                </c:pt>
                <c:pt idx="17">
                  <c:v>62.411000000000001</c:v>
                </c:pt>
                <c:pt idx="18">
                  <c:v>62.716000000000001</c:v>
                </c:pt>
                <c:pt idx="19">
                  <c:v>63.003</c:v>
                </c:pt>
                <c:pt idx="20">
                  <c:v>63.354999999999997</c:v>
                </c:pt>
                <c:pt idx="21">
                  <c:v>63.716000000000001</c:v>
                </c:pt>
                <c:pt idx="22">
                  <c:v>64.070999999999998</c:v>
                </c:pt>
                <c:pt idx="23">
                  <c:v>64.424999999999997</c:v>
                </c:pt>
                <c:pt idx="24">
                  <c:v>64.73</c:v>
                </c:pt>
                <c:pt idx="25">
                  <c:v>65.031999999999996</c:v>
                </c:pt>
                <c:pt idx="26">
                  <c:v>65.313000000000002</c:v>
                </c:pt>
                <c:pt idx="27">
                  <c:v>65.569000000000003</c:v>
                </c:pt>
                <c:pt idx="28">
                  <c:v>65.813000000000002</c:v>
                </c:pt>
                <c:pt idx="29">
                  <c:v>66.06</c:v>
                </c:pt>
                <c:pt idx="30">
                  <c:v>66.245999999999995</c:v>
                </c:pt>
                <c:pt idx="31">
                  <c:v>66.376999999999995</c:v>
                </c:pt>
                <c:pt idx="32">
                  <c:v>66.489999999999995</c:v>
                </c:pt>
                <c:pt idx="33">
                  <c:v>66.602999999999994</c:v>
                </c:pt>
                <c:pt idx="34">
                  <c:v>66.697000000000003</c:v>
                </c:pt>
                <c:pt idx="35">
                  <c:v>66.769000000000005</c:v>
                </c:pt>
                <c:pt idx="36">
                  <c:v>66.822000000000003</c:v>
                </c:pt>
                <c:pt idx="37">
                  <c:v>66.864000000000004</c:v>
                </c:pt>
                <c:pt idx="38">
                  <c:v>66.927999999999997</c:v>
                </c:pt>
                <c:pt idx="39">
                  <c:v>66.959999999999994</c:v>
                </c:pt>
                <c:pt idx="40">
                  <c:v>67.013000000000005</c:v>
                </c:pt>
                <c:pt idx="41">
                  <c:v>67.066999999999993</c:v>
                </c:pt>
                <c:pt idx="42">
                  <c:v>67.117999999999995</c:v>
                </c:pt>
                <c:pt idx="43">
                  <c:v>67.156000000000006</c:v>
                </c:pt>
                <c:pt idx="44">
                  <c:v>67.203000000000003</c:v>
                </c:pt>
                <c:pt idx="45">
                  <c:v>67.251000000000005</c:v>
                </c:pt>
                <c:pt idx="46">
                  <c:v>67.301000000000002</c:v>
                </c:pt>
                <c:pt idx="47">
                  <c:v>67.353999999999999</c:v>
                </c:pt>
                <c:pt idx="48">
                  <c:v>67.423000000000002</c:v>
                </c:pt>
                <c:pt idx="49">
                  <c:v>67.507999999999996</c:v>
                </c:pt>
                <c:pt idx="50">
                  <c:v>67.597999999999999</c:v>
                </c:pt>
                <c:pt idx="51">
                  <c:v>67.671000000000006</c:v>
                </c:pt>
                <c:pt idx="52">
                  <c:v>67.742999999999995</c:v>
                </c:pt>
                <c:pt idx="53">
                  <c:v>67.834999999999994</c:v>
                </c:pt>
                <c:pt idx="54">
                  <c:v>67.92</c:v>
                </c:pt>
                <c:pt idx="55">
                  <c:v>68.027000000000001</c:v>
                </c:pt>
                <c:pt idx="56">
                  <c:v>68.13</c:v>
                </c:pt>
                <c:pt idx="57">
                  <c:v>68.274000000000001</c:v>
                </c:pt>
                <c:pt idx="58">
                  <c:v>68.387</c:v>
                </c:pt>
                <c:pt idx="59">
                  <c:v>68.509</c:v>
                </c:pt>
                <c:pt idx="60">
                  <c:v>68.581999999999994</c:v>
                </c:pt>
                <c:pt idx="61">
                  <c:v>68.626000000000005</c:v>
                </c:pt>
                <c:pt idx="62">
                  <c:v>68.673000000000002</c:v>
                </c:pt>
                <c:pt idx="63">
                  <c:v>68.724999999999994</c:v>
                </c:pt>
                <c:pt idx="64">
                  <c:v>68.716999999999999</c:v>
                </c:pt>
                <c:pt idx="65">
                  <c:v>68.685000000000002</c:v>
                </c:pt>
                <c:pt idx="66">
                  <c:v>68.667000000000002</c:v>
                </c:pt>
                <c:pt idx="67">
                  <c:v>68.641999999999996</c:v>
                </c:pt>
                <c:pt idx="68">
                  <c:v>68.593999999999994</c:v>
                </c:pt>
                <c:pt idx="69">
                  <c:v>68.480999999999995</c:v>
                </c:pt>
                <c:pt idx="70">
                  <c:v>68.38</c:v>
                </c:pt>
                <c:pt idx="71">
                  <c:v>68.215999999999994</c:v>
                </c:pt>
                <c:pt idx="72">
                  <c:v>68.063000000000002</c:v>
                </c:pt>
                <c:pt idx="73">
                  <c:v>67.932000000000002</c:v>
                </c:pt>
                <c:pt idx="74">
                  <c:v>67.790000000000006</c:v>
                </c:pt>
                <c:pt idx="75">
                  <c:v>67.647999999999996</c:v>
                </c:pt>
                <c:pt idx="76">
                  <c:v>67.494</c:v>
                </c:pt>
                <c:pt idx="77">
                  <c:v>67.355000000000004</c:v>
                </c:pt>
                <c:pt idx="78">
                  <c:v>67.209999999999994</c:v>
                </c:pt>
                <c:pt idx="79">
                  <c:v>67.082999999999998</c:v>
                </c:pt>
                <c:pt idx="80">
                  <c:v>66.935000000000002</c:v>
                </c:pt>
                <c:pt idx="81">
                  <c:v>66.759</c:v>
                </c:pt>
                <c:pt idx="82">
                  <c:v>66.545000000000002</c:v>
                </c:pt>
                <c:pt idx="83">
                  <c:v>66.337999999999994</c:v>
                </c:pt>
                <c:pt idx="84">
                  <c:v>66.153999999999996</c:v>
                </c:pt>
                <c:pt idx="85">
                  <c:v>65.984999999999999</c:v>
                </c:pt>
                <c:pt idx="86">
                  <c:v>65.832999999999998</c:v>
                </c:pt>
                <c:pt idx="87">
                  <c:v>65.69</c:v>
                </c:pt>
                <c:pt idx="88">
                  <c:v>65.531000000000006</c:v>
                </c:pt>
                <c:pt idx="89">
                  <c:v>65.394999999999996</c:v>
                </c:pt>
                <c:pt idx="90">
                  <c:v>65.222999999999999</c:v>
                </c:pt>
                <c:pt idx="91">
                  <c:v>65.042000000000002</c:v>
                </c:pt>
                <c:pt idx="92">
                  <c:v>64.849000000000004</c:v>
                </c:pt>
                <c:pt idx="93">
                  <c:v>64.644000000000005</c:v>
                </c:pt>
                <c:pt idx="94">
                  <c:v>64.432000000000002</c:v>
                </c:pt>
                <c:pt idx="95">
                  <c:v>64.165000000000006</c:v>
                </c:pt>
                <c:pt idx="96">
                  <c:v>63.901000000000003</c:v>
                </c:pt>
                <c:pt idx="97">
                  <c:v>63.662999999999997</c:v>
                </c:pt>
                <c:pt idx="98">
                  <c:v>63.451000000000001</c:v>
                </c:pt>
                <c:pt idx="99">
                  <c:v>63.216000000000001</c:v>
                </c:pt>
                <c:pt idx="100">
                  <c:v>62.972999999999999</c:v>
                </c:pt>
                <c:pt idx="101">
                  <c:v>62.726999999999997</c:v>
                </c:pt>
                <c:pt idx="102">
                  <c:v>62.497</c:v>
                </c:pt>
                <c:pt idx="103">
                  <c:v>62.271999999999998</c:v>
                </c:pt>
                <c:pt idx="104">
                  <c:v>62.024999999999999</c:v>
                </c:pt>
                <c:pt idx="105">
                  <c:v>61.781999999999996</c:v>
                </c:pt>
                <c:pt idx="106">
                  <c:v>61.552999999999997</c:v>
                </c:pt>
                <c:pt idx="107">
                  <c:v>61.314999999999998</c:v>
                </c:pt>
                <c:pt idx="108">
                  <c:v>61.069000000000003</c:v>
                </c:pt>
                <c:pt idx="109">
                  <c:v>60.792999999999999</c:v>
                </c:pt>
                <c:pt idx="110">
                  <c:v>60.554000000000002</c:v>
                </c:pt>
                <c:pt idx="111">
                  <c:v>60.338000000000001</c:v>
                </c:pt>
                <c:pt idx="112">
                  <c:v>60.158999999999999</c:v>
                </c:pt>
                <c:pt idx="113">
                  <c:v>59.997</c:v>
                </c:pt>
                <c:pt idx="114">
                  <c:v>59.856000000000002</c:v>
                </c:pt>
                <c:pt idx="115">
                  <c:v>59.734000000000002</c:v>
                </c:pt>
                <c:pt idx="116">
                  <c:v>59.613999999999997</c:v>
                </c:pt>
                <c:pt idx="117">
                  <c:v>59.524999999999999</c:v>
                </c:pt>
                <c:pt idx="118">
                  <c:v>59.448999999999998</c:v>
                </c:pt>
                <c:pt idx="119">
                  <c:v>59.317999999999998</c:v>
                </c:pt>
                <c:pt idx="120">
                  <c:v>59.167999999999999</c:v>
                </c:pt>
                <c:pt idx="121">
                  <c:v>59.036999999999999</c:v>
                </c:pt>
                <c:pt idx="122">
                  <c:v>58.892000000000003</c:v>
                </c:pt>
                <c:pt idx="123">
                  <c:v>58.747999999999998</c:v>
                </c:pt>
                <c:pt idx="124">
                  <c:v>58.609000000000002</c:v>
                </c:pt>
                <c:pt idx="125">
                  <c:v>58.469000000000001</c:v>
                </c:pt>
                <c:pt idx="126">
                  <c:v>58.338000000000001</c:v>
                </c:pt>
                <c:pt idx="127">
                  <c:v>58.189</c:v>
                </c:pt>
                <c:pt idx="128">
                  <c:v>58.04</c:v>
                </c:pt>
                <c:pt idx="129">
                  <c:v>57.923000000000002</c:v>
                </c:pt>
                <c:pt idx="130">
                  <c:v>57.823</c:v>
                </c:pt>
                <c:pt idx="131">
                  <c:v>57.723999999999997</c:v>
                </c:pt>
                <c:pt idx="132">
                  <c:v>57.612000000000002</c:v>
                </c:pt>
                <c:pt idx="133">
                  <c:v>57.481999999999999</c:v>
                </c:pt>
                <c:pt idx="134">
                  <c:v>57.332999999999998</c:v>
                </c:pt>
                <c:pt idx="135">
                  <c:v>57.177</c:v>
                </c:pt>
                <c:pt idx="136">
                  <c:v>57.015000000000001</c:v>
                </c:pt>
                <c:pt idx="137">
                  <c:v>56.848999999999997</c:v>
                </c:pt>
                <c:pt idx="138">
                  <c:v>56.680999999999997</c:v>
                </c:pt>
                <c:pt idx="139">
                  <c:v>56.508000000000003</c:v>
                </c:pt>
                <c:pt idx="140">
                  <c:v>56.366</c:v>
                </c:pt>
                <c:pt idx="141">
                  <c:v>56.195999999999998</c:v>
                </c:pt>
                <c:pt idx="142">
                  <c:v>56.006999999999998</c:v>
                </c:pt>
                <c:pt idx="143">
                  <c:v>55.817</c:v>
                </c:pt>
                <c:pt idx="144">
                  <c:v>55.573999999999998</c:v>
                </c:pt>
                <c:pt idx="145">
                  <c:v>55.325000000000003</c:v>
                </c:pt>
                <c:pt idx="146">
                  <c:v>55.076999999999998</c:v>
                </c:pt>
                <c:pt idx="147">
                  <c:v>54.783999999999999</c:v>
                </c:pt>
                <c:pt idx="148">
                  <c:v>54.531999999999996</c:v>
                </c:pt>
                <c:pt idx="149">
                  <c:v>54.284999999999997</c:v>
                </c:pt>
                <c:pt idx="150">
                  <c:v>54.030999999999999</c:v>
                </c:pt>
                <c:pt idx="151">
                  <c:v>53.777999999999999</c:v>
                </c:pt>
                <c:pt idx="152">
                  <c:v>53.506</c:v>
                </c:pt>
                <c:pt idx="153">
                  <c:v>53.195999999999998</c:v>
                </c:pt>
                <c:pt idx="154">
                  <c:v>52.89</c:v>
                </c:pt>
                <c:pt idx="155">
                  <c:v>52.576000000000001</c:v>
                </c:pt>
                <c:pt idx="156">
                  <c:v>52.243000000000002</c:v>
                </c:pt>
                <c:pt idx="157">
                  <c:v>51.927999999999997</c:v>
                </c:pt>
                <c:pt idx="158">
                  <c:v>51.598999999999997</c:v>
                </c:pt>
                <c:pt idx="159">
                  <c:v>51.252000000000002</c:v>
                </c:pt>
                <c:pt idx="160">
                  <c:v>50.906999999999996</c:v>
                </c:pt>
                <c:pt idx="161">
                  <c:v>50.53</c:v>
                </c:pt>
                <c:pt idx="162">
                  <c:v>50.158999999999999</c:v>
                </c:pt>
                <c:pt idx="163">
                  <c:v>49.798999999999999</c:v>
                </c:pt>
                <c:pt idx="164">
                  <c:v>49.444000000000003</c:v>
                </c:pt>
                <c:pt idx="165">
                  <c:v>49.11</c:v>
                </c:pt>
                <c:pt idx="166">
                  <c:v>48.804000000000002</c:v>
                </c:pt>
                <c:pt idx="167">
                  <c:v>48.502000000000002</c:v>
                </c:pt>
                <c:pt idx="168">
                  <c:v>48.203000000000003</c:v>
                </c:pt>
                <c:pt idx="169">
                  <c:v>47.896999999999998</c:v>
                </c:pt>
                <c:pt idx="170">
                  <c:v>47.594999999999999</c:v>
                </c:pt>
                <c:pt idx="171">
                  <c:v>47.295000000000002</c:v>
                </c:pt>
                <c:pt idx="172">
                  <c:v>46.982999999999997</c:v>
                </c:pt>
                <c:pt idx="173">
                  <c:v>46.673000000000002</c:v>
                </c:pt>
                <c:pt idx="174">
                  <c:v>46.369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A1C-4AD1-A601-5D32464E8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Cumulative share of emissions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Cumulative GHG emissions excluding LULUCF since 1850, different end points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data_ghg_excLUC!$B$3:$B$177</c:f>
              <c:numCache>
                <c:formatCode>0.0</c:formatCode>
                <c:ptCount val="175"/>
                <c:pt idx="0">
                  <c:v>38.924011769220925</c:v>
                </c:pt>
                <c:pt idx="1">
                  <c:v>38.978507993348224</c:v>
                </c:pt>
                <c:pt idx="2">
                  <c:v>39.1339356076613</c:v>
                </c:pt>
                <c:pt idx="3">
                  <c:v>39.33865498962458</c:v>
                </c:pt>
                <c:pt idx="4">
                  <c:v>39.810694339382209</c:v>
                </c:pt>
                <c:pt idx="5">
                  <c:v>40.15611218208516</c:v>
                </c:pt>
                <c:pt idx="6">
                  <c:v>40.510650670848811</c:v>
                </c:pt>
                <c:pt idx="7">
                  <c:v>40.789132103291642</c:v>
                </c:pt>
                <c:pt idx="8">
                  <c:v>41.014921832404525</c:v>
                </c:pt>
                <c:pt idx="9">
                  <c:v>41.270398721526455</c:v>
                </c:pt>
                <c:pt idx="10">
                  <c:v>41.586275966331677</c:v>
                </c:pt>
                <c:pt idx="11">
                  <c:v>41.900178550576456</c:v>
                </c:pt>
                <c:pt idx="12">
                  <c:v>42.171697469897431</c:v>
                </c:pt>
                <c:pt idx="13">
                  <c:v>42.455431549052172</c:v>
                </c:pt>
                <c:pt idx="14">
                  <c:v>42.766701918732871</c:v>
                </c:pt>
                <c:pt idx="15">
                  <c:v>43.087725093152265</c:v>
                </c:pt>
                <c:pt idx="16">
                  <c:v>43.390046405267299</c:v>
                </c:pt>
                <c:pt idx="17">
                  <c:v>43.709969067303128</c:v>
                </c:pt>
                <c:pt idx="18">
                  <c:v>44.009474624971865</c:v>
                </c:pt>
                <c:pt idx="19">
                  <c:v>44.321297011774099</c:v>
                </c:pt>
                <c:pt idx="20">
                  <c:v>44.608735756308896</c:v>
                </c:pt>
                <c:pt idx="21">
                  <c:v>44.902368845218241</c:v>
                </c:pt>
                <c:pt idx="22">
                  <c:v>45.250397241774451</c:v>
                </c:pt>
                <c:pt idx="23">
                  <c:v>45.612376993680378</c:v>
                </c:pt>
                <c:pt idx="24">
                  <c:v>45.871303724091803</c:v>
                </c:pt>
                <c:pt idx="25">
                  <c:v>46.170572663744402</c:v>
                </c:pt>
                <c:pt idx="26">
                  <c:v>46.431829452695425</c:v>
                </c:pt>
                <c:pt idx="27">
                  <c:v>46.684187771138376</c:v>
                </c:pt>
                <c:pt idx="28">
                  <c:v>46.906254756760987</c:v>
                </c:pt>
                <c:pt idx="29">
                  <c:v>47.153803645871925</c:v>
                </c:pt>
                <c:pt idx="30">
                  <c:v>47.472078995042899</c:v>
                </c:pt>
                <c:pt idx="31">
                  <c:v>47.781822341478403</c:v>
                </c:pt>
                <c:pt idx="32">
                  <c:v>48.102729155073227</c:v>
                </c:pt>
                <c:pt idx="33">
                  <c:v>48.432983966709756</c:v>
                </c:pt>
                <c:pt idx="34">
                  <c:v>48.73646011529523</c:v>
                </c:pt>
                <c:pt idx="35">
                  <c:v>49.011977643404968</c:v>
                </c:pt>
                <c:pt idx="36">
                  <c:v>49.270042659552097</c:v>
                </c:pt>
                <c:pt idx="37">
                  <c:v>49.535854388596682</c:v>
                </c:pt>
                <c:pt idx="38">
                  <c:v>49.848005510277545</c:v>
                </c:pt>
                <c:pt idx="39">
                  <c:v>50.124148474324336</c:v>
                </c:pt>
                <c:pt idx="40">
                  <c:v>50.433788652669357</c:v>
                </c:pt>
                <c:pt idx="41">
                  <c:v>50.745005754902152</c:v>
                </c:pt>
                <c:pt idx="42">
                  <c:v>51.03585879095489</c:v>
                </c:pt>
                <c:pt idx="43">
                  <c:v>51.281535933819264</c:v>
                </c:pt>
                <c:pt idx="44">
                  <c:v>51.531925320078486</c:v>
                </c:pt>
                <c:pt idx="45">
                  <c:v>51.791266089281763</c:v>
                </c:pt>
                <c:pt idx="46">
                  <c:v>52.047222286395666</c:v>
                </c:pt>
                <c:pt idx="47">
                  <c:v>52.305870384805594</c:v>
                </c:pt>
                <c:pt idx="48">
                  <c:v>52.569014356439162</c:v>
                </c:pt>
                <c:pt idx="49">
                  <c:v>52.870053313896456</c:v>
                </c:pt>
                <c:pt idx="50">
                  <c:v>53.183072771588115</c:v>
                </c:pt>
                <c:pt idx="51">
                  <c:v>53.483358367517845</c:v>
                </c:pt>
                <c:pt idx="52">
                  <c:v>53.78193542230445</c:v>
                </c:pt>
                <c:pt idx="53">
                  <c:v>54.122788327678137</c:v>
                </c:pt>
                <c:pt idx="54">
                  <c:v>54.435352510482971</c:v>
                </c:pt>
                <c:pt idx="55">
                  <c:v>54.775980414616313</c:v>
                </c:pt>
                <c:pt idx="56">
                  <c:v>55.103241512419423</c:v>
                </c:pt>
                <c:pt idx="57">
                  <c:v>55.494399740604742</c:v>
                </c:pt>
                <c:pt idx="58">
                  <c:v>55.811041549521093</c:v>
                </c:pt>
                <c:pt idx="59">
                  <c:v>56.131421475130161</c:v>
                </c:pt>
                <c:pt idx="60">
                  <c:v>56.468931799841371</c:v>
                </c:pt>
                <c:pt idx="61">
                  <c:v>56.780373506035545</c:v>
                </c:pt>
                <c:pt idx="62">
                  <c:v>57.099144150728534</c:v>
                </c:pt>
                <c:pt idx="63">
                  <c:v>57.442435331697581</c:v>
                </c:pt>
                <c:pt idx="64">
                  <c:v>57.704213672104743</c:v>
                </c:pt>
                <c:pt idx="65">
                  <c:v>57.941440142077461</c:v>
                </c:pt>
                <c:pt idx="66">
                  <c:v>58.199838250484135</c:v>
                </c:pt>
                <c:pt idx="67">
                  <c:v>58.464504139122617</c:v>
                </c:pt>
                <c:pt idx="68">
                  <c:v>58.742339318332611</c:v>
                </c:pt>
                <c:pt idx="69">
                  <c:v>58.9506655888149</c:v>
                </c:pt>
                <c:pt idx="70">
                  <c:v>59.194793373944719</c:v>
                </c:pt>
                <c:pt idx="71">
                  <c:v>59.328953187102599</c:v>
                </c:pt>
                <c:pt idx="72">
                  <c:v>59.481656728674025</c:v>
                </c:pt>
                <c:pt idx="73">
                  <c:v>59.701247788848008</c:v>
                </c:pt>
                <c:pt idx="74">
                  <c:v>59.896179299918252</c:v>
                </c:pt>
                <c:pt idx="75">
                  <c:v>60.0872110961011</c:v>
                </c:pt>
                <c:pt idx="76">
                  <c:v>60.240950226138715</c:v>
                </c:pt>
                <c:pt idx="77">
                  <c:v>60.422328508344755</c:v>
                </c:pt>
                <c:pt idx="78">
                  <c:v>60.57375266200463</c:v>
                </c:pt>
                <c:pt idx="79">
                  <c:v>60.741673269147043</c:v>
                </c:pt>
                <c:pt idx="80">
                  <c:v>60.839760747836792</c:v>
                </c:pt>
                <c:pt idx="81">
                  <c:v>60.865251612580259</c:v>
                </c:pt>
                <c:pt idx="82">
                  <c:v>60.834782386301534</c:v>
                </c:pt>
                <c:pt idx="83">
                  <c:v>60.811239366985461</c:v>
                </c:pt>
                <c:pt idx="84">
                  <c:v>60.791244716431777</c:v>
                </c:pt>
                <c:pt idx="85">
                  <c:v>60.76613781541451</c:v>
                </c:pt>
                <c:pt idx="86">
                  <c:v>60.760029526995574</c:v>
                </c:pt>
                <c:pt idx="87">
                  <c:v>60.769388501507237</c:v>
                </c:pt>
                <c:pt idx="88">
                  <c:v>60.728254270554814</c:v>
                </c:pt>
                <c:pt idx="89">
                  <c:v>60.704969776737997</c:v>
                </c:pt>
                <c:pt idx="90">
                  <c:v>60.657039849741508</c:v>
                </c:pt>
                <c:pt idx="91">
                  <c:v>60.633707568515938</c:v>
                </c:pt>
                <c:pt idx="92">
                  <c:v>60.65025252976055</c:v>
                </c:pt>
                <c:pt idx="93">
                  <c:v>60.646778327165954</c:v>
                </c:pt>
                <c:pt idx="94">
                  <c:v>60.634857671176704</c:v>
                </c:pt>
                <c:pt idx="95">
                  <c:v>60.57735462215166</c:v>
                </c:pt>
                <c:pt idx="96">
                  <c:v>60.507607805790919</c:v>
                </c:pt>
                <c:pt idx="97">
                  <c:v>60.469074726295133</c:v>
                </c:pt>
                <c:pt idx="98">
                  <c:v>60.449655518334446</c:v>
                </c:pt>
                <c:pt idx="99">
                  <c:v>60.376575203168194</c:v>
                </c:pt>
                <c:pt idx="100">
                  <c:v>60.349673033601135</c:v>
                </c:pt>
                <c:pt idx="101">
                  <c:v>60.325475700713703</c:v>
                </c:pt>
                <c:pt idx="102">
                  <c:v>60.275971243729643</c:v>
                </c:pt>
                <c:pt idx="103">
                  <c:v>60.219825239146594</c:v>
                </c:pt>
                <c:pt idx="104">
                  <c:v>60.136429257815472</c:v>
                </c:pt>
                <c:pt idx="105">
                  <c:v>60.050284878082238</c:v>
                </c:pt>
                <c:pt idx="106">
                  <c:v>59.96218482818341</c:v>
                </c:pt>
                <c:pt idx="107">
                  <c:v>59.845828238200582</c:v>
                </c:pt>
                <c:pt idx="108">
                  <c:v>59.674742000276382</c:v>
                </c:pt>
                <c:pt idx="109">
                  <c:v>59.471020126301354</c:v>
                </c:pt>
                <c:pt idx="110">
                  <c:v>59.269146969135178</c:v>
                </c:pt>
                <c:pt idx="111">
                  <c:v>59.095755427571021</c:v>
                </c:pt>
                <c:pt idx="112">
                  <c:v>58.942652451623324</c:v>
                </c:pt>
                <c:pt idx="113">
                  <c:v>58.796487824932917</c:v>
                </c:pt>
                <c:pt idx="114">
                  <c:v>58.654173766341891</c:v>
                </c:pt>
                <c:pt idx="115">
                  <c:v>58.507109534659818</c:v>
                </c:pt>
                <c:pt idx="116">
                  <c:v>58.348096065131358</c:v>
                </c:pt>
                <c:pt idx="117">
                  <c:v>58.209010102673965</c:v>
                </c:pt>
                <c:pt idx="118">
                  <c:v>58.073632146699204</c:v>
                </c:pt>
                <c:pt idx="119">
                  <c:v>57.937981559582809</c:v>
                </c:pt>
                <c:pt idx="120">
                  <c:v>57.784590314925396</c:v>
                </c:pt>
                <c:pt idx="121">
                  <c:v>57.619557003913634</c:v>
                </c:pt>
                <c:pt idx="122">
                  <c:v>57.45814728839251</c:v>
                </c:pt>
                <c:pt idx="123">
                  <c:v>57.294732232714232</c:v>
                </c:pt>
                <c:pt idx="124">
                  <c:v>57.114006434524015</c:v>
                </c:pt>
                <c:pt idx="125">
                  <c:v>56.888049063045287</c:v>
                </c:pt>
                <c:pt idx="126">
                  <c:v>56.671252928954821</c:v>
                </c:pt>
                <c:pt idx="127">
                  <c:v>56.440528957882897</c:v>
                </c:pt>
                <c:pt idx="128">
                  <c:v>56.202921108123064</c:v>
                </c:pt>
                <c:pt idx="129">
                  <c:v>55.968641059786947</c:v>
                </c:pt>
                <c:pt idx="130">
                  <c:v>55.720708134624672</c:v>
                </c:pt>
                <c:pt idx="131">
                  <c:v>55.478089926388208</c:v>
                </c:pt>
                <c:pt idx="132">
                  <c:v>55.209151429327328</c:v>
                </c:pt>
                <c:pt idx="133">
                  <c:v>54.935626212654512</c:v>
                </c:pt>
                <c:pt idx="134">
                  <c:v>54.665136023042905</c:v>
                </c:pt>
                <c:pt idx="135">
                  <c:v>54.379279218607699</c:v>
                </c:pt>
                <c:pt idx="136">
                  <c:v>54.086674980870008</c:v>
                </c:pt>
                <c:pt idx="137">
                  <c:v>53.797135375048576</c:v>
                </c:pt>
                <c:pt idx="138">
                  <c:v>53.510592538153482</c:v>
                </c:pt>
                <c:pt idx="139">
                  <c:v>53.233945404666507</c:v>
                </c:pt>
                <c:pt idx="140">
                  <c:v>52.979603928045663</c:v>
                </c:pt>
                <c:pt idx="141">
                  <c:v>52.726337775103204</c:v>
                </c:pt>
                <c:pt idx="142">
                  <c:v>52.510141954619037</c:v>
                </c:pt>
                <c:pt idx="143">
                  <c:v>52.300208969501739</c:v>
                </c:pt>
                <c:pt idx="144">
                  <c:v>52.105197405294987</c:v>
                </c:pt>
                <c:pt idx="145">
                  <c:v>51.90443198923834</c:v>
                </c:pt>
                <c:pt idx="146">
                  <c:v>51.703320700794862</c:v>
                </c:pt>
                <c:pt idx="147">
                  <c:v>51.504618558812886</c:v>
                </c:pt>
                <c:pt idx="148">
                  <c:v>51.317765538042792</c:v>
                </c:pt>
                <c:pt idx="149">
                  <c:v>51.122275447727517</c:v>
                </c:pt>
                <c:pt idx="150">
                  <c:v>50.927334757140649</c:v>
                </c:pt>
                <c:pt idx="151">
                  <c:v>50.725906958197598</c:v>
                </c:pt>
                <c:pt idx="152">
                  <c:v>50.516082949741183</c:v>
                </c:pt>
                <c:pt idx="153">
                  <c:v>50.276696979038491</c:v>
                </c:pt>
                <c:pt idx="154">
                  <c:v>50.01830971322854</c:v>
                </c:pt>
                <c:pt idx="155">
                  <c:v>49.736507832062372</c:v>
                </c:pt>
                <c:pt idx="156">
                  <c:v>49.434427771527531</c:v>
                </c:pt>
                <c:pt idx="157">
                  <c:v>49.126821160482173</c:v>
                </c:pt>
                <c:pt idx="158">
                  <c:v>48.800866026273738</c:v>
                </c:pt>
                <c:pt idx="159">
                  <c:v>48.45851301102266</c:v>
                </c:pt>
                <c:pt idx="160">
                  <c:v>48.10588776252218</c:v>
                </c:pt>
                <c:pt idx="161">
                  <c:v>47.72478747351699</c:v>
                </c:pt>
                <c:pt idx="162">
                  <c:v>47.336384834787879</c:v>
                </c:pt>
                <c:pt idx="163">
                  <c:v>46.960266843321818</c:v>
                </c:pt>
                <c:pt idx="164">
                  <c:v>46.583376372241744</c:v>
                </c:pt>
                <c:pt idx="165">
                  <c:v>46.209110373643469</c:v>
                </c:pt>
                <c:pt idx="166">
                  <c:v>45.835159477353912</c:v>
                </c:pt>
                <c:pt idx="167">
                  <c:v>45.45656081019915</c:v>
                </c:pt>
                <c:pt idx="168">
                  <c:v>45.082065969852394</c:v>
                </c:pt>
                <c:pt idx="169">
                  <c:v>44.707221188279163</c:v>
                </c:pt>
                <c:pt idx="170">
                  <c:v>44.33262851814861</c:v>
                </c:pt>
                <c:pt idx="171">
                  <c:v>43.957789478575172</c:v>
                </c:pt>
                <c:pt idx="172">
                  <c:v>43.588283973560323</c:v>
                </c:pt>
                <c:pt idx="173">
                  <c:v>43.208301612178644</c:v>
                </c:pt>
                <c:pt idx="174">
                  <c:v>42.96309628573384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5-4B71-9DE7-F0F611E1E4C8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data_ghg_excLUC!$F$3:$F$177</c:f>
              <c:numCache>
                <c:formatCode>0.0</c:formatCode>
                <c:ptCount val="175"/>
                <c:pt idx="0">
                  <c:v>12.605347319943711</c:v>
                </c:pt>
                <c:pt idx="1">
                  <c:v>12.657048633428211</c:v>
                </c:pt>
                <c:pt idx="2">
                  <c:v>12.691901444942317</c:v>
                </c:pt>
                <c:pt idx="3">
                  <c:v>12.709509654144924</c:v>
                </c:pt>
                <c:pt idx="4">
                  <c:v>12.671461044173199</c:v>
                </c:pt>
                <c:pt idx="5">
                  <c:v>12.662923656239677</c:v>
                </c:pt>
                <c:pt idx="6">
                  <c:v>12.651470803582313</c:v>
                </c:pt>
                <c:pt idx="7">
                  <c:v>12.653890936703696</c:v>
                </c:pt>
                <c:pt idx="8">
                  <c:v>12.66782765051061</c:v>
                </c:pt>
                <c:pt idx="9">
                  <c:v>12.668861733110205</c:v>
                </c:pt>
                <c:pt idx="10">
                  <c:v>12.657655470695062</c:v>
                </c:pt>
                <c:pt idx="11">
                  <c:v>12.64616445160452</c:v>
                </c:pt>
                <c:pt idx="12">
                  <c:v>12.646133577131643</c:v>
                </c:pt>
                <c:pt idx="13">
                  <c:v>12.643889132590068</c:v>
                </c:pt>
                <c:pt idx="14">
                  <c:v>12.636796139966449</c:v>
                </c:pt>
                <c:pt idx="15">
                  <c:v>12.62870577410019</c:v>
                </c:pt>
                <c:pt idx="16">
                  <c:v>12.62639025418202</c:v>
                </c:pt>
                <c:pt idx="17">
                  <c:v>12.621552191623103</c:v>
                </c:pt>
                <c:pt idx="18">
                  <c:v>12.62105802086505</c:v>
                </c:pt>
                <c:pt idx="19">
                  <c:v>12.617807326209658</c:v>
                </c:pt>
                <c:pt idx="20">
                  <c:v>12.618749956124326</c:v>
                </c:pt>
                <c:pt idx="21">
                  <c:v>12.623563920959903</c:v>
                </c:pt>
                <c:pt idx="22">
                  <c:v>12.6167975188527</c:v>
                </c:pt>
                <c:pt idx="23">
                  <c:v>12.606614194729616</c:v>
                </c:pt>
                <c:pt idx="24">
                  <c:v>12.62262049222096</c:v>
                </c:pt>
                <c:pt idx="25">
                  <c:v>12.627291139221029</c:v>
                </c:pt>
                <c:pt idx="26">
                  <c:v>12.652924900456398</c:v>
                </c:pt>
                <c:pt idx="27">
                  <c:v>12.675543461828298</c:v>
                </c:pt>
                <c:pt idx="28">
                  <c:v>12.707225218134106</c:v>
                </c:pt>
                <c:pt idx="29">
                  <c:v>12.733217500426079</c:v>
                </c:pt>
                <c:pt idx="30">
                  <c:v>12.741344743383145</c:v>
                </c:pt>
                <c:pt idx="31">
                  <c:v>12.748241565460958</c:v>
                </c:pt>
                <c:pt idx="32">
                  <c:v>12.749316349164182</c:v>
                </c:pt>
                <c:pt idx="33">
                  <c:v>12.750452938837441</c:v>
                </c:pt>
                <c:pt idx="34">
                  <c:v>12.755628845614041</c:v>
                </c:pt>
                <c:pt idx="35">
                  <c:v>12.767161531965257</c:v>
                </c:pt>
                <c:pt idx="36">
                  <c:v>12.779929958634547</c:v>
                </c:pt>
                <c:pt idx="37">
                  <c:v>12.788352067352321</c:v>
                </c:pt>
                <c:pt idx="38">
                  <c:v>12.786981022031298</c:v>
                </c:pt>
                <c:pt idx="39">
                  <c:v>12.795421800119101</c:v>
                </c:pt>
                <c:pt idx="40">
                  <c:v>12.796546330071223</c:v>
                </c:pt>
                <c:pt idx="41">
                  <c:v>12.79931072295566</c:v>
                </c:pt>
                <c:pt idx="42">
                  <c:v>12.801568056697967</c:v>
                </c:pt>
                <c:pt idx="43">
                  <c:v>12.817217132401275</c:v>
                </c:pt>
                <c:pt idx="44">
                  <c:v>12.828001079293443</c:v>
                </c:pt>
                <c:pt idx="45">
                  <c:v>12.839208562220421</c:v>
                </c:pt>
                <c:pt idx="46">
                  <c:v>12.850050025679266</c:v>
                </c:pt>
                <c:pt idx="47">
                  <c:v>12.863131516876102</c:v>
                </c:pt>
                <c:pt idx="48">
                  <c:v>12.87840610905284</c:v>
                </c:pt>
                <c:pt idx="49">
                  <c:v>12.885469680681602</c:v>
                </c:pt>
                <c:pt idx="50">
                  <c:v>12.891102421585543</c:v>
                </c:pt>
                <c:pt idx="51">
                  <c:v>12.898698460096007</c:v>
                </c:pt>
                <c:pt idx="52">
                  <c:v>12.898510856884947</c:v>
                </c:pt>
                <c:pt idx="53">
                  <c:v>12.881835425516741</c:v>
                </c:pt>
                <c:pt idx="54">
                  <c:v>12.873168421014739</c:v>
                </c:pt>
                <c:pt idx="55">
                  <c:v>12.850206179381317</c:v>
                </c:pt>
                <c:pt idx="56">
                  <c:v>12.831179053719119</c:v>
                </c:pt>
                <c:pt idx="57">
                  <c:v>12.79952047515355</c:v>
                </c:pt>
                <c:pt idx="58">
                  <c:v>12.785630738859055</c:v>
                </c:pt>
                <c:pt idx="59">
                  <c:v>12.770858316604993</c:v>
                </c:pt>
                <c:pt idx="60">
                  <c:v>12.744473266904834</c:v>
                </c:pt>
                <c:pt idx="61">
                  <c:v>12.720403155887837</c:v>
                </c:pt>
                <c:pt idx="62">
                  <c:v>12.701859344868765</c:v>
                </c:pt>
                <c:pt idx="63">
                  <c:v>12.674905878374247</c:v>
                </c:pt>
                <c:pt idx="64">
                  <c:v>12.651031939815667</c:v>
                </c:pt>
                <c:pt idx="65">
                  <c:v>12.624207131205118</c:v>
                </c:pt>
                <c:pt idx="66">
                  <c:v>12.592499484891221</c:v>
                </c:pt>
                <c:pt idx="67">
                  <c:v>12.551642251935711</c:v>
                </c:pt>
                <c:pt idx="68">
                  <c:v>12.471113749165127</c:v>
                </c:pt>
                <c:pt idx="69">
                  <c:v>12.36989455654404</c:v>
                </c:pt>
                <c:pt idx="70">
                  <c:v>12.276501817248601</c:v>
                </c:pt>
                <c:pt idx="71">
                  <c:v>12.214361941045681</c:v>
                </c:pt>
                <c:pt idx="72">
                  <c:v>12.147062988990925</c:v>
                </c:pt>
                <c:pt idx="73">
                  <c:v>12.055737411927794</c:v>
                </c:pt>
                <c:pt idx="74">
                  <c:v>11.975185516714411</c:v>
                </c:pt>
                <c:pt idx="75">
                  <c:v>11.895893937758345</c:v>
                </c:pt>
                <c:pt idx="76">
                  <c:v>11.835976953246167</c:v>
                </c:pt>
                <c:pt idx="77">
                  <c:v>11.778168378178883</c:v>
                </c:pt>
                <c:pt idx="78">
                  <c:v>11.730639220346355</c:v>
                </c:pt>
                <c:pt idx="79">
                  <c:v>11.683085510060195</c:v>
                </c:pt>
                <c:pt idx="80">
                  <c:v>11.660885263321873</c:v>
                </c:pt>
                <c:pt idx="81">
                  <c:v>11.66853239120983</c:v>
                </c:pt>
                <c:pt idx="82">
                  <c:v>11.691190162916904</c:v>
                </c:pt>
                <c:pt idx="83">
                  <c:v>11.712882445749003</c:v>
                </c:pt>
                <c:pt idx="84">
                  <c:v>11.740626955512397</c:v>
                </c:pt>
                <c:pt idx="85">
                  <c:v>11.772224498856076</c:v>
                </c:pt>
                <c:pt idx="86">
                  <c:v>11.804998060666868</c:v>
                </c:pt>
                <c:pt idx="87">
                  <c:v>11.830341353830903</c:v>
                </c:pt>
                <c:pt idx="88">
                  <c:v>11.873615041571114</c:v>
                </c:pt>
                <c:pt idx="89">
                  <c:v>11.905392367812624</c:v>
                </c:pt>
                <c:pt idx="90">
                  <c:v>11.980920096657925</c:v>
                </c:pt>
                <c:pt idx="91">
                  <c:v>12.030636591255011</c:v>
                </c:pt>
                <c:pt idx="92">
                  <c:v>12.048118157593265</c:v>
                </c:pt>
                <c:pt idx="93">
                  <c:v>12.08373735751811</c:v>
                </c:pt>
                <c:pt idx="94">
                  <c:v>12.107394444775977</c:v>
                </c:pt>
                <c:pt idx="95">
                  <c:v>12.110759562896419</c:v>
                </c:pt>
                <c:pt idx="96">
                  <c:v>12.125419263098415</c:v>
                </c:pt>
                <c:pt idx="97">
                  <c:v>12.141807959382334</c:v>
                </c:pt>
                <c:pt idx="98">
                  <c:v>12.15959016287119</c:v>
                </c:pt>
                <c:pt idx="99">
                  <c:v>12.204506933081198</c:v>
                </c:pt>
                <c:pt idx="100">
                  <c:v>12.252086193008395</c:v>
                </c:pt>
                <c:pt idx="101">
                  <c:v>12.302722427854384</c:v>
                </c:pt>
                <c:pt idx="102">
                  <c:v>12.365537295588908</c:v>
                </c:pt>
                <c:pt idx="103">
                  <c:v>12.436312320332043</c:v>
                </c:pt>
                <c:pt idx="104">
                  <c:v>12.520529512493361</c:v>
                </c:pt>
                <c:pt idx="105">
                  <c:v>12.479614456422695</c:v>
                </c:pt>
                <c:pt idx="106">
                  <c:v>12.327963757348058</c:v>
                </c:pt>
                <c:pt idx="107">
                  <c:v>12.16622188556434</c:v>
                </c:pt>
                <c:pt idx="108">
                  <c:v>11.985056657971199</c:v>
                </c:pt>
                <c:pt idx="109">
                  <c:v>11.783012556221394</c:v>
                </c:pt>
                <c:pt idx="110">
                  <c:v>11.579562745533238</c:v>
                </c:pt>
                <c:pt idx="111">
                  <c:v>11.397704275291446</c:v>
                </c:pt>
                <c:pt idx="112">
                  <c:v>11.226209083334545</c:v>
                </c:pt>
                <c:pt idx="113">
                  <c:v>11.048392641147593</c:v>
                </c:pt>
                <c:pt idx="114">
                  <c:v>10.869302079190355</c:v>
                </c:pt>
                <c:pt idx="115">
                  <c:v>10.683013353497998</c:v>
                </c:pt>
                <c:pt idx="116">
                  <c:v>10.496152379985077</c:v>
                </c:pt>
                <c:pt idx="117">
                  <c:v>10.315532416883094</c:v>
                </c:pt>
                <c:pt idx="118">
                  <c:v>10.140480825232821</c:v>
                </c:pt>
                <c:pt idx="119">
                  <c:v>9.9543290739492534</c:v>
                </c:pt>
                <c:pt idx="120">
                  <c:v>9.7610066753788374</c:v>
                </c:pt>
                <c:pt idx="121">
                  <c:v>9.5544029314092924</c:v>
                </c:pt>
                <c:pt idx="122">
                  <c:v>9.3467378221790369</c:v>
                </c:pt>
                <c:pt idx="123">
                  <c:v>9.1336605109418727</c:v>
                </c:pt>
                <c:pt idx="124">
                  <c:v>8.9224496986284265</c:v>
                </c:pt>
                <c:pt idx="125">
                  <c:v>8.7167955685202116</c:v>
                </c:pt>
                <c:pt idx="126">
                  <c:v>8.5073587609973558</c:v>
                </c:pt>
                <c:pt idx="127">
                  <c:v>8.3012026736086497</c:v>
                </c:pt>
                <c:pt idx="128">
                  <c:v>8.0949648084797019</c:v>
                </c:pt>
                <c:pt idx="129">
                  <c:v>7.8968511693563599</c:v>
                </c:pt>
                <c:pt idx="130">
                  <c:v>7.7127848843621152</c:v>
                </c:pt>
                <c:pt idx="131">
                  <c:v>7.5488791103590103</c:v>
                </c:pt>
                <c:pt idx="132">
                  <c:v>7.3891571969190082</c:v>
                </c:pt>
                <c:pt idx="133">
                  <c:v>7.233508684348017</c:v>
                </c:pt>
                <c:pt idx="134">
                  <c:v>7.0770093469794233</c:v>
                </c:pt>
                <c:pt idx="135">
                  <c:v>6.9158160580919983</c:v>
                </c:pt>
                <c:pt idx="136">
                  <c:v>6.7577917598057553</c:v>
                </c:pt>
                <c:pt idx="137">
                  <c:v>6.6070857900932793</c:v>
                </c:pt>
                <c:pt idx="138">
                  <c:v>6.4518861452141323</c:v>
                </c:pt>
                <c:pt idx="139">
                  <c:v>6.3094603886872136</c:v>
                </c:pt>
                <c:pt idx="140">
                  <c:v>6.1807590324486412</c:v>
                </c:pt>
                <c:pt idx="141">
                  <c:v>6.04451661354598</c:v>
                </c:pt>
                <c:pt idx="142">
                  <c:v>5.9329491639145573</c:v>
                </c:pt>
                <c:pt idx="143">
                  <c:v>5.8215252545141709</c:v>
                </c:pt>
                <c:pt idx="144">
                  <c:v>5.7114607696777497</c:v>
                </c:pt>
                <c:pt idx="145">
                  <c:v>5.6023579052706864</c:v>
                </c:pt>
                <c:pt idx="146">
                  <c:v>5.4953234144060659</c:v>
                </c:pt>
                <c:pt idx="147">
                  <c:v>5.3951638835284186</c:v>
                </c:pt>
                <c:pt idx="148">
                  <c:v>5.3097307346315716</c:v>
                </c:pt>
                <c:pt idx="149">
                  <c:v>5.2295552152537965</c:v>
                </c:pt>
                <c:pt idx="150">
                  <c:v>5.1497356805052448</c:v>
                </c:pt>
                <c:pt idx="151">
                  <c:v>5.0735891119550445</c:v>
                </c:pt>
                <c:pt idx="152">
                  <c:v>5.0023126062127332</c:v>
                </c:pt>
                <c:pt idx="153">
                  <c:v>4.9215278301883458</c:v>
                </c:pt>
                <c:pt idx="154">
                  <c:v>4.8430255377138707</c:v>
                </c:pt>
                <c:pt idx="155">
                  <c:v>4.7634687579436346</c:v>
                </c:pt>
                <c:pt idx="156">
                  <c:v>4.6754285395054893</c:v>
                </c:pt>
                <c:pt idx="157">
                  <c:v>4.5842926133348811</c:v>
                </c:pt>
                <c:pt idx="158">
                  <c:v>4.486493406554402</c:v>
                </c:pt>
                <c:pt idx="159">
                  <c:v>4.3883684168416863</c:v>
                </c:pt>
                <c:pt idx="160">
                  <c:v>4.2788593774485761</c:v>
                </c:pt>
                <c:pt idx="161">
                  <c:v>4.1638925081705125</c:v>
                </c:pt>
                <c:pt idx="162">
                  <c:v>4.0501225320114287</c:v>
                </c:pt>
                <c:pt idx="163">
                  <c:v>3.9430081685862177</c:v>
                </c:pt>
                <c:pt idx="164">
                  <c:v>3.8425090511290421</c:v>
                </c:pt>
                <c:pt idx="165">
                  <c:v>3.7531986127933266</c:v>
                </c:pt>
                <c:pt idx="166">
                  <c:v>3.6719539173387119</c:v>
                </c:pt>
                <c:pt idx="167">
                  <c:v>3.5948491652481138</c:v>
                </c:pt>
                <c:pt idx="168">
                  <c:v>3.5150052021301121</c:v>
                </c:pt>
                <c:pt idx="169">
                  <c:v>3.4304351390610677</c:v>
                </c:pt>
                <c:pt idx="170">
                  <c:v>3.3535062064522023</c:v>
                </c:pt>
                <c:pt idx="171">
                  <c:v>3.2778961497919639</c:v>
                </c:pt>
                <c:pt idx="172">
                  <c:v>3.1957240707559862</c:v>
                </c:pt>
                <c:pt idx="173">
                  <c:v>3.1127084993035083</c:v>
                </c:pt>
                <c:pt idx="174">
                  <c:v>2.8997722374218782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65-4B71-9DE7-F0F611E1E4C8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data_ghg_excLUC!$G$3:$G$177</c:f>
              <c:numCache>
                <c:formatCode>0.0</c:formatCode>
                <c:ptCount val="175"/>
                <c:pt idx="0">
                  <c:v>3.4773532644972676</c:v>
                </c:pt>
                <c:pt idx="1">
                  <c:v>3.3839640563743671</c:v>
                </c:pt>
                <c:pt idx="2">
                  <c:v>3.3752700326158944</c:v>
                </c:pt>
                <c:pt idx="3">
                  <c:v>3.4263344451556534</c:v>
                </c:pt>
                <c:pt idx="4">
                  <c:v>3.7031088560483951</c:v>
                </c:pt>
                <c:pt idx="5">
                  <c:v>3.8535587578031851</c:v>
                </c:pt>
                <c:pt idx="6">
                  <c:v>4.0052774990557367</c:v>
                </c:pt>
                <c:pt idx="7">
                  <c:v>4.0955797827864302</c:v>
                </c:pt>
                <c:pt idx="8">
                  <c:v>4.136357954389382</c:v>
                </c:pt>
                <c:pt idx="9">
                  <c:v>4.2172110471212036</c:v>
                </c:pt>
                <c:pt idx="10">
                  <c:v>4.3413428189962175</c:v>
                </c:pt>
                <c:pt idx="11">
                  <c:v>4.4568370869289637</c:v>
                </c:pt>
                <c:pt idx="12">
                  <c:v>4.5335542409588143</c:v>
                </c:pt>
                <c:pt idx="13">
                  <c:v>4.61142816182128</c:v>
                </c:pt>
                <c:pt idx="14">
                  <c:v>4.7019123665605775</c:v>
                </c:pt>
                <c:pt idx="15">
                  <c:v>4.7919608102545439</c:v>
                </c:pt>
                <c:pt idx="16">
                  <c:v>4.8614524093522746</c:v>
                </c:pt>
                <c:pt idx="17">
                  <c:v>4.9357719474070549</c:v>
                </c:pt>
                <c:pt idx="18">
                  <c:v>4.9921368435077795</c:v>
                </c:pt>
                <c:pt idx="19">
                  <c:v>5.0541188411447422</c:v>
                </c:pt>
                <c:pt idx="20">
                  <c:v>5.0954017581375339</c:v>
                </c:pt>
                <c:pt idx="21">
                  <c:v>5.1253847742624998</c:v>
                </c:pt>
                <c:pt idx="22">
                  <c:v>5.1789720591712936</c:v>
                </c:pt>
                <c:pt idx="23">
                  <c:v>5.2351228411393933</c:v>
                </c:pt>
                <c:pt idx="24">
                  <c:v>5.2262421064325366</c:v>
                </c:pt>
                <c:pt idx="25">
                  <c:v>5.2387089318625115</c:v>
                </c:pt>
                <c:pt idx="26">
                  <c:v>5.2060312438547811</c:v>
                </c:pt>
                <c:pt idx="27">
                  <c:v>5.1765656854668052</c:v>
                </c:pt>
                <c:pt idx="28">
                  <c:v>5.1220385213075375</c:v>
                </c:pt>
                <c:pt idx="29">
                  <c:v>5.0775140655421822</c:v>
                </c:pt>
                <c:pt idx="30">
                  <c:v>5.0630761060753002</c:v>
                </c:pt>
                <c:pt idx="31">
                  <c:v>5.0528748319189418</c:v>
                </c:pt>
                <c:pt idx="32">
                  <c:v>5.0501352790264491</c:v>
                </c:pt>
                <c:pt idx="33">
                  <c:v>5.0439476370001728</c:v>
                </c:pt>
                <c:pt idx="34">
                  <c:v>5.0260002919116005</c:v>
                </c:pt>
                <c:pt idx="35">
                  <c:v>4.9933457862753627</c:v>
                </c:pt>
                <c:pt idx="36">
                  <c:v>4.9581964104615395</c:v>
                </c:pt>
                <c:pt idx="37">
                  <c:v>4.9288084412996298</c:v>
                </c:pt>
                <c:pt idx="38">
                  <c:v>4.9116077221763987</c:v>
                </c:pt>
                <c:pt idx="39">
                  <c:v>4.8724287423223061</c:v>
                </c:pt>
                <c:pt idx="40">
                  <c:v>4.8447635699991238</c:v>
                </c:pt>
                <c:pt idx="41">
                  <c:v>4.8082928125002198</c:v>
                </c:pt>
                <c:pt idx="42">
                  <c:v>4.7695231467197843</c:v>
                </c:pt>
                <c:pt idx="43">
                  <c:v>4.703700731414088</c:v>
                </c:pt>
                <c:pt idx="44">
                  <c:v>4.6424407207216092</c:v>
                </c:pt>
                <c:pt idx="45">
                  <c:v>4.5753908222458506</c:v>
                </c:pt>
                <c:pt idx="46">
                  <c:v>4.5061941051931171</c:v>
                </c:pt>
                <c:pt idx="47">
                  <c:v>4.4291082014449614</c:v>
                </c:pt>
                <c:pt idx="48">
                  <c:v>4.3423893228162598</c:v>
                </c:pt>
                <c:pt idx="49">
                  <c:v>4.2622482947186739</c:v>
                </c:pt>
                <c:pt idx="50">
                  <c:v>4.1804107165130091</c:v>
                </c:pt>
                <c:pt idx="51">
                  <c:v>4.0936963090817642</c:v>
                </c:pt>
                <c:pt idx="52">
                  <c:v>4.0199053964124118</c:v>
                </c:pt>
                <c:pt idx="53">
                  <c:v>3.9655232040620234</c:v>
                </c:pt>
                <c:pt idx="54">
                  <c:v>3.8974649471103078</c:v>
                </c:pt>
                <c:pt idx="55">
                  <c:v>3.8475738632886589</c:v>
                </c:pt>
                <c:pt idx="56">
                  <c:v>3.7878098999482432</c:v>
                </c:pt>
                <c:pt idx="57">
                  <c:v>3.7150193383973971</c:v>
                </c:pt>
                <c:pt idx="58">
                  <c:v>3.6192780706874714</c:v>
                </c:pt>
                <c:pt idx="59">
                  <c:v>3.5243640349190173</c:v>
                </c:pt>
                <c:pt idx="60">
                  <c:v>3.4445969017394873</c:v>
                </c:pt>
                <c:pt idx="61">
                  <c:v>3.3616416611420021</c:v>
                </c:pt>
                <c:pt idx="62">
                  <c:v>3.2644073457518488</c:v>
                </c:pt>
                <c:pt idx="63">
                  <c:v>3.1658691412206537</c:v>
                </c:pt>
                <c:pt idx="64">
                  <c:v>3.0871945968608827</c:v>
                </c:pt>
                <c:pt idx="65">
                  <c:v>3.0230235113060218</c:v>
                </c:pt>
                <c:pt idx="66">
                  <c:v>2.9575188569119746</c:v>
                </c:pt>
                <c:pt idx="67">
                  <c:v>2.906143825385243</c:v>
                </c:pt>
                <c:pt idx="68">
                  <c:v>2.9205559052047079</c:v>
                </c:pt>
                <c:pt idx="69">
                  <c:v>2.98507917350517</c:v>
                </c:pt>
                <c:pt idx="70">
                  <c:v>3.0116448007342029</c:v>
                </c:pt>
                <c:pt idx="71">
                  <c:v>3.009894205992893</c:v>
                </c:pt>
                <c:pt idx="72">
                  <c:v>3.0143238854473253</c:v>
                </c:pt>
                <c:pt idx="73">
                  <c:v>3.0435858340560031</c:v>
                </c:pt>
                <c:pt idx="74">
                  <c:v>3.0584015529246642</c:v>
                </c:pt>
                <c:pt idx="75">
                  <c:v>3.0744374073286593</c:v>
                </c:pt>
                <c:pt idx="76">
                  <c:v>3.072856914051215</c:v>
                </c:pt>
                <c:pt idx="77">
                  <c:v>3.0603097844288953</c:v>
                </c:pt>
                <c:pt idx="78">
                  <c:v>3.0411997251388811</c:v>
                </c:pt>
                <c:pt idx="79">
                  <c:v>3.0160851528497119</c:v>
                </c:pt>
                <c:pt idx="80">
                  <c:v>2.9712311254701689</c:v>
                </c:pt>
                <c:pt idx="81">
                  <c:v>2.9002766904503119</c:v>
                </c:pt>
                <c:pt idx="82">
                  <c:v>2.8184127704797675</c:v>
                </c:pt>
                <c:pt idx="83">
                  <c:v>2.7325728662737703</c:v>
                </c:pt>
                <c:pt idx="84">
                  <c:v>2.6257608498224698</c:v>
                </c:pt>
                <c:pt idx="85">
                  <c:v>2.5063248554971125</c:v>
                </c:pt>
                <c:pt idx="86">
                  <c:v>2.376650037961852</c:v>
                </c:pt>
                <c:pt idx="87">
                  <c:v>2.2502862907544738</c:v>
                </c:pt>
                <c:pt idx="88">
                  <c:v>2.110209899764584</c:v>
                </c:pt>
                <c:pt idx="89">
                  <c:v>1.980885714956969</c:v>
                </c:pt>
                <c:pt idx="90">
                  <c:v>1.7793835583961055</c:v>
                </c:pt>
                <c:pt idx="91">
                  <c:v>1.6211795023892819</c:v>
                </c:pt>
                <c:pt idx="92">
                  <c:v>1.5307490126320005</c:v>
                </c:pt>
                <c:pt idx="93">
                  <c:v>1.439387576823961</c:v>
                </c:pt>
                <c:pt idx="94">
                  <c:v>1.3399791269603014</c:v>
                </c:pt>
                <c:pt idx="95">
                  <c:v>1.30089537958888</c:v>
                </c:pt>
                <c:pt idx="96">
                  <c:v>1.2395621302802056</c:v>
                </c:pt>
                <c:pt idx="97">
                  <c:v>1.1577209083298925</c:v>
                </c:pt>
                <c:pt idx="98">
                  <c:v>1.075484020866341</c:v>
                </c:pt>
                <c:pt idx="99">
                  <c:v>0.9664162087741488</c:v>
                </c:pt>
                <c:pt idx="100">
                  <c:v>0.82185291456814014</c:v>
                </c:pt>
                <c:pt idx="101">
                  <c:v>0.66637287757529862</c:v>
                </c:pt>
                <c:pt idx="102">
                  <c:v>0.49172354686641029</c:v>
                </c:pt>
                <c:pt idx="103">
                  <c:v>0.30842981123996083</c:v>
                </c:pt>
                <c:pt idx="104">
                  <c:v>0.1027499704535586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65-4B71-9DE7-F0F611E1E4C8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data_ghg_excLUC!$H$3:$H$177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0.13247256043842981</c:v>
                </c:pt>
                <c:pt idx="106">
                  <c:v>0.38393493022451253</c:v>
                </c:pt>
                <c:pt idx="107">
                  <c:v>0.66101937038109781</c:v>
                </c:pt>
                <c:pt idx="108">
                  <c:v>0.96450251114791286</c:v>
                </c:pt>
                <c:pt idx="109">
                  <c:v>1.2867133650941582</c:v>
                </c:pt>
                <c:pt idx="110">
                  <c:v>1.6067145456699734</c:v>
                </c:pt>
                <c:pt idx="111">
                  <c:v>1.9117089146093207</c:v>
                </c:pt>
                <c:pt idx="112">
                  <c:v>2.2120146351113021</c:v>
                </c:pt>
                <c:pt idx="113">
                  <c:v>2.5237716016700631</c:v>
                </c:pt>
                <c:pt idx="114">
                  <c:v>2.8399636313982626</c:v>
                </c:pt>
                <c:pt idx="115">
                  <c:v>3.1622803488635896</c:v>
                </c:pt>
                <c:pt idx="116">
                  <c:v>3.4840798879596235</c:v>
                </c:pt>
                <c:pt idx="117">
                  <c:v>3.8019956900949126</c:v>
                </c:pt>
                <c:pt idx="118">
                  <c:v>4.1052794084749706</c:v>
                </c:pt>
                <c:pt idx="119">
                  <c:v>4.4109713796073891</c:v>
                </c:pt>
                <c:pt idx="120">
                  <c:v>4.7161381616217852</c:v>
                </c:pt>
                <c:pt idx="121">
                  <c:v>5.0366513234468187</c:v>
                </c:pt>
                <c:pt idx="122">
                  <c:v>5.3605415170347328</c:v>
                </c:pt>
                <c:pt idx="123">
                  <c:v>5.6858387643858919</c:v>
                </c:pt>
                <c:pt idx="124">
                  <c:v>6.0170073058248903</c:v>
                </c:pt>
                <c:pt idx="125">
                  <c:v>6.3560622040463954</c:v>
                </c:pt>
                <c:pt idx="126">
                  <c:v>6.6954946402146902</c:v>
                </c:pt>
                <c:pt idx="127">
                  <c:v>7.0304545920595132</c:v>
                </c:pt>
                <c:pt idx="128">
                  <c:v>7.3632752584539816</c:v>
                </c:pt>
                <c:pt idx="129">
                  <c:v>7.6751847160107829</c:v>
                </c:pt>
                <c:pt idx="130">
                  <c:v>7.9825962830713237</c:v>
                </c:pt>
                <c:pt idx="131">
                  <c:v>8.2612417376353307</c:v>
                </c:pt>
                <c:pt idx="132">
                  <c:v>8.5406227136342636</c:v>
                </c:pt>
                <c:pt idx="133">
                  <c:v>8.8123850054356225</c:v>
                </c:pt>
                <c:pt idx="134">
                  <c:v>9.0753928787564035</c:v>
                </c:pt>
                <c:pt idx="135">
                  <c:v>9.3494454638831854</c:v>
                </c:pt>
                <c:pt idx="136">
                  <c:v>9.6156892686292892</c:v>
                </c:pt>
                <c:pt idx="137">
                  <c:v>9.8631982023189479</c:v>
                </c:pt>
                <c:pt idx="138">
                  <c:v>10.102244617703001</c:v>
                </c:pt>
                <c:pt idx="139">
                  <c:v>10.310213813621637</c:v>
                </c:pt>
                <c:pt idx="140">
                  <c:v>10.483719205212857</c:v>
                </c:pt>
                <c:pt idx="141">
                  <c:v>10.634214780645323</c:v>
                </c:pt>
                <c:pt idx="142">
                  <c:v>10.721917377782994</c:v>
                </c:pt>
                <c:pt idx="143">
                  <c:v>10.790336479588376</c:v>
                </c:pt>
                <c:pt idx="144">
                  <c:v>10.829418554345942</c:v>
                </c:pt>
                <c:pt idx="145">
                  <c:v>10.856908582332366</c:v>
                </c:pt>
                <c:pt idx="146">
                  <c:v>10.87297468224606</c:v>
                </c:pt>
                <c:pt idx="147">
                  <c:v>10.874404123495069</c:v>
                </c:pt>
                <c:pt idx="148">
                  <c:v>10.858234455845846</c:v>
                </c:pt>
                <c:pt idx="149">
                  <c:v>10.831758904638065</c:v>
                </c:pt>
                <c:pt idx="150">
                  <c:v>10.799990152809592</c:v>
                </c:pt>
                <c:pt idx="151">
                  <c:v>10.768990519681537</c:v>
                </c:pt>
                <c:pt idx="152">
                  <c:v>10.728476744496504</c:v>
                </c:pt>
                <c:pt idx="153">
                  <c:v>10.693119983934473</c:v>
                </c:pt>
                <c:pt idx="154">
                  <c:v>10.651030008469782</c:v>
                </c:pt>
                <c:pt idx="155">
                  <c:v>10.606659994713361</c:v>
                </c:pt>
                <c:pt idx="156">
                  <c:v>10.573869609008433</c:v>
                </c:pt>
                <c:pt idx="157">
                  <c:v>10.544518063344348</c:v>
                </c:pt>
                <c:pt idx="158">
                  <c:v>10.522659945750547</c:v>
                </c:pt>
                <c:pt idx="159">
                  <c:v>10.496659026537657</c:v>
                </c:pt>
                <c:pt idx="160">
                  <c:v>10.481459805188344</c:v>
                </c:pt>
                <c:pt idx="161">
                  <c:v>10.472326371337459</c:v>
                </c:pt>
                <c:pt idx="162">
                  <c:v>10.463293398368855</c:v>
                </c:pt>
                <c:pt idx="163">
                  <c:v>10.444706961400612</c:v>
                </c:pt>
                <c:pt idx="164">
                  <c:v>10.419492312057187</c:v>
                </c:pt>
                <c:pt idx="165">
                  <c:v>10.384924561962428</c:v>
                </c:pt>
                <c:pt idx="166">
                  <c:v>10.347776358540074</c:v>
                </c:pt>
                <c:pt idx="167">
                  <c:v>10.30896948887807</c:v>
                </c:pt>
                <c:pt idx="168">
                  <c:v>10.275979524699387</c:v>
                </c:pt>
                <c:pt idx="169">
                  <c:v>10.249015775525905</c:v>
                </c:pt>
                <c:pt idx="170">
                  <c:v>10.221976299307215</c:v>
                </c:pt>
                <c:pt idx="171">
                  <c:v>10.193452725255753</c:v>
                </c:pt>
                <c:pt idx="172">
                  <c:v>10.168359239198807</c:v>
                </c:pt>
                <c:pt idx="173">
                  <c:v>10.144226549393665</c:v>
                </c:pt>
                <c:pt idx="174">
                  <c:v>10.287659069900201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65-4B71-9DE7-F0F611E1E4C8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data_ghg_excLUC!$Q$3:$Q$177</c:f>
              <c:numCache>
                <c:formatCode>0.0</c:formatCode>
                <c:ptCount val="175"/>
                <c:pt idx="0">
                  <c:v>11.196293842807812</c:v>
                </c:pt>
                <c:pt idx="1">
                  <c:v>11.262922399801141</c:v>
                </c:pt>
                <c:pt idx="2">
                  <c:v>11.297459911497107</c:v>
                </c:pt>
                <c:pt idx="3">
                  <c:v>11.295563196970448</c:v>
                </c:pt>
                <c:pt idx="4">
                  <c:v>11.184885105342737</c:v>
                </c:pt>
                <c:pt idx="5">
                  <c:v>11.140957450519068</c:v>
                </c:pt>
                <c:pt idx="6">
                  <c:v>11.084565916651407</c:v>
                </c:pt>
                <c:pt idx="7">
                  <c:v>11.056068005340819</c:v>
                </c:pt>
                <c:pt idx="8">
                  <c:v>11.056819024872375</c:v>
                </c:pt>
                <c:pt idx="9">
                  <c:v>11.031504144209791</c:v>
                </c:pt>
                <c:pt idx="10">
                  <c:v>10.983729379171166</c:v>
                </c:pt>
                <c:pt idx="11">
                  <c:v>10.940665213854565</c:v>
                </c:pt>
                <c:pt idx="12">
                  <c:v>10.923158237937464</c:v>
                </c:pt>
                <c:pt idx="13">
                  <c:v>10.90464803567302</c:v>
                </c:pt>
                <c:pt idx="14">
                  <c:v>10.879415563945365</c:v>
                </c:pt>
                <c:pt idx="15">
                  <c:v>10.85502900415954</c:v>
                </c:pt>
                <c:pt idx="16">
                  <c:v>10.842517119146379</c:v>
                </c:pt>
                <c:pt idx="17">
                  <c:v>10.82907563185848</c:v>
                </c:pt>
                <c:pt idx="18">
                  <c:v>10.824720597906428</c:v>
                </c:pt>
                <c:pt idx="19">
                  <c:v>10.816539223437154</c:v>
                </c:pt>
                <c:pt idx="20">
                  <c:v>10.81690608146976</c:v>
                </c:pt>
                <c:pt idx="21">
                  <c:v>10.825706771088122</c:v>
                </c:pt>
                <c:pt idx="22">
                  <c:v>10.813628960716031</c:v>
                </c:pt>
                <c:pt idx="23">
                  <c:v>10.794363878802471</c:v>
                </c:pt>
                <c:pt idx="24">
                  <c:v>10.817779628564949</c:v>
                </c:pt>
                <c:pt idx="25">
                  <c:v>10.820939005019767</c:v>
                </c:pt>
                <c:pt idx="26">
                  <c:v>10.861284425264515</c:v>
                </c:pt>
                <c:pt idx="27">
                  <c:v>10.893659670055428</c:v>
                </c:pt>
                <c:pt idx="28">
                  <c:v>10.940036331569459</c:v>
                </c:pt>
                <c:pt idx="29">
                  <c:v>10.977148017473667</c:v>
                </c:pt>
                <c:pt idx="30">
                  <c:v>10.986170584313044</c:v>
                </c:pt>
                <c:pt idx="31">
                  <c:v>10.991902213983138</c:v>
                </c:pt>
                <c:pt idx="32">
                  <c:v>10.988921226130316</c:v>
                </c:pt>
                <c:pt idx="33">
                  <c:v>10.988458711394841</c:v>
                </c:pt>
                <c:pt idx="34">
                  <c:v>10.995105382790229</c:v>
                </c:pt>
                <c:pt idx="35">
                  <c:v>11.013137355940131</c:v>
                </c:pt>
                <c:pt idx="36">
                  <c:v>11.03285728676768</c:v>
                </c:pt>
                <c:pt idx="37">
                  <c:v>11.045873639591235</c:v>
                </c:pt>
                <c:pt idx="38">
                  <c:v>11.04487741917805</c:v>
                </c:pt>
                <c:pt idx="39">
                  <c:v>11.060875172354088</c:v>
                </c:pt>
                <c:pt idx="40">
                  <c:v>11.066674342360585</c:v>
                </c:pt>
                <c:pt idx="41">
                  <c:v>11.076739774433165</c:v>
                </c:pt>
                <c:pt idx="42">
                  <c:v>11.084966895067637</c:v>
                </c:pt>
                <c:pt idx="43">
                  <c:v>11.11593535073068</c:v>
                </c:pt>
                <c:pt idx="44">
                  <c:v>11.138687036249664</c:v>
                </c:pt>
                <c:pt idx="45">
                  <c:v>11.164044582885097</c:v>
                </c:pt>
                <c:pt idx="46">
                  <c:v>11.188967027059803</c:v>
                </c:pt>
                <c:pt idx="47">
                  <c:v>11.218923604052094</c:v>
                </c:pt>
                <c:pt idx="48">
                  <c:v>11.254213319417161</c:v>
                </c:pt>
                <c:pt idx="49">
                  <c:v>11.278273464773989</c:v>
                </c:pt>
                <c:pt idx="50">
                  <c:v>11.301947135872965</c:v>
                </c:pt>
                <c:pt idx="51">
                  <c:v>11.327434112997551</c:v>
                </c:pt>
                <c:pt idx="52">
                  <c:v>11.337567405258056</c:v>
                </c:pt>
                <c:pt idx="53">
                  <c:v>11.321513790389261</c:v>
                </c:pt>
                <c:pt idx="54">
                  <c:v>11.316856884638469</c:v>
                </c:pt>
                <c:pt idx="55">
                  <c:v>11.288853261391779</c:v>
                </c:pt>
                <c:pt idx="56">
                  <c:v>11.269951258152176</c:v>
                </c:pt>
                <c:pt idx="57">
                  <c:v>11.232300316505487</c:v>
                </c:pt>
                <c:pt idx="58">
                  <c:v>11.221350102548683</c:v>
                </c:pt>
                <c:pt idx="59">
                  <c:v>11.207575990078126</c:v>
                </c:pt>
                <c:pt idx="60">
                  <c:v>11.175651538992724</c:v>
                </c:pt>
                <c:pt idx="61">
                  <c:v>11.150540218721474</c:v>
                </c:pt>
                <c:pt idx="62">
                  <c:v>11.137087607515085</c:v>
                </c:pt>
                <c:pt idx="63">
                  <c:v>11.113905724501606</c:v>
                </c:pt>
                <c:pt idx="64">
                  <c:v>11.090044242090613</c:v>
                </c:pt>
                <c:pt idx="65">
                  <c:v>11.060881571690828</c:v>
                </c:pt>
                <c:pt idx="66">
                  <c:v>11.025724446486194</c:v>
                </c:pt>
                <c:pt idx="67">
                  <c:v>10.975660513285291</c:v>
                </c:pt>
                <c:pt idx="68">
                  <c:v>10.864406775362085</c:v>
                </c:pt>
                <c:pt idx="69">
                  <c:v>10.714842617948605</c:v>
                </c:pt>
                <c:pt idx="70">
                  <c:v>10.58493234401071</c:v>
                </c:pt>
                <c:pt idx="71">
                  <c:v>10.497493028012528</c:v>
                </c:pt>
                <c:pt idx="72">
                  <c:v>10.404743509385185</c:v>
                </c:pt>
                <c:pt idx="73">
                  <c:v>10.279590103880622</c:v>
                </c:pt>
                <c:pt idx="74">
                  <c:v>10.170612482374466</c:v>
                </c:pt>
                <c:pt idx="75">
                  <c:v>10.064949386497389</c:v>
                </c:pt>
                <c:pt idx="76">
                  <c:v>9.9876264729622477</c:v>
                </c:pt>
                <c:pt idx="77">
                  <c:v>9.916371947164194</c:v>
                </c:pt>
                <c:pt idx="78">
                  <c:v>9.8606099569448418</c:v>
                </c:pt>
                <c:pt idx="79">
                  <c:v>9.8084969262953052</c:v>
                </c:pt>
                <c:pt idx="80">
                  <c:v>9.7899426654940669</c:v>
                </c:pt>
                <c:pt idx="81">
                  <c:v>9.8102028897201166</c:v>
                </c:pt>
                <c:pt idx="82">
                  <c:v>9.8487145553089732</c:v>
                </c:pt>
                <c:pt idx="83">
                  <c:v>9.8875756576608325</c:v>
                </c:pt>
                <c:pt idx="84">
                  <c:v>9.9387355063203415</c:v>
                </c:pt>
                <c:pt idx="85">
                  <c:v>9.9976491363153315</c:v>
                </c:pt>
                <c:pt idx="86">
                  <c:v>10.062568529406491</c:v>
                </c:pt>
                <c:pt idx="87">
                  <c:v>10.119963296006148</c:v>
                </c:pt>
                <c:pt idx="88">
                  <c:v>10.201763724379418</c:v>
                </c:pt>
                <c:pt idx="89">
                  <c:v>10.269650587422603</c:v>
                </c:pt>
                <c:pt idx="90">
                  <c:v>10.402389267953581</c:v>
                </c:pt>
                <c:pt idx="91">
                  <c:v>10.497638074712569</c:v>
                </c:pt>
                <c:pt idx="92">
                  <c:v>10.527653702154907</c:v>
                </c:pt>
                <c:pt idx="93">
                  <c:v>10.567177254063253</c:v>
                </c:pt>
                <c:pt idx="94">
                  <c:v>10.627138703826631</c:v>
                </c:pt>
                <c:pt idx="95">
                  <c:v>10.653900846575425</c:v>
                </c:pt>
                <c:pt idx="96">
                  <c:v>10.703497077467475</c:v>
                </c:pt>
                <c:pt idx="97">
                  <c:v>10.757081440079176</c:v>
                </c:pt>
                <c:pt idx="98">
                  <c:v>10.81305757985092</c:v>
                </c:pt>
                <c:pt idx="99">
                  <c:v>10.907878331386783</c:v>
                </c:pt>
                <c:pt idx="100">
                  <c:v>10.999314598414941</c:v>
                </c:pt>
                <c:pt idx="101">
                  <c:v>11.095461420367144</c:v>
                </c:pt>
                <c:pt idx="102">
                  <c:v>11.206742559305539</c:v>
                </c:pt>
                <c:pt idx="103">
                  <c:v>11.328097772795985</c:v>
                </c:pt>
                <c:pt idx="104">
                  <c:v>11.466926560462838</c:v>
                </c:pt>
                <c:pt idx="105">
                  <c:v>11.481384482815912</c:v>
                </c:pt>
                <c:pt idx="106">
                  <c:v>11.387063814375068</c:v>
                </c:pt>
                <c:pt idx="107">
                  <c:v>11.28652462542982</c:v>
                </c:pt>
                <c:pt idx="108">
                  <c:v>11.166854661667358</c:v>
                </c:pt>
                <c:pt idx="109">
                  <c:v>11.02417701229605</c:v>
                </c:pt>
                <c:pt idx="110">
                  <c:v>10.876936671792606</c:v>
                </c:pt>
                <c:pt idx="111">
                  <c:v>10.751955576274909</c:v>
                </c:pt>
                <c:pt idx="112">
                  <c:v>10.637256253014499</c:v>
                </c:pt>
                <c:pt idx="113">
                  <c:v>10.516839201740126</c:v>
                </c:pt>
                <c:pt idx="114">
                  <c:v>10.395263667757874</c:v>
                </c:pt>
                <c:pt idx="115">
                  <c:v>10.262653818009326</c:v>
                </c:pt>
                <c:pt idx="116">
                  <c:v>10.123123426263518</c:v>
                </c:pt>
                <c:pt idx="117">
                  <c:v>9.9859861244141541</c:v>
                </c:pt>
                <c:pt idx="118">
                  <c:v>9.8514933381463692</c:v>
                </c:pt>
                <c:pt idx="119">
                  <c:v>9.7015436779935982</c:v>
                </c:pt>
                <c:pt idx="120">
                  <c:v>9.5405470735957465</c:v>
                </c:pt>
                <c:pt idx="121">
                  <c:v>9.3687097438952094</c:v>
                </c:pt>
                <c:pt idx="122">
                  <c:v>9.1919255709317582</c:v>
                </c:pt>
                <c:pt idx="123">
                  <c:v>9.0062178672224746</c:v>
                </c:pt>
                <c:pt idx="124">
                  <c:v>8.8272177706535047</c:v>
                </c:pt>
                <c:pt idx="125">
                  <c:v>8.6603432664626041</c:v>
                </c:pt>
                <c:pt idx="126">
                  <c:v>8.4871953477766624</c:v>
                </c:pt>
                <c:pt idx="127">
                  <c:v>8.3171968968820096</c:v>
                </c:pt>
                <c:pt idx="128">
                  <c:v>8.1451092908576328</c:v>
                </c:pt>
                <c:pt idx="129">
                  <c:v>7.9764999261014395</c:v>
                </c:pt>
                <c:pt idx="130">
                  <c:v>7.8251750561431521</c:v>
                </c:pt>
                <c:pt idx="131">
                  <c:v>7.6918079335219431</c:v>
                </c:pt>
                <c:pt idx="132">
                  <c:v>7.5628960330373047</c:v>
                </c:pt>
                <c:pt idx="133">
                  <c:v>7.436492759812225</c:v>
                </c:pt>
                <c:pt idx="134">
                  <c:v>7.3048153035670538</c:v>
                </c:pt>
                <c:pt idx="135">
                  <c:v>7.1712333427983594</c:v>
                </c:pt>
                <c:pt idx="136">
                  <c:v>7.0361008774590488</c:v>
                </c:pt>
                <c:pt idx="137">
                  <c:v>6.904946031365256</c:v>
                </c:pt>
                <c:pt idx="138">
                  <c:v>6.7647964665337099</c:v>
                </c:pt>
                <c:pt idx="139">
                  <c:v>6.6327549366607172</c:v>
                </c:pt>
                <c:pt idx="140">
                  <c:v>6.52812004592748</c:v>
                </c:pt>
                <c:pt idx="141">
                  <c:v>6.4042737969396342</c:v>
                </c:pt>
                <c:pt idx="142">
                  <c:v>6.2971312698047512</c:v>
                </c:pt>
                <c:pt idx="143">
                  <c:v>6.1850029861278557</c:v>
                </c:pt>
                <c:pt idx="144">
                  <c:v>6.0663898775214875</c:v>
                </c:pt>
                <c:pt idx="145">
                  <c:v>5.9503949456422163</c:v>
                </c:pt>
                <c:pt idx="146">
                  <c:v>5.8362496832052528</c:v>
                </c:pt>
                <c:pt idx="147">
                  <c:v>5.7284360876978724</c:v>
                </c:pt>
                <c:pt idx="148">
                  <c:v>5.6384666646583952</c:v>
                </c:pt>
                <c:pt idx="149">
                  <c:v>5.5538096835982316</c:v>
                </c:pt>
                <c:pt idx="150">
                  <c:v>5.4695731068354263</c:v>
                </c:pt>
                <c:pt idx="151">
                  <c:v>5.3922832337965758</c:v>
                </c:pt>
                <c:pt idx="152">
                  <c:v>5.3219905050654859</c:v>
                </c:pt>
                <c:pt idx="153">
                  <c:v>5.2408126192224955</c:v>
                </c:pt>
                <c:pt idx="154">
                  <c:v>5.1629140773280966</c:v>
                </c:pt>
                <c:pt idx="155">
                  <c:v>5.085004156510621</c:v>
                </c:pt>
                <c:pt idx="156">
                  <c:v>4.9989137723078869</c:v>
                </c:pt>
                <c:pt idx="157">
                  <c:v>4.9098279457577405</c:v>
                </c:pt>
                <c:pt idx="158">
                  <c:v>4.8128278762729053</c:v>
                </c:pt>
                <c:pt idx="159">
                  <c:v>4.7162934316704508</c:v>
                </c:pt>
                <c:pt idx="160">
                  <c:v>4.6064423314044305</c:v>
                </c:pt>
                <c:pt idx="161">
                  <c:v>4.4912145489910671</c:v>
                </c:pt>
                <c:pt idx="162">
                  <c:v>4.3773690099881364</c:v>
                </c:pt>
                <c:pt idx="163">
                  <c:v>4.2700809530262234</c:v>
                </c:pt>
                <c:pt idx="164">
                  <c:v>4.1704901374276773</c:v>
                </c:pt>
                <c:pt idx="165">
                  <c:v>4.0857793819494574</c:v>
                </c:pt>
                <c:pt idx="166">
                  <c:v>4.0115168510101569</c:v>
                </c:pt>
                <c:pt idx="167">
                  <c:v>3.9430158715807977</c:v>
                </c:pt>
                <c:pt idx="168">
                  <c:v>3.8704213012114579</c:v>
                </c:pt>
                <c:pt idx="169">
                  <c:v>3.790621492029409</c:v>
                </c:pt>
                <c:pt idx="170">
                  <c:v>3.7201976017317193</c:v>
                </c:pt>
                <c:pt idx="171">
                  <c:v>3.6508314995027504</c:v>
                </c:pt>
                <c:pt idx="172">
                  <c:v>3.5717147339783111</c:v>
                </c:pt>
                <c:pt idx="173">
                  <c:v>3.4933300927650706</c:v>
                </c:pt>
                <c:pt idx="174">
                  <c:v>3.2515724106195307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65-4B71-9DE7-F0F611E1E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data_ghg_excLUC!$I$2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data_ghg_excLUC!$I$3:$I$177</c:f>
              <c:numCache>
                <c:formatCode>0.0</c:formatCode>
                <c:ptCount val="175"/>
                <c:pt idx="0">
                  <c:v>55.006712353661904</c:v>
                </c:pt>
                <c:pt idx="1">
                  <c:v>55.019520683150802</c:v>
                </c:pt>
                <c:pt idx="2">
                  <c:v>55.201107085219512</c:v>
                </c:pt>
                <c:pt idx="3">
                  <c:v>55.474499088925157</c:v>
                </c:pt>
                <c:pt idx="4">
                  <c:v>56.185264239603804</c:v>
                </c:pt>
                <c:pt idx="5">
                  <c:v>56.672594596128022</c:v>
                </c:pt>
                <c:pt idx="6">
                  <c:v>57.167398973486861</c:v>
                </c:pt>
                <c:pt idx="7">
                  <c:v>57.538602822781769</c:v>
                </c:pt>
                <c:pt idx="8">
                  <c:v>57.819107437304517</c:v>
                </c:pt>
                <c:pt idx="9">
                  <c:v>58.156471501757864</c:v>
                </c:pt>
                <c:pt idx="10">
                  <c:v>58.585274256022956</c:v>
                </c:pt>
                <c:pt idx="11">
                  <c:v>59.003180089109939</c:v>
                </c:pt>
                <c:pt idx="12">
                  <c:v>59.351385287987888</c:v>
                </c:pt>
                <c:pt idx="13">
                  <c:v>59.71074884346352</c:v>
                </c:pt>
                <c:pt idx="14">
                  <c:v>60.105410425259898</c:v>
                </c:pt>
                <c:pt idx="15">
                  <c:v>60.508391677506999</c:v>
                </c:pt>
                <c:pt idx="16">
                  <c:v>60.877889068801593</c:v>
                </c:pt>
                <c:pt idx="17">
                  <c:v>61.267293206333285</c:v>
                </c:pt>
                <c:pt idx="18">
                  <c:v>61.622669489344695</c:v>
                </c:pt>
                <c:pt idx="19">
                  <c:v>61.993223179128499</c:v>
                </c:pt>
                <c:pt idx="20">
                  <c:v>62.322887470570755</c:v>
                </c:pt>
                <c:pt idx="21">
                  <c:v>62.651317540440644</c:v>
                </c:pt>
                <c:pt idx="22">
                  <c:v>63.046166819798444</c:v>
                </c:pt>
                <c:pt idx="23">
                  <c:v>63.454114029549388</c:v>
                </c:pt>
                <c:pt idx="24">
                  <c:v>63.7201663227453</c:v>
                </c:pt>
                <c:pt idx="25">
                  <c:v>64.036572734827942</c:v>
                </c:pt>
                <c:pt idx="26">
                  <c:v>64.290785597006604</c:v>
                </c:pt>
                <c:pt idx="27">
                  <c:v>64.536296918433479</c:v>
                </c:pt>
                <c:pt idx="28">
                  <c:v>64.73551849620263</c:v>
                </c:pt>
                <c:pt idx="29">
                  <c:v>64.964535211840186</c:v>
                </c:pt>
                <c:pt idx="30">
                  <c:v>65.276499844501345</c:v>
                </c:pt>
                <c:pt idx="31">
                  <c:v>65.582938738858303</c:v>
                </c:pt>
                <c:pt idx="32">
                  <c:v>65.902180783263859</c:v>
                </c:pt>
                <c:pt idx="33">
                  <c:v>66.22738454254737</c:v>
                </c:pt>
                <c:pt idx="34">
                  <c:v>66.518089252820872</c:v>
                </c:pt>
                <c:pt idx="35">
                  <c:v>66.772484961645588</c:v>
                </c:pt>
                <c:pt idx="36">
                  <c:v>67.008169028648183</c:v>
                </c:pt>
                <c:pt idx="37">
                  <c:v>67.253014897248633</c:v>
                </c:pt>
                <c:pt idx="38">
                  <c:v>67.546594254485242</c:v>
                </c:pt>
                <c:pt idx="39">
                  <c:v>67.791999016765743</c:v>
                </c:pt>
                <c:pt idx="40">
                  <c:v>68.075098552739703</c:v>
                </c:pt>
                <c:pt idx="41">
                  <c:v>68.352609290358032</c:v>
                </c:pt>
                <c:pt idx="42">
                  <c:v>68.606949994372641</c:v>
                </c:pt>
                <c:pt idx="43">
                  <c:v>68.802453797634627</c:v>
                </c:pt>
                <c:pt idx="44">
                  <c:v>69.002367120093538</c:v>
                </c:pt>
                <c:pt idx="45">
                  <c:v>69.205865473748034</c:v>
                </c:pt>
                <c:pt idx="46">
                  <c:v>69.403466417268049</c:v>
                </c:pt>
                <c:pt idx="47">
                  <c:v>69.598110103126658</c:v>
                </c:pt>
                <c:pt idx="48">
                  <c:v>69.789809788308261</c:v>
                </c:pt>
                <c:pt idx="49">
                  <c:v>70.017771289296732</c:v>
                </c:pt>
                <c:pt idx="50">
                  <c:v>70.254585909686668</c:v>
                </c:pt>
                <c:pt idx="51">
                  <c:v>70.475753136695616</c:v>
                </c:pt>
                <c:pt idx="52">
                  <c:v>70.700351675601809</c:v>
                </c:pt>
                <c:pt idx="53">
                  <c:v>70.970146957256901</c:v>
                </c:pt>
                <c:pt idx="54">
                  <c:v>71.205985878608018</c:v>
                </c:pt>
                <c:pt idx="55">
                  <c:v>71.473760457286289</c:v>
                </c:pt>
                <c:pt idx="56">
                  <c:v>71.722230466086785</c:v>
                </c:pt>
                <c:pt idx="57">
                  <c:v>72.008939554155688</c:v>
                </c:pt>
                <c:pt idx="58">
                  <c:v>72.21595035906762</c:v>
                </c:pt>
                <c:pt idx="59">
                  <c:v>72.426643826654171</c:v>
                </c:pt>
                <c:pt idx="60">
                  <c:v>72.658001968485692</c:v>
                </c:pt>
                <c:pt idx="61">
                  <c:v>72.862418323065384</c:v>
                </c:pt>
                <c:pt idx="62">
                  <c:v>73.065410841349149</c:v>
                </c:pt>
                <c:pt idx="63">
                  <c:v>73.283210351292482</c:v>
                </c:pt>
                <c:pt idx="64">
                  <c:v>73.442440208781292</c:v>
                </c:pt>
                <c:pt idx="65">
                  <c:v>73.588670784588601</c:v>
                </c:pt>
                <c:pt idx="66">
                  <c:v>73.74985659228733</c:v>
                </c:pt>
                <c:pt idx="67">
                  <c:v>73.922290216443571</c:v>
                </c:pt>
                <c:pt idx="68">
                  <c:v>74.134008972702446</c:v>
                </c:pt>
                <c:pt idx="69">
                  <c:v>74.30563931886411</c:v>
                </c:pt>
                <c:pt idx="70">
                  <c:v>74.482939991927523</c:v>
                </c:pt>
                <c:pt idx="71">
                  <c:v>74.553209334141172</c:v>
                </c:pt>
                <c:pt idx="72">
                  <c:v>74.643043603112275</c:v>
                </c:pt>
                <c:pt idx="73">
                  <c:v>74.800571034831805</c:v>
                </c:pt>
                <c:pt idx="74">
                  <c:v>74.929766369557328</c:v>
                </c:pt>
                <c:pt idx="75">
                  <c:v>75.057542441188104</c:v>
                </c:pt>
                <c:pt idx="76">
                  <c:v>75.149784093436097</c:v>
                </c:pt>
                <c:pt idx="77">
                  <c:v>75.260806670952533</c:v>
                </c:pt>
                <c:pt idx="78">
                  <c:v>75.345591607489865</c:v>
                </c:pt>
                <c:pt idx="79">
                  <c:v>75.44084393205695</c:v>
                </c:pt>
                <c:pt idx="80">
                  <c:v>75.471877136628834</c:v>
                </c:pt>
                <c:pt idx="81">
                  <c:v>75.434060694240401</c:v>
                </c:pt>
                <c:pt idx="82">
                  <c:v>75.344385319698205</c:v>
                </c:pt>
                <c:pt idx="83">
                  <c:v>75.256694679008234</c:v>
                </c:pt>
                <c:pt idx="84">
                  <c:v>75.157632521766644</c:v>
                </c:pt>
                <c:pt idx="85">
                  <c:v>75.044687169767698</c:v>
                </c:pt>
                <c:pt idx="86">
                  <c:v>74.941677625624294</c:v>
                </c:pt>
                <c:pt idx="87">
                  <c:v>74.850016146092614</c:v>
                </c:pt>
                <c:pt idx="88">
                  <c:v>74.712079211890511</c:v>
                </c:pt>
                <c:pt idx="89">
                  <c:v>74.59124785950759</c:v>
                </c:pt>
                <c:pt idx="90">
                  <c:v>74.417343504795539</c:v>
                </c:pt>
                <c:pt idx="91">
                  <c:v>74.28552366216023</c:v>
                </c:pt>
                <c:pt idx="92">
                  <c:v>74.229119699985816</c:v>
                </c:pt>
                <c:pt idx="93">
                  <c:v>74.169903261508026</c:v>
                </c:pt>
                <c:pt idx="94">
                  <c:v>74.082231242912982</c:v>
                </c:pt>
                <c:pt idx="95">
                  <c:v>73.989009564636959</c:v>
                </c:pt>
                <c:pt idx="96">
                  <c:v>73.872589199169539</c:v>
                </c:pt>
                <c:pt idx="97">
                  <c:v>73.768603594007359</c:v>
                </c:pt>
                <c:pt idx="98">
                  <c:v>73.684729702071976</c:v>
                </c:pt>
                <c:pt idx="99">
                  <c:v>73.547498345023541</c:v>
                </c:pt>
                <c:pt idx="100">
                  <c:v>73.423612141177671</c:v>
                </c:pt>
                <c:pt idx="101">
                  <c:v>73.294571006143386</c:v>
                </c:pt>
                <c:pt idx="102">
                  <c:v>73.133232086184961</c:v>
                </c:pt>
                <c:pt idx="103">
                  <c:v>72.964567370718598</c:v>
                </c:pt>
                <c:pt idx="104">
                  <c:v>72.759708740762392</c:v>
                </c:pt>
                <c:pt idx="105">
                  <c:v>72.529899334504933</c:v>
                </c:pt>
                <c:pt idx="106">
                  <c:v>72.290148585531469</c:v>
                </c:pt>
                <c:pt idx="107">
                  <c:v>72.012050123764922</c:v>
                </c:pt>
                <c:pt idx="108">
                  <c:v>71.659798658247581</c:v>
                </c:pt>
                <c:pt idx="109">
                  <c:v>71.254032682522748</c:v>
                </c:pt>
                <c:pt idx="110">
                  <c:v>70.848709714668416</c:v>
                </c:pt>
                <c:pt idx="111">
                  <c:v>70.493459702862467</c:v>
                </c:pt>
                <c:pt idx="112">
                  <c:v>70.16886153495787</c:v>
                </c:pt>
                <c:pt idx="113">
                  <c:v>69.844880466080511</c:v>
                </c:pt>
                <c:pt idx="114">
                  <c:v>69.523475845532246</c:v>
                </c:pt>
                <c:pt idx="115">
                  <c:v>69.190122888157816</c:v>
                </c:pt>
                <c:pt idx="116">
                  <c:v>68.844248445116435</c:v>
                </c:pt>
                <c:pt idx="117">
                  <c:v>68.524542519557059</c:v>
                </c:pt>
                <c:pt idx="118">
                  <c:v>68.214112971932025</c:v>
                </c:pt>
                <c:pt idx="119">
                  <c:v>67.892310633532063</c:v>
                </c:pt>
                <c:pt idx="120">
                  <c:v>67.545596990304233</c:v>
                </c:pt>
                <c:pt idx="121">
                  <c:v>67.173959935322927</c:v>
                </c:pt>
                <c:pt idx="122">
                  <c:v>66.804885110571547</c:v>
                </c:pt>
                <c:pt idx="123">
                  <c:v>66.428392743656104</c:v>
                </c:pt>
                <c:pt idx="124">
                  <c:v>66.036456133152441</c:v>
                </c:pt>
                <c:pt idx="125">
                  <c:v>65.604844631565499</c:v>
                </c:pt>
                <c:pt idx="126">
                  <c:v>65.178611689952177</c:v>
                </c:pt>
                <c:pt idx="127">
                  <c:v>64.741731631491547</c:v>
                </c:pt>
                <c:pt idx="128">
                  <c:v>64.297885916602766</c:v>
                </c:pt>
                <c:pt idx="129">
                  <c:v>63.865492229143307</c:v>
                </c:pt>
                <c:pt idx="130">
                  <c:v>63.433493018986788</c:v>
                </c:pt>
                <c:pt idx="131">
                  <c:v>63.026969036747218</c:v>
                </c:pt>
                <c:pt idx="132">
                  <c:v>62.598308626246336</c:v>
                </c:pt>
                <c:pt idx="133">
                  <c:v>62.169134897002529</c:v>
                </c:pt>
                <c:pt idx="134">
                  <c:v>61.742145370022328</c:v>
                </c:pt>
                <c:pt idx="135">
                  <c:v>61.295095276699698</c:v>
                </c:pt>
                <c:pt idx="136">
                  <c:v>60.844466740675763</c:v>
                </c:pt>
                <c:pt idx="137">
                  <c:v>60.404221165141855</c:v>
                </c:pt>
                <c:pt idx="138">
                  <c:v>59.962478683367614</c:v>
                </c:pt>
                <c:pt idx="139">
                  <c:v>59.54340579335372</c:v>
                </c:pt>
                <c:pt idx="140">
                  <c:v>59.160362960494304</c:v>
                </c:pt>
                <c:pt idx="141">
                  <c:v>58.770854388649184</c:v>
                </c:pt>
                <c:pt idx="142">
                  <c:v>58.443091118533594</c:v>
                </c:pt>
                <c:pt idx="143">
                  <c:v>58.12173422401591</c:v>
                </c:pt>
                <c:pt idx="144">
                  <c:v>57.816658174972737</c:v>
                </c:pt>
                <c:pt idx="145">
                  <c:v>57.506789894509026</c:v>
                </c:pt>
                <c:pt idx="146">
                  <c:v>57.198644115200928</c:v>
                </c:pt>
                <c:pt idx="147">
                  <c:v>56.899782442341305</c:v>
                </c:pt>
                <c:pt idx="148">
                  <c:v>56.627496272674364</c:v>
                </c:pt>
                <c:pt idx="149">
                  <c:v>56.351830662981314</c:v>
                </c:pt>
                <c:pt idx="150">
                  <c:v>56.077070437645894</c:v>
                </c:pt>
                <c:pt idx="151">
                  <c:v>55.799496070152642</c:v>
                </c:pt>
                <c:pt idx="152">
                  <c:v>55.518395555953916</c:v>
                </c:pt>
                <c:pt idx="153">
                  <c:v>55.198224809226836</c:v>
                </c:pt>
                <c:pt idx="154">
                  <c:v>54.86133525094241</c:v>
                </c:pt>
                <c:pt idx="155">
                  <c:v>54.499976590006007</c:v>
                </c:pt>
                <c:pt idx="156">
                  <c:v>54.10985631103302</c:v>
                </c:pt>
                <c:pt idx="157">
                  <c:v>53.711113773817054</c:v>
                </c:pt>
                <c:pt idx="158">
                  <c:v>53.28735943282814</c:v>
                </c:pt>
                <c:pt idx="159">
                  <c:v>52.846881427864346</c:v>
                </c:pt>
                <c:pt idx="160">
                  <c:v>52.384747139970756</c:v>
                </c:pt>
                <c:pt idx="161">
                  <c:v>51.888679981687503</c:v>
                </c:pt>
                <c:pt idx="162">
                  <c:v>51.386507366799307</c:v>
                </c:pt>
                <c:pt idx="163">
                  <c:v>50.903275011908036</c:v>
                </c:pt>
                <c:pt idx="164">
                  <c:v>50.425885423370786</c:v>
                </c:pt>
                <c:pt idx="165">
                  <c:v>49.962308986436796</c:v>
                </c:pt>
                <c:pt idx="166">
                  <c:v>49.507113394692624</c:v>
                </c:pt>
                <c:pt idx="167">
                  <c:v>49.051409975447264</c:v>
                </c:pt>
                <c:pt idx="168">
                  <c:v>48.597071171982506</c:v>
                </c:pt>
                <c:pt idx="169">
                  <c:v>48.137656327340231</c:v>
                </c:pt>
                <c:pt idx="170">
                  <c:v>47.686134724600812</c:v>
                </c:pt>
                <c:pt idx="171">
                  <c:v>47.235685628367136</c:v>
                </c:pt>
                <c:pt idx="172">
                  <c:v>46.784008044316309</c:v>
                </c:pt>
                <c:pt idx="173">
                  <c:v>46.321010111482153</c:v>
                </c:pt>
                <c:pt idx="174">
                  <c:v>45.862868523155718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65-4B71-9DE7-F0F611E1E4C8}"/>
            </c:ext>
          </c:extLst>
        </c:ser>
        <c:ser>
          <c:idx val="6"/>
          <c:order val="6"/>
          <c:tx>
            <c:strRef>
              <c:f>data_ghg_excLUC!$J$2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data_ghg_excLUC!$J$3:$J$177</c:f>
              <c:numCache>
                <c:formatCode>0.0</c:formatCode>
                <c:ptCount val="175"/>
                <c:pt idx="0">
                  <c:v>38.924011769220925</c:v>
                </c:pt>
                <c:pt idx="1">
                  <c:v>38.978507993348224</c:v>
                </c:pt>
                <c:pt idx="2">
                  <c:v>39.1339356076613</c:v>
                </c:pt>
                <c:pt idx="3">
                  <c:v>39.33865498962458</c:v>
                </c:pt>
                <c:pt idx="4">
                  <c:v>39.810694339382209</c:v>
                </c:pt>
                <c:pt idx="5">
                  <c:v>40.15611218208516</c:v>
                </c:pt>
                <c:pt idx="6">
                  <c:v>40.510650670848811</c:v>
                </c:pt>
                <c:pt idx="7">
                  <c:v>40.789132103291642</c:v>
                </c:pt>
                <c:pt idx="8">
                  <c:v>41.014921832404525</c:v>
                </c:pt>
                <c:pt idx="9">
                  <c:v>41.270398721526455</c:v>
                </c:pt>
                <c:pt idx="10">
                  <c:v>41.586275966331677</c:v>
                </c:pt>
                <c:pt idx="11">
                  <c:v>41.900178550576456</c:v>
                </c:pt>
                <c:pt idx="12">
                  <c:v>42.171697469897431</c:v>
                </c:pt>
                <c:pt idx="13">
                  <c:v>42.455431549052172</c:v>
                </c:pt>
                <c:pt idx="14">
                  <c:v>42.766701918732871</c:v>
                </c:pt>
                <c:pt idx="15">
                  <c:v>43.087725093152265</c:v>
                </c:pt>
                <c:pt idx="16">
                  <c:v>43.390046405267299</c:v>
                </c:pt>
                <c:pt idx="17">
                  <c:v>43.709969067303128</c:v>
                </c:pt>
                <c:pt idx="18">
                  <c:v>44.009474624971865</c:v>
                </c:pt>
                <c:pt idx="19">
                  <c:v>44.321297011774099</c:v>
                </c:pt>
                <c:pt idx="20">
                  <c:v>44.608735756308896</c:v>
                </c:pt>
                <c:pt idx="21">
                  <c:v>44.902368845218241</c:v>
                </c:pt>
                <c:pt idx="22">
                  <c:v>45.250397241774451</c:v>
                </c:pt>
                <c:pt idx="23">
                  <c:v>45.612376993680378</c:v>
                </c:pt>
                <c:pt idx="24">
                  <c:v>45.871303724091803</c:v>
                </c:pt>
                <c:pt idx="25">
                  <c:v>46.170572663744402</c:v>
                </c:pt>
                <c:pt idx="26">
                  <c:v>46.431829452695425</c:v>
                </c:pt>
                <c:pt idx="27">
                  <c:v>46.684187771138376</c:v>
                </c:pt>
                <c:pt idx="28">
                  <c:v>46.906254756760987</c:v>
                </c:pt>
                <c:pt idx="29">
                  <c:v>47.153803645871925</c:v>
                </c:pt>
                <c:pt idx="30">
                  <c:v>47.472078995042899</c:v>
                </c:pt>
                <c:pt idx="31">
                  <c:v>47.781822341478403</c:v>
                </c:pt>
                <c:pt idx="32">
                  <c:v>48.102729155073227</c:v>
                </c:pt>
                <c:pt idx="33">
                  <c:v>48.432983966709756</c:v>
                </c:pt>
                <c:pt idx="34">
                  <c:v>48.73646011529523</c:v>
                </c:pt>
                <c:pt idx="35">
                  <c:v>49.011977643404968</c:v>
                </c:pt>
                <c:pt idx="36">
                  <c:v>49.270042659552097</c:v>
                </c:pt>
                <c:pt idx="37">
                  <c:v>49.535854388596682</c:v>
                </c:pt>
                <c:pt idx="38">
                  <c:v>49.848005510277545</c:v>
                </c:pt>
                <c:pt idx="39">
                  <c:v>50.124148474324336</c:v>
                </c:pt>
                <c:pt idx="40">
                  <c:v>50.433788652669357</c:v>
                </c:pt>
                <c:pt idx="41">
                  <c:v>50.745005754902152</c:v>
                </c:pt>
                <c:pt idx="42">
                  <c:v>51.03585879095489</c:v>
                </c:pt>
                <c:pt idx="43">
                  <c:v>51.281535933819264</c:v>
                </c:pt>
                <c:pt idx="44">
                  <c:v>51.531925320078486</c:v>
                </c:pt>
                <c:pt idx="45">
                  <c:v>51.791266089281763</c:v>
                </c:pt>
                <c:pt idx="46">
                  <c:v>52.047222286395666</c:v>
                </c:pt>
                <c:pt idx="47">
                  <c:v>52.305870384805594</c:v>
                </c:pt>
                <c:pt idx="48">
                  <c:v>52.569014356439162</c:v>
                </c:pt>
                <c:pt idx="49">
                  <c:v>52.870053313896456</c:v>
                </c:pt>
                <c:pt idx="50">
                  <c:v>53.183072771588115</c:v>
                </c:pt>
                <c:pt idx="51">
                  <c:v>53.483358367517845</c:v>
                </c:pt>
                <c:pt idx="52">
                  <c:v>53.78193542230445</c:v>
                </c:pt>
                <c:pt idx="53">
                  <c:v>54.122788327678137</c:v>
                </c:pt>
                <c:pt idx="54">
                  <c:v>54.435352510482971</c:v>
                </c:pt>
                <c:pt idx="55">
                  <c:v>54.775980414616313</c:v>
                </c:pt>
                <c:pt idx="56">
                  <c:v>55.103241512419423</c:v>
                </c:pt>
                <c:pt idx="57">
                  <c:v>55.494399740604742</c:v>
                </c:pt>
                <c:pt idx="58">
                  <c:v>55.811041549521093</c:v>
                </c:pt>
                <c:pt idx="59">
                  <c:v>56.131421475130161</c:v>
                </c:pt>
                <c:pt idx="60">
                  <c:v>56.468931799841371</c:v>
                </c:pt>
                <c:pt idx="61">
                  <c:v>56.780373506035545</c:v>
                </c:pt>
                <c:pt idx="62">
                  <c:v>57.099144150728534</c:v>
                </c:pt>
                <c:pt idx="63">
                  <c:v>57.442435331697581</c:v>
                </c:pt>
                <c:pt idx="64">
                  <c:v>57.704213672104743</c:v>
                </c:pt>
                <c:pt idx="65">
                  <c:v>57.941440142077461</c:v>
                </c:pt>
                <c:pt idx="66">
                  <c:v>58.199838250484135</c:v>
                </c:pt>
                <c:pt idx="67">
                  <c:v>58.464504139122617</c:v>
                </c:pt>
                <c:pt idx="68">
                  <c:v>58.742339318332611</c:v>
                </c:pt>
                <c:pt idx="69">
                  <c:v>58.9506655888149</c:v>
                </c:pt>
                <c:pt idx="70">
                  <c:v>59.194793373944719</c:v>
                </c:pt>
                <c:pt idx="71">
                  <c:v>59.328953187102599</c:v>
                </c:pt>
                <c:pt idx="72">
                  <c:v>59.481656728674025</c:v>
                </c:pt>
                <c:pt idx="73">
                  <c:v>59.701247788848008</c:v>
                </c:pt>
                <c:pt idx="74">
                  <c:v>59.896179299918252</c:v>
                </c:pt>
                <c:pt idx="75">
                  <c:v>60.0872110961011</c:v>
                </c:pt>
                <c:pt idx="76">
                  <c:v>60.240950226138715</c:v>
                </c:pt>
                <c:pt idx="77">
                  <c:v>60.422328508344755</c:v>
                </c:pt>
                <c:pt idx="78">
                  <c:v>60.57375266200463</c:v>
                </c:pt>
                <c:pt idx="79">
                  <c:v>60.741673269147043</c:v>
                </c:pt>
                <c:pt idx="80">
                  <c:v>60.839760747836792</c:v>
                </c:pt>
                <c:pt idx="81">
                  <c:v>60.865251612580259</c:v>
                </c:pt>
                <c:pt idx="82">
                  <c:v>60.834782386301534</c:v>
                </c:pt>
                <c:pt idx="83">
                  <c:v>60.811239366985461</c:v>
                </c:pt>
                <c:pt idx="84">
                  <c:v>60.791244716431777</c:v>
                </c:pt>
                <c:pt idx="85">
                  <c:v>60.76613781541451</c:v>
                </c:pt>
                <c:pt idx="86">
                  <c:v>60.760029526995574</c:v>
                </c:pt>
                <c:pt idx="87">
                  <c:v>60.769388501507237</c:v>
                </c:pt>
                <c:pt idx="88">
                  <c:v>60.728254270554814</c:v>
                </c:pt>
                <c:pt idx="89">
                  <c:v>60.704969776737997</c:v>
                </c:pt>
                <c:pt idx="90">
                  <c:v>60.657039849741508</c:v>
                </c:pt>
                <c:pt idx="91">
                  <c:v>60.633707568515938</c:v>
                </c:pt>
                <c:pt idx="92">
                  <c:v>60.65025252976055</c:v>
                </c:pt>
                <c:pt idx="93">
                  <c:v>60.646778327165954</c:v>
                </c:pt>
                <c:pt idx="94">
                  <c:v>60.634857671176704</c:v>
                </c:pt>
                <c:pt idx="95">
                  <c:v>60.57735462215166</c:v>
                </c:pt>
                <c:pt idx="96">
                  <c:v>60.507607805790919</c:v>
                </c:pt>
                <c:pt idx="97">
                  <c:v>60.469074726295133</c:v>
                </c:pt>
                <c:pt idx="98">
                  <c:v>60.449655518334446</c:v>
                </c:pt>
                <c:pt idx="99">
                  <c:v>60.376575203168194</c:v>
                </c:pt>
                <c:pt idx="100">
                  <c:v>60.349673033601135</c:v>
                </c:pt>
                <c:pt idx="101">
                  <c:v>60.325475700713703</c:v>
                </c:pt>
                <c:pt idx="102">
                  <c:v>60.275971243729643</c:v>
                </c:pt>
                <c:pt idx="103">
                  <c:v>60.219825239146594</c:v>
                </c:pt>
                <c:pt idx="104">
                  <c:v>60.136429257815472</c:v>
                </c:pt>
                <c:pt idx="105">
                  <c:v>60.050284878082238</c:v>
                </c:pt>
                <c:pt idx="106">
                  <c:v>59.96218482818341</c:v>
                </c:pt>
                <c:pt idx="107">
                  <c:v>59.845828238200582</c:v>
                </c:pt>
                <c:pt idx="108">
                  <c:v>59.674742000276382</c:v>
                </c:pt>
                <c:pt idx="109">
                  <c:v>59.471020126301354</c:v>
                </c:pt>
                <c:pt idx="110">
                  <c:v>59.269146969135178</c:v>
                </c:pt>
                <c:pt idx="111">
                  <c:v>59.095755427571021</c:v>
                </c:pt>
                <c:pt idx="112">
                  <c:v>58.942652451623324</c:v>
                </c:pt>
                <c:pt idx="113">
                  <c:v>58.796487824932917</c:v>
                </c:pt>
                <c:pt idx="114">
                  <c:v>58.654173766341891</c:v>
                </c:pt>
                <c:pt idx="115">
                  <c:v>58.507109534659818</c:v>
                </c:pt>
                <c:pt idx="116">
                  <c:v>58.348096065131358</c:v>
                </c:pt>
                <c:pt idx="117">
                  <c:v>58.209010102673965</c:v>
                </c:pt>
                <c:pt idx="118">
                  <c:v>58.073632146699204</c:v>
                </c:pt>
                <c:pt idx="119">
                  <c:v>57.937981559582809</c:v>
                </c:pt>
                <c:pt idx="120">
                  <c:v>57.784590314925396</c:v>
                </c:pt>
                <c:pt idx="121">
                  <c:v>57.619557003913634</c:v>
                </c:pt>
                <c:pt idx="122">
                  <c:v>57.45814728839251</c:v>
                </c:pt>
                <c:pt idx="123">
                  <c:v>57.294732232714232</c:v>
                </c:pt>
                <c:pt idx="124">
                  <c:v>57.114006434524015</c:v>
                </c:pt>
                <c:pt idx="125">
                  <c:v>56.888049063045287</c:v>
                </c:pt>
                <c:pt idx="126">
                  <c:v>56.671252928954821</c:v>
                </c:pt>
                <c:pt idx="127">
                  <c:v>56.440528957882897</c:v>
                </c:pt>
                <c:pt idx="128">
                  <c:v>56.202921108123064</c:v>
                </c:pt>
                <c:pt idx="129">
                  <c:v>55.968641059786947</c:v>
                </c:pt>
                <c:pt idx="130">
                  <c:v>55.720708134624672</c:v>
                </c:pt>
                <c:pt idx="131">
                  <c:v>55.478089926388208</c:v>
                </c:pt>
                <c:pt idx="132">
                  <c:v>55.209151429327328</c:v>
                </c:pt>
                <c:pt idx="133">
                  <c:v>54.935626212654512</c:v>
                </c:pt>
                <c:pt idx="134">
                  <c:v>54.665136023042905</c:v>
                </c:pt>
                <c:pt idx="135">
                  <c:v>54.379279218607699</c:v>
                </c:pt>
                <c:pt idx="136">
                  <c:v>54.086674980870008</c:v>
                </c:pt>
                <c:pt idx="137">
                  <c:v>53.797135375048576</c:v>
                </c:pt>
                <c:pt idx="138">
                  <c:v>53.510592538153482</c:v>
                </c:pt>
                <c:pt idx="139">
                  <c:v>53.233945404666507</c:v>
                </c:pt>
                <c:pt idx="140">
                  <c:v>52.979603928045663</c:v>
                </c:pt>
                <c:pt idx="141">
                  <c:v>52.726337775103204</c:v>
                </c:pt>
                <c:pt idx="142">
                  <c:v>52.510141954619037</c:v>
                </c:pt>
                <c:pt idx="143">
                  <c:v>52.300208969501739</c:v>
                </c:pt>
                <c:pt idx="144">
                  <c:v>52.105197405294987</c:v>
                </c:pt>
                <c:pt idx="145">
                  <c:v>51.90443198923834</c:v>
                </c:pt>
                <c:pt idx="146">
                  <c:v>51.703320700794862</c:v>
                </c:pt>
                <c:pt idx="147">
                  <c:v>51.504618558812886</c:v>
                </c:pt>
                <c:pt idx="148">
                  <c:v>51.317765538042792</c:v>
                </c:pt>
                <c:pt idx="149">
                  <c:v>51.122275447727517</c:v>
                </c:pt>
                <c:pt idx="150">
                  <c:v>50.927334757140649</c:v>
                </c:pt>
                <c:pt idx="151">
                  <c:v>50.725906958197598</c:v>
                </c:pt>
                <c:pt idx="152">
                  <c:v>50.516082949741183</c:v>
                </c:pt>
                <c:pt idx="153">
                  <c:v>50.276696979038491</c:v>
                </c:pt>
                <c:pt idx="154">
                  <c:v>50.01830971322854</c:v>
                </c:pt>
                <c:pt idx="155">
                  <c:v>49.736507832062372</c:v>
                </c:pt>
                <c:pt idx="156">
                  <c:v>49.434427771527531</c:v>
                </c:pt>
                <c:pt idx="157">
                  <c:v>49.126821160482173</c:v>
                </c:pt>
                <c:pt idx="158">
                  <c:v>48.800866026273738</c:v>
                </c:pt>
                <c:pt idx="159">
                  <c:v>48.45851301102266</c:v>
                </c:pt>
                <c:pt idx="160">
                  <c:v>48.10588776252218</c:v>
                </c:pt>
                <c:pt idx="161">
                  <c:v>47.72478747351699</c:v>
                </c:pt>
                <c:pt idx="162">
                  <c:v>47.336384834787879</c:v>
                </c:pt>
                <c:pt idx="163">
                  <c:v>46.960266843321818</c:v>
                </c:pt>
                <c:pt idx="164">
                  <c:v>46.583376372241744</c:v>
                </c:pt>
                <c:pt idx="165">
                  <c:v>46.209110373643469</c:v>
                </c:pt>
                <c:pt idx="166">
                  <c:v>45.835159477353912</c:v>
                </c:pt>
                <c:pt idx="167">
                  <c:v>45.45656081019915</c:v>
                </c:pt>
                <c:pt idx="168">
                  <c:v>45.082065969852394</c:v>
                </c:pt>
                <c:pt idx="169">
                  <c:v>44.707221188279163</c:v>
                </c:pt>
                <c:pt idx="170">
                  <c:v>44.33262851814861</c:v>
                </c:pt>
                <c:pt idx="171">
                  <c:v>43.957789478575172</c:v>
                </c:pt>
                <c:pt idx="172">
                  <c:v>43.588283973560323</c:v>
                </c:pt>
                <c:pt idx="173">
                  <c:v>43.208301612178644</c:v>
                </c:pt>
                <c:pt idx="174">
                  <c:v>42.96309628573384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765-4B71-9DE7-F0F611E1E4C8}"/>
            </c:ext>
          </c:extLst>
        </c:ser>
        <c:ser>
          <c:idx val="7"/>
          <c:order val="7"/>
          <c:tx>
            <c:strRef>
              <c:f>data_ghg_excLUC!$K$2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data_ghg_excLUC!$K$3:$K$177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765-4B71-9DE7-F0F611E1E4C8}"/>
            </c:ext>
          </c:extLst>
        </c:ser>
        <c:ser>
          <c:idx val="8"/>
          <c:order val="8"/>
          <c:tx>
            <c:strRef>
              <c:f>data_ghg_excLUC!$L$2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data_ghg_excLUC!$L$3:$L$177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765-4B71-9DE7-F0F611E1E4C8}"/>
            </c:ext>
          </c:extLst>
        </c:ser>
        <c:ser>
          <c:idx val="9"/>
          <c:order val="9"/>
          <c:tx>
            <c:strRef>
              <c:f>data_ghg_excLUC!$M$2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data_ghg_excLUC!$M$3:$M$177</c:f>
              <c:numCache>
                <c:formatCode>0.0</c:formatCode>
                <c:ptCount val="175"/>
                <c:pt idx="0">
                  <c:v>66.203006196469715</c:v>
                </c:pt>
                <c:pt idx="1">
                  <c:v>66.282443082951943</c:v>
                </c:pt>
                <c:pt idx="2">
                  <c:v>66.498566996716619</c:v>
                </c:pt>
                <c:pt idx="3">
                  <c:v>66.770062285895605</c:v>
                </c:pt>
                <c:pt idx="4">
                  <c:v>67.37014934494654</c:v>
                </c:pt>
                <c:pt idx="5">
                  <c:v>67.813552046647089</c:v>
                </c:pt>
                <c:pt idx="6">
                  <c:v>68.251964890138268</c:v>
                </c:pt>
                <c:pt idx="7">
                  <c:v>68.594670828122588</c:v>
                </c:pt>
                <c:pt idx="8">
                  <c:v>68.875926462176892</c:v>
                </c:pt>
                <c:pt idx="9">
                  <c:v>69.187975645967654</c:v>
                </c:pt>
                <c:pt idx="10">
                  <c:v>69.569003635194122</c:v>
                </c:pt>
                <c:pt idx="11">
                  <c:v>69.943845302964505</c:v>
                </c:pt>
                <c:pt idx="12">
                  <c:v>70.274543525925353</c:v>
                </c:pt>
                <c:pt idx="13">
                  <c:v>70.61539687913654</c:v>
                </c:pt>
                <c:pt idx="14">
                  <c:v>70.984825989205262</c:v>
                </c:pt>
                <c:pt idx="15">
                  <c:v>71.36342068166654</c:v>
                </c:pt>
                <c:pt idx="16">
                  <c:v>71.720406187947972</c:v>
                </c:pt>
                <c:pt idx="17">
                  <c:v>72.096368838191765</c:v>
                </c:pt>
                <c:pt idx="18">
                  <c:v>72.447390087251122</c:v>
                </c:pt>
                <c:pt idx="19">
                  <c:v>72.809762402565653</c:v>
                </c:pt>
                <c:pt idx="20">
                  <c:v>73.139793552040516</c:v>
                </c:pt>
                <c:pt idx="21">
                  <c:v>73.477024311528766</c:v>
                </c:pt>
                <c:pt idx="22">
                  <c:v>73.859795780514474</c:v>
                </c:pt>
                <c:pt idx="23">
                  <c:v>74.248477908351859</c:v>
                </c:pt>
                <c:pt idx="24">
                  <c:v>74.537945951310249</c:v>
                </c:pt>
                <c:pt idx="25">
                  <c:v>74.857511739847709</c:v>
                </c:pt>
                <c:pt idx="26">
                  <c:v>75.152070022271118</c:v>
                </c:pt>
                <c:pt idx="27">
                  <c:v>75.429956588488906</c:v>
                </c:pt>
                <c:pt idx="28">
                  <c:v>75.675554827772089</c:v>
                </c:pt>
                <c:pt idx="29">
                  <c:v>75.941683229313853</c:v>
                </c:pt>
                <c:pt idx="30">
                  <c:v>76.262670428814388</c:v>
                </c:pt>
                <c:pt idx="31">
                  <c:v>76.574840952841441</c:v>
                </c:pt>
                <c:pt idx="32">
                  <c:v>76.891102009394174</c:v>
                </c:pt>
                <c:pt idx="33">
                  <c:v>77.215843253942211</c:v>
                </c:pt>
                <c:pt idx="34">
                  <c:v>77.5131946356111</c:v>
                </c:pt>
                <c:pt idx="35">
                  <c:v>77.78562231758572</c:v>
                </c:pt>
                <c:pt idx="36">
                  <c:v>78.041026315415863</c:v>
                </c:pt>
                <c:pt idx="37">
                  <c:v>78.298888536839868</c:v>
                </c:pt>
                <c:pt idx="38">
                  <c:v>78.591471673663293</c:v>
                </c:pt>
                <c:pt idx="39">
                  <c:v>78.852874189119831</c:v>
                </c:pt>
                <c:pt idx="40">
                  <c:v>79.141772895100289</c:v>
                </c:pt>
                <c:pt idx="41">
                  <c:v>79.429349064791197</c:v>
                </c:pt>
                <c:pt idx="42">
                  <c:v>79.691916889440279</c:v>
                </c:pt>
                <c:pt idx="43">
                  <c:v>79.918389148365307</c:v>
                </c:pt>
                <c:pt idx="44">
                  <c:v>80.141054156343202</c:v>
                </c:pt>
                <c:pt idx="45">
                  <c:v>80.369910056633131</c:v>
                </c:pt>
                <c:pt idx="46">
                  <c:v>80.592433444327852</c:v>
                </c:pt>
                <c:pt idx="47">
                  <c:v>80.817033707178751</c:v>
                </c:pt>
                <c:pt idx="48">
                  <c:v>81.044023107725423</c:v>
                </c:pt>
                <c:pt idx="49">
                  <c:v>81.296044754070721</c:v>
                </c:pt>
                <c:pt idx="50">
                  <c:v>81.556533045559632</c:v>
                </c:pt>
                <c:pt idx="51">
                  <c:v>81.803187249693167</c:v>
                </c:pt>
                <c:pt idx="52">
                  <c:v>82.037919080859865</c:v>
                </c:pt>
                <c:pt idx="53">
                  <c:v>82.291660747646162</c:v>
                </c:pt>
                <c:pt idx="54">
                  <c:v>82.522842763246487</c:v>
                </c:pt>
                <c:pt idx="55">
                  <c:v>82.762613718678068</c:v>
                </c:pt>
                <c:pt idx="56">
                  <c:v>82.992181724238961</c:v>
                </c:pt>
                <c:pt idx="57">
                  <c:v>83.241239870661175</c:v>
                </c:pt>
                <c:pt idx="58">
                  <c:v>83.437300461616303</c:v>
                </c:pt>
                <c:pt idx="59">
                  <c:v>83.634219816732298</c:v>
                </c:pt>
                <c:pt idx="60">
                  <c:v>83.833653507478417</c:v>
                </c:pt>
                <c:pt idx="61">
                  <c:v>84.012958541786858</c:v>
                </c:pt>
                <c:pt idx="62">
                  <c:v>84.202498448864233</c:v>
                </c:pt>
                <c:pt idx="63">
                  <c:v>84.397116075794088</c:v>
                </c:pt>
                <c:pt idx="64">
                  <c:v>84.532484450871905</c:v>
                </c:pt>
                <c:pt idx="65">
                  <c:v>84.649552356279429</c:v>
                </c:pt>
                <c:pt idx="66">
                  <c:v>84.775581038773524</c:v>
                </c:pt>
                <c:pt idx="67">
                  <c:v>84.897950729728862</c:v>
                </c:pt>
                <c:pt idx="68">
                  <c:v>84.998415748064531</c:v>
                </c:pt>
                <c:pt idx="69">
                  <c:v>85.020481936812715</c:v>
                </c:pt>
                <c:pt idx="70">
                  <c:v>85.067872335938233</c:v>
                </c:pt>
                <c:pt idx="71">
                  <c:v>85.0507023621537</c:v>
                </c:pt>
                <c:pt idx="72">
                  <c:v>85.04778711249746</c:v>
                </c:pt>
                <c:pt idx="73">
                  <c:v>85.080161138712427</c:v>
                </c:pt>
                <c:pt idx="74">
                  <c:v>85.100378851931794</c:v>
                </c:pt>
                <c:pt idx="75">
                  <c:v>85.122491827685494</c:v>
                </c:pt>
                <c:pt idx="76">
                  <c:v>85.137410566398344</c:v>
                </c:pt>
                <c:pt idx="77">
                  <c:v>85.177178618116727</c:v>
                </c:pt>
                <c:pt idx="78">
                  <c:v>85.206201564434707</c:v>
                </c:pt>
                <c:pt idx="79">
                  <c:v>85.249340858352255</c:v>
                </c:pt>
                <c:pt idx="80">
                  <c:v>85.261819802122901</c:v>
                </c:pt>
                <c:pt idx="81">
                  <c:v>85.244263583960517</c:v>
                </c:pt>
                <c:pt idx="82">
                  <c:v>85.193099875007178</c:v>
                </c:pt>
                <c:pt idx="83">
                  <c:v>85.144270336669067</c:v>
                </c:pt>
                <c:pt idx="84">
                  <c:v>85.096368028086985</c:v>
                </c:pt>
                <c:pt idx="85">
                  <c:v>85.04233630608303</c:v>
                </c:pt>
                <c:pt idx="86">
                  <c:v>85.004246155030785</c:v>
                </c:pt>
                <c:pt idx="87">
                  <c:v>84.969979442098762</c:v>
                </c:pt>
                <c:pt idx="88">
                  <c:v>84.91384293626993</c:v>
                </c:pt>
                <c:pt idx="89">
                  <c:v>84.860898446930193</c:v>
                </c:pt>
                <c:pt idx="90">
                  <c:v>84.81973277274912</c:v>
                </c:pt>
                <c:pt idx="91">
                  <c:v>84.783161736872799</c:v>
                </c:pt>
                <c:pt idx="92">
                  <c:v>84.756773402140723</c:v>
                </c:pt>
                <c:pt idx="93">
                  <c:v>84.737080515571279</c:v>
                </c:pt>
                <c:pt idx="94">
                  <c:v>84.709369946739614</c:v>
                </c:pt>
                <c:pt idx="95">
                  <c:v>84.642910411212384</c:v>
                </c:pt>
                <c:pt idx="96">
                  <c:v>84.576086276637014</c:v>
                </c:pt>
                <c:pt idx="97">
                  <c:v>84.525685034086536</c:v>
                </c:pt>
                <c:pt idx="98">
                  <c:v>84.497787281922896</c:v>
                </c:pt>
                <c:pt idx="99">
                  <c:v>84.455376676410324</c:v>
                </c:pt>
                <c:pt idx="100">
                  <c:v>84.422926739592612</c:v>
                </c:pt>
                <c:pt idx="101">
                  <c:v>84.39003242651053</c:v>
                </c:pt>
                <c:pt idx="102">
                  <c:v>84.3399746454905</c:v>
                </c:pt>
                <c:pt idx="103">
                  <c:v>84.292665143514583</c:v>
                </c:pt>
                <c:pt idx="104">
                  <c:v>84.22663530122523</c:v>
                </c:pt>
                <c:pt idx="105">
                  <c:v>84.143756377759274</c:v>
                </c:pt>
                <c:pt idx="106">
                  <c:v>84.06114733013105</c:v>
                </c:pt>
                <c:pt idx="107">
                  <c:v>83.95959411957584</c:v>
                </c:pt>
                <c:pt idx="108">
                  <c:v>83.791155831062852</c:v>
                </c:pt>
                <c:pt idx="109">
                  <c:v>83.564923059912957</c:v>
                </c:pt>
                <c:pt idx="110">
                  <c:v>83.332360932130996</c:v>
                </c:pt>
                <c:pt idx="111">
                  <c:v>83.157124193746697</c:v>
                </c:pt>
                <c:pt idx="112">
                  <c:v>83.018132423083671</c:v>
                </c:pt>
                <c:pt idx="113">
                  <c:v>82.8854912694907</c:v>
                </c:pt>
                <c:pt idx="114">
                  <c:v>82.758703144688383</c:v>
                </c:pt>
                <c:pt idx="115">
                  <c:v>82.615057055030732</c:v>
                </c:pt>
                <c:pt idx="116">
                  <c:v>82.451451759339577</c:v>
                </c:pt>
                <c:pt idx="117">
                  <c:v>82.312524334066126</c:v>
                </c:pt>
                <c:pt idx="118">
                  <c:v>82.170885718553365</c:v>
                </c:pt>
                <c:pt idx="119">
                  <c:v>82.00482569113305</c:v>
                </c:pt>
                <c:pt idx="120">
                  <c:v>81.802282225521765</c:v>
                </c:pt>
                <c:pt idx="121">
                  <c:v>81.579321002664955</c:v>
                </c:pt>
                <c:pt idx="122">
                  <c:v>81.357352198538038</c:v>
                </c:pt>
                <c:pt idx="123">
                  <c:v>81.120449375264471</c:v>
                </c:pt>
                <c:pt idx="124">
                  <c:v>80.880681209630836</c:v>
                </c:pt>
                <c:pt idx="125">
                  <c:v>80.621250102074498</c:v>
                </c:pt>
                <c:pt idx="126">
                  <c:v>80.36130167794353</c:v>
                </c:pt>
                <c:pt idx="127">
                  <c:v>80.08938312043307</c:v>
                </c:pt>
                <c:pt idx="128">
                  <c:v>79.80627046591438</c:v>
                </c:pt>
                <c:pt idx="129">
                  <c:v>79.517176871255529</c:v>
                </c:pt>
                <c:pt idx="130">
                  <c:v>79.241264358201263</c:v>
                </c:pt>
                <c:pt idx="131">
                  <c:v>78.980018707904492</c:v>
                </c:pt>
                <c:pt idx="132">
                  <c:v>78.701827372917904</c:v>
                </c:pt>
                <c:pt idx="133">
                  <c:v>78.418012662250376</c:v>
                </c:pt>
                <c:pt idx="134">
                  <c:v>78.122353552345785</c:v>
                </c:pt>
                <c:pt idx="135">
                  <c:v>77.815774083381243</c:v>
                </c:pt>
                <c:pt idx="136">
                  <c:v>77.496256886764101</c:v>
                </c:pt>
                <c:pt idx="137">
                  <c:v>77.172365398826059</c:v>
                </c:pt>
                <c:pt idx="138">
                  <c:v>76.829519767604324</c:v>
                </c:pt>
                <c:pt idx="139">
                  <c:v>76.486374543636074</c:v>
                </c:pt>
                <c:pt idx="140">
                  <c:v>76.172202211634641</c:v>
                </c:pt>
                <c:pt idx="141">
                  <c:v>75.809342966234141</c:v>
                </c:pt>
                <c:pt idx="142">
                  <c:v>75.462139766121339</c:v>
                </c:pt>
                <c:pt idx="143">
                  <c:v>75.097073689732142</c:v>
                </c:pt>
                <c:pt idx="144">
                  <c:v>74.712466606840167</c:v>
                </c:pt>
                <c:pt idx="145">
                  <c:v>74.314093422483609</c:v>
                </c:pt>
                <c:pt idx="146">
                  <c:v>73.90786848065224</c:v>
                </c:pt>
                <c:pt idx="147">
                  <c:v>73.502622653534246</c:v>
                </c:pt>
                <c:pt idx="148">
                  <c:v>73.124197393178605</c:v>
                </c:pt>
                <c:pt idx="149">
                  <c:v>72.73739925121761</c:v>
                </c:pt>
                <c:pt idx="150">
                  <c:v>72.346633697290912</c:v>
                </c:pt>
                <c:pt idx="151">
                  <c:v>71.960769823630756</c:v>
                </c:pt>
                <c:pt idx="152">
                  <c:v>71.568862805515906</c:v>
                </c:pt>
                <c:pt idx="153">
                  <c:v>71.132157412383805</c:v>
                </c:pt>
                <c:pt idx="154">
                  <c:v>70.675279336740289</c:v>
                </c:pt>
                <c:pt idx="155">
                  <c:v>70.191640741229989</c:v>
                </c:pt>
                <c:pt idx="156">
                  <c:v>69.682639692349341</c:v>
                </c:pt>
                <c:pt idx="157">
                  <c:v>69.165459782919143</c:v>
                </c:pt>
                <c:pt idx="158">
                  <c:v>68.622847254851592</c:v>
                </c:pt>
                <c:pt idx="159">
                  <c:v>68.059833886072454</c:v>
                </c:pt>
                <c:pt idx="160">
                  <c:v>67.47264927656353</c:v>
                </c:pt>
                <c:pt idx="161">
                  <c:v>66.852220902016029</c:v>
                </c:pt>
                <c:pt idx="162">
                  <c:v>66.227169775156298</c:v>
                </c:pt>
                <c:pt idx="163">
                  <c:v>65.618062926334872</c:v>
                </c:pt>
                <c:pt idx="164">
                  <c:v>65.015867872855651</c:v>
                </c:pt>
                <c:pt idx="165">
                  <c:v>64.433012930348681</c:v>
                </c:pt>
                <c:pt idx="166">
                  <c:v>63.866406604242854</c:v>
                </c:pt>
                <c:pt idx="167">
                  <c:v>63.303395335906131</c:v>
                </c:pt>
                <c:pt idx="168">
                  <c:v>62.743471997893351</c:v>
                </c:pt>
                <c:pt idx="169">
                  <c:v>62.177293594895545</c:v>
                </c:pt>
                <c:pt idx="170">
                  <c:v>61.628308625639747</c:v>
                </c:pt>
                <c:pt idx="171">
                  <c:v>61.07996985312564</c:v>
                </c:pt>
                <c:pt idx="172">
                  <c:v>60.524082017493427</c:v>
                </c:pt>
                <c:pt idx="173">
                  <c:v>59.958566753640888</c:v>
                </c:pt>
                <c:pt idx="174">
                  <c:v>59.40210000367545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765-4B71-9DE7-F0F611E1E4C8}"/>
            </c:ext>
          </c:extLst>
        </c:ser>
        <c:ser>
          <c:idx val="10"/>
          <c:order val="10"/>
          <c:tx>
            <c:strRef>
              <c:f>data_ghg_excLUC!$N$2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data_ghg_excLUC!$N$3:$N$177</c:f>
              <c:numCache>
                <c:formatCode>0.0</c:formatCode>
                <c:ptCount val="175"/>
                <c:pt idx="0">
                  <c:v>51.529359089164636</c:v>
                </c:pt>
                <c:pt idx="1">
                  <c:v>51.635556626776435</c:v>
                </c:pt>
                <c:pt idx="2">
                  <c:v>51.825837052603617</c:v>
                </c:pt>
                <c:pt idx="3">
                  <c:v>52.048164643769503</c:v>
                </c:pt>
                <c:pt idx="4">
                  <c:v>52.482155383555408</c:v>
                </c:pt>
                <c:pt idx="5">
                  <c:v>52.819035838324837</c:v>
                </c:pt>
                <c:pt idx="6">
                  <c:v>53.162121474431125</c:v>
                </c:pt>
                <c:pt idx="7">
                  <c:v>53.443023039995339</c:v>
                </c:pt>
                <c:pt idx="8">
                  <c:v>53.682749482915135</c:v>
                </c:pt>
                <c:pt idx="9">
                  <c:v>53.93926045463666</c:v>
                </c:pt>
                <c:pt idx="10">
                  <c:v>54.243931437026738</c:v>
                </c:pt>
                <c:pt idx="11">
                  <c:v>54.546343002180976</c:v>
                </c:pt>
                <c:pt idx="12">
                  <c:v>54.817831047029074</c:v>
                </c:pt>
                <c:pt idx="13">
                  <c:v>55.09932068164224</c:v>
                </c:pt>
                <c:pt idx="14">
                  <c:v>55.40349805869932</c:v>
                </c:pt>
                <c:pt idx="15">
                  <c:v>55.716430867252456</c:v>
                </c:pt>
                <c:pt idx="16">
                  <c:v>56.016436659449319</c:v>
                </c:pt>
                <c:pt idx="17">
                  <c:v>56.33152125892623</c:v>
                </c:pt>
                <c:pt idx="18">
                  <c:v>56.630532645836915</c:v>
                </c:pt>
                <c:pt idx="19">
                  <c:v>56.939104337983757</c:v>
                </c:pt>
                <c:pt idx="20">
                  <c:v>57.227485712433221</c:v>
                </c:pt>
                <c:pt idx="21">
                  <c:v>57.525932766178144</c:v>
                </c:pt>
                <c:pt idx="22">
                  <c:v>57.86719476062715</c:v>
                </c:pt>
                <c:pt idx="23">
                  <c:v>58.218991188409994</c:v>
                </c:pt>
                <c:pt idx="24">
                  <c:v>58.493924216312763</c:v>
                </c:pt>
                <c:pt idx="25">
                  <c:v>58.797863802965431</c:v>
                </c:pt>
                <c:pt idx="26">
                  <c:v>59.084754353151823</c:v>
                </c:pt>
                <c:pt idx="27">
                  <c:v>59.359731232966674</c:v>
                </c:pt>
                <c:pt idx="28">
                  <c:v>59.613479974895093</c:v>
                </c:pt>
                <c:pt idx="29">
                  <c:v>59.887021146298004</c:v>
                </c:pt>
                <c:pt idx="30">
                  <c:v>60.213423738426044</c:v>
                </c:pt>
                <c:pt idx="31">
                  <c:v>60.530063906939361</c:v>
                </c:pt>
                <c:pt idx="32">
                  <c:v>60.85204550423741</c:v>
                </c:pt>
                <c:pt idx="33">
                  <c:v>61.183436905547197</c:v>
                </c:pt>
                <c:pt idx="34">
                  <c:v>61.492088960909271</c:v>
                </c:pt>
                <c:pt idx="35">
                  <c:v>61.779139175370226</c:v>
                </c:pt>
                <c:pt idx="36">
                  <c:v>62.049972618186644</c:v>
                </c:pt>
                <c:pt idx="37">
                  <c:v>62.324206455949003</c:v>
                </c:pt>
                <c:pt idx="38">
                  <c:v>62.634986532308844</c:v>
                </c:pt>
                <c:pt idx="39">
                  <c:v>62.919570274443437</c:v>
                </c:pt>
                <c:pt idx="40">
                  <c:v>63.23033498274058</c:v>
                </c:pt>
                <c:pt idx="41">
                  <c:v>63.544316477857812</c:v>
                </c:pt>
                <c:pt idx="42">
                  <c:v>63.837426847652857</c:v>
                </c:pt>
                <c:pt idx="43">
                  <c:v>64.098753066220539</c:v>
                </c:pt>
                <c:pt idx="44">
                  <c:v>64.359926399371929</c:v>
                </c:pt>
                <c:pt idx="45">
                  <c:v>64.630474651502183</c:v>
                </c:pt>
                <c:pt idx="46">
                  <c:v>64.897272312074932</c:v>
                </c:pt>
                <c:pt idx="47">
                  <c:v>65.169001901681696</c:v>
                </c:pt>
                <c:pt idx="48">
                  <c:v>65.447420465492002</c:v>
                </c:pt>
                <c:pt idx="49">
                  <c:v>65.755522994578058</c:v>
                </c:pt>
                <c:pt idx="50">
                  <c:v>66.074175193173659</c:v>
                </c:pt>
                <c:pt idx="51">
                  <c:v>66.382056827613852</c:v>
                </c:pt>
                <c:pt idx="52">
                  <c:v>66.680446279189397</c:v>
                </c:pt>
                <c:pt idx="53">
                  <c:v>67.004623753194878</c:v>
                </c:pt>
                <c:pt idx="54">
                  <c:v>67.308520931497711</c:v>
                </c:pt>
                <c:pt idx="55">
                  <c:v>67.62618659399763</c:v>
                </c:pt>
                <c:pt idx="56">
                  <c:v>67.934420566138542</c:v>
                </c:pt>
                <c:pt idx="57">
                  <c:v>68.293920215758291</c:v>
                </c:pt>
                <c:pt idx="58">
                  <c:v>68.596672288380148</c:v>
                </c:pt>
                <c:pt idx="59">
                  <c:v>68.902279791735154</c:v>
                </c:pt>
                <c:pt idx="60">
                  <c:v>69.213405066746205</c:v>
                </c:pt>
                <c:pt idx="61">
                  <c:v>69.500776661923382</c:v>
                </c:pt>
                <c:pt idx="62">
                  <c:v>69.8010034955973</c:v>
                </c:pt>
                <c:pt idx="63">
                  <c:v>70.117341210071828</c:v>
                </c:pt>
                <c:pt idx="64">
                  <c:v>70.355245611920409</c:v>
                </c:pt>
                <c:pt idx="65">
                  <c:v>70.565647273282579</c:v>
                </c:pt>
                <c:pt idx="66">
                  <c:v>70.792337735375355</c:v>
                </c:pt>
                <c:pt idx="67">
                  <c:v>71.016146391058328</c:v>
                </c:pt>
                <c:pt idx="68">
                  <c:v>71.213453067497738</c:v>
                </c:pt>
                <c:pt idx="69">
                  <c:v>71.32056014535894</c:v>
                </c:pt>
                <c:pt idx="70">
                  <c:v>71.47129519119332</c:v>
                </c:pt>
                <c:pt idx="71">
                  <c:v>71.543315128148279</c:v>
                </c:pt>
                <c:pt idx="72">
                  <c:v>71.62871971766495</c:v>
                </c:pt>
                <c:pt idx="73">
                  <c:v>71.756985200775802</c:v>
                </c:pt>
                <c:pt idx="74">
                  <c:v>71.871364816632664</c:v>
                </c:pt>
                <c:pt idx="75">
                  <c:v>71.983105033859445</c:v>
                </c:pt>
                <c:pt idx="76">
                  <c:v>72.076927179384882</c:v>
                </c:pt>
                <c:pt idx="77">
                  <c:v>72.200496886523638</c:v>
                </c:pt>
                <c:pt idx="78">
                  <c:v>72.304391882350984</c:v>
                </c:pt>
                <c:pt idx="79">
                  <c:v>72.424758779207238</c:v>
                </c:pt>
                <c:pt idx="80">
                  <c:v>72.500646011158665</c:v>
                </c:pt>
                <c:pt idx="81">
                  <c:v>72.533784003790089</c:v>
                </c:pt>
                <c:pt idx="82">
                  <c:v>72.525972549218437</c:v>
                </c:pt>
                <c:pt idx="83">
                  <c:v>72.524121812734464</c:v>
                </c:pt>
                <c:pt idx="84">
                  <c:v>72.531871671944174</c:v>
                </c:pt>
                <c:pt idx="85">
                  <c:v>72.538362314270586</c:v>
                </c:pt>
                <c:pt idx="86">
                  <c:v>72.565027587662442</c:v>
                </c:pt>
                <c:pt idx="87">
                  <c:v>72.59972985533814</c:v>
                </c:pt>
                <c:pt idx="88">
                  <c:v>72.601869312125928</c:v>
                </c:pt>
                <c:pt idx="89">
                  <c:v>72.610362144550621</c:v>
                </c:pt>
                <c:pt idx="90">
                  <c:v>72.637959946399434</c:v>
                </c:pt>
                <c:pt idx="91">
                  <c:v>72.664344159770948</c:v>
                </c:pt>
                <c:pt idx="92">
                  <c:v>72.698370687353815</c:v>
                </c:pt>
                <c:pt idx="93">
                  <c:v>72.730515684684065</c:v>
                </c:pt>
                <c:pt idx="94">
                  <c:v>72.742252115952681</c:v>
                </c:pt>
                <c:pt idx="95">
                  <c:v>72.688114185048079</c:v>
                </c:pt>
                <c:pt idx="96">
                  <c:v>72.633027068889334</c:v>
                </c:pt>
                <c:pt idx="97">
                  <c:v>72.610882685677467</c:v>
                </c:pt>
                <c:pt idx="98">
                  <c:v>72.609245681205635</c:v>
                </c:pt>
                <c:pt idx="99">
                  <c:v>72.581082136249393</c:v>
                </c:pt>
                <c:pt idx="100">
                  <c:v>72.601759226609531</c:v>
                </c:pt>
                <c:pt idx="101">
                  <c:v>72.628198128568087</c:v>
                </c:pt>
                <c:pt idx="102">
                  <c:v>72.641508539318551</c:v>
                </c:pt>
                <c:pt idx="103">
                  <c:v>72.656137559478637</c:v>
                </c:pt>
                <c:pt idx="104">
                  <c:v>72.656958770308833</c:v>
                </c:pt>
                <c:pt idx="105">
                  <c:v>72.662371894943362</c:v>
                </c:pt>
                <c:pt idx="106">
                  <c:v>72.674083515755981</c:v>
                </c:pt>
                <c:pt idx="107">
                  <c:v>72.67306949414602</c:v>
                </c:pt>
                <c:pt idx="108">
                  <c:v>72.624301169395494</c:v>
                </c:pt>
                <c:pt idx="109">
                  <c:v>72.540746047616906</c:v>
                </c:pt>
                <c:pt idx="110">
                  <c:v>72.45542426033839</c:v>
                </c:pt>
                <c:pt idx="111">
                  <c:v>72.405168617471787</c:v>
                </c:pt>
                <c:pt idx="112">
                  <c:v>72.380876170069172</c:v>
                </c:pt>
                <c:pt idx="113">
                  <c:v>72.368652067750574</c:v>
                </c:pt>
                <c:pt idx="114">
                  <c:v>72.363439476930509</c:v>
                </c:pt>
                <c:pt idx="115">
                  <c:v>72.352403237021406</c:v>
                </c:pt>
                <c:pt idx="116">
                  <c:v>72.328328333076058</c:v>
                </c:pt>
                <c:pt idx="117">
                  <c:v>72.326538209651972</c:v>
                </c:pt>
                <c:pt idx="118">
                  <c:v>72.319392380406995</c:v>
                </c:pt>
                <c:pt idx="119">
                  <c:v>72.303282013139452</c:v>
                </c:pt>
                <c:pt idx="120">
                  <c:v>72.261735151926018</c:v>
                </c:pt>
                <c:pt idx="121">
                  <c:v>72.210611258769745</c:v>
                </c:pt>
                <c:pt idx="122">
                  <c:v>72.16542662760628</c:v>
                </c:pt>
                <c:pt idx="123">
                  <c:v>72.114231508041996</c:v>
                </c:pt>
                <c:pt idx="124">
                  <c:v>72.053463438977332</c:v>
                </c:pt>
                <c:pt idx="125">
                  <c:v>71.960906835611894</c:v>
                </c:pt>
                <c:pt idx="126">
                  <c:v>71.874106330166867</c:v>
                </c:pt>
                <c:pt idx="127">
                  <c:v>71.77218622355106</c:v>
                </c:pt>
                <c:pt idx="128">
                  <c:v>71.661161175056748</c:v>
                </c:pt>
                <c:pt idx="129">
                  <c:v>71.54067694515409</c:v>
                </c:pt>
                <c:pt idx="130">
                  <c:v>71.416089302058111</c:v>
                </c:pt>
                <c:pt idx="131">
                  <c:v>71.288210774382549</c:v>
                </c:pt>
                <c:pt idx="132">
                  <c:v>71.1389313398806</c:v>
                </c:pt>
                <c:pt idx="133">
                  <c:v>70.981519902438151</c:v>
                </c:pt>
                <c:pt idx="134">
                  <c:v>70.817538248778732</c:v>
                </c:pt>
                <c:pt idx="135">
                  <c:v>70.644540740582883</c:v>
                </c:pt>
                <c:pt idx="136">
                  <c:v>70.460156009305052</c:v>
                </c:pt>
                <c:pt idx="137">
                  <c:v>70.267419367460803</c:v>
                </c:pt>
                <c:pt idx="138">
                  <c:v>70.064723301070615</c:v>
                </c:pt>
                <c:pt idx="139">
                  <c:v>69.853619606975357</c:v>
                </c:pt>
                <c:pt idx="140">
                  <c:v>69.644082165707161</c:v>
                </c:pt>
                <c:pt idx="141">
                  <c:v>69.405069169294507</c:v>
                </c:pt>
                <c:pt idx="142">
                  <c:v>69.165008496316588</c:v>
                </c:pt>
                <c:pt idx="143">
                  <c:v>68.912070703604286</c:v>
                </c:pt>
                <c:pt idx="144">
                  <c:v>68.646076729318679</c:v>
                </c:pt>
                <c:pt idx="145">
                  <c:v>68.363698476841392</c:v>
                </c:pt>
                <c:pt idx="146">
                  <c:v>68.071618797446988</c:v>
                </c:pt>
                <c:pt idx="147">
                  <c:v>67.774186565836374</c:v>
                </c:pt>
                <c:pt idx="148">
                  <c:v>67.48573072852021</c:v>
                </c:pt>
                <c:pt idx="149">
                  <c:v>67.183589567619379</c:v>
                </c:pt>
                <c:pt idx="150">
                  <c:v>66.877060590455486</c:v>
                </c:pt>
                <c:pt idx="151">
                  <c:v>66.56848658983418</c:v>
                </c:pt>
                <c:pt idx="152">
                  <c:v>66.24687230045042</c:v>
                </c:pt>
                <c:pt idx="153">
                  <c:v>65.891344793161309</c:v>
                </c:pt>
                <c:pt idx="154">
                  <c:v>65.512365259412192</c:v>
                </c:pt>
                <c:pt idx="155">
                  <c:v>65.106636584719368</c:v>
                </c:pt>
                <c:pt idx="156">
                  <c:v>64.683725920041454</c:v>
                </c:pt>
                <c:pt idx="157">
                  <c:v>64.255631837161403</c:v>
                </c:pt>
                <c:pt idx="158">
                  <c:v>63.810019378578687</c:v>
                </c:pt>
                <c:pt idx="159">
                  <c:v>63.343540454402003</c:v>
                </c:pt>
                <c:pt idx="160">
                  <c:v>62.866206945159099</c:v>
                </c:pt>
                <c:pt idx="161">
                  <c:v>62.361006353024962</c:v>
                </c:pt>
                <c:pt idx="162">
                  <c:v>61.849800765168162</c:v>
                </c:pt>
                <c:pt idx="163">
                  <c:v>61.347981973308649</c:v>
                </c:pt>
                <c:pt idx="164">
                  <c:v>60.845377735427974</c:v>
                </c:pt>
                <c:pt idx="165">
                  <c:v>60.347233548399224</c:v>
                </c:pt>
                <c:pt idx="166">
                  <c:v>59.854889753232698</c:v>
                </c:pt>
                <c:pt idx="167">
                  <c:v>59.360379464325334</c:v>
                </c:pt>
                <c:pt idx="168">
                  <c:v>58.873050696681894</c:v>
                </c:pt>
                <c:pt idx="169">
                  <c:v>58.386672102866136</c:v>
                </c:pt>
                <c:pt idx="170">
                  <c:v>57.908111023908027</c:v>
                </c:pt>
                <c:pt idx="171">
                  <c:v>57.429138353622889</c:v>
                </c:pt>
                <c:pt idx="172">
                  <c:v>56.952367283515116</c:v>
                </c:pt>
                <c:pt idx="173">
                  <c:v>56.465236660875817</c:v>
                </c:pt>
                <c:pt idx="174">
                  <c:v>56.150527593055919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765-4B71-9DE7-F0F611E1E4C8}"/>
            </c:ext>
          </c:extLst>
        </c:ser>
        <c:ser>
          <c:idx val="11"/>
          <c:order val="11"/>
          <c:tx>
            <c:strRef>
              <c:f>data_ghg_excLUC!$O$2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data_ghg_excLUC!$O$3:$O$177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765-4B71-9DE7-F0F611E1E4C8}"/>
            </c:ext>
          </c:extLst>
        </c:ser>
        <c:ser>
          <c:idx val="12"/>
          <c:order val="12"/>
          <c:tx>
            <c:strRef>
              <c:f>data_ghg_excLUC!$P$2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data_ghg_excLUC!$P$3:$P$177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765-4B71-9DE7-F0F611E1E4C8}"/>
            </c:ext>
          </c:extLst>
        </c:ser>
        <c:ser>
          <c:idx val="13"/>
          <c:order val="13"/>
          <c:tx>
            <c:strRef>
              <c:f>data_ghg_excLUC!$R$2</c:f>
              <c:strCache>
                <c:ptCount val="1"/>
                <c:pt idx="0">
                  <c:v>Annex II GMST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data_ghg_excLUC!$R$3:$R$177</c:f>
              <c:numCache>
                <c:formatCode>0.0</c:formatCode>
                <c:ptCount val="175"/>
                <c:pt idx="1">
                  <c:v>68.613</c:v>
                </c:pt>
                <c:pt idx="2">
                  <c:v>68.953000000000003</c:v>
                </c:pt>
                <c:pt idx="3">
                  <c:v>69.393000000000001</c:v>
                </c:pt>
                <c:pt idx="4">
                  <c:v>70.388999999999996</c:v>
                </c:pt>
                <c:pt idx="5">
                  <c:v>71.013999999999996</c:v>
                </c:pt>
                <c:pt idx="6">
                  <c:v>71.563000000000002</c:v>
                </c:pt>
                <c:pt idx="7">
                  <c:v>71.978999999999999</c:v>
                </c:pt>
                <c:pt idx="8">
                  <c:v>72.269000000000005</c:v>
                </c:pt>
                <c:pt idx="9">
                  <c:v>72.650000000000006</c:v>
                </c:pt>
                <c:pt idx="10">
                  <c:v>73.131</c:v>
                </c:pt>
                <c:pt idx="11">
                  <c:v>73.561999999999998</c:v>
                </c:pt>
                <c:pt idx="12">
                  <c:v>73.882000000000005</c:v>
                </c:pt>
                <c:pt idx="13">
                  <c:v>74.149000000000001</c:v>
                </c:pt>
                <c:pt idx="14">
                  <c:v>74.441000000000003</c:v>
                </c:pt>
                <c:pt idx="15">
                  <c:v>74.721000000000004</c:v>
                </c:pt>
                <c:pt idx="16">
                  <c:v>74.980999999999995</c:v>
                </c:pt>
                <c:pt idx="17">
                  <c:v>75.23</c:v>
                </c:pt>
                <c:pt idx="18">
                  <c:v>75.447999999999993</c:v>
                </c:pt>
                <c:pt idx="19">
                  <c:v>75.674999999999997</c:v>
                </c:pt>
                <c:pt idx="20">
                  <c:v>75.823999999999998</c:v>
                </c:pt>
                <c:pt idx="21">
                  <c:v>75.95</c:v>
                </c:pt>
                <c:pt idx="22">
                  <c:v>76.135999999999996</c:v>
                </c:pt>
                <c:pt idx="23">
                  <c:v>76.319999999999993</c:v>
                </c:pt>
                <c:pt idx="24">
                  <c:v>76.33</c:v>
                </c:pt>
                <c:pt idx="25">
                  <c:v>76.388000000000005</c:v>
                </c:pt>
                <c:pt idx="26">
                  <c:v>76.356999999999999</c:v>
                </c:pt>
                <c:pt idx="27">
                  <c:v>76.325000000000003</c:v>
                </c:pt>
                <c:pt idx="28">
                  <c:v>76.245000000000005</c:v>
                </c:pt>
                <c:pt idx="29">
                  <c:v>76.183999999999997</c:v>
                </c:pt>
                <c:pt idx="30">
                  <c:v>76.191000000000003</c:v>
                </c:pt>
                <c:pt idx="31">
                  <c:v>76.198999999999998</c:v>
                </c:pt>
                <c:pt idx="32">
                  <c:v>76.228999999999999</c:v>
                </c:pt>
                <c:pt idx="33">
                  <c:v>76.275000000000006</c:v>
                </c:pt>
                <c:pt idx="34">
                  <c:v>76.278000000000006</c:v>
                </c:pt>
                <c:pt idx="35">
                  <c:v>76.239000000000004</c:v>
                </c:pt>
                <c:pt idx="36">
                  <c:v>76.183000000000007</c:v>
                </c:pt>
                <c:pt idx="37">
                  <c:v>76.141000000000005</c:v>
                </c:pt>
                <c:pt idx="38">
                  <c:v>76.153999999999996</c:v>
                </c:pt>
                <c:pt idx="39">
                  <c:v>76.119</c:v>
                </c:pt>
                <c:pt idx="40">
                  <c:v>76.138999999999996</c:v>
                </c:pt>
                <c:pt idx="41">
                  <c:v>76.16</c:v>
                </c:pt>
                <c:pt idx="42">
                  <c:v>76.155000000000001</c:v>
                </c:pt>
                <c:pt idx="43">
                  <c:v>76.081999999999994</c:v>
                </c:pt>
                <c:pt idx="44">
                  <c:v>76.05</c:v>
                </c:pt>
                <c:pt idx="45">
                  <c:v>76.012</c:v>
                </c:pt>
                <c:pt idx="46">
                  <c:v>75.988</c:v>
                </c:pt>
                <c:pt idx="47">
                  <c:v>75.963999999999999</c:v>
                </c:pt>
                <c:pt idx="48">
                  <c:v>75.942999999999998</c:v>
                </c:pt>
                <c:pt idx="49">
                  <c:v>75.962999999999994</c:v>
                </c:pt>
                <c:pt idx="50">
                  <c:v>75.981999999999999</c:v>
                </c:pt>
                <c:pt idx="51">
                  <c:v>75.983999999999995</c:v>
                </c:pt>
                <c:pt idx="52">
                  <c:v>76.003</c:v>
                </c:pt>
                <c:pt idx="53">
                  <c:v>76.084999999999994</c:v>
                </c:pt>
                <c:pt idx="54">
                  <c:v>76.14</c:v>
                </c:pt>
                <c:pt idx="55">
                  <c:v>76.257999999999996</c:v>
                </c:pt>
                <c:pt idx="56">
                  <c:v>76.349000000000004</c:v>
                </c:pt>
                <c:pt idx="57">
                  <c:v>76.483999999999995</c:v>
                </c:pt>
                <c:pt idx="58">
                  <c:v>76.525000000000006</c:v>
                </c:pt>
                <c:pt idx="59">
                  <c:v>76.584000000000003</c:v>
                </c:pt>
                <c:pt idx="60">
                  <c:v>76.671000000000006</c:v>
                </c:pt>
                <c:pt idx="61">
                  <c:v>76.733999999999995</c:v>
                </c:pt>
                <c:pt idx="62">
                  <c:v>76.802999999999997</c:v>
                </c:pt>
                <c:pt idx="63">
                  <c:v>76.905000000000001</c:v>
                </c:pt>
                <c:pt idx="64">
                  <c:v>76.938999999999993</c:v>
                </c:pt>
                <c:pt idx="65">
                  <c:v>76.968000000000004</c:v>
                </c:pt>
                <c:pt idx="66">
                  <c:v>77.015000000000001</c:v>
                </c:pt>
                <c:pt idx="67">
                  <c:v>77.09</c:v>
                </c:pt>
                <c:pt idx="68">
                  <c:v>77.239000000000004</c:v>
                </c:pt>
                <c:pt idx="69">
                  <c:v>77.347999999999999</c:v>
                </c:pt>
                <c:pt idx="70">
                  <c:v>77.47</c:v>
                </c:pt>
                <c:pt idx="71">
                  <c:v>77.471000000000004</c:v>
                </c:pt>
                <c:pt idx="72">
                  <c:v>77.491</c:v>
                </c:pt>
                <c:pt idx="73">
                  <c:v>77.575999999999993</c:v>
                </c:pt>
                <c:pt idx="74">
                  <c:v>77.629000000000005</c:v>
                </c:pt>
                <c:pt idx="75">
                  <c:v>77.662999999999997</c:v>
                </c:pt>
                <c:pt idx="76">
                  <c:v>77.653999999999996</c:v>
                </c:pt>
                <c:pt idx="77">
                  <c:v>77.652000000000001</c:v>
                </c:pt>
                <c:pt idx="78">
                  <c:v>77.63</c:v>
                </c:pt>
                <c:pt idx="79">
                  <c:v>77.613</c:v>
                </c:pt>
                <c:pt idx="80">
                  <c:v>77.501000000000005</c:v>
                </c:pt>
                <c:pt idx="81">
                  <c:v>77.302999999999997</c:v>
                </c:pt>
                <c:pt idx="82">
                  <c:v>77.03</c:v>
                </c:pt>
                <c:pt idx="83">
                  <c:v>76.748999999999995</c:v>
                </c:pt>
                <c:pt idx="84">
                  <c:v>76.454999999999998</c:v>
                </c:pt>
                <c:pt idx="85">
                  <c:v>76.135000000000005</c:v>
                </c:pt>
                <c:pt idx="86">
                  <c:v>75.817999999999998</c:v>
                </c:pt>
                <c:pt idx="87">
                  <c:v>75.509</c:v>
                </c:pt>
                <c:pt idx="88">
                  <c:v>75.12</c:v>
                </c:pt>
                <c:pt idx="89">
                  <c:v>74.766999999999996</c:v>
                </c:pt>
                <c:pt idx="90">
                  <c:v>74.338999999999999</c:v>
                </c:pt>
                <c:pt idx="91">
                  <c:v>74.004999999999995</c:v>
                </c:pt>
                <c:pt idx="92">
                  <c:v>73.777000000000001</c:v>
                </c:pt>
                <c:pt idx="93">
                  <c:v>73.528999999999996</c:v>
                </c:pt>
                <c:pt idx="94">
                  <c:v>73.260999999999996</c:v>
                </c:pt>
                <c:pt idx="95">
                  <c:v>73.004999999999995</c:v>
                </c:pt>
                <c:pt idx="96">
                  <c:v>72.712999999999994</c:v>
                </c:pt>
                <c:pt idx="97">
                  <c:v>72.456999999999994</c:v>
                </c:pt>
                <c:pt idx="98">
                  <c:v>72.260999999999996</c:v>
                </c:pt>
                <c:pt idx="99">
                  <c:v>71.994</c:v>
                </c:pt>
                <c:pt idx="100">
                  <c:v>71.783000000000001</c:v>
                </c:pt>
                <c:pt idx="101">
                  <c:v>71.594999999999999</c:v>
                </c:pt>
                <c:pt idx="102">
                  <c:v>71.394000000000005</c:v>
                </c:pt>
                <c:pt idx="103">
                  <c:v>71.186999999999998</c:v>
                </c:pt>
                <c:pt idx="104">
                  <c:v>70.941999999999993</c:v>
                </c:pt>
                <c:pt idx="105">
                  <c:v>70.653000000000006</c:v>
                </c:pt>
                <c:pt idx="106">
                  <c:v>70.358000000000004</c:v>
                </c:pt>
                <c:pt idx="107">
                  <c:v>70.007000000000005</c:v>
                </c:pt>
                <c:pt idx="108">
                  <c:v>69.597999999999999</c:v>
                </c:pt>
                <c:pt idx="109">
                  <c:v>69.085999999999999</c:v>
                </c:pt>
                <c:pt idx="110">
                  <c:v>68.591999999999999</c:v>
                </c:pt>
                <c:pt idx="111">
                  <c:v>68.153999999999996</c:v>
                </c:pt>
                <c:pt idx="112">
                  <c:v>67.748999999999995</c:v>
                </c:pt>
                <c:pt idx="113">
                  <c:v>67.347999999999999</c:v>
                </c:pt>
                <c:pt idx="114">
                  <c:v>66.97</c:v>
                </c:pt>
                <c:pt idx="115">
                  <c:v>66.569000000000003</c:v>
                </c:pt>
                <c:pt idx="116">
                  <c:v>66.152000000000001</c:v>
                </c:pt>
                <c:pt idx="117">
                  <c:v>65.772000000000006</c:v>
                </c:pt>
                <c:pt idx="118">
                  <c:v>65.405000000000001</c:v>
                </c:pt>
                <c:pt idx="119">
                  <c:v>65.025999999999996</c:v>
                </c:pt>
                <c:pt idx="120">
                  <c:v>64.59</c:v>
                </c:pt>
                <c:pt idx="121">
                  <c:v>64.14</c:v>
                </c:pt>
                <c:pt idx="122">
                  <c:v>63.69</c:v>
                </c:pt>
                <c:pt idx="123">
                  <c:v>63.216000000000001</c:v>
                </c:pt>
                <c:pt idx="124">
                  <c:v>62.746000000000002</c:v>
                </c:pt>
                <c:pt idx="125">
                  <c:v>62.262999999999998</c:v>
                </c:pt>
                <c:pt idx="126">
                  <c:v>61.781999999999996</c:v>
                </c:pt>
                <c:pt idx="127">
                  <c:v>61.301000000000002</c:v>
                </c:pt>
                <c:pt idx="128">
                  <c:v>60.822000000000003</c:v>
                </c:pt>
                <c:pt idx="129">
                  <c:v>60.383000000000003</c:v>
                </c:pt>
                <c:pt idx="130">
                  <c:v>59.975000000000001</c:v>
                </c:pt>
                <c:pt idx="131">
                  <c:v>59.615000000000002</c:v>
                </c:pt>
                <c:pt idx="132">
                  <c:v>59.218000000000004</c:v>
                </c:pt>
                <c:pt idx="133">
                  <c:v>58.816000000000003</c:v>
                </c:pt>
                <c:pt idx="134">
                  <c:v>58.396999999999998</c:v>
                </c:pt>
                <c:pt idx="135">
                  <c:v>57.966999999999999</c:v>
                </c:pt>
                <c:pt idx="136">
                  <c:v>57.543999999999997</c:v>
                </c:pt>
                <c:pt idx="137">
                  <c:v>57.110999999999997</c:v>
                </c:pt>
                <c:pt idx="138">
                  <c:v>56.654000000000003</c:v>
                </c:pt>
                <c:pt idx="139">
                  <c:v>56.219000000000001</c:v>
                </c:pt>
                <c:pt idx="140">
                  <c:v>55.841999999999999</c:v>
                </c:pt>
                <c:pt idx="141">
                  <c:v>55.475000000000001</c:v>
                </c:pt>
                <c:pt idx="142">
                  <c:v>55.171999999999997</c:v>
                </c:pt>
                <c:pt idx="143">
                  <c:v>54.890999999999998</c:v>
                </c:pt>
                <c:pt idx="144">
                  <c:v>54.62</c:v>
                </c:pt>
                <c:pt idx="145">
                  <c:v>54.337000000000003</c:v>
                </c:pt>
                <c:pt idx="146">
                  <c:v>54.051000000000002</c:v>
                </c:pt>
                <c:pt idx="147">
                  <c:v>53.78</c:v>
                </c:pt>
                <c:pt idx="148">
                  <c:v>53.542999999999999</c:v>
                </c:pt>
                <c:pt idx="149">
                  <c:v>53.307000000000002</c:v>
                </c:pt>
                <c:pt idx="150">
                  <c:v>53.039000000000001</c:v>
                </c:pt>
                <c:pt idx="151">
                  <c:v>52.741999999999997</c:v>
                </c:pt>
                <c:pt idx="152">
                  <c:v>52.451999999999998</c:v>
                </c:pt>
                <c:pt idx="153">
                  <c:v>52.115000000000002</c:v>
                </c:pt>
                <c:pt idx="154">
                  <c:v>51.768000000000001</c:v>
                </c:pt>
                <c:pt idx="155">
                  <c:v>51.393000000000001</c:v>
                </c:pt>
                <c:pt idx="156">
                  <c:v>50.994999999999997</c:v>
                </c:pt>
                <c:pt idx="157">
                  <c:v>50.597000000000001</c:v>
                </c:pt>
                <c:pt idx="158">
                  <c:v>50.186</c:v>
                </c:pt>
                <c:pt idx="159">
                  <c:v>49.764000000000003</c:v>
                </c:pt>
                <c:pt idx="160">
                  <c:v>49.31</c:v>
                </c:pt>
                <c:pt idx="161">
                  <c:v>48.804000000000002</c:v>
                </c:pt>
                <c:pt idx="162">
                  <c:v>48.287999999999997</c:v>
                </c:pt>
                <c:pt idx="163">
                  <c:v>47.793999999999997</c:v>
                </c:pt>
                <c:pt idx="164">
                  <c:v>47.311999999999998</c:v>
                </c:pt>
                <c:pt idx="165">
                  <c:v>46.85</c:v>
                </c:pt>
                <c:pt idx="166">
                  <c:v>46.4</c:v>
                </c:pt>
                <c:pt idx="167">
                  <c:v>45.948</c:v>
                </c:pt>
                <c:pt idx="168">
                  <c:v>45.491</c:v>
                </c:pt>
                <c:pt idx="169">
                  <c:v>45.029000000000003</c:v>
                </c:pt>
                <c:pt idx="170">
                  <c:v>44.585999999999999</c:v>
                </c:pt>
                <c:pt idx="171">
                  <c:v>44.145000000000003</c:v>
                </c:pt>
                <c:pt idx="172">
                  <c:v>43.692999999999998</c:v>
                </c:pt>
                <c:pt idx="173">
                  <c:v>43.241</c:v>
                </c:pt>
                <c:pt idx="174">
                  <c:v>42.798000000000002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765-4B71-9DE7-F0F611E1E4C8}"/>
            </c:ext>
          </c:extLst>
        </c:ser>
        <c:ser>
          <c:idx val="14"/>
          <c:order val="14"/>
          <c:tx>
            <c:strRef>
              <c:f>data_ghg_excLUC!$S$2</c:f>
              <c:strCache>
                <c:ptCount val="1"/>
                <c:pt idx="0">
                  <c:v>Annex I GMST</c:v>
                </c:pt>
              </c:strCache>
            </c:strRef>
          </c:tx>
          <c:spPr>
            <a:ln w="317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data_ghg_excLUC!$S$3:$S$177</c:f>
              <c:numCache>
                <c:formatCode>0.0</c:formatCode>
                <c:ptCount val="175"/>
                <c:pt idx="1">
                  <c:v>80.697999999999993</c:v>
                </c:pt>
                <c:pt idx="2">
                  <c:v>81.052000000000007</c:v>
                </c:pt>
                <c:pt idx="3">
                  <c:v>81.445999999999998</c:v>
                </c:pt>
                <c:pt idx="4">
                  <c:v>82.179000000000002</c:v>
                </c:pt>
                <c:pt idx="5">
                  <c:v>82.697999999999993</c:v>
                </c:pt>
                <c:pt idx="6">
                  <c:v>83.153000000000006</c:v>
                </c:pt>
                <c:pt idx="7">
                  <c:v>83.522000000000006</c:v>
                </c:pt>
                <c:pt idx="8">
                  <c:v>83.820999999999998</c:v>
                </c:pt>
                <c:pt idx="9">
                  <c:v>84.156000000000006</c:v>
                </c:pt>
                <c:pt idx="10">
                  <c:v>84.549000000000007</c:v>
                </c:pt>
                <c:pt idx="11">
                  <c:v>84.918999999999997</c:v>
                </c:pt>
                <c:pt idx="12">
                  <c:v>85.233000000000004</c:v>
                </c:pt>
                <c:pt idx="13">
                  <c:v>85.492000000000004</c:v>
                </c:pt>
                <c:pt idx="14">
                  <c:v>85.772000000000006</c:v>
                </c:pt>
                <c:pt idx="15">
                  <c:v>86.051000000000002</c:v>
                </c:pt>
                <c:pt idx="16">
                  <c:v>86.325999999999993</c:v>
                </c:pt>
                <c:pt idx="17">
                  <c:v>86.602999999999994</c:v>
                </c:pt>
                <c:pt idx="18">
                  <c:v>86.861000000000004</c:v>
                </c:pt>
                <c:pt idx="19">
                  <c:v>87.123999999999995</c:v>
                </c:pt>
                <c:pt idx="20">
                  <c:v>87.328000000000003</c:v>
                </c:pt>
                <c:pt idx="21">
                  <c:v>87.504999999999995</c:v>
                </c:pt>
                <c:pt idx="22">
                  <c:v>87.697000000000003</c:v>
                </c:pt>
                <c:pt idx="23">
                  <c:v>87.870999999999995</c:v>
                </c:pt>
                <c:pt idx="24">
                  <c:v>87.947000000000003</c:v>
                </c:pt>
                <c:pt idx="25">
                  <c:v>88.033000000000001</c:v>
                </c:pt>
                <c:pt idx="26">
                  <c:v>88.087999999999994</c:v>
                </c:pt>
                <c:pt idx="27">
                  <c:v>88.126000000000005</c:v>
                </c:pt>
                <c:pt idx="28">
                  <c:v>88.13</c:v>
                </c:pt>
                <c:pt idx="29">
                  <c:v>88.141999999999996</c:v>
                </c:pt>
                <c:pt idx="30">
                  <c:v>88.183000000000007</c:v>
                </c:pt>
                <c:pt idx="31">
                  <c:v>88.215999999999994</c:v>
                </c:pt>
                <c:pt idx="32">
                  <c:v>88.253</c:v>
                </c:pt>
                <c:pt idx="33">
                  <c:v>88.31</c:v>
                </c:pt>
                <c:pt idx="34">
                  <c:v>88.338999999999999</c:v>
                </c:pt>
                <c:pt idx="35">
                  <c:v>88.347999999999999</c:v>
                </c:pt>
                <c:pt idx="36">
                  <c:v>88.34</c:v>
                </c:pt>
                <c:pt idx="37">
                  <c:v>88.332999999999998</c:v>
                </c:pt>
                <c:pt idx="38">
                  <c:v>88.355000000000004</c:v>
                </c:pt>
                <c:pt idx="39">
                  <c:v>88.352000000000004</c:v>
                </c:pt>
                <c:pt idx="40">
                  <c:v>88.385999999999996</c:v>
                </c:pt>
                <c:pt idx="41">
                  <c:v>88.427000000000007</c:v>
                </c:pt>
                <c:pt idx="42">
                  <c:v>88.447000000000003</c:v>
                </c:pt>
                <c:pt idx="43">
                  <c:v>88.438999999999993</c:v>
                </c:pt>
                <c:pt idx="44">
                  <c:v>88.444000000000003</c:v>
                </c:pt>
                <c:pt idx="45">
                  <c:v>88.453999999999994</c:v>
                </c:pt>
                <c:pt idx="46">
                  <c:v>88.465000000000003</c:v>
                </c:pt>
                <c:pt idx="47">
                  <c:v>88.483000000000004</c:v>
                </c:pt>
                <c:pt idx="48">
                  <c:v>88.512</c:v>
                </c:pt>
                <c:pt idx="49">
                  <c:v>88.564999999999998</c:v>
                </c:pt>
                <c:pt idx="50">
                  <c:v>88.626000000000005</c:v>
                </c:pt>
                <c:pt idx="51">
                  <c:v>88.676000000000002</c:v>
                </c:pt>
                <c:pt idx="52">
                  <c:v>88.721000000000004</c:v>
                </c:pt>
                <c:pt idx="53">
                  <c:v>88.781999999999996</c:v>
                </c:pt>
                <c:pt idx="54">
                  <c:v>88.831000000000003</c:v>
                </c:pt>
                <c:pt idx="55">
                  <c:v>88.894000000000005</c:v>
                </c:pt>
                <c:pt idx="56">
                  <c:v>88.942999999999998</c:v>
                </c:pt>
                <c:pt idx="57">
                  <c:v>89.01</c:v>
                </c:pt>
                <c:pt idx="58">
                  <c:v>89.025000000000006</c:v>
                </c:pt>
                <c:pt idx="59">
                  <c:v>89.052999999999997</c:v>
                </c:pt>
                <c:pt idx="60">
                  <c:v>89.085999999999999</c:v>
                </c:pt>
                <c:pt idx="61">
                  <c:v>89.096000000000004</c:v>
                </c:pt>
                <c:pt idx="62">
                  <c:v>89.126999999999995</c:v>
                </c:pt>
                <c:pt idx="63">
                  <c:v>89.165999999999997</c:v>
                </c:pt>
                <c:pt idx="64">
                  <c:v>89.144999999999996</c:v>
                </c:pt>
                <c:pt idx="65">
                  <c:v>89.102999999999994</c:v>
                </c:pt>
                <c:pt idx="66">
                  <c:v>89.063000000000002</c:v>
                </c:pt>
                <c:pt idx="67">
                  <c:v>89.016000000000005</c:v>
                </c:pt>
                <c:pt idx="68">
                  <c:v>88.942999999999998</c:v>
                </c:pt>
                <c:pt idx="69">
                  <c:v>88.789000000000001</c:v>
                </c:pt>
                <c:pt idx="70">
                  <c:v>88.658000000000001</c:v>
                </c:pt>
                <c:pt idx="71">
                  <c:v>88.462999999999994</c:v>
                </c:pt>
                <c:pt idx="72">
                  <c:v>88.284000000000006</c:v>
                </c:pt>
                <c:pt idx="73">
                  <c:v>88.135999999999996</c:v>
                </c:pt>
                <c:pt idx="74">
                  <c:v>87.977999999999994</c:v>
                </c:pt>
                <c:pt idx="75">
                  <c:v>87.819000000000003</c:v>
                </c:pt>
                <c:pt idx="76">
                  <c:v>87.656999999999996</c:v>
                </c:pt>
                <c:pt idx="77">
                  <c:v>87.515000000000001</c:v>
                </c:pt>
                <c:pt idx="78">
                  <c:v>87.369</c:v>
                </c:pt>
                <c:pt idx="79">
                  <c:v>87.234999999999999</c:v>
                </c:pt>
                <c:pt idx="80">
                  <c:v>87.072000000000003</c:v>
                </c:pt>
                <c:pt idx="81">
                  <c:v>86.884</c:v>
                </c:pt>
                <c:pt idx="82">
                  <c:v>86.638999999999996</c:v>
                </c:pt>
                <c:pt idx="83">
                  <c:v>86.393000000000001</c:v>
                </c:pt>
                <c:pt idx="84">
                  <c:v>86.159000000000006</c:v>
                </c:pt>
                <c:pt idx="85">
                  <c:v>85.92</c:v>
                </c:pt>
                <c:pt idx="86">
                  <c:v>85.701999999999998</c:v>
                </c:pt>
                <c:pt idx="87">
                  <c:v>85.495000000000005</c:v>
                </c:pt>
                <c:pt idx="88">
                  <c:v>85.271000000000001</c:v>
                </c:pt>
                <c:pt idx="89">
                  <c:v>85.072999999999993</c:v>
                </c:pt>
                <c:pt idx="90">
                  <c:v>84.887</c:v>
                </c:pt>
                <c:pt idx="91">
                  <c:v>84.724999999999994</c:v>
                </c:pt>
                <c:pt idx="92">
                  <c:v>84.58</c:v>
                </c:pt>
                <c:pt idx="93">
                  <c:v>84.436999999999998</c:v>
                </c:pt>
                <c:pt idx="94">
                  <c:v>84.287999999999997</c:v>
                </c:pt>
                <c:pt idx="95">
                  <c:v>84.087999999999994</c:v>
                </c:pt>
                <c:pt idx="96">
                  <c:v>83.864999999999995</c:v>
                </c:pt>
                <c:pt idx="97">
                  <c:v>83.686000000000007</c:v>
                </c:pt>
                <c:pt idx="98">
                  <c:v>83.567999999999998</c:v>
                </c:pt>
                <c:pt idx="99">
                  <c:v>83.426000000000002</c:v>
                </c:pt>
                <c:pt idx="100">
                  <c:v>83.316999999999993</c:v>
                </c:pt>
                <c:pt idx="101">
                  <c:v>83.218000000000004</c:v>
                </c:pt>
                <c:pt idx="102">
                  <c:v>83.122</c:v>
                </c:pt>
                <c:pt idx="103">
                  <c:v>83.034000000000006</c:v>
                </c:pt>
                <c:pt idx="104">
                  <c:v>82.92</c:v>
                </c:pt>
                <c:pt idx="105">
                  <c:v>82.766999999999996</c:v>
                </c:pt>
                <c:pt idx="106">
                  <c:v>82.617000000000004</c:v>
                </c:pt>
                <c:pt idx="107">
                  <c:v>82.438000000000002</c:v>
                </c:pt>
                <c:pt idx="108">
                  <c:v>82.203999999999994</c:v>
                </c:pt>
                <c:pt idx="109">
                  <c:v>81.855000000000004</c:v>
                </c:pt>
                <c:pt idx="110">
                  <c:v>81.497</c:v>
                </c:pt>
                <c:pt idx="111">
                  <c:v>81.218000000000004</c:v>
                </c:pt>
                <c:pt idx="112">
                  <c:v>80.998000000000005</c:v>
                </c:pt>
                <c:pt idx="113">
                  <c:v>80.778000000000006</c:v>
                </c:pt>
                <c:pt idx="114">
                  <c:v>80.581000000000003</c:v>
                </c:pt>
                <c:pt idx="115">
                  <c:v>80.364999999999995</c:v>
                </c:pt>
                <c:pt idx="116">
                  <c:v>80.106999999999999</c:v>
                </c:pt>
                <c:pt idx="117">
                  <c:v>79.876999999999995</c:v>
                </c:pt>
                <c:pt idx="118">
                  <c:v>79.638999999999996</c:v>
                </c:pt>
                <c:pt idx="119">
                  <c:v>79.350999999999999</c:v>
                </c:pt>
                <c:pt idx="120">
                  <c:v>78.995999999999995</c:v>
                </c:pt>
                <c:pt idx="121">
                  <c:v>78.634</c:v>
                </c:pt>
                <c:pt idx="122">
                  <c:v>78.27</c:v>
                </c:pt>
                <c:pt idx="123">
                  <c:v>77.873000000000005</c:v>
                </c:pt>
                <c:pt idx="124">
                  <c:v>77.495999999999995</c:v>
                </c:pt>
                <c:pt idx="125">
                  <c:v>77.134</c:v>
                </c:pt>
                <c:pt idx="126">
                  <c:v>76.77</c:v>
                </c:pt>
                <c:pt idx="127">
                  <c:v>76.403999999999996</c:v>
                </c:pt>
                <c:pt idx="128">
                  <c:v>76.040999999999997</c:v>
                </c:pt>
                <c:pt idx="129">
                  <c:v>75.706999999999994</c:v>
                </c:pt>
                <c:pt idx="130">
                  <c:v>75.423000000000002</c:v>
                </c:pt>
                <c:pt idx="131">
                  <c:v>75.182000000000002</c:v>
                </c:pt>
                <c:pt idx="132">
                  <c:v>74.912000000000006</c:v>
                </c:pt>
                <c:pt idx="133">
                  <c:v>74.64</c:v>
                </c:pt>
                <c:pt idx="134">
                  <c:v>74.335999999999999</c:v>
                </c:pt>
                <c:pt idx="135">
                  <c:v>74.034000000000006</c:v>
                </c:pt>
                <c:pt idx="136">
                  <c:v>73.742000000000004</c:v>
                </c:pt>
                <c:pt idx="137">
                  <c:v>73.429000000000002</c:v>
                </c:pt>
                <c:pt idx="138">
                  <c:v>73.078000000000003</c:v>
                </c:pt>
                <c:pt idx="139">
                  <c:v>72.730999999999995</c:v>
                </c:pt>
                <c:pt idx="140">
                  <c:v>72.438999999999993</c:v>
                </c:pt>
                <c:pt idx="141">
                  <c:v>72.108000000000004</c:v>
                </c:pt>
                <c:pt idx="142">
                  <c:v>71.790999999999997</c:v>
                </c:pt>
                <c:pt idx="143">
                  <c:v>71.47</c:v>
                </c:pt>
                <c:pt idx="144">
                  <c:v>71.11</c:v>
                </c:pt>
                <c:pt idx="145">
                  <c:v>70.722999999999999</c:v>
                </c:pt>
                <c:pt idx="146">
                  <c:v>70.316999999999993</c:v>
                </c:pt>
                <c:pt idx="147">
                  <c:v>69.915999999999997</c:v>
                </c:pt>
                <c:pt idx="148">
                  <c:v>69.549000000000007</c:v>
                </c:pt>
                <c:pt idx="149">
                  <c:v>69.185000000000002</c:v>
                </c:pt>
                <c:pt idx="150">
                  <c:v>68.777000000000001</c:v>
                </c:pt>
                <c:pt idx="151">
                  <c:v>68.349999999999994</c:v>
                </c:pt>
                <c:pt idx="152">
                  <c:v>67.927000000000007</c:v>
                </c:pt>
                <c:pt idx="153">
                  <c:v>67.445999999999998</c:v>
                </c:pt>
                <c:pt idx="154">
                  <c:v>66.953999999999994</c:v>
                </c:pt>
                <c:pt idx="155">
                  <c:v>66.436000000000007</c:v>
                </c:pt>
                <c:pt idx="156">
                  <c:v>65.899000000000001</c:v>
                </c:pt>
                <c:pt idx="157">
                  <c:v>65.366</c:v>
                </c:pt>
                <c:pt idx="158">
                  <c:v>64.822000000000003</c:v>
                </c:pt>
                <c:pt idx="159">
                  <c:v>64.27</c:v>
                </c:pt>
                <c:pt idx="160">
                  <c:v>63.686</c:v>
                </c:pt>
                <c:pt idx="161">
                  <c:v>63.055</c:v>
                </c:pt>
                <c:pt idx="162">
                  <c:v>62.423000000000002</c:v>
                </c:pt>
                <c:pt idx="163">
                  <c:v>61.817</c:v>
                </c:pt>
                <c:pt idx="164">
                  <c:v>61.228999999999999</c:v>
                </c:pt>
                <c:pt idx="165">
                  <c:v>60.667999999999999</c:v>
                </c:pt>
                <c:pt idx="166">
                  <c:v>60.133000000000003</c:v>
                </c:pt>
                <c:pt idx="167">
                  <c:v>59.6</c:v>
                </c:pt>
                <c:pt idx="168">
                  <c:v>59.061999999999998</c:v>
                </c:pt>
                <c:pt idx="169">
                  <c:v>58.518000000000001</c:v>
                </c:pt>
                <c:pt idx="170">
                  <c:v>58.003999999999998</c:v>
                </c:pt>
                <c:pt idx="171">
                  <c:v>57.488</c:v>
                </c:pt>
                <c:pt idx="172">
                  <c:v>56.948999999999998</c:v>
                </c:pt>
                <c:pt idx="173">
                  <c:v>56.412999999999997</c:v>
                </c:pt>
                <c:pt idx="174">
                  <c:v>55.890999999999998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765-4B71-9DE7-F0F611E1E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Cumulative share of emissions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Cumulative CO</a:t>
            </a:r>
            <a:r>
              <a:rPr lang="en-US" baseline="-25000"/>
              <a:t>2</a:t>
            </a:r>
            <a:r>
              <a:rPr lang="en-US"/>
              <a:t> emissions including from LULUCF since 1850, different end points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data_co2_incLUC!$B$3:$B$177</c:f>
              <c:numCache>
                <c:formatCode>0.0</c:formatCode>
                <c:ptCount val="175"/>
                <c:pt idx="0">
                  <c:v>35.536122428699187</c:v>
                </c:pt>
                <c:pt idx="1">
                  <c:v>35.578173636135404</c:v>
                </c:pt>
                <c:pt idx="2">
                  <c:v>35.469586519427857</c:v>
                </c:pt>
                <c:pt idx="3">
                  <c:v>35.633305224691149</c:v>
                </c:pt>
                <c:pt idx="4">
                  <c:v>35.907145970261958</c:v>
                </c:pt>
                <c:pt idx="5">
                  <c:v>36.057852872522126</c:v>
                </c:pt>
                <c:pt idx="6">
                  <c:v>36.210062838698974</c:v>
                </c:pt>
                <c:pt idx="7">
                  <c:v>36.341745820230805</c:v>
                </c:pt>
                <c:pt idx="8">
                  <c:v>36.49349506568025</c:v>
                </c:pt>
                <c:pt idx="9">
                  <c:v>36.667462047469378</c:v>
                </c:pt>
                <c:pt idx="10">
                  <c:v>36.996694444046291</c:v>
                </c:pt>
                <c:pt idx="11">
                  <c:v>37.280384966178254</c:v>
                </c:pt>
                <c:pt idx="12">
                  <c:v>37.607254409438937</c:v>
                </c:pt>
                <c:pt idx="13">
                  <c:v>37.95183898895808</c:v>
                </c:pt>
                <c:pt idx="14">
                  <c:v>38.239032026224372</c:v>
                </c:pt>
                <c:pt idx="15">
                  <c:v>38.53259500988176</c:v>
                </c:pt>
                <c:pt idx="16">
                  <c:v>38.782643910240509</c:v>
                </c:pt>
                <c:pt idx="17">
                  <c:v>39.081099920355236</c:v>
                </c:pt>
                <c:pt idx="18">
                  <c:v>39.35175528862726</c:v>
                </c:pt>
                <c:pt idx="19">
                  <c:v>39.596567276293193</c:v>
                </c:pt>
                <c:pt idx="20">
                  <c:v>39.996445305145059</c:v>
                </c:pt>
                <c:pt idx="21">
                  <c:v>40.47852443942179</c:v>
                </c:pt>
                <c:pt idx="22">
                  <c:v>40.951878246103469</c:v>
                </c:pt>
                <c:pt idx="23">
                  <c:v>41.461620924315973</c:v>
                </c:pt>
                <c:pt idx="24">
                  <c:v>41.914510539755483</c:v>
                </c:pt>
                <c:pt idx="25">
                  <c:v>42.388638024228712</c:v>
                </c:pt>
                <c:pt idx="26">
                  <c:v>42.837699451806337</c:v>
                </c:pt>
                <c:pt idx="27">
                  <c:v>43.266364495480957</c:v>
                </c:pt>
                <c:pt idx="28">
                  <c:v>43.675416950406742</c:v>
                </c:pt>
                <c:pt idx="29">
                  <c:v>44.092425704211308</c:v>
                </c:pt>
                <c:pt idx="30">
                  <c:v>44.394836049534824</c:v>
                </c:pt>
                <c:pt idx="31">
                  <c:v>44.62200940115833</c:v>
                </c:pt>
                <c:pt idx="32">
                  <c:v>44.826681760053759</c:v>
                </c:pt>
                <c:pt idx="33">
                  <c:v>45.026694402449763</c:v>
                </c:pt>
                <c:pt idx="34">
                  <c:v>45.19574444332433</c:v>
                </c:pt>
                <c:pt idx="35">
                  <c:v>45.335556344743033</c:v>
                </c:pt>
                <c:pt idx="36">
                  <c:v>45.468177048469819</c:v>
                </c:pt>
                <c:pt idx="37">
                  <c:v>45.608739360196907</c:v>
                </c:pt>
                <c:pt idx="38">
                  <c:v>45.767144468930688</c:v>
                </c:pt>
                <c:pt idx="39">
                  <c:v>45.887833131069279</c:v>
                </c:pt>
                <c:pt idx="40">
                  <c:v>46.004251688044235</c:v>
                </c:pt>
                <c:pt idx="41">
                  <c:v>46.119197631033238</c:v>
                </c:pt>
                <c:pt idx="42">
                  <c:v>46.231757519699222</c:v>
                </c:pt>
                <c:pt idx="43">
                  <c:v>46.339460097746603</c:v>
                </c:pt>
                <c:pt idx="44">
                  <c:v>46.437107192550187</c:v>
                </c:pt>
                <c:pt idx="45">
                  <c:v>46.547072046908227</c:v>
                </c:pt>
                <c:pt idx="46">
                  <c:v>46.664332471437405</c:v>
                </c:pt>
                <c:pt idx="47">
                  <c:v>46.779001502492278</c:v>
                </c:pt>
                <c:pt idx="48">
                  <c:v>46.905715093095992</c:v>
                </c:pt>
                <c:pt idx="49">
                  <c:v>47.056465176406256</c:v>
                </c:pt>
                <c:pt idx="50">
                  <c:v>47.192873760258593</c:v>
                </c:pt>
                <c:pt idx="51">
                  <c:v>47.289011977423726</c:v>
                </c:pt>
                <c:pt idx="52">
                  <c:v>47.380935946291878</c:v>
                </c:pt>
                <c:pt idx="53">
                  <c:v>47.487775255270151</c:v>
                </c:pt>
                <c:pt idx="54">
                  <c:v>47.581528974856028</c:v>
                </c:pt>
                <c:pt idx="55">
                  <c:v>47.687663880889509</c:v>
                </c:pt>
                <c:pt idx="56">
                  <c:v>47.784733796533587</c:v>
                </c:pt>
                <c:pt idx="57">
                  <c:v>47.922811190775008</c:v>
                </c:pt>
                <c:pt idx="58">
                  <c:v>48.026100913961734</c:v>
                </c:pt>
                <c:pt idx="59">
                  <c:v>48.132541871372467</c:v>
                </c:pt>
                <c:pt idx="60">
                  <c:v>48.278254456710535</c:v>
                </c:pt>
                <c:pt idx="61">
                  <c:v>48.423927504450653</c:v>
                </c:pt>
                <c:pt idx="62">
                  <c:v>48.577721883743827</c:v>
                </c:pt>
                <c:pt idx="63">
                  <c:v>48.760207742884035</c:v>
                </c:pt>
                <c:pt idx="64">
                  <c:v>48.905352187430481</c:v>
                </c:pt>
                <c:pt idx="65">
                  <c:v>49.043331403171671</c:v>
                </c:pt>
                <c:pt idx="66">
                  <c:v>49.200891906889403</c:v>
                </c:pt>
                <c:pt idx="67">
                  <c:v>49.377195648175423</c:v>
                </c:pt>
                <c:pt idx="68">
                  <c:v>49.571007347705738</c:v>
                </c:pt>
                <c:pt idx="69">
                  <c:v>49.719813765551017</c:v>
                </c:pt>
                <c:pt idx="70">
                  <c:v>49.830096445821653</c:v>
                </c:pt>
                <c:pt idx="71">
                  <c:v>49.855679532468301</c:v>
                </c:pt>
                <c:pt idx="72">
                  <c:v>49.88461779044917</c:v>
                </c:pt>
                <c:pt idx="73">
                  <c:v>49.934812212870241</c:v>
                </c:pt>
                <c:pt idx="74">
                  <c:v>49.976774235027762</c:v>
                </c:pt>
                <c:pt idx="75">
                  <c:v>50.006884671252315</c:v>
                </c:pt>
                <c:pt idx="76">
                  <c:v>50.014449146726669</c:v>
                </c:pt>
                <c:pt idx="77">
                  <c:v>50.037980358974096</c:v>
                </c:pt>
                <c:pt idx="78">
                  <c:v>50.044396849236108</c:v>
                </c:pt>
                <c:pt idx="79">
                  <c:v>50.060489223187986</c:v>
                </c:pt>
                <c:pt idx="80">
                  <c:v>50.003019204546561</c:v>
                </c:pt>
                <c:pt idx="81">
                  <c:v>49.886255627195922</c:v>
                </c:pt>
                <c:pt idx="82">
                  <c:v>49.723103052999242</c:v>
                </c:pt>
                <c:pt idx="83">
                  <c:v>49.569377461235582</c:v>
                </c:pt>
                <c:pt idx="84">
                  <c:v>49.422290420838124</c:v>
                </c:pt>
                <c:pt idx="85">
                  <c:v>49.279200419834289</c:v>
                </c:pt>
                <c:pt idx="86">
                  <c:v>49.146002797107982</c:v>
                </c:pt>
                <c:pt idx="87">
                  <c:v>49.025663962107622</c:v>
                </c:pt>
                <c:pt idx="88">
                  <c:v>48.876064281382099</c:v>
                </c:pt>
                <c:pt idx="89">
                  <c:v>48.743338795216758</c:v>
                </c:pt>
                <c:pt idx="90">
                  <c:v>48.601982168927414</c:v>
                </c:pt>
                <c:pt idx="91">
                  <c:v>48.472984067043498</c:v>
                </c:pt>
                <c:pt idx="92">
                  <c:v>48.374591721033575</c:v>
                </c:pt>
                <c:pt idx="93">
                  <c:v>48.282200502476854</c:v>
                </c:pt>
                <c:pt idx="94">
                  <c:v>48.19162874780514</c:v>
                </c:pt>
                <c:pt idx="95">
                  <c:v>48.06561073374516</c:v>
                </c:pt>
                <c:pt idx="96">
                  <c:v>47.953286535953865</c:v>
                </c:pt>
                <c:pt idx="97">
                  <c:v>47.870798578018977</c:v>
                </c:pt>
                <c:pt idx="98">
                  <c:v>47.809340669769298</c:v>
                </c:pt>
                <c:pt idx="99">
                  <c:v>47.720090894323356</c:v>
                </c:pt>
                <c:pt idx="100">
                  <c:v>47.575735947934703</c:v>
                </c:pt>
                <c:pt idx="101">
                  <c:v>47.39881704231437</c:v>
                </c:pt>
                <c:pt idx="102">
                  <c:v>47.215741058119647</c:v>
                </c:pt>
                <c:pt idx="103">
                  <c:v>47.028168751061109</c:v>
                </c:pt>
                <c:pt idx="104">
                  <c:v>46.801057179944557</c:v>
                </c:pt>
                <c:pt idx="105">
                  <c:v>46.583054966781553</c:v>
                </c:pt>
                <c:pt idx="106">
                  <c:v>46.374554521205695</c:v>
                </c:pt>
                <c:pt idx="107">
                  <c:v>46.150994390723469</c:v>
                </c:pt>
                <c:pt idx="108">
                  <c:v>45.908887333059589</c:v>
                </c:pt>
                <c:pt idx="109">
                  <c:v>45.62550682468062</c:v>
                </c:pt>
                <c:pt idx="110">
                  <c:v>45.433597880546671</c:v>
                </c:pt>
                <c:pt idx="111">
                  <c:v>45.243381966893473</c:v>
                </c:pt>
                <c:pt idx="112">
                  <c:v>45.104732516349529</c:v>
                </c:pt>
                <c:pt idx="113">
                  <c:v>44.980460786752957</c:v>
                </c:pt>
                <c:pt idx="114">
                  <c:v>44.887558269425718</c:v>
                </c:pt>
                <c:pt idx="115">
                  <c:v>44.813518860831387</c:v>
                </c:pt>
                <c:pt idx="116">
                  <c:v>44.761083071495328</c:v>
                </c:pt>
                <c:pt idx="117">
                  <c:v>44.761697256791535</c:v>
                </c:pt>
                <c:pt idx="118">
                  <c:v>44.781992545581041</c:v>
                </c:pt>
                <c:pt idx="119">
                  <c:v>44.734120620711273</c:v>
                </c:pt>
                <c:pt idx="120">
                  <c:v>44.694729212131804</c:v>
                </c:pt>
                <c:pt idx="121">
                  <c:v>44.6643934597003</c:v>
                </c:pt>
                <c:pt idx="122">
                  <c:v>44.604085759864077</c:v>
                </c:pt>
                <c:pt idx="123">
                  <c:v>44.561987978215441</c:v>
                </c:pt>
                <c:pt idx="124">
                  <c:v>44.503458877680671</c:v>
                </c:pt>
                <c:pt idx="125">
                  <c:v>44.429314265172927</c:v>
                </c:pt>
                <c:pt idx="126">
                  <c:v>44.371054721484448</c:v>
                </c:pt>
                <c:pt idx="127">
                  <c:v>44.294855751160625</c:v>
                </c:pt>
                <c:pt idx="128">
                  <c:v>44.208906761969871</c:v>
                </c:pt>
                <c:pt idx="129">
                  <c:v>44.161049540100308</c:v>
                </c:pt>
                <c:pt idx="130">
                  <c:v>44.092329216428041</c:v>
                </c:pt>
                <c:pt idx="131">
                  <c:v>44.019243868241794</c:v>
                </c:pt>
                <c:pt idx="132">
                  <c:v>43.932231430758641</c:v>
                </c:pt>
                <c:pt idx="133">
                  <c:v>43.835509197282207</c:v>
                </c:pt>
                <c:pt idx="134">
                  <c:v>43.71413216981243</c:v>
                </c:pt>
                <c:pt idx="135">
                  <c:v>43.567403642560251</c:v>
                </c:pt>
                <c:pt idx="136">
                  <c:v>43.403846724643799</c:v>
                </c:pt>
                <c:pt idx="137">
                  <c:v>43.265091505383268</c:v>
                </c:pt>
                <c:pt idx="138">
                  <c:v>43.140848729575787</c:v>
                </c:pt>
                <c:pt idx="139">
                  <c:v>43.033449510440747</c:v>
                </c:pt>
                <c:pt idx="140">
                  <c:v>42.953740165937894</c:v>
                </c:pt>
                <c:pt idx="141">
                  <c:v>42.864035572807666</c:v>
                </c:pt>
                <c:pt idx="142">
                  <c:v>42.790013963853809</c:v>
                </c:pt>
                <c:pt idx="143">
                  <c:v>42.723517746322969</c:v>
                </c:pt>
                <c:pt idx="144">
                  <c:v>42.633648217955276</c:v>
                </c:pt>
                <c:pt idx="145">
                  <c:v>42.559051148476847</c:v>
                </c:pt>
                <c:pt idx="146">
                  <c:v>42.482560995883176</c:v>
                </c:pt>
                <c:pt idx="147">
                  <c:v>42.369108755906929</c:v>
                </c:pt>
                <c:pt idx="148">
                  <c:v>42.295265541306577</c:v>
                </c:pt>
                <c:pt idx="149">
                  <c:v>42.225178623798762</c:v>
                </c:pt>
                <c:pt idx="150">
                  <c:v>42.172115806783843</c:v>
                </c:pt>
                <c:pt idx="151">
                  <c:v>42.122201942389935</c:v>
                </c:pt>
                <c:pt idx="152">
                  <c:v>42.050091189823696</c:v>
                </c:pt>
                <c:pt idx="153">
                  <c:v>41.942971969303507</c:v>
                </c:pt>
                <c:pt idx="154">
                  <c:v>41.844089621522485</c:v>
                </c:pt>
                <c:pt idx="155">
                  <c:v>41.743359048967136</c:v>
                </c:pt>
                <c:pt idx="156">
                  <c:v>41.600150850714726</c:v>
                </c:pt>
                <c:pt idx="157">
                  <c:v>41.462194838989284</c:v>
                </c:pt>
                <c:pt idx="158">
                  <c:v>41.306955475419848</c:v>
                </c:pt>
                <c:pt idx="159">
                  <c:v>41.105160569490614</c:v>
                </c:pt>
                <c:pt idx="160">
                  <c:v>40.915408209286412</c:v>
                </c:pt>
                <c:pt idx="161">
                  <c:v>40.691041237945626</c:v>
                </c:pt>
                <c:pt idx="162">
                  <c:v>40.450673473046209</c:v>
                </c:pt>
                <c:pt idx="163">
                  <c:v>40.218926834152384</c:v>
                </c:pt>
                <c:pt idx="164">
                  <c:v>39.983677094550437</c:v>
                </c:pt>
                <c:pt idx="165">
                  <c:v>39.74771948423566</c:v>
                </c:pt>
                <c:pt idx="166">
                  <c:v>39.533517781302088</c:v>
                </c:pt>
                <c:pt idx="167">
                  <c:v>39.318423738474635</c:v>
                </c:pt>
                <c:pt idx="168">
                  <c:v>39.106640419427244</c:v>
                </c:pt>
                <c:pt idx="169">
                  <c:v>38.883711368808605</c:v>
                </c:pt>
                <c:pt idx="170">
                  <c:v>38.660595990502081</c:v>
                </c:pt>
                <c:pt idx="171">
                  <c:v>38.440054146678165</c:v>
                </c:pt>
                <c:pt idx="172">
                  <c:v>38.212651425648566</c:v>
                </c:pt>
                <c:pt idx="173">
                  <c:v>37.973549020282945</c:v>
                </c:pt>
                <c:pt idx="174">
                  <c:v>37.734536444647119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9-4F69-A4E8-88A9E1562596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data_co2_incLUC!$F$3:$F$177</c:f>
              <c:numCache>
                <c:formatCode>0.0</c:formatCode>
                <c:ptCount val="175"/>
                <c:pt idx="0">
                  <c:v>9.3868884839526814</c:v>
                </c:pt>
                <c:pt idx="1">
                  <c:v>9.4824378233706739</c:v>
                </c:pt>
                <c:pt idx="2">
                  <c:v>11.408487848009457</c:v>
                </c:pt>
                <c:pt idx="3">
                  <c:v>12.906273162361764</c:v>
                </c:pt>
                <c:pt idx="4">
                  <c:v>14.078252228303562</c:v>
                </c:pt>
                <c:pt idx="5">
                  <c:v>15.130751886602297</c:v>
                </c:pt>
                <c:pt idx="6">
                  <c:v>15.975468706385435</c:v>
                </c:pt>
                <c:pt idx="7">
                  <c:v>16.663394693988643</c:v>
                </c:pt>
                <c:pt idx="8">
                  <c:v>17.208055418052659</c:v>
                </c:pt>
                <c:pt idx="9">
                  <c:v>17.672528524294627</c:v>
                </c:pt>
                <c:pt idx="10">
                  <c:v>17.957469172502002</c:v>
                </c:pt>
                <c:pt idx="11">
                  <c:v>18.194085913736643</c:v>
                </c:pt>
                <c:pt idx="12">
                  <c:v>18.075726363016436</c:v>
                </c:pt>
                <c:pt idx="13">
                  <c:v>17.934247147925134</c:v>
                </c:pt>
                <c:pt idx="14">
                  <c:v>17.851646654666176</c:v>
                </c:pt>
                <c:pt idx="15">
                  <c:v>17.757577462894055</c:v>
                </c:pt>
                <c:pt idx="16">
                  <c:v>17.693473584701451</c:v>
                </c:pt>
                <c:pt idx="17">
                  <c:v>17.584101648022362</c:v>
                </c:pt>
                <c:pt idx="18">
                  <c:v>17.487600604845895</c:v>
                </c:pt>
                <c:pt idx="19">
                  <c:v>17.420417243830919</c:v>
                </c:pt>
                <c:pt idx="20">
                  <c:v>17.183527724931352</c:v>
                </c:pt>
                <c:pt idx="21">
                  <c:v>16.793483295437021</c:v>
                </c:pt>
                <c:pt idx="22">
                  <c:v>16.664986524690818</c:v>
                </c:pt>
                <c:pt idx="23">
                  <c:v>16.494755391361473</c:v>
                </c:pt>
                <c:pt idx="24">
                  <c:v>16.320836016978767</c:v>
                </c:pt>
                <c:pt idx="25">
                  <c:v>16.141345048691164</c:v>
                </c:pt>
                <c:pt idx="26">
                  <c:v>15.957944833110865</c:v>
                </c:pt>
                <c:pt idx="27">
                  <c:v>15.78849999420239</c:v>
                </c:pt>
                <c:pt idx="28">
                  <c:v>15.618839001512967</c:v>
                </c:pt>
                <c:pt idx="29">
                  <c:v>15.45139716597734</c:v>
                </c:pt>
                <c:pt idx="30">
                  <c:v>15.43377609987354</c:v>
                </c:pt>
                <c:pt idx="31">
                  <c:v>15.400827912281841</c:v>
                </c:pt>
                <c:pt idx="32">
                  <c:v>15.279764756317824</c:v>
                </c:pt>
                <c:pt idx="33">
                  <c:v>15.156073641546911</c:v>
                </c:pt>
                <c:pt idx="34">
                  <c:v>15.042461121823507</c:v>
                </c:pt>
                <c:pt idx="35">
                  <c:v>14.939236719669822</c:v>
                </c:pt>
                <c:pt idx="36">
                  <c:v>14.834645546396196</c:v>
                </c:pt>
                <c:pt idx="37">
                  <c:v>14.72603231553552</c:v>
                </c:pt>
                <c:pt idx="38">
                  <c:v>14.62630385987584</c:v>
                </c:pt>
                <c:pt idx="39">
                  <c:v>14.545195794272992</c:v>
                </c:pt>
                <c:pt idx="40">
                  <c:v>14.489505169297217</c:v>
                </c:pt>
                <c:pt idx="41">
                  <c:v>14.441538817392043</c:v>
                </c:pt>
                <c:pt idx="42">
                  <c:v>14.407316416572748</c:v>
                </c:pt>
                <c:pt idx="43">
                  <c:v>14.359235637838303</c:v>
                </c:pt>
                <c:pt idx="44">
                  <c:v>14.305091248439354</c:v>
                </c:pt>
                <c:pt idx="45">
                  <c:v>14.24884394596527</c:v>
                </c:pt>
                <c:pt idx="46">
                  <c:v>14.18702496310226</c:v>
                </c:pt>
                <c:pt idx="47">
                  <c:v>14.133357791382018</c:v>
                </c:pt>
                <c:pt idx="48">
                  <c:v>14.072270824462002</c:v>
                </c:pt>
                <c:pt idx="49">
                  <c:v>14.012786514307642</c:v>
                </c:pt>
                <c:pt idx="50">
                  <c:v>13.97903906453007</c:v>
                </c:pt>
                <c:pt idx="51">
                  <c:v>13.89391391971607</c:v>
                </c:pt>
                <c:pt idx="52">
                  <c:v>13.749289856546376</c:v>
                </c:pt>
                <c:pt idx="53">
                  <c:v>13.582847904938006</c:v>
                </c:pt>
                <c:pt idx="54">
                  <c:v>13.383585169447528</c:v>
                </c:pt>
                <c:pt idx="55">
                  <c:v>13.166331243614302</c:v>
                </c:pt>
                <c:pt idx="56">
                  <c:v>12.924915084852124</c:v>
                </c:pt>
                <c:pt idx="57">
                  <c:v>12.689012304453414</c:v>
                </c:pt>
                <c:pt idx="58">
                  <c:v>12.448122294157201</c:v>
                </c:pt>
                <c:pt idx="59">
                  <c:v>12.217417400107358</c:v>
                </c:pt>
                <c:pt idx="60">
                  <c:v>11.971941668064346</c:v>
                </c:pt>
                <c:pt idx="61">
                  <c:v>11.784212910157194</c:v>
                </c:pt>
                <c:pt idx="62">
                  <c:v>11.610269285873358</c:v>
                </c:pt>
                <c:pt idx="63">
                  <c:v>11.463996697061447</c:v>
                </c:pt>
                <c:pt idx="64">
                  <c:v>11.321799489155133</c:v>
                </c:pt>
                <c:pt idx="65">
                  <c:v>11.189768643494453</c:v>
                </c:pt>
                <c:pt idx="66">
                  <c:v>11.059031322492658</c:v>
                </c:pt>
                <c:pt idx="67">
                  <c:v>10.918283065030153</c:v>
                </c:pt>
                <c:pt idx="68">
                  <c:v>10.775402150020057</c:v>
                </c:pt>
                <c:pt idx="69">
                  <c:v>10.632407741816294</c:v>
                </c:pt>
                <c:pt idx="70">
                  <c:v>10.553695562317117</c:v>
                </c:pt>
                <c:pt idx="71">
                  <c:v>10.445861571482752</c:v>
                </c:pt>
                <c:pt idx="72">
                  <c:v>10.332876599264075</c:v>
                </c:pt>
                <c:pt idx="73">
                  <c:v>10.246753183903422</c:v>
                </c:pt>
                <c:pt idx="74">
                  <c:v>10.149450863905244</c:v>
                </c:pt>
                <c:pt idx="75">
                  <c:v>10.061837576149038</c:v>
                </c:pt>
                <c:pt idx="76">
                  <c:v>9.972057995993076</c:v>
                </c:pt>
                <c:pt idx="77">
                  <c:v>9.9118592926441593</c:v>
                </c:pt>
                <c:pt idx="78">
                  <c:v>9.8532041592058164</c:v>
                </c:pt>
                <c:pt idx="79">
                  <c:v>9.8166714292802553</c:v>
                </c:pt>
                <c:pt idx="80">
                  <c:v>9.8362134972338566</c:v>
                </c:pt>
                <c:pt idx="81">
                  <c:v>9.8535859170902782</c:v>
                </c:pt>
                <c:pt idx="82">
                  <c:v>9.835584899966122</c:v>
                </c:pt>
                <c:pt idx="83">
                  <c:v>9.8161757352912602</c:v>
                </c:pt>
                <c:pt idx="84">
                  <c:v>9.8026855630073584</c:v>
                </c:pt>
                <c:pt idx="85">
                  <c:v>9.7885999569268378</c:v>
                </c:pt>
                <c:pt idx="86">
                  <c:v>9.7767096825465245</c:v>
                </c:pt>
                <c:pt idx="87">
                  <c:v>9.760843968995097</c:v>
                </c:pt>
                <c:pt idx="88">
                  <c:v>9.7389750460880791</c:v>
                </c:pt>
                <c:pt idx="89">
                  <c:v>9.720264900793957</c:v>
                </c:pt>
                <c:pt idx="90">
                  <c:v>9.694499202626254</c:v>
                </c:pt>
                <c:pt idx="91">
                  <c:v>9.689870465546818</c:v>
                </c:pt>
                <c:pt idx="92">
                  <c:v>9.6930800934626262</c:v>
                </c:pt>
                <c:pt idx="93">
                  <c:v>9.6731182476388966</c:v>
                </c:pt>
                <c:pt idx="94">
                  <c:v>9.6471525485015874</c:v>
                </c:pt>
                <c:pt idx="95">
                  <c:v>9.6103651771532128</c:v>
                </c:pt>
                <c:pt idx="96">
                  <c:v>9.5237345520643473</c:v>
                </c:pt>
                <c:pt idx="97">
                  <c:v>9.4369147376244413</c:v>
                </c:pt>
                <c:pt idx="98">
                  <c:v>9.3416809685025584</c:v>
                </c:pt>
                <c:pt idx="99">
                  <c:v>9.2280480396326041</c:v>
                </c:pt>
                <c:pt idx="100">
                  <c:v>9.2133710421822528</c:v>
                </c:pt>
                <c:pt idx="101">
                  <c:v>9.1886774109579648</c:v>
                </c:pt>
                <c:pt idx="102">
                  <c:v>9.1253127147734858</c:v>
                </c:pt>
                <c:pt idx="103">
                  <c:v>9.0633367426811589</c:v>
                </c:pt>
                <c:pt idx="104">
                  <c:v>9.0132034930285485</c:v>
                </c:pt>
                <c:pt idx="105">
                  <c:v>8.9512247127597107</c:v>
                </c:pt>
                <c:pt idx="106">
                  <c:v>8.8788878063782093</c:v>
                </c:pt>
                <c:pt idx="107">
                  <c:v>8.8011129989883301</c:v>
                </c:pt>
                <c:pt idx="108">
                  <c:v>8.7104051982025226</c:v>
                </c:pt>
                <c:pt idx="109">
                  <c:v>8.6695707200372851</c:v>
                </c:pt>
                <c:pt idx="110">
                  <c:v>8.553653664806383</c:v>
                </c:pt>
                <c:pt idx="111">
                  <c:v>8.4351747147591709</c:v>
                </c:pt>
                <c:pt idx="112">
                  <c:v>8.2947905105749697</c:v>
                </c:pt>
                <c:pt idx="113">
                  <c:v>8.1523302112378602</c:v>
                </c:pt>
                <c:pt idx="114">
                  <c:v>7.9885339693360891</c:v>
                </c:pt>
                <c:pt idx="115">
                  <c:v>7.8082264362676241</c:v>
                </c:pt>
                <c:pt idx="116">
                  <c:v>7.6215590811537695</c:v>
                </c:pt>
                <c:pt idx="117">
                  <c:v>7.4040744083319154</c:v>
                </c:pt>
                <c:pt idx="118">
                  <c:v>7.1987787956862661</c:v>
                </c:pt>
                <c:pt idx="119">
                  <c:v>7.0875370491222043</c:v>
                </c:pt>
                <c:pt idx="120">
                  <c:v>6.9889010885052372</c:v>
                </c:pt>
                <c:pt idx="121">
                  <c:v>6.8961476681260194</c:v>
                </c:pt>
                <c:pt idx="122">
                  <c:v>6.8367470889269555</c:v>
                </c:pt>
                <c:pt idx="123">
                  <c:v>6.7613054629643301</c:v>
                </c:pt>
                <c:pt idx="124">
                  <c:v>6.679726921347779</c:v>
                </c:pt>
                <c:pt idx="125">
                  <c:v>6.5850671122605249</c:v>
                </c:pt>
                <c:pt idx="126">
                  <c:v>6.4804744175379412</c:v>
                </c:pt>
                <c:pt idx="127">
                  <c:v>6.3839790253620734</c:v>
                </c:pt>
                <c:pt idx="128">
                  <c:v>6.2894897493027173</c:v>
                </c:pt>
                <c:pt idx="129">
                  <c:v>6.1777981234168209</c:v>
                </c:pt>
                <c:pt idx="130">
                  <c:v>6.0738919408903058</c:v>
                </c:pt>
                <c:pt idx="131">
                  <c:v>5.9734721244267988</c:v>
                </c:pt>
                <c:pt idx="132">
                  <c:v>5.865656247627399</c:v>
                </c:pt>
                <c:pt idx="133">
                  <c:v>5.7564291991464245</c:v>
                </c:pt>
                <c:pt idx="134">
                  <c:v>5.6655234544043509</c:v>
                </c:pt>
                <c:pt idx="135">
                  <c:v>5.5707121127642765</c:v>
                </c:pt>
                <c:pt idx="136">
                  <c:v>5.4836203241056864</c:v>
                </c:pt>
                <c:pt idx="137">
                  <c:v>5.385662559809191</c:v>
                </c:pt>
                <c:pt idx="138">
                  <c:v>5.2809003175075944</c:v>
                </c:pt>
                <c:pt idx="139">
                  <c:v>5.176587595888968</c:v>
                </c:pt>
                <c:pt idx="140">
                  <c:v>5.0715935843623328</c:v>
                </c:pt>
                <c:pt idx="141">
                  <c:v>4.9846723532074151</c:v>
                </c:pt>
                <c:pt idx="142">
                  <c:v>4.8979704837752394</c:v>
                </c:pt>
                <c:pt idx="143">
                  <c:v>4.8052825324324289</c:v>
                </c:pt>
                <c:pt idx="144">
                  <c:v>4.7340658936918487</c:v>
                </c:pt>
                <c:pt idx="145">
                  <c:v>4.6467434771976244</c:v>
                </c:pt>
                <c:pt idx="146">
                  <c:v>4.6014616452861716</c:v>
                </c:pt>
                <c:pt idx="147">
                  <c:v>4.7121531076657348</c:v>
                </c:pt>
                <c:pt idx="148">
                  <c:v>4.7714315933028999</c:v>
                </c:pt>
                <c:pt idx="149">
                  <c:v>4.8379980139279084</c:v>
                </c:pt>
                <c:pt idx="150">
                  <c:v>4.904881034456217</c:v>
                </c:pt>
                <c:pt idx="151">
                  <c:v>4.9545789436722814</c:v>
                </c:pt>
                <c:pt idx="152">
                  <c:v>5.0021939526147392</c:v>
                </c:pt>
                <c:pt idx="153">
                  <c:v>5.0232977553223321</c:v>
                </c:pt>
                <c:pt idx="154">
                  <c:v>5.0106118447701249</c:v>
                </c:pt>
                <c:pt idx="155">
                  <c:v>4.9998870992450222</c:v>
                </c:pt>
                <c:pt idx="156">
                  <c:v>5.0196739440037064</c:v>
                </c:pt>
                <c:pt idx="157">
                  <c:v>5.0376942447979687</c:v>
                </c:pt>
                <c:pt idx="158">
                  <c:v>5.0447329956555649</c:v>
                </c:pt>
                <c:pt idx="159">
                  <c:v>5.0883310222506708</c:v>
                </c:pt>
                <c:pt idx="160">
                  <c:v>5.1147744682258889</c:v>
                </c:pt>
                <c:pt idx="161">
                  <c:v>5.1101629600255549</c:v>
                </c:pt>
                <c:pt idx="162">
                  <c:v>5.0969039150986077</c:v>
                </c:pt>
                <c:pt idx="163">
                  <c:v>5.0945123675147101</c:v>
                </c:pt>
                <c:pt idx="164">
                  <c:v>5.0834030119663751</c:v>
                </c:pt>
                <c:pt idx="165">
                  <c:v>5.0514171700530355</c:v>
                </c:pt>
                <c:pt idx="166">
                  <c:v>5.0052175189568828</c:v>
                </c:pt>
                <c:pt idx="167">
                  <c:v>4.9622312813561678</c:v>
                </c:pt>
                <c:pt idx="168">
                  <c:v>4.9197867630644723</c:v>
                </c:pt>
                <c:pt idx="169">
                  <c:v>4.8710256968748027</c:v>
                </c:pt>
                <c:pt idx="170">
                  <c:v>4.8307549219024253</c:v>
                </c:pt>
                <c:pt idx="171">
                  <c:v>4.7636013851069379</c:v>
                </c:pt>
                <c:pt idx="172">
                  <c:v>4.6896371435837594</c:v>
                </c:pt>
                <c:pt idx="173">
                  <c:v>4.6153408333947681</c:v>
                </c:pt>
                <c:pt idx="174">
                  <c:v>4.5659000153019704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9-4F69-A4E8-88A9E1562596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9-4F69-A4E8-88A9E1562596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data_co2_incLUC!$H$3:$H$177</c:f>
              <c:numCache>
                <c:formatCode>0.0</c:formatCode>
                <c:ptCount val="175"/>
                <c:pt idx="0">
                  <c:v>12.743661351254495</c:v>
                </c:pt>
                <c:pt idx="1">
                  <c:v>12.276119439836783</c:v>
                </c:pt>
                <c:pt idx="2">
                  <c:v>10.337062283991294</c:v>
                </c:pt>
                <c:pt idx="3">
                  <c:v>8.597093012026761</c:v>
                </c:pt>
                <c:pt idx="4">
                  <c:v>7.3244796106425696</c:v>
                </c:pt>
                <c:pt idx="5">
                  <c:v>6.1616962843969105</c:v>
                </c:pt>
                <c:pt idx="6">
                  <c:v>5.2291869503265431</c:v>
                </c:pt>
                <c:pt idx="7">
                  <c:v>4.4769435010937002</c:v>
                </c:pt>
                <c:pt idx="8">
                  <c:v>3.8703447023721864</c:v>
                </c:pt>
                <c:pt idx="9">
                  <c:v>3.3384379667068345</c:v>
                </c:pt>
                <c:pt idx="10">
                  <c:v>3.0860562505258571</c:v>
                </c:pt>
                <c:pt idx="11">
                  <c:v>2.9499262673460649</c:v>
                </c:pt>
                <c:pt idx="12">
                  <c:v>3.1819867913382822</c:v>
                </c:pt>
                <c:pt idx="13">
                  <c:v>3.4094103212160007</c:v>
                </c:pt>
                <c:pt idx="14">
                  <c:v>3.6166438803414422</c:v>
                </c:pt>
                <c:pt idx="15">
                  <c:v>3.8145631702545586</c:v>
                </c:pt>
                <c:pt idx="16">
                  <c:v>4.0227060192410491</c:v>
                </c:pt>
                <c:pt idx="17">
                  <c:v>4.2004129640125001</c:v>
                </c:pt>
                <c:pt idx="18">
                  <c:v>4.3830535631560039</c:v>
                </c:pt>
                <c:pt idx="19">
                  <c:v>4.5322335419225368</c:v>
                </c:pt>
                <c:pt idx="20">
                  <c:v>4.8218699288072884</c:v>
                </c:pt>
                <c:pt idx="21">
                  <c:v>5.205358418776953</c:v>
                </c:pt>
                <c:pt idx="22">
                  <c:v>5.323875227312314</c:v>
                </c:pt>
                <c:pt idx="23">
                  <c:v>5.4493148637271105</c:v>
                </c:pt>
                <c:pt idx="24">
                  <c:v>5.6091147886153152</c:v>
                </c:pt>
                <c:pt idx="25">
                  <c:v>5.7490224247168271</c:v>
                </c:pt>
                <c:pt idx="26">
                  <c:v>5.9038056008860877</c:v>
                </c:pt>
                <c:pt idx="27">
                  <c:v>6.0367678598633958</c:v>
                </c:pt>
                <c:pt idx="28">
                  <c:v>6.0988091252781942</c:v>
                </c:pt>
                <c:pt idx="29">
                  <c:v>6.1361084538532538</c:v>
                </c:pt>
                <c:pt idx="30">
                  <c:v>6.1144466409285698</c:v>
                </c:pt>
                <c:pt idx="31">
                  <c:v>6.1078905583801273</c:v>
                </c:pt>
                <c:pt idx="32">
                  <c:v>6.2015915634776846</c:v>
                </c:pt>
                <c:pt idx="33">
                  <c:v>6.3029609446828943</c:v>
                </c:pt>
                <c:pt idx="34">
                  <c:v>6.4167840624059522</c:v>
                </c:pt>
                <c:pt idx="35">
                  <c:v>6.5346445760642311</c:v>
                </c:pt>
                <c:pt idx="36">
                  <c:v>6.6389219673846469</c:v>
                </c:pt>
                <c:pt idx="37">
                  <c:v>6.7305785513065786</c:v>
                </c:pt>
                <c:pt idx="38">
                  <c:v>6.8131054453643998</c:v>
                </c:pt>
                <c:pt idx="39">
                  <c:v>6.8827112730894839</c:v>
                </c:pt>
                <c:pt idx="40">
                  <c:v>6.9459216545949829</c:v>
                </c:pt>
                <c:pt idx="41">
                  <c:v>7.0062379330898139</c:v>
                </c:pt>
                <c:pt idx="42">
                  <c:v>7.0620697890463049</c:v>
                </c:pt>
                <c:pt idx="43">
                  <c:v>7.1159048882299913</c:v>
                </c:pt>
                <c:pt idx="44">
                  <c:v>7.1920779275235276</c:v>
                </c:pt>
                <c:pt idx="45">
                  <c:v>7.2544272613574279</c:v>
                </c:pt>
                <c:pt idx="46">
                  <c:v>7.3144707738174901</c:v>
                </c:pt>
                <c:pt idx="47">
                  <c:v>7.3676139802102298</c:v>
                </c:pt>
                <c:pt idx="48">
                  <c:v>7.4283911764837072</c:v>
                </c:pt>
                <c:pt idx="49">
                  <c:v>7.4763233061776475</c:v>
                </c:pt>
                <c:pt idx="50">
                  <c:v>7.5168915164455541</c:v>
                </c:pt>
                <c:pt idx="51">
                  <c:v>7.6245309588718584</c:v>
                </c:pt>
                <c:pt idx="52">
                  <c:v>7.7908710592248553</c:v>
                </c:pt>
                <c:pt idx="53">
                  <c:v>7.9743534565700145</c:v>
                </c:pt>
                <c:pt idx="54">
                  <c:v>8.1755215933696519</c:v>
                </c:pt>
                <c:pt idx="55">
                  <c:v>8.4090327317354649</c:v>
                </c:pt>
                <c:pt idx="56">
                  <c:v>8.6614271542055477</c:v>
                </c:pt>
                <c:pt idx="57">
                  <c:v>8.9078600718459597</c:v>
                </c:pt>
                <c:pt idx="58">
                  <c:v>9.1588001580851355</c:v>
                </c:pt>
                <c:pt idx="59">
                  <c:v>9.3912137090222743</c:v>
                </c:pt>
                <c:pt idx="60">
                  <c:v>9.5626046992546989</c:v>
                </c:pt>
                <c:pt idx="61">
                  <c:v>9.6500755588719258</c:v>
                </c:pt>
                <c:pt idx="62">
                  <c:v>9.7271490132497078</c:v>
                </c:pt>
                <c:pt idx="63">
                  <c:v>9.7445373490041902</c:v>
                </c:pt>
                <c:pt idx="64">
                  <c:v>9.7485052906655838</c:v>
                </c:pt>
                <c:pt idx="65">
                  <c:v>9.7288109802021694</c:v>
                </c:pt>
                <c:pt idx="66">
                  <c:v>9.7056645614658166</c:v>
                </c:pt>
                <c:pt idx="67">
                  <c:v>9.6609501990574316</c:v>
                </c:pt>
                <c:pt idx="68">
                  <c:v>9.594850679772911</c:v>
                </c:pt>
                <c:pt idx="69">
                  <c:v>9.5137248702985246</c:v>
                </c:pt>
                <c:pt idx="70">
                  <c:v>9.4330559573995885</c:v>
                </c:pt>
                <c:pt idx="71">
                  <c:v>9.4107877836914042</c:v>
                </c:pt>
                <c:pt idx="72">
                  <c:v>9.4058934993041348</c:v>
                </c:pt>
                <c:pt idx="73">
                  <c:v>9.3761330011314641</c:v>
                </c:pt>
                <c:pt idx="74">
                  <c:v>9.3532160416305317</c:v>
                </c:pt>
                <c:pt idx="75">
                  <c:v>9.3368482577919139</c:v>
                </c:pt>
                <c:pt idx="76">
                  <c:v>9.3421469278795826</c:v>
                </c:pt>
                <c:pt idx="77">
                  <c:v>9.3230330264566632</c:v>
                </c:pt>
                <c:pt idx="78">
                  <c:v>9.2683611671721735</c:v>
                </c:pt>
                <c:pt idx="79">
                  <c:v>9.1860772757003062</c:v>
                </c:pt>
                <c:pt idx="80">
                  <c:v>9.1087398828013875</c:v>
                </c:pt>
                <c:pt idx="81">
                  <c:v>9.0698575139929218</c:v>
                </c:pt>
                <c:pt idx="82">
                  <c:v>9.0911441507905764</c:v>
                </c:pt>
                <c:pt idx="83">
                  <c:v>9.113918860495076</c:v>
                </c:pt>
                <c:pt idx="84">
                  <c:v>9.1344198395729563</c:v>
                </c:pt>
                <c:pt idx="85">
                  <c:v>9.1668944098300926</c:v>
                </c:pt>
                <c:pt idx="86">
                  <c:v>9.2020573802588927</c:v>
                </c:pt>
                <c:pt idx="87">
                  <c:v>9.2372648902123728</c:v>
                </c:pt>
                <c:pt idx="88">
                  <c:v>9.2965820536526493</c:v>
                </c:pt>
                <c:pt idx="89">
                  <c:v>9.346323517055545</c:v>
                </c:pt>
                <c:pt idx="90">
                  <c:v>9.3456657866941981</c:v>
                </c:pt>
                <c:pt idx="91">
                  <c:v>9.2776152621893431</c:v>
                </c:pt>
                <c:pt idx="92">
                  <c:v>9.1550716653177986</c:v>
                </c:pt>
                <c:pt idx="93">
                  <c:v>9.0427286689970714</c:v>
                </c:pt>
                <c:pt idx="94">
                  <c:v>8.9281581892837707</c:v>
                </c:pt>
                <c:pt idx="95">
                  <c:v>8.8193911594449901</c:v>
                </c:pt>
                <c:pt idx="96">
                  <c:v>8.7562201597522957</c:v>
                </c:pt>
                <c:pt idx="97">
                  <c:v>8.6805298687058254</c:v>
                </c:pt>
                <c:pt idx="98">
                  <c:v>8.6056477021783166</c:v>
                </c:pt>
                <c:pt idx="99">
                  <c:v>8.5600668654303433</c:v>
                </c:pt>
                <c:pt idx="100">
                  <c:v>8.4224248519251645</c:v>
                </c:pt>
                <c:pt idx="101">
                  <c:v>8.3047056223026985</c:v>
                </c:pt>
                <c:pt idx="102">
                  <c:v>8.2460569234286396</c:v>
                </c:pt>
                <c:pt idx="103">
                  <c:v>8.2029217558861305</c:v>
                </c:pt>
                <c:pt idx="104">
                  <c:v>8.1584693024193342</c:v>
                </c:pt>
                <c:pt idx="105">
                  <c:v>8.136220587193435</c:v>
                </c:pt>
                <c:pt idx="106">
                  <c:v>8.1357002505725831</c:v>
                </c:pt>
                <c:pt idx="107">
                  <c:v>8.1533257422166159</c:v>
                </c:pt>
                <c:pt idx="108">
                  <c:v>8.1974119801498802</c:v>
                </c:pt>
                <c:pt idx="109">
                  <c:v>8.2381874237493662</c:v>
                </c:pt>
                <c:pt idx="110">
                  <c:v>8.3333241150451016</c:v>
                </c:pt>
                <c:pt idx="111">
                  <c:v>8.439888730851365</c:v>
                </c:pt>
                <c:pt idx="112">
                  <c:v>8.547545191036555</c:v>
                </c:pt>
                <c:pt idx="113">
                  <c:v>8.6614887798434097</c:v>
                </c:pt>
                <c:pt idx="114">
                  <c:v>8.8010281919446172</c:v>
                </c:pt>
                <c:pt idx="115">
                  <c:v>8.9598764977072634</c:v>
                </c:pt>
                <c:pt idx="116">
                  <c:v>9.1297066883992741</c:v>
                </c:pt>
                <c:pt idx="117">
                  <c:v>9.3308314228642715</c:v>
                </c:pt>
                <c:pt idx="118">
                  <c:v>9.5291453569084723</c:v>
                </c:pt>
                <c:pt idx="119">
                  <c:v>9.6126338422056605</c:v>
                </c:pt>
                <c:pt idx="120">
                  <c:v>9.7015668236380819</c:v>
                </c:pt>
                <c:pt idx="121">
                  <c:v>9.7834664442184121</c:v>
                </c:pt>
                <c:pt idx="122">
                  <c:v>9.8219431472953858</c:v>
                </c:pt>
                <c:pt idx="123">
                  <c:v>9.8848803918087711</c:v>
                </c:pt>
                <c:pt idx="124">
                  <c:v>9.962731875560614</c:v>
                </c:pt>
                <c:pt idx="125">
                  <c:v>10.070040693664779</c:v>
                </c:pt>
                <c:pt idx="126">
                  <c:v>10.191538279704723</c:v>
                </c:pt>
                <c:pt idx="127">
                  <c:v>10.293709638720834</c:v>
                </c:pt>
                <c:pt idx="128">
                  <c:v>10.398995555032876</c:v>
                </c:pt>
                <c:pt idx="129">
                  <c:v>10.524159723221373</c:v>
                </c:pt>
                <c:pt idx="130">
                  <c:v>10.660659607218633</c:v>
                </c:pt>
                <c:pt idx="131">
                  <c:v>10.780364199564218</c:v>
                </c:pt>
                <c:pt idx="132">
                  <c:v>10.920121756724377</c:v>
                </c:pt>
                <c:pt idx="133">
                  <c:v>11.058123259312438</c:v>
                </c:pt>
                <c:pt idx="134">
                  <c:v>11.165602797598467</c:v>
                </c:pt>
                <c:pt idx="135">
                  <c:v>11.284927654244505</c:v>
                </c:pt>
                <c:pt idx="136">
                  <c:v>11.392996063502665</c:v>
                </c:pt>
                <c:pt idx="137">
                  <c:v>11.509412065065696</c:v>
                </c:pt>
                <c:pt idx="138">
                  <c:v>11.630575526704135</c:v>
                </c:pt>
                <c:pt idx="139">
                  <c:v>11.741103444170747</c:v>
                </c:pt>
                <c:pt idx="140">
                  <c:v>11.85354938885007</c:v>
                </c:pt>
                <c:pt idx="141">
                  <c:v>11.927422873255253</c:v>
                </c:pt>
                <c:pt idx="142">
                  <c:v>11.96378501817702</c:v>
                </c:pt>
                <c:pt idx="143">
                  <c:v>11.99403517940712</c:v>
                </c:pt>
                <c:pt idx="144">
                  <c:v>11.968579574552969</c:v>
                </c:pt>
                <c:pt idx="145">
                  <c:v>11.952776871445437</c:v>
                </c:pt>
                <c:pt idx="146">
                  <c:v>11.91169970378288</c:v>
                </c:pt>
                <c:pt idx="147">
                  <c:v>11.673346619557513</c:v>
                </c:pt>
                <c:pt idx="148">
                  <c:v>11.49859259231161</c:v>
                </c:pt>
                <c:pt idx="149">
                  <c:v>11.317006885823844</c:v>
                </c:pt>
                <c:pt idx="150">
                  <c:v>11.12918347178384</c:v>
                </c:pt>
                <c:pt idx="151">
                  <c:v>10.968418328604891</c:v>
                </c:pt>
                <c:pt idx="152">
                  <c:v>10.798804017007463</c:v>
                </c:pt>
                <c:pt idx="153">
                  <c:v>10.64614402392759</c:v>
                </c:pt>
                <c:pt idx="154">
                  <c:v>10.531963451870901</c:v>
                </c:pt>
                <c:pt idx="155">
                  <c:v>10.420256756693149</c:v>
                </c:pt>
                <c:pt idx="156">
                  <c:v>10.28086785589533</c:v>
                </c:pt>
                <c:pt idx="157">
                  <c:v>10.150915773437148</c:v>
                </c:pt>
                <c:pt idx="158">
                  <c:v>10.025790174663264</c:v>
                </c:pt>
                <c:pt idx="159">
                  <c:v>9.8689839047322536</c:v>
                </c:pt>
                <c:pt idx="160">
                  <c:v>9.7327922432388405</c:v>
                </c:pt>
                <c:pt idx="161">
                  <c:v>9.6173570155893557</c:v>
                </c:pt>
                <c:pt idx="162">
                  <c:v>9.522298249187358</c:v>
                </c:pt>
                <c:pt idx="163">
                  <c:v>9.4095795257158485</c:v>
                </c:pt>
                <c:pt idx="164">
                  <c:v>9.3004820145034586</c:v>
                </c:pt>
                <c:pt idx="165">
                  <c:v>9.2290928421374545</c:v>
                </c:pt>
                <c:pt idx="166">
                  <c:v>9.1826733291989768</c:v>
                </c:pt>
                <c:pt idx="167">
                  <c:v>9.134852539311936</c:v>
                </c:pt>
                <c:pt idx="168">
                  <c:v>9.0864251113810965</c:v>
                </c:pt>
                <c:pt idx="169">
                  <c:v>9.0402836274172529</c:v>
                </c:pt>
                <c:pt idx="170">
                  <c:v>8.9923145716175412</c:v>
                </c:pt>
                <c:pt idx="171">
                  <c:v>8.9717573984471244</c:v>
                </c:pt>
                <c:pt idx="172">
                  <c:v>8.9572978289151663</c:v>
                </c:pt>
                <c:pt idx="173">
                  <c:v>8.9449145651599196</c:v>
                </c:pt>
                <c:pt idx="174">
                  <c:v>8.9108249421008523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D9-4F69-A4E8-88A9E1562596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data_co2_incLUC!$Q$3:$Q$177</c:f>
              <c:numCache>
                <c:formatCode>0.0</c:formatCode>
                <c:ptCount val="175"/>
                <c:pt idx="0">
                  <c:v>2.0044980504049619</c:v>
                </c:pt>
                <c:pt idx="1">
                  <c:v>2.782190126294104</c:v>
                </c:pt>
                <c:pt idx="2">
                  <c:v>5.0054724158179908</c:v>
                </c:pt>
                <c:pt idx="3">
                  <c:v>6.5283553542510262</c:v>
                </c:pt>
                <c:pt idx="4">
                  <c:v>7.6459661572438478</c:v>
                </c:pt>
                <c:pt idx="5">
                  <c:v>8.7294545095773017</c:v>
                </c:pt>
                <c:pt idx="6">
                  <c:v>9.581483194638281</c:v>
                </c:pt>
                <c:pt idx="7">
                  <c:v>10.264275882216026</c:v>
                </c:pt>
                <c:pt idx="8">
                  <c:v>10.810829617200127</c:v>
                </c:pt>
                <c:pt idx="9">
                  <c:v>11.275533794342849</c:v>
                </c:pt>
                <c:pt idx="10">
                  <c:v>11.453899472376612</c:v>
                </c:pt>
                <c:pt idx="11">
                  <c:v>11.554484149462212</c:v>
                </c:pt>
                <c:pt idx="12">
                  <c:v>11.312081263350166</c:v>
                </c:pt>
                <c:pt idx="13">
                  <c:v>11.078947156635259</c:v>
                </c:pt>
                <c:pt idx="14">
                  <c:v>10.863076773376719</c:v>
                </c:pt>
                <c:pt idx="15">
                  <c:v>10.655471562225806</c:v>
                </c:pt>
                <c:pt idx="16">
                  <c:v>10.441308242229844</c:v>
                </c:pt>
                <c:pt idx="17">
                  <c:v>10.255954248138707</c:v>
                </c:pt>
                <c:pt idx="18">
                  <c:v>10.070013204419219</c:v>
                </c:pt>
                <c:pt idx="19">
                  <c:v>9.9163664407505081</c:v>
                </c:pt>
                <c:pt idx="20">
                  <c:v>9.6259241885522755</c:v>
                </c:pt>
                <c:pt idx="21">
                  <c:v>9.2022940943923217</c:v>
                </c:pt>
                <c:pt idx="22">
                  <c:v>8.9511885014431343</c:v>
                </c:pt>
                <c:pt idx="23">
                  <c:v>8.6906405940333684</c:v>
                </c:pt>
                <c:pt idx="24">
                  <c:v>8.4198374754083076</c:v>
                </c:pt>
                <c:pt idx="25">
                  <c:v>8.1630575724534111</c:v>
                </c:pt>
                <c:pt idx="26">
                  <c:v>7.9117470478242495</c:v>
                </c:pt>
                <c:pt idx="27">
                  <c:v>7.6825051451125006</c:v>
                </c:pt>
                <c:pt idx="28">
                  <c:v>7.5329449330018008</c:v>
                </c:pt>
                <c:pt idx="29">
                  <c:v>7.4060479558346657</c:v>
                </c:pt>
                <c:pt idx="30">
                  <c:v>7.3274997500906949</c:v>
                </c:pt>
                <c:pt idx="31">
                  <c:v>7.2188781454261459</c:v>
                </c:pt>
                <c:pt idx="32">
                  <c:v>7.0401459242154516</c:v>
                </c:pt>
                <c:pt idx="33">
                  <c:v>6.8560367810438123</c:v>
                </c:pt>
                <c:pt idx="34">
                  <c:v>6.6644757630282783</c:v>
                </c:pt>
                <c:pt idx="35">
                  <c:v>6.4758468044370971</c:v>
                </c:pt>
                <c:pt idx="36">
                  <c:v>6.3060334898530215</c:v>
                </c:pt>
                <c:pt idx="37">
                  <c:v>6.1509220629884283</c:v>
                </c:pt>
                <c:pt idx="38">
                  <c:v>6.0032369695871637</c:v>
                </c:pt>
                <c:pt idx="39">
                  <c:v>5.8806040070313372</c:v>
                </c:pt>
                <c:pt idx="40">
                  <c:v>5.7634594976009907</c:v>
                </c:pt>
                <c:pt idx="41">
                  <c:v>5.6552216289209696</c:v>
                </c:pt>
                <c:pt idx="42">
                  <c:v>5.5492351382386715</c:v>
                </c:pt>
                <c:pt idx="43">
                  <c:v>5.4571453964867374</c:v>
                </c:pt>
                <c:pt idx="44">
                  <c:v>5.3369605447174564</c:v>
                </c:pt>
                <c:pt idx="45">
                  <c:v>5.2319519164762767</c:v>
                </c:pt>
                <c:pt idx="46">
                  <c:v>5.1318185906362714</c:v>
                </c:pt>
                <c:pt idx="47">
                  <c:v>5.041749465061983</c:v>
                </c:pt>
                <c:pt idx="48">
                  <c:v>4.9475916372743995</c:v>
                </c:pt>
                <c:pt idx="49">
                  <c:v>4.8625654728274554</c:v>
                </c:pt>
                <c:pt idx="50">
                  <c:v>4.7855759287701574</c:v>
                </c:pt>
                <c:pt idx="51">
                  <c:v>4.6298655078740012</c:v>
                </c:pt>
                <c:pt idx="52">
                  <c:v>4.4124263300252125</c:v>
                </c:pt>
                <c:pt idx="53">
                  <c:v>4.1626419195944777</c:v>
                </c:pt>
                <c:pt idx="54">
                  <c:v>3.8971957317764634</c:v>
                </c:pt>
                <c:pt idx="55">
                  <c:v>3.5877530108721487</c:v>
                </c:pt>
                <c:pt idx="56">
                  <c:v>3.2586312366139225</c:v>
                </c:pt>
                <c:pt idx="57">
                  <c:v>2.9286594434610578</c:v>
                </c:pt>
                <c:pt idx="58">
                  <c:v>2.6080472818852201</c:v>
                </c:pt>
                <c:pt idx="59">
                  <c:v>2.307143386250587</c:v>
                </c:pt>
                <c:pt idx="60">
                  <c:v>2.0608624550430363</c:v>
                </c:pt>
                <c:pt idx="61">
                  <c:v>1.9163720805051554</c:v>
                </c:pt>
                <c:pt idx="62">
                  <c:v>1.7966001129175453</c:v>
                </c:pt>
                <c:pt idx="63">
                  <c:v>1.7467470855082183</c:v>
                </c:pt>
                <c:pt idx="64">
                  <c:v>1.7162699762126721</c:v>
                </c:pt>
                <c:pt idx="65">
                  <c:v>1.7122919391424034</c:v>
                </c:pt>
                <c:pt idx="66">
                  <c:v>1.7121208875000633</c:v>
                </c:pt>
                <c:pt idx="67">
                  <c:v>1.730385720293981</c:v>
                </c:pt>
                <c:pt idx="68">
                  <c:v>1.7433398781078608</c:v>
                </c:pt>
                <c:pt idx="69">
                  <c:v>1.7537787481480507</c:v>
                </c:pt>
                <c:pt idx="70">
                  <c:v>1.7743880740962794</c:v>
                </c:pt>
                <c:pt idx="71">
                  <c:v>1.7527996796074206</c:v>
                </c:pt>
                <c:pt idx="72">
                  <c:v>1.7129503196970148</c:v>
                </c:pt>
                <c:pt idx="73">
                  <c:v>1.6804131401899269</c:v>
                </c:pt>
                <c:pt idx="74">
                  <c:v>1.6490836332152128</c:v>
                </c:pt>
                <c:pt idx="75">
                  <c:v>1.6122320895058238</c:v>
                </c:pt>
                <c:pt idx="76">
                  <c:v>1.5740295303044292</c:v>
                </c:pt>
                <c:pt idx="77">
                  <c:v>1.5594684524876357</c:v>
                </c:pt>
                <c:pt idx="78">
                  <c:v>1.5884722632454782</c:v>
                </c:pt>
                <c:pt idx="79">
                  <c:v>1.641920363169163</c:v>
                </c:pt>
                <c:pt idx="80">
                  <c:v>1.6980938846273972</c:v>
                </c:pt>
                <c:pt idx="81">
                  <c:v>1.7362461944062346</c:v>
                </c:pt>
                <c:pt idx="82">
                  <c:v>1.7366294946988319</c:v>
                </c:pt>
                <c:pt idx="83">
                  <c:v>1.735569255222174</c:v>
                </c:pt>
                <c:pt idx="84">
                  <c:v>1.7407016819742012</c:v>
                </c:pt>
                <c:pt idx="85">
                  <c:v>1.73530092549899</c:v>
                </c:pt>
                <c:pt idx="86">
                  <c:v>1.7260241464428816</c:v>
                </c:pt>
                <c:pt idx="87">
                  <c:v>1.7123308099162244</c:v>
                </c:pt>
                <c:pt idx="88">
                  <c:v>1.6862580033028536</c:v>
                </c:pt>
                <c:pt idx="89">
                  <c:v>1.6597118466280847</c:v>
                </c:pt>
                <c:pt idx="90">
                  <c:v>1.7181565070355589</c:v>
                </c:pt>
                <c:pt idx="91">
                  <c:v>1.8144756647186853</c:v>
                </c:pt>
                <c:pt idx="92">
                  <c:v>1.9353423656027218</c:v>
                </c:pt>
                <c:pt idx="93">
                  <c:v>2.0587527319663508</c:v>
                </c:pt>
                <c:pt idx="94">
                  <c:v>2.1697876221920183</c:v>
                </c:pt>
                <c:pt idx="95">
                  <c:v>2.2568147971633863</c:v>
                </c:pt>
                <c:pt idx="96">
                  <c:v>2.3004668079197046</c:v>
                </c:pt>
                <c:pt idx="97">
                  <c:v>2.3554510877125807</c:v>
                </c:pt>
                <c:pt idx="98">
                  <c:v>2.4100576089347925</c:v>
                </c:pt>
                <c:pt idx="99">
                  <c:v>2.4565966026896859</c:v>
                </c:pt>
                <c:pt idx="100">
                  <c:v>2.5988655226342416</c:v>
                </c:pt>
                <c:pt idx="101">
                  <c:v>2.778020478965388</c:v>
                </c:pt>
                <c:pt idx="102">
                  <c:v>2.9190140346585025</c:v>
                </c:pt>
                <c:pt idx="103">
                  <c:v>3.0633085656070875</c:v>
                </c:pt>
                <c:pt idx="104">
                  <c:v>3.2268089637363602</c:v>
                </c:pt>
                <c:pt idx="105">
                  <c:v>3.3822277505367353</c:v>
                </c:pt>
                <c:pt idx="106">
                  <c:v>3.5295232655077555</c:v>
                </c:pt>
                <c:pt idx="107">
                  <c:v>3.6797732280510829</c:v>
                </c:pt>
                <c:pt idx="108">
                  <c:v>3.8145594852024161</c:v>
                </c:pt>
                <c:pt idx="109">
                  <c:v>3.9205287047639317</c:v>
                </c:pt>
                <c:pt idx="110">
                  <c:v>3.9711064215092122</c:v>
                </c:pt>
                <c:pt idx="111">
                  <c:v>4.0056706804412627</c:v>
                </c:pt>
                <c:pt idx="112">
                  <c:v>4.0408080341045789</c:v>
                </c:pt>
                <c:pt idx="113">
                  <c:v>4.0716374481295006</c:v>
                </c:pt>
                <c:pt idx="114">
                  <c:v>4.0790997014889712</c:v>
                </c:pt>
                <c:pt idx="115">
                  <c:v>4.0648344786761115</c:v>
                </c:pt>
                <c:pt idx="116">
                  <c:v>4.0327998849312863</c:v>
                </c:pt>
                <c:pt idx="117">
                  <c:v>3.96593339041479</c:v>
                </c:pt>
                <c:pt idx="118">
                  <c:v>3.8958256027865659</c:v>
                </c:pt>
                <c:pt idx="119">
                  <c:v>3.9233441642995928</c:v>
                </c:pt>
                <c:pt idx="120">
                  <c:v>3.9216284361672251</c:v>
                </c:pt>
                <c:pt idx="121">
                  <c:v>3.9092289706469643</c:v>
                </c:pt>
                <c:pt idx="122">
                  <c:v>3.9517220440829135</c:v>
                </c:pt>
                <c:pt idx="123">
                  <c:v>3.9644856324652054</c:v>
                </c:pt>
                <c:pt idx="124">
                  <c:v>3.9660636052453739</c:v>
                </c:pt>
                <c:pt idx="125">
                  <c:v>3.9464176926249337</c:v>
                </c:pt>
                <c:pt idx="126">
                  <c:v>3.9066483802340528</c:v>
                </c:pt>
                <c:pt idx="127">
                  <c:v>3.8891518017083513</c:v>
                </c:pt>
                <c:pt idx="128">
                  <c:v>3.8747312870715618</c:v>
                </c:pt>
                <c:pt idx="129">
                  <c:v>3.8239781799866392</c:v>
                </c:pt>
                <c:pt idx="130">
                  <c:v>3.7745108618822911</c:v>
                </c:pt>
                <c:pt idx="131">
                  <c:v>3.7231236046767719</c:v>
                </c:pt>
                <c:pt idx="132">
                  <c:v>3.6138944974956217</c:v>
                </c:pt>
                <c:pt idx="133">
                  <c:v>3.5034785409536937</c:v>
                </c:pt>
                <c:pt idx="134">
                  <c:v>3.4179715661315058</c:v>
                </c:pt>
                <c:pt idx="135">
                  <c:v>3.3437092618982973</c:v>
                </c:pt>
                <c:pt idx="136">
                  <c:v>3.2828336304443795</c:v>
                </c:pt>
                <c:pt idx="137">
                  <c:v>3.2005862192918428</c:v>
                </c:pt>
                <c:pt idx="138">
                  <c:v>3.1009517248187706</c:v>
                </c:pt>
                <c:pt idx="139">
                  <c:v>2.9913621594443711</c:v>
                </c:pt>
                <c:pt idx="140">
                  <c:v>2.9426752226332198</c:v>
                </c:pt>
                <c:pt idx="141">
                  <c:v>2.8762619960015599</c:v>
                </c:pt>
                <c:pt idx="142">
                  <c:v>2.8188643342636155</c:v>
                </c:pt>
                <c:pt idx="143">
                  <c:v>2.7464049684533691</c:v>
                </c:pt>
                <c:pt idx="144">
                  <c:v>2.8151906597160448</c:v>
                </c:pt>
                <c:pt idx="145">
                  <c:v>2.8337683852823972</c:v>
                </c:pt>
                <c:pt idx="146">
                  <c:v>2.8657560758784228</c:v>
                </c:pt>
                <c:pt idx="147">
                  <c:v>2.9779333584242451</c:v>
                </c:pt>
                <c:pt idx="148">
                  <c:v>3.0390878051907322</c:v>
                </c:pt>
                <c:pt idx="149">
                  <c:v>3.0820771621972582</c:v>
                </c:pt>
                <c:pt idx="150">
                  <c:v>3.1409108120267888</c:v>
                </c:pt>
                <c:pt idx="151">
                  <c:v>3.1720261660631834</c:v>
                </c:pt>
                <c:pt idx="152">
                  <c:v>3.2075612963949283</c:v>
                </c:pt>
                <c:pt idx="153">
                  <c:v>3.221914214375218</c:v>
                </c:pt>
                <c:pt idx="154">
                  <c:v>3.1687609798978755</c:v>
                </c:pt>
                <c:pt idx="155">
                  <c:v>3.1228153475580172</c:v>
                </c:pt>
                <c:pt idx="156">
                  <c:v>3.1125515570782767</c:v>
                </c:pt>
                <c:pt idx="157">
                  <c:v>3.095863834582282</c:v>
                </c:pt>
                <c:pt idx="158">
                  <c:v>3.0813795163027322</c:v>
                </c:pt>
                <c:pt idx="159">
                  <c:v>3.0955863071276326</c:v>
                </c:pt>
                <c:pt idx="160">
                  <c:v>3.0934045609116296</c:v>
                </c:pt>
                <c:pt idx="161">
                  <c:v>3.0853757870817304</c:v>
                </c:pt>
                <c:pt idx="162">
                  <c:v>3.0757431706585194</c:v>
                </c:pt>
                <c:pt idx="163">
                  <c:v>3.0589813311547758</c:v>
                </c:pt>
                <c:pt idx="164">
                  <c:v>3.047828709944973</c:v>
                </c:pt>
                <c:pt idx="165">
                  <c:v>2.9983061730619269</c:v>
                </c:pt>
                <c:pt idx="166">
                  <c:v>2.9388888384405405</c:v>
                </c:pt>
                <c:pt idx="167">
                  <c:v>2.8805704568183614</c:v>
                </c:pt>
                <c:pt idx="168">
                  <c:v>2.8320924501078508</c:v>
                </c:pt>
                <c:pt idx="169">
                  <c:v>2.7839713632342225</c:v>
                </c:pt>
                <c:pt idx="170">
                  <c:v>2.7384229175925441</c:v>
                </c:pt>
                <c:pt idx="171">
                  <c:v>2.6760608540460851</c:v>
                </c:pt>
                <c:pt idx="172">
                  <c:v>2.5785276372824129</c:v>
                </c:pt>
                <c:pt idx="173">
                  <c:v>2.4811542820521595</c:v>
                </c:pt>
                <c:pt idx="174">
                  <c:v>2.4596245255517744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D9-4F69-A4E8-88A9E1562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data_co2_incLUC!$I$2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data_co2_incLUC!$I$3:$I$177</c:f>
              <c:numCache>
                <c:formatCode>0.0</c:formatCode>
                <c:ptCount val="175"/>
                <c:pt idx="0">
                  <c:v>35.536122428699187</c:v>
                </c:pt>
                <c:pt idx="1">
                  <c:v>35.578173636135404</c:v>
                </c:pt>
                <c:pt idx="2">
                  <c:v>35.469586519427857</c:v>
                </c:pt>
                <c:pt idx="3">
                  <c:v>35.633305224691149</c:v>
                </c:pt>
                <c:pt idx="4">
                  <c:v>35.907145970261958</c:v>
                </c:pt>
                <c:pt idx="5">
                  <c:v>36.057852872522126</c:v>
                </c:pt>
                <c:pt idx="6">
                  <c:v>36.210066453608711</c:v>
                </c:pt>
                <c:pt idx="7">
                  <c:v>36.341748956370964</c:v>
                </c:pt>
                <c:pt idx="8">
                  <c:v>36.493497832795406</c:v>
                </c:pt>
                <c:pt idx="9">
                  <c:v>36.667464519387337</c:v>
                </c:pt>
                <c:pt idx="10">
                  <c:v>36.996697531549358</c:v>
                </c:pt>
                <c:pt idx="11">
                  <c:v>37.280387819216251</c:v>
                </c:pt>
                <c:pt idx="12">
                  <c:v>37.607257068553821</c:v>
                </c:pt>
                <c:pt idx="13">
                  <c:v>37.951841481436333</c:v>
                </c:pt>
                <c:pt idx="14">
                  <c:v>38.239034369897929</c:v>
                </c:pt>
                <c:pt idx="15">
                  <c:v>38.532597224663419</c:v>
                </c:pt>
                <c:pt idx="16">
                  <c:v>38.782646008914831</c:v>
                </c:pt>
                <c:pt idx="17">
                  <c:v>39.081101916297747</c:v>
                </c:pt>
                <c:pt idx="18">
                  <c:v>39.351757191692208</c:v>
                </c:pt>
                <c:pt idx="19">
                  <c:v>39.596569094348425</c:v>
                </c:pt>
                <c:pt idx="20">
                  <c:v>39.996447036926277</c:v>
                </c:pt>
                <c:pt idx="21">
                  <c:v>40.478526091049602</c:v>
                </c:pt>
                <c:pt idx="22">
                  <c:v>40.951879820612277</c:v>
                </c:pt>
                <c:pt idx="23">
                  <c:v>41.461622868215201</c:v>
                </c:pt>
                <c:pt idx="24">
                  <c:v>41.914512401176367</c:v>
                </c:pt>
                <c:pt idx="25">
                  <c:v>42.388639809596143</c:v>
                </c:pt>
                <c:pt idx="26">
                  <c:v>42.837701166219439</c:v>
                </c:pt>
                <c:pt idx="27">
                  <c:v>43.266366142977688</c:v>
                </c:pt>
                <c:pt idx="28">
                  <c:v>43.675418535328681</c:v>
                </c:pt>
                <c:pt idx="29">
                  <c:v>44.092427230463741</c:v>
                </c:pt>
                <c:pt idx="30">
                  <c:v>44.394837518554091</c:v>
                </c:pt>
                <c:pt idx="31">
                  <c:v>44.622010816178246</c:v>
                </c:pt>
                <c:pt idx="32">
                  <c:v>44.826683123466196</c:v>
                </c:pt>
                <c:pt idx="33">
                  <c:v>45.026695716965861</c:v>
                </c:pt>
                <c:pt idx="34">
                  <c:v>45.195746378300946</c:v>
                </c:pt>
                <c:pt idx="35">
                  <c:v>45.335558213042901</c:v>
                </c:pt>
                <c:pt idx="36">
                  <c:v>45.468178854439721</c:v>
                </c:pt>
                <c:pt idx="37">
                  <c:v>45.608741106922388</c:v>
                </c:pt>
                <c:pt idx="38">
                  <c:v>45.767146159491681</c:v>
                </c:pt>
                <c:pt idx="39">
                  <c:v>45.887834768303073</c:v>
                </c:pt>
                <c:pt idx="40">
                  <c:v>46.004253271708038</c:v>
                </c:pt>
                <c:pt idx="41">
                  <c:v>46.119199163401305</c:v>
                </c:pt>
                <c:pt idx="42">
                  <c:v>46.231759004168872</c:v>
                </c:pt>
                <c:pt idx="43">
                  <c:v>46.339461537141254</c:v>
                </c:pt>
                <c:pt idx="44">
                  <c:v>46.43710858859933</c:v>
                </c:pt>
                <c:pt idx="45">
                  <c:v>46.547073401867962</c:v>
                </c:pt>
                <c:pt idx="46">
                  <c:v>46.664333129443811</c:v>
                </c:pt>
                <c:pt idx="47">
                  <c:v>46.779002141724035</c:v>
                </c:pt>
                <c:pt idx="48">
                  <c:v>46.905715714410761</c:v>
                </c:pt>
                <c:pt idx="49">
                  <c:v>47.056465973723654</c:v>
                </c:pt>
                <c:pt idx="50">
                  <c:v>47.19287453570707</c:v>
                </c:pt>
                <c:pt idx="51">
                  <c:v>47.289012548010277</c:v>
                </c:pt>
                <c:pt idx="52">
                  <c:v>47.380936322617124</c:v>
                </c:pt>
                <c:pt idx="53">
                  <c:v>47.487775620815064</c:v>
                </c:pt>
                <c:pt idx="54">
                  <c:v>47.581529330040517</c:v>
                </c:pt>
                <c:pt idx="55">
                  <c:v>47.687664226056789</c:v>
                </c:pt>
                <c:pt idx="56">
                  <c:v>47.784734132026948</c:v>
                </c:pt>
                <c:pt idx="57">
                  <c:v>47.922811516731841</c:v>
                </c:pt>
                <c:pt idx="58">
                  <c:v>48.026101230979563</c:v>
                </c:pt>
                <c:pt idx="59">
                  <c:v>48.132542179741158</c:v>
                </c:pt>
                <c:pt idx="60">
                  <c:v>48.278254757060083</c:v>
                </c:pt>
                <c:pt idx="61">
                  <c:v>48.423927655447052</c:v>
                </c:pt>
                <c:pt idx="62">
                  <c:v>48.577722030573725</c:v>
                </c:pt>
                <c:pt idx="63">
                  <c:v>48.76020788559071</c:v>
                </c:pt>
                <c:pt idx="64">
                  <c:v>48.905352187430481</c:v>
                </c:pt>
                <c:pt idx="65">
                  <c:v>49.043331403171671</c:v>
                </c:pt>
                <c:pt idx="66">
                  <c:v>49.200891906889403</c:v>
                </c:pt>
                <c:pt idx="67">
                  <c:v>49.377195648175423</c:v>
                </c:pt>
                <c:pt idx="68">
                  <c:v>49.571007347705738</c:v>
                </c:pt>
                <c:pt idx="69">
                  <c:v>49.719813765551017</c:v>
                </c:pt>
                <c:pt idx="70">
                  <c:v>49.830096445821653</c:v>
                </c:pt>
                <c:pt idx="71">
                  <c:v>49.855679532468301</c:v>
                </c:pt>
                <c:pt idx="72">
                  <c:v>49.88461779044917</c:v>
                </c:pt>
                <c:pt idx="73">
                  <c:v>49.934812212870241</c:v>
                </c:pt>
                <c:pt idx="74">
                  <c:v>49.976774235027762</c:v>
                </c:pt>
                <c:pt idx="75">
                  <c:v>50.006884671252315</c:v>
                </c:pt>
                <c:pt idx="76">
                  <c:v>50.014449146726669</c:v>
                </c:pt>
                <c:pt idx="77">
                  <c:v>50.037980358974096</c:v>
                </c:pt>
                <c:pt idx="78">
                  <c:v>50.044396849236108</c:v>
                </c:pt>
                <c:pt idx="79">
                  <c:v>50.060489223187986</c:v>
                </c:pt>
                <c:pt idx="80">
                  <c:v>50.003019204546561</c:v>
                </c:pt>
                <c:pt idx="81">
                  <c:v>49.886255627195922</c:v>
                </c:pt>
                <c:pt idx="82">
                  <c:v>49.723103052999242</c:v>
                </c:pt>
                <c:pt idx="83">
                  <c:v>49.569377461235582</c:v>
                </c:pt>
                <c:pt idx="84">
                  <c:v>49.422290420838124</c:v>
                </c:pt>
                <c:pt idx="85">
                  <c:v>49.279200419834289</c:v>
                </c:pt>
                <c:pt idx="86">
                  <c:v>49.146002797107982</c:v>
                </c:pt>
                <c:pt idx="87">
                  <c:v>49.025663962107622</c:v>
                </c:pt>
                <c:pt idx="88">
                  <c:v>48.876064281382099</c:v>
                </c:pt>
                <c:pt idx="89">
                  <c:v>48.743338795216758</c:v>
                </c:pt>
                <c:pt idx="90">
                  <c:v>48.601982328904711</c:v>
                </c:pt>
                <c:pt idx="91">
                  <c:v>48.472984224011448</c:v>
                </c:pt>
                <c:pt idx="92">
                  <c:v>48.374591875103647</c:v>
                </c:pt>
                <c:pt idx="93">
                  <c:v>48.282200653730079</c:v>
                </c:pt>
                <c:pt idx="94">
                  <c:v>48.191628896340887</c:v>
                </c:pt>
                <c:pt idx="95">
                  <c:v>48.065610879841564</c:v>
                </c:pt>
                <c:pt idx="96">
                  <c:v>47.953286679634829</c:v>
                </c:pt>
                <c:pt idx="97">
                  <c:v>47.870798719267604</c:v>
                </c:pt>
                <c:pt idx="98">
                  <c:v>47.809340875010022</c:v>
                </c:pt>
                <c:pt idx="99">
                  <c:v>47.720090959510578</c:v>
                </c:pt>
                <c:pt idx="100">
                  <c:v>47.575736011725169</c:v>
                </c:pt>
                <c:pt idx="101">
                  <c:v>47.39881710462442</c:v>
                </c:pt>
                <c:pt idx="102">
                  <c:v>47.215741118984106</c:v>
                </c:pt>
                <c:pt idx="103">
                  <c:v>47.028168810501732</c:v>
                </c:pt>
                <c:pt idx="104">
                  <c:v>46.801057237913682</c:v>
                </c:pt>
                <c:pt idx="105">
                  <c:v>46.583054966781553</c:v>
                </c:pt>
                <c:pt idx="106">
                  <c:v>46.374554521205695</c:v>
                </c:pt>
                <c:pt idx="107">
                  <c:v>46.150994390723469</c:v>
                </c:pt>
                <c:pt idx="108">
                  <c:v>45.908887333059589</c:v>
                </c:pt>
                <c:pt idx="109">
                  <c:v>45.62550682468062</c:v>
                </c:pt>
                <c:pt idx="110">
                  <c:v>45.433597880546671</c:v>
                </c:pt>
                <c:pt idx="111">
                  <c:v>45.243381966893473</c:v>
                </c:pt>
                <c:pt idx="112">
                  <c:v>45.104732516349529</c:v>
                </c:pt>
                <c:pt idx="113">
                  <c:v>44.980460786752957</c:v>
                </c:pt>
                <c:pt idx="114">
                  <c:v>44.887558269425718</c:v>
                </c:pt>
                <c:pt idx="115">
                  <c:v>44.813518860831387</c:v>
                </c:pt>
                <c:pt idx="116">
                  <c:v>44.761083071495328</c:v>
                </c:pt>
                <c:pt idx="117">
                  <c:v>44.761697256791535</c:v>
                </c:pt>
                <c:pt idx="118">
                  <c:v>44.781992545581041</c:v>
                </c:pt>
                <c:pt idx="119">
                  <c:v>44.734120620711273</c:v>
                </c:pt>
                <c:pt idx="120">
                  <c:v>44.694729212131804</c:v>
                </c:pt>
                <c:pt idx="121">
                  <c:v>44.6643934597003</c:v>
                </c:pt>
                <c:pt idx="122">
                  <c:v>44.604085759864077</c:v>
                </c:pt>
                <c:pt idx="123">
                  <c:v>44.561987978215441</c:v>
                </c:pt>
                <c:pt idx="124">
                  <c:v>44.503458877680671</c:v>
                </c:pt>
                <c:pt idx="125">
                  <c:v>44.429314265172927</c:v>
                </c:pt>
                <c:pt idx="126">
                  <c:v>44.371054721484448</c:v>
                </c:pt>
                <c:pt idx="127">
                  <c:v>44.294855751160625</c:v>
                </c:pt>
                <c:pt idx="128">
                  <c:v>44.208906761969871</c:v>
                </c:pt>
                <c:pt idx="129">
                  <c:v>44.161049540100308</c:v>
                </c:pt>
                <c:pt idx="130">
                  <c:v>44.092329216428041</c:v>
                </c:pt>
                <c:pt idx="131">
                  <c:v>44.019243868241794</c:v>
                </c:pt>
                <c:pt idx="132">
                  <c:v>43.932231430758641</c:v>
                </c:pt>
                <c:pt idx="133">
                  <c:v>43.835509197282207</c:v>
                </c:pt>
                <c:pt idx="134">
                  <c:v>43.71413216981243</c:v>
                </c:pt>
                <c:pt idx="135">
                  <c:v>43.567403642560251</c:v>
                </c:pt>
                <c:pt idx="136">
                  <c:v>43.403846724643799</c:v>
                </c:pt>
                <c:pt idx="137">
                  <c:v>43.265091505383268</c:v>
                </c:pt>
                <c:pt idx="138">
                  <c:v>43.140848729575787</c:v>
                </c:pt>
                <c:pt idx="139">
                  <c:v>43.033449510440747</c:v>
                </c:pt>
                <c:pt idx="140">
                  <c:v>42.953740165937894</c:v>
                </c:pt>
                <c:pt idx="141">
                  <c:v>42.864035572807666</c:v>
                </c:pt>
                <c:pt idx="142">
                  <c:v>42.790013963853809</c:v>
                </c:pt>
                <c:pt idx="143">
                  <c:v>42.723517746322969</c:v>
                </c:pt>
                <c:pt idx="144">
                  <c:v>42.633648217955276</c:v>
                </c:pt>
                <c:pt idx="145">
                  <c:v>42.559051148476847</c:v>
                </c:pt>
                <c:pt idx="146">
                  <c:v>42.482560995883176</c:v>
                </c:pt>
                <c:pt idx="147">
                  <c:v>42.369108755906929</c:v>
                </c:pt>
                <c:pt idx="148">
                  <c:v>42.295265541306577</c:v>
                </c:pt>
                <c:pt idx="149">
                  <c:v>42.225178623798762</c:v>
                </c:pt>
                <c:pt idx="150">
                  <c:v>42.172115806783843</c:v>
                </c:pt>
                <c:pt idx="151">
                  <c:v>42.122201942389935</c:v>
                </c:pt>
                <c:pt idx="152">
                  <c:v>42.050091189823696</c:v>
                </c:pt>
                <c:pt idx="153">
                  <c:v>41.942971969303507</c:v>
                </c:pt>
                <c:pt idx="154">
                  <c:v>41.844089621522485</c:v>
                </c:pt>
                <c:pt idx="155">
                  <c:v>41.743359048967136</c:v>
                </c:pt>
                <c:pt idx="156">
                  <c:v>41.600150850714726</c:v>
                </c:pt>
                <c:pt idx="157">
                  <c:v>41.462194838989284</c:v>
                </c:pt>
                <c:pt idx="158">
                  <c:v>41.306955475419848</c:v>
                </c:pt>
                <c:pt idx="159">
                  <c:v>41.105160569490614</c:v>
                </c:pt>
                <c:pt idx="160">
                  <c:v>40.915408209286412</c:v>
                </c:pt>
                <c:pt idx="161">
                  <c:v>40.691041237945626</c:v>
                </c:pt>
                <c:pt idx="162">
                  <c:v>40.450673473046209</c:v>
                </c:pt>
                <c:pt idx="163">
                  <c:v>40.218926834152384</c:v>
                </c:pt>
                <c:pt idx="164">
                  <c:v>39.983677094550437</c:v>
                </c:pt>
                <c:pt idx="165">
                  <c:v>39.74771948423566</c:v>
                </c:pt>
                <c:pt idx="166">
                  <c:v>39.533517781302088</c:v>
                </c:pt>
                <c:pt idx="167">
                  <c:v>39.318423738474635</c:v>
                </c:pt>
                <c:pt idx="168">
                  <c:v>39.106640419427244</c:v>
                </c:pt>
                <c:pt idx="169">
                  <c:v>38.883711368808605</c:v>
                </c:pt>
                <c:pt idx="170">
                  <c:v>38.660595990502081</c:v>
                </c:pt>
                <c:pt idx="171">
                  <c:v>38.440054146678165</c:v>
                </c:pt>
                <c:pt idx="172">
                  <c:v>38.212651425648566</c:v>
                </c:pt>
                <c:pt idx="173">
                  <c:v>37.973549020282945</c:v>
                </c:pt>
                <c:pt idx="174">
                  <c:v>37.734536444647119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D9-4F69-A4E8-88A9E1562596}"/>
            </c:ext>
          </c:extLst>
        </c:ser>
        <c:ser>
          <c:idx val="6"/>
          <c:order val="6"/>
          <c:tx>
            <c:strRef>
              <c:f>data_co2_incLUC!$J$2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data_co2_incLUC!$J$3:$J$177</c:f>
              <c:numCache>
                <c:formatCode>0.0</c:formatCode>
                <c:ptCount val="175"/>
                <c:pt idx="0">
                  <c:v>43.831164044616941</c:v>
                </c:pt>
                <c:pt idx="1">
                  <c:v>44.302088289612563</c:v>
                </c:pt>
                <c:pt idx="2">
                  <c:v>46.878074367437314</c:v>
                </c:pt>
                <c:pt idx="3">
                  <c:v>48.539578387052913</c:v>
                </c:pt>
                <c:pt idx="4">
                  <c:v>49.98539819856552</c:v>
                </c:pt>
                <c:pt idx="5">
                  <c:v>51.188604759124424</c:v>
                </c:pt>
                <c:pt idx="6">
                  <c:v>52.185531545084409</c:v>
                </c:pt>
                <c:pt idx="7">
                  <c:v>53.005140514219448</c:v>
                </c:pt>
                <c:pt idx="8">
                  <c:v>53.701550483732909</c:v>
                </c:pt>
                <c:pt idx="9">
                  <c:v>54.339990571764005</c:v>
                </c:pt>
                <c:pt idx="10">
                  <c:v>54.954163616548293</c:v>
                </c:pt>
                <c:pt idx="11">
                  <c:v>55.474470879914897</c:v>
                </c:pt>
                <c:pt idx="12">
                  <c:v>55.682980772455373</c:v>
                </c:pt>
                <c:pt idx="13">
                  <c:v>55.886086136883215</c:v>
                </c:pt>
                <c:pt idx="14">
                  <c:v>56.090678680890548</c:v>
                </c:pt>
                <c:pt idx="15">
                  <c:v>56.290172472775815</c:v>
                </c:pt>
                <c:pt idx="16">
                  <c:v>56.47611749494196</c:v>
                </c:pt>
                <c:pt idx="17">
                  <c:v>56.665201568377597</c:v>
                </c:pt>
                <c:pt idx="18">
                  <c:v>56.839355893473154</c:v>
                </c:pt>
                <c:pt idx="19">
                  <c:v>57.016984520124112</c:v>
                </c:pt>
                <c:pt idx="20">
                  <c:v>57.179973030076411</c:v>
                </c:pt>
                <c:pt idx="21">
                  <c:v>57.272007734858811</c:v>
                </c:pt>
                <c:pt idx="22">
                  <c:v>57.616864770794287</c:v>
                </c:pt>
                <c:pt idx="23">
                  <c:v>57.956376315677446</c:v>
                </c:pt>
                <c:pt idx="24">
                  <c:v>58.23534655673425</c:v>
                </c:pt>
                <c:pt idx="25">
                  <c:v>58.529983072919876</c:v>
                </c:pt>
                <c:pt idx="26">
                  <c:v>58.795644284917202</c:v>
                </c:pt>
                <c:pt idx="27">
                  <c:v>59.054864489683347</c:v>
                </c:pt>
                <c:pt idx="28">
                  <c:v>59.294255951919709</c:v>
                </c:pt>
                <c:pt idx="29">
                  <c:v>59.543822870188649</c:v>
                </c:pt>
                <c:pt idx="30">
                  <c:v>59.828612149408364</c:v>
                </c:pt>
                <c:pt idx="31">
                  <c:v>60.022837313440171</c:v>
                </c:pt>
                <c:pt idx="32">
                  <c:v>60.106446516371584</c:v>
                </c:pt>
                <c:pt idx="33">
                  <c:v>60.182768043996674</c:v>
                </c:pt>
                <c:pt idx="34">
                  <c:v>60.238205565147837</c:v>
                </c:pt>
                <c:pt idx="35">
                  <c:v>60.274793064412854</c:v>
                </c:pt>
                <c:pt idx="36">
                  <c:v>60.302822594866015</c:v>
                </c:pt>
                <c:pt idx="37">
                  <c:v>60.334771675732426</c:v>
                </c:pt>
                <c:pt idx="38">
                  <c:v>60.393448328806528</c:v>
                </c:pt>
                <c:pt idx="39">
                  <c:v>60.433028925342271</c:v>
                </c:pt>
                <c:pt idx="40">
                  <c:v>60.493756857341452</c:v>
                </c:pt>
                <c:pt idx="41">
                  <c:v>60.560736448425281</c:v>
                </c:pt>
                <c:pt idx="42">
                  <c:v>60.63907393627197</c:v>
                </c:pt>
                <c:pt idx="43">
                  <c:v>60.698695735584906</c:v>
                </c:pt>
                <c:pt idx="44">
                  <c:v>60.74219844098954</c:v>
                </c:pt>
                <c:pt idx="45">
                  <c:v>60.795915992873496</c:v>
                </c:pt>
                <c:pt idx="46">
                  <c:v>60.851357434539665</c:v>
                </c:pt>
                <c:pt idx="47">
                  <c:v>60.912359293874296</c:v>
                </c:pt>
                <c:pt idx="48">
                  <c:v>60.977985917557994</c:v>
                </c:pt>
                <c:pt idx="49">
                  <c:v>61.069251690713898</c:v>
                </c:pt>
                <c:pt idx="50">
                  <c:v>61.171912824788663</c:v>
                </c:pt>
                <c:pt idx="51">
                  <c:v>61.182925897139796</c:v>
                </c:pt>
                <c:pt idx="52">
                  <c:v>61.130225802838254</c:v>
                </c:pt>
                <c:pt idx="53">
                  <c:v>61.070623160208157</c:v>
                </c:pt>
                <c:pt idx="54">
                  <c:v>60.965114144303556</c:v>
                </c:pt>
                <c:pt idx="55">
                  <c:v>60.853995124503811</c:v>
                </c:pt>
                <c:pt idx="56">
                  <c:v>60.709648881385711</c:v>
                </c:pt>
                <c:pt idx="57">
                  <c:v>60.611823495228421</c:v>
                </c:pt>
                <c:pt idx="58">
                  <c:v>60.474223208118936</c:v>
                </c:pt>
                <c:pt idx="59">
                  <c:v>60.349959271479825</c:v>
                </c:pt>
                <c:pt idx="60">
                  <c:v>60.250196124774881</c:v>
                </c:pt>
                <c:pt idx="61">
                  <c:v>60.208140414607847</c:v>
                </c:pt>
                <c:pt idx="62">
                  <c:v>60.187991169617185</c:v>
                </c:pt>
                <c:pt idx="63">
                  <c:v>60.224204439945481</c:v>
                </c:pt>
                <c:pt idx="64">
                  <c:v>60.227151676585613</c:v>
                </c:pt>
                <c:pt idx="65">
                  <c:v>60.233100046666124</c:v>
                </c:pt>
                <c:pt idx="66">
                  <c:v>60.259923229382061</c:v>
                </c:pt>
                <c:pt idx="67">
                  <c:v>60.295478713205576</c:v>
                </c:pt>
                <c:pt idx="68">
                  <c:v>60.346409497725794</c:v>
                </c:pt>
                <c:pt idx="69">
                  <c:v>60.352221507367311</c:v>
                </c:pt>
                <c:pt idx="70">
                  <c:v>60.383792008138769</c:v>
                </c:pt>
                <c:pt idx="71">
                  <c:v>60.301541103951052</c:v>
                </c:pt>
                <c:pt idx="72">
                  <c:v>60.217494389713245</c:v>
                </c:pt>
                <c:pt idx="73">
                  <c:v>60.181565396773664</c:v>
                </c:pt>
                <c:pt idx="74">
                  <c:v>60.126225098933006</c:v>
                </c:pt>
                <c:pt idx="75">
                  <c:v>60.068722247401354</c:v>
                </c:pt>
                <c:pt idx="76">
                  <c:v>59.986507142719745</c:v>
                </c:pt>
                <c:pt idx="77">
                  <c:v>59.949839651618255</c:v>
                </c:pt>
                <c:pt idx="78">
                  <c:v>59.897601008441924</c:v>
                </c:pt>
                <c:pt idx="79">
                  <c:v>59.877160652468241</c:v>
                </c:pt>
                <c:pt idx="80">
                  <c:v>59.839232701780418</c:v>
                </c:pt>
                <c:pt idx="81">
                  <c:v>59.7398415442862</c:v>
                </c:pt>
                <c:pt idx="82">
                  <c:v>59.558687952965364</c:v>
                </c:pt>
                <c:pt idx="83">
                  <c:v>59.385553196526843</c:v>
                </c:pt>
                <c:pt idx="84">
                  <c:v>59.224975983845482</c:v>
                </c:pt>
                <c:pt idx="85">
                  <c:v>59.067800376761127</c:v>
                </c:pt>
                <c:pt idx="86">
                  <c:v>58.922712479654507</c:v>
                </c:pt>
                <c:pt idx="87">
                  <c:v>58.786507931102719</c:v>
                </c:pt>
                <c:pt idx="88">
                  <c:v>58.615039327470178</c:v>
                </c:pt>
                <c:pt idx="89">
                  <c:v>58.463603696010715</c:v>
                </c:pt>
                <c:pt idx="90">
                  <c:v>58.296481371553668</c:v>
                </c:pt>
                <c:pt idx="91">
                  <c:v>58.162854532590316</c:v>
                </c:pt>
                <c:pt idx="92">
                  <c:v>58.067671814496201</c:v>
                </c:pt>
                <c:pt idx="93">
                  <c:v>57.955318750115751</c:v>
                </c:pt>
                <c:pt idx="94">
                  <c:v>57.838781296306728</c:v>
                </c:pt>
                <c:pt idx="95">
                  <c:v>57.675975910898373</c:v>
                </c:pt>
                <c:pt idx="96">
                  <c:v>57.477021088018212</c:v>
                </c:pt>
                <c:pt idx="97">
                  <c:v>57.307713315643419</c:v>
                </c:pt>
                <c:pt idx="98">
                  <c:v>57.151021638271857</c:v>
                </c:pt>
                <c:pt idx="99">
                  <c:v>56.94813893395596</c:v>
                </c:pt>
                <c:pt idx="100">
                  <c:v>56.789106990116956</c:v>
                </c:pt>
                <c:pt idx="101">
                  <c:v>56.587494453272335</c:v>
                </c:pt>
                <c:pt idx="102">
                  <c:v>56.341053772893133</c:v>
                </c:pt>
                <c:pt idx="103">
                  <c:v>56.091505493742268</c:v>
                </c:pt>
                <c:pt idx="104">
                  <c:v>55.814260672973106</c:v>
                </c:pt>
                <c:pt idx="105">
                  <c:v>55.534279679541264</c:v>
                </c:pt>
                <c:pt idx="106">
                  <c:v>55.253442327583905</c:v>
                </c:pt>
                <c:pt idx="107">
                  <c:v>54.952107389711799</c:v>
                </c:pt>
                <c:pt idx="108">
                  <c:v>54.619292531262111</c:v>
                </c:pt>
                <c:pt idx="109">
                  <c:v>54.295077544717905</c:v>
                </c:pt>
                <c:pt idx="110">
                  <c:v>53.987251545353054</c:v>
                </c:pt>
                <c:pt idx="111">
                  <c:v>53.678556681652644</c:v>
                </c:pt>
                <c:pt idx="112">
                  <c:v>53.399523026924498</c:v>
                </c:pt>
                <c:pt idx="113">
                  <c:v>53.132790997990817</c:v>
                </c:pt>
                <c:pt idx="114">
                  <c:v>52.876092238761807</c:v>
                </c:pt>
                <c:pt idx="115">
                  <c:v>52.621745297099011</c:v>
                </c:pt>
                <c:pt idx="116">
                  <c:v>52.382642152649098</c:v>
                </c:pt>
                <c:pt idx="117">
                  <c:v>52.165771665123451</c:v>
                </c:pt>
                <c:pt idx="118">
                  <c:v>51.980771341267307</c:v>
                </c:pt>
                <c:pt idx="119">
                  <c:v>51.812720803444122</c:v>
                </c:pt>
                <c:pt idx="120">
                  <c:v>51.658774196993264</c:v>
                </c:pt>
                <c:pt idx="121">
                  <c:v>51.498364704237552</c:v>
                </c:pt>
                <c:pt idx="122">
                  <c:v>51.354609381456982</c:v>
                </c:pt>
                <c:pt idx="123">
                  <c:v>51.214888418427954</c:v>
                </c:pt>
                <c:pt idx="124">
                  <c:v>51.053003423786038</c:v>
                </c:pt>
                <c:pt idx="125">
                  <c:v>50.858344604669313</c:v>
                </c:pt>
                <c:pt idx="126">
                  <c:v>50.670407830007157</c:v>
                </c:pt>
                <c:pt idx="127">
                  <c:v>50.477130921130865</c:v>
                </c:pt>
                <c:pt idx="128">
                  <c:v>50.28544089870762</c:v>
                </c:pt>
                <c:pt idx="129">
                  <c:v>50.107675095343531</c:v>
                </c:pt>
                <c:pt idx="130">
                  <c:v>49.918655152319786</c:v>
                </c:pt>
                <c:pt idx="131">
                  <c:v>49.722008945912862</c:v>
                </c:pt>
                <c:pt idx="132">
                  <c:v>49.471302901553635</c:v>
                </c:pt>
                <c:pt idx="133">
                  <c:v>49.211250730509839</c:v>
                </c:pt>
                <c:pt idx="134">
                  <c:v>48.949018887945819</c:v>
                </c:pt>
                <c:pt idx="135">
                  <c:v>48.672198233885645</c:v>
                </c:pt>
                <c:pt idx="136">
                  <c:v>48.392646685900282</c:v>
                </c:pt>
                <c:pt idx="137">
                  <c:v>48.123339998412149</c:v>
                </c:pt>
                <c:pt idx="138">
                  <c:v>47.862008491107552</c:v>
                </c:pt>
                <c:pt idx="139">
                  <c:v>47.614730893156739</c:v>
                </c:pt>
                <c:pt idx="140">
                  <c:v>47.492553363649328</c:v>
                </c:pt>
                <c:pt idx="141">
                  <c:v>47.360895283810635</c:v>
                </c:pt>
                <c:pt idx="142">
                  <c:v>47.253615593820342</c:v>
                </c:pt>
                <c:pt idx="143">
                  <c:v>47.149995990114299</c:v>
                </c:pt>
                <c:pt idx="144">
                  <c:v>47.14021789986603</c:v>
                </c:pt>
                <c:pt idx="145">
                  <c:v>47.106564823382541</c:v>
                </c:pt>
                <c:pt idx="146">
                  <c:v>47.084022641169348</c:v>
                </c:pt>
                <c:pt idx="147">
                  <c:v>47.081261863572664</c:v>
                </c:pt>
                <c:pt idx="148">
                  <c:v>47.066697134609477</c:v>
                </c:pt>
                <c:pt idx="149">
                  <c:v>47.06317663772667</c:v>
                </c:pt>
                <c:pt idx="150">
                  <c:v>47.07699684124006</c:v>
                </c:pt>
                <c:pt idx="151">
                  <c:v>47.076780886062217</c:v>
                </c:pt>
                <c:pt idx="152">
                  <c:v>47.052285142438436</c:v>
                </c:pt>
                <c:pt idx="153">
                  <c:v>46.966269724625839</c:v>
                </c:pt>
                <c:pt idx="154">
                  <c:v>46.85470146629261</c:v>
                </c:pt>
                <c:pt idx="155">
                  <c:v>46.743246148212158</c:v>
                </c:pt>
                <c:pt idx="156">
                  <c:v>46.619824794718433</c:v>
                </c:pt>
                <c:pt idx="157">
                  <c:v>46.499889083787252</c:v>
                </c:pt>
                <c:pt idx="158">
                  <c:v>46.351688471075413</c:v>
                </c:pt>
                <c:pt idx="159">
                  <c:v>46.193491591741285</c:v>
                </c:pt>
                <c:pt idx="160">
                  <c:v>46.0301826775123</c:v>
                </c:pt>
                <c:pt idx="161">
                  <c:v>45.801204197971181</c:v>
                </c:pt>
                <c:pt idx="162">
                  <c:v>45.547577388144816</c:v>
                </c:pt>
                <c:pt idx="163">
                  <c:v>45.313439201667094</c:v>
                </c:pt>
                <c:pt idx="164">
                  <c:v>45.067080106516812</c:v>
                </c:pt>
                <c:pt idx="165">
                  <c:v>44.799136654288695</c:v>
                </c:pt>
                <c:pt idx="166">
                  <c:v>44.538735300258971</c:v>
                </c:pt>
                <c:pt idx="167">
                  <c:v>44.280655019830803</c:v>
                </c:pt>
                <c:pt idx="168">
                  <c:v>44.026427182491716</c:v>
                </c:pt>
                <c:pt idx="169">
                  <c:v>43.754737065683408</c:v>
                </c:pt>
                <c:pt idx="170">
                  <c:v>43.491350912404506</c:v>
                </c:pt>
                <c:pt idx="171">
                  <c:v>43.203655531785103</c:v>
                </c:pt>
                <c:pt idx="172">
                  <c:v>42.902288569232326</c:v>
                </c:pt>
                <c:pt idx="173">
                  <c:v>42.588889853677713</c:v>
                </c:pt>
                <c:pt idx="174">
                  <c:v>42.30043645994909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D9-4F69-A4E8-88A9E1562596}"/>
            </c:ext>
          </c:extLst>
        </c:ser>
        <c:ser>
          <c:idx val="7"/>
          <c:order val="7"/>
          <c:tx>
            <c:strRef>
              <c:f>data_co2_incLUC!$K$2</c:f>
              <c:strCache>
                <c:ptCount val="1"/>
                <c:pt idx="0">
                  <c:v>pct_annex2_GCP_BLUE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data_co2_incLUC!$K$3:$K$177</c:f>
              <c:numCache>
                <c:formatCode>0.0</c:formatCode>
                <c:ptCount val="175"/>
                <c:pt idx="0">
                  <c:v>35.536122428699187</c:v>
                </c:pt>
                <c:pt idx="1">
                  <c:v>35.578173636135404</c:v>
                </c:pt>
                <c:pt idx="2">
                  <c:v>35.469586519427857</c:v>
                </c:pt>
                <c:pt idx="3">
                  <c:v>35.633305224691149</c:v>
                </c:pt>
                <c:pt idx="4">
                  <c:v>35.907145970261958</c:v>
                </c:pt>
                <c:pt idx="5">
                  <c:v>36.057852872522126</c:v>
                </c:pt>
                <c:pt idx="6">
                  <c:v>36.210062838698974</c:v>
                </c:pt>
                <c:pt idx="7">
                  <c:v>36.341745820230805</c:v>
                </c:pt>
                <c:pt idx="8">
                  <c:v>36.49349506568025</c:v>
                </c:pt>
                <c:pt idx="9">
                  <c:v>36.667462047469378</c:v>
                </c:pt>
                <c:pt idx="10">
                  <c:v>36.996694444046291</c:v>
                </c:pt>
                <c:pt idx="11">
                  <c:v>37.280384966178254</c:v>
                </c:pt>
                <c:pt idx="12">
                  <c:v>37.607254409438937</c:v>
                </c:pt>
                <c:pt idx="13">
                  <c:v>37.95183898895808</c:v>
                </c:pt>
                <c:pt idx="14">
                  <c:v>38.239032026224372</c:v>
                </c:pt>
                <c:pt idx="15">
                  <c:v>38.53259500988176</c:v>
                </c:pt>
                <c:pt idx="16">
                  <c:v>38.782643910240509</c:v>
                </c:pt>
                <c:pt idx="17">
                  <c:v>39.081099920355236</c:v>
                </c:pt>
                <c:pt idx="18">
                  <c:v>39.35175528862726</c:v>
                </c:pt>
                <c:pt idx="19">
                  <c:v>39.596567276293193</c:v>
                </c:pt>
                <c:pt idx="20">
                  <c:v>39.996445305145059</c:v>
                </c:pt>
                <c:pt idx="21">
                  <c:v>40.47852443942179</c:v>
                </c:pt>
                <c:pt idx="22">
                  <c:v>40.951878246103469</c:v>
                </c:pt>
                <c:pt idx="23">
                  <c:v>41.461620924315973</c:v>
                </c:pt>
                <c:pt idx="24">
                  <c:v>41.914510539755483</c:v>
                </c:pt>
                <c:pt idx="25">
                  <c:v>42.388638024228712</c:v>
                </c:pt>
                <c:pt idx="26">
                  <c:v>42.837699451806337</c:v>
                </c:pt>
                <c:pt idx="27">
                  <c:v>43.266364495480957</c:v>
                </c:pt>
                <c:pt idx="28">
                  <c:v>43.675416950406742</c:v>
                </c:pt>
                <c:pt idx="29">
                  <c:v>44.092425704211308</c:v>
                </c:pt>
                <c:pt idx="30">
                  <c:v>44.394836049534824</c:v>
                </c:pt>
                <c:pt idx="31">
                  <c:v>44.62200940115833</c:v>
                </c:pt>
                <c:pt idx="32">
                  <c:v>44.826681760053759</c:v>
                </c:pt>
                <c:pt idx="33">
                  <c:v>45.026694402449763</c:v>
                </c:pt>
                <c:pt idx="34">
                  <c:v>45.19574444332433</c:v>
                </c:pt>
                <c:pt idx="35">
                  <c:v>45.335556344743033</c:v>
                </c:pt>
                <c:pt idx="36">
                  <c:v>45.468177048469819</c:v>
                </c:pt>
                <c:pt idx="37">
                  <c:v>45.608739360196907</c:v>
                </c:pt>
                <c:pt idx="38">
                  <c:v>45.767144468930688</c:v>
                </c:pt>
                <c:pt idx="39">
                  <c:v>45.887833131069279</c:v>
                </c:pt>
                <c:pt idx="40">
                  <c:v>46.004251688044235</c:v>
                </c:pt>
                <c:pt idx="41">
                  <c:v>46.119197631033238</c:v>
                </c:pt>
                <c:pt idx="42">
                  <c:v>46.231757519699222</c:v>
                </c:pt>
                <c:pt idx="43">
                  <c:v>46.339460097746603</c:v>
                </c:pt>
                <c:pt idx="44">
                  <c:v>46.437107192550187</c:v>
                </c:pt>
                <c:pt idx="45">
                  <c:v>46.547072046908227</c:v>
                </c:pt>
                <c:pt idx="46">
                  <c:v>46.664332471437405</c:v>
                </c:pt>
                <c:pt idx="47">
                  <c:v>46.779001502492278</c:v>
                </c:pt>
                <c:pt idx="48">
                  <c:v>46.905715093095992</c:v>
                </c:pt>
                <c:pt idx="49">
                  <c:v>47.056465176406256</c:v>
                </c:pt>
                <c:pt idx="50">
                  <c:v>47.192873760258593</c:v>
                </c:pt>
                <c:pt idx="51">
                  <c:v>47.289011977423726</c:v>
                </c:pt>
                <c:pt idx="52">
                  <c:v>47.380935946291878</c:v>
                </c:pt>
                <c:pt idx="53">
                  <c:v>47.487775255270151</c:v>
                </c:pt>
                <c:pt idx="54">
                  <c:v>47.581528974856028</c:v>
                </c:pt>
                <c:pt idx="55">
                  <c:v>47.687663880889509</c:v>
                </c:pt>
                <c:pt idx="56">
                  <c:v>47.784733796533587</c:v>
                </c:pt>
                <c:pt idx="57">
                  <c:v>47.922811190775008</c:v>
                </c:pt>
                <c:pt idx="58">
                  <c:v>48.026100913961734</c:v>
                </c:pt>
                <c:pt idx="59">
                  <c:v>48.132541871372467</c:v>
                </c:pt>
                <c:pt idx="60">
                  <c:v>48.278254456710535</c:v>
                </c:pt>
                <c:pt idx="61">
                  <c:v>48.423927504450653</c:v>
                </c:pt>
                <c:pt idx="62">
                  <c:v>48.577721883743827</c:v>
                </c:pt>
                <c:pt idx="63">
                  <c:v>48.760207742884035</c:v>
                </c:pt>
                <c:pt idx="64">
                  <c:v>48.905352320485115</c:v>
                </c:pt>
                <c:pt idx="65">
                  <c:v>49.043331664098254</c:v>
                </c:pt>
                <c:pt idx="66">
                  <c:v>49.20089216281216</c:v>
                </c:pt>
                <c:pt idx="67">
                  <c:v>49.377195899377988</c:v>
                </c:pt>
                <c:pt idx="68">
                  <c:v>49.571007594539566</c:v>
                </c:pt>
                <c:pt idx="69">
                  <c:v>49.719814008285347</c:v>
                </c:pt>
                <c:pt idx="70">
                  <c:v>49.830096803575159</c:v>
                </c:pt>
                <c:pt idx="71">
                  <c:v>49.855679766221812</c:v>
                </c:pt>
                <c:pt idx="72">
                  <c:v>49.884618019249338</c:v>
                </c:pt>
                <c:pt idx="73">
                  <c:v>49.934812436620284</c:v>
                </c:pt>
                <c:pt idx="74">
                  <c:v>49.97677445394978</c:v>
                </c:pt>
                <c:pt idx="75">
                  <c:v>50.006884885471123</c:v>
                </c:pt>
                <c:pt idx="76">
                  <c:v>50.014449356452232</c:v>
                </c:pt>
                <c:pt idx="77">
                  <c:v>50.037980564245046</c:v>
                </c:pt>
                <c:pt idx="78">
                  <c:v>50.044397050217313</c:v>
                </c:pt>
                <c:pt idx="79">
                  <c:v>50.060489419918497</c:v>
                </c:pt>
                <c:pt idx="80">
                  <c:v>50.003019397306872</c:v>
                </c:pt>
                <c:pt idx="81">
                  <c:v>49.886255816266171</c:v>
                </c:pt>
                <c:pt idx="82">
                  <c:v>49.723103238626507</c:v>
                </c:pt>
                <c:pt idx="83">
                  <c:v>49.569377643506115</c:v>
                </c:pt>
                <c:pt idx="84">
                  <c:v>49.422290599759897</c:v>
                </c:pt>
                <c:pt idx="85">
                  <c:v>49.279200595494224</c:v>
                </c:pt>
                <c:pt idx="86">
                  <c:v>49.146002797107982</c:v>
                </c:pt>
                <c:pt idx="87">
                  <c:v>49.025663962107622</c:v>
                </c:pt>
                <c:pt idx="88">
                  <c:v>48.876064281382099</c:v>
                </c:pt>
                <c:pt idx="89">
                  <c:v>48.743338795216765</c:v>
                </c:pt>
                <c:pt idx="90">
                  <c:v>48.601982168927414</c:v>
                </c:pt>
                <c:pt idx="91">
                  <c:v>48.472984067043498</c:v>
                </c:pt>
                <c:pt idx="92">
                  <c:v>48.374591721033575</c:v>
                </c:pt>
                <c:pt idx="93">
                  <c:v>48.282200502476854</c:v>
                </c:pt>
                <c:pt idx="94">
                  <c:v>48.19162874780514</c:v>
                </c:pt>
                <c:pt idx="95">
                  <c:v>48.06561073374516</c:v>
                </c:pt>
                <c:pt idx="96">
                  <c:v>47.953286535953865</c:v>
                </c:pt>
                <c:pt idx="97">
                  <c:v>47.870798578018977</c:v>
                </c:pt>
                <c:pt idx="98">
                  <c:v>47.809340669769298</c:v>
                </c:pt>
                <c:pt idx="99">
                  <c:v>47.720090894323356</c:v>
                </c:pt>
                <c:pt idx="100">
                  <c:v>47.575735947934703</c:v>
                </c:pt>
                <c:pt idx="101">
                  <c:v>47.39881704231437</c:v>
                </c:pt>
                <c:pt idx="102">
                  <c:v>47.215741058119647</c:v>
                </c:pt>
                <c:pt idx="103">
                  <c:v>47.028168751061109</c:v>
                </c:pt>
                <c:pt idx="104">
                  <c:v>46.801057179944557</c:v>
                </c:pt>
                <c:pt idx="105">
                  <c:v>46.583055531867949</c:v>
                </c:pt>
                <c:pt idx="106">
                  <c:v>46.374555677949211</c:v>
                </c:pt>
                <c:pt idx="107">
                  <c:v>46.150996322674828</c:v>
                </c:pt>
                <c:pt idx="108">
                  <c:v>45.908889946879199</c:v>
                </c:pt>
                <c:pt idx="109">
                  <c:v>45.625510078262558</c:v>
                </c:pt>
                <c:pt idx="110">
                  <c:v>45.433601800714172</c:v>
                </c:pt>
                <c:pt idx="111">
                  <c:v>45.24338826555617</c:v>
                </c:pt>
                <c:pt idx="112">
                  <c:v>45.104741094592235</c:v>
                </c:pt>
                <c:pt idx="113">
                  <c:v>44.980471731830846</c:v>
                </c:pt>
                <c:pt idx="114">
                  <c:v>44.887571624861891</c:v>
                </c:pt>
                <c:pt idx="115">
                  <c:v>44.813534888929269</c:v>
                </c:pt>
                <c:pt idx="116">
                  <c:v>44.761101633312691</c:v>
                </c:pt>
                <c:pt idx="117">
                  <c:v>44.761718650496377</c:v>
                </c:pt>
                <c:pt idx="118">
                  <c:v>44.782016790671442</c:v>
                </c:pt>
                <c:pt idx="119">
                  <c:v>44.734149802553816</c:v>
                </c:pt>
                <c:pt idx="120">
                  <c:v>44.6947660612677</c:v>
                </c:pt>
                <c:pt idx="121">
                  <c:v>44.66443949896243</c:v>
                </c:pt>
                <c:pt idx="122">
                  <c:v>44.604140670961776</c:v>
                </c:pt>
                <c:pt idx="123">
                  <c:v>44.562051003921546</c:v>
                </c:pt>
                <c:pt idx="124">
                  <c:v>44.503532399891462</c:v>
                </c:pt>
                <c:pt idx="125">
                  <c:v>44.429398232546156</c:v>
                </c:pt>
                <c:pt idx="126">
                  <c:v>44.371145410758679</c:v>
                </c:pt>
                <c:pt idx="127">
                  <c:v>44.294954022464083</c:v>
                </c:pt>
                <c:pt idx="128">
                  <c:v>44.209009809812628</c:v>
                </c:pt>
                <c:pt idx="129">
                  <c:v>44.161157943164874</c:v>
                </c:pt>
                <c:pt idx="130">
                  <c:v>44.09244376766884</c:v>
                </c:pt>
                <c:pt idx="131">
                  <c:v>44.019364380176434</c:v>
                </c:pt>
                <c:pt idx="132">
                  <c:v>43.932356837467587</c:v>
                </c:pt>
                <c:pt idx="133">
                  <c:v>43.835639353429798</c:v>
                </c:pt>
                <c:pt idx="134">
                  <c:v>43.714264347388095</c:v>
                </c:pt>
                <c:pt idx="135">
                  <c:v>43.567537702688959</c:v>
                </c:pt>
                <c:pt idx="136">
                  <c:v>43.403982429618637</c:v>
                </c:pt>
                <c:pt idx="137">
                  <c:v>43.265228963211285</c:v>
                </c:pt>
                <c:pt idx="138">
                  <c:v>43.140988552640522</c:v>
                </c:pt>
                <c:pt idx="139">
                  <c:v>43.033592857970078</c:v>
                </c:pt>
                <c:pt idx="140">
                  <c:v>42.953887220572149</c:v>
                </c:pt>
                <c:pt idx="141">
                  <c:v>42.876601499666464</c:v>
                </c:pt>
                <c:pt idx="142">
                  <c:v>42.802345868059007</c:v>
                </c:pt>
                <c:pt idx="143">
                  <c:v>42.735626385586464</c:v>
                </c:pt>
                <c:pt idx="144">
                  <c:v>42.645524424652692</c:v>
                </c:pt>
                <c:pt idx="145">
                  <c:v>42.570706347924435</c:v>
                </c:pt>
                <c:pt idx="146">
                  <c:v>42.493996374081924</c:v>
                </c:pt>
                <c:pt idx="147">
                  <c:v>42.38031221086522</c:v>
                </c:pt>
                <c:pt idx="148">
                  <c:v>42.30626193506702</c:v>
                </c:pt>
                <c:pt idx="149">
                  <c:v>42.23597489304953</c:v>
                </c:pt>
                <c:pt idx="150">
                  <c:v>42.182721489011996</c:v>
                </c:pt>
                <c:pt idx="151">
                  <c:v>42.132627903692047</c:v>
                </c:pt>
                <c:pt idx="152">
                  <c:v>42.060331011136149</c:v>
                </c:pt>
                <c:pt idx="153">
                  <c:v>41.953008709059098</c:v>
                </c:pt>
                <c:pt idx="154">
                  <c:v>41.853933126495122</c:v>
                </c:pt>
                <c:pt idx="155">
                  <c:v>41.753013752473024</c:v>
                </c:pt>
                <c:pt idx="156">
                  <c:v>41.60960929419916</c:v>
                </c:pt>
                <c:pt idx="157">
                  <c:v>41.471462989760624</c:v>
                </c:pt>
                <c:pt idx="158">
                  <c:v>41.316031654799694</c:v>
                </c:pt>
                <c:pt idx="159">
                  <c:v>41.114040154708817</c:v>
                </c:pt>
                <c:pt idx="160">
                  <c:v>40.924093773127979</c:v>
                </c:pt>
                <c:pt idx="161">
                  <c:v>40.69952922211526</c:v>
                </c:pt>
                <c:pt idx="162">
                  <c:v>40.458964282898656</c:v>
                </c:pt>
                <c:pt idx="163">
                  <c:v>40.227028694268938</c:v>
                </c:pt>
                <c:pt idx="164">
                  <c:v>39.991594761040233</c:v>
                </c:pt>
                <c:pt idx="165">
                  <c:v>39.755458930650775</c:v>
                </c:pt>
                <c:pt idx="166">
                  <c:v>39.541092382850458</c:v>
                </c:pt>
                <c:pt idx="167">
                  <c:v>39.32583681993794</c:v>
                </c:pt>
                <c:pt idx="168">
                  <c:v>39.113897112914138</c:v>
                </c:pt>
                <c:pt idx="169">
                  <c:v>38.890813808618823</c:v>
                </c:pt>
                <c:pt idx="170">
                  <c:v>38.667553778508882</c:v>
                </c:pt>
                <c:pt idx="171">
                  <c:v>38.446867870340725</c:v>
                </c:pt>
                <c:pt idx="172">
                  <c:v>38.219322421167526</c:v>
                </c:pt>
                <c:pt idx="173">
                  <c:v>37.98007861823482</c:v>
                </c:pt>
                <c:pt idx="174">
                  <c:v>37.740928293666151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D9-4F69-A4E8-88A9E1562596}"/>
            </c:ext>
          </c:extLst>
        </c:ser>
        <c:ser>
          <c:idx val="8"/>
          <c:order val="8"/>
          <c:tx>
            <c:strRef>
              <c:f>data_co2_incLUC!$L$2</c:f>
              <c:strCache>
                <c:ptCount val="1"/>
                <c:pt idx="0">
                  <c:v>pct_annex2_GCP_OSCAR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data_co2_incLUC!$L$3:$L$177</c:f>
              <c:numCache>
                <c:formatCode>0.0</c:formatCode>
                <c:ptCount val="175"/>
                <c:pt idx="0">
                  <c:v>44.923010912651868</c:v>
                </c:pt>
                <c:pt idx="1">
                  <c:v>45.060611459506077</c:v>
                </c:pt>
                <c:pt idx="2">
                  <c:v>44.88660453377004</c:v>
                </c:pt>
                <c:pt idx="3">
                  <c:v>45.186173546892256</c:v>
                </c:pt>
                <c:pt idx="4">
                  <c:v>45.520476964041841</c:v>
                </c:pt>
                <c:pt idx="5">
                  <c:v>45.736640563809338</c:v>
                </c:pt>
                <c:pt idx="6">
                  <c:v>45.914904681347387</c:v>
                </c:pt>
                <c:pt idx="7">
                  <c:v>46.035955546551108</c:v>
                </c:pt>
                <c:pt idx="8">
                  <c:v>46.214936818150605</c:v>
                </c:pt>
                <c:pt idx="9">
                  <c:v>46.428018300500248</c:v>
                </c:pt>
                <c:pt idx="10">
                  <c:v>46.746525412578038</c:v>
                </c:pt>
                <c:pt idx="11">
                  <c:v>46.991831909542427</c:v>
                </c:pt>
                <c:pt idx="12">
                  <c:v>47.263796257146005</c:v>
                </c:pt>
                <c:pt idx="13">
                  <c:v>47.568862312345075</c:v>
                </c:pt>
                <c:pt idx="14">
                  <c:v>47.80528957970148</c:v>
                </c:pt>
                <c:pt idx="15">
                  <c:v>48.068687096586842</c:v>
                </c:pt>
                <c:pt idx="16">
                  <c:v>48.276395586990688</c:v>
                </c:pt>
                <c:pt idx="17">
                  <c:v>48.571816981819858</c:v>
                </c:pt>
                <c:pt idx="18">
                  <c:v>48.841045983711567</c:v>
                </c:pt>
                <c:pt idx="19">
                  <c:v>49.080305932176941</c:v>
                </c:pt>
                <c:pt idx="20">
                  <c:v>49.340071400558813</c:v>
                </c:pt>
                <c:pt idx="21">
                  <c:v>49.700041949427977</c:v>
                </c:pt>
                <c:pt idx="22">
                  <c:v>50.040908199425914</c:v>
                </c:pt>
                <c:pt idx="23">
                  <c:v>50.438518896004915</c:v>
                </c:pt>
                <c:pt idx="24">
                  <c:v>50.762857619934245</c:v>
                </c:pt>
                <c:pt idx="25">
                  <c:v>51.123667865096131</c:v>
                </c:pt>
                <c:pt idx="26">
                  <c:v>51.453172527079452</c:v>
                </c:pt>
                <c:pt idx="27">
                  <c:v>51.768932010736279</c:v>
                </c:pt>
                <c:pt idx="28">
                  <c:v>52.065423384012647</c:v>
                </c:pt>
                <c:pt idx="29">
                  <c:v>52.375487276241806</c:v>
                </c:pt>
                <c:pt idx="30">
                  <c:v>52.66931542353548</c:v>
                </c:pt>
                <c:pt idx="31">
                  <c:v>52.889627851632767</c:v>
                </c:pt>
                <c:pt idx="32">
                  <c:v>53.101719350006228</c:v>
                </c:pt>
                <c:pt idx="33">
                  <c:v>53.316823349482554</c:v>
                </c:pt>
                <c:pt idx="34">
                  <c:v>53.504949040131436</c:v>
                </c:pt>
                <c:pt idx="35">
                  <c:v>53.666308540779383</c:v>
                </c:pt>
                <c:pt idx="36">
                  <c:v>53.823239034654712</c:v>
                </c:pt>
                <c:pt idx="37">
                  <c:v>53.993801938962662</c:v>
                </c:pt>
                <c:pt idx="38">
                  <c:v>54.178874164015468</c:v>
                </c:pt>
                <c:pt idx="39">
                  <c:v>54.318369203372519</c:v>
                </c:pt>
                <c:pt idx="40">
                  <c:v>54.435214584694421</c:v>
                </c:pt>
                <c:pt idx="41">
                  <c:v>54.556167711112813</c:v>
                </c:pt>
                <c:pt idx="42">
                  <c:v>54.676568720361438</c:v>
                </c:pt>
                <c:pt idx="43">
                  <c:v>54.781035869568527</c:v>
                </c:pt>
                <c:pt idx="44">
                  <c:v>54.870452108568117</c:v>
                </c:pt>
                <c:pt idx="45">
                  <c:v>54.974611980044152</c:v>
                </c:pt>
                <c:pt idx="46">
                  <c:v>55.082832181519429</c:v>
                </c:pt>
                <c:pt idx="47">
                  <c:v>55.184739896249766</c:v>
                </c:pt>
                <c:pt idx="48">
                  <c:v>55.293387728232112</c:v>
                </c:pt>
                <c:pt idx="49">
                  <c:v>55.426402560240447</c:v>
                </c:pt>
                <c:pt idx="50">
                  <c:v>55.578136677211845</c:v>
                </c:pt>
                <c:pt idx="51">
                  <c:v>55.692875337053025</c:v>
                </c:pt>
                <c:pt idx="52">
                  <c:v>55.810578540293896</c:v>
                </c:pt>
                <c:pt idx="53">
                  <c:v>55.944320989937069</c:v>
                </c:pt>
                <c:pt idx="54">
                  <c:v>56.050025070424923</c:v>
                </c:pt>
                <c:pt idx="55">
                  <c:v>56.177010970797994</c:v>
                </c:pt>
                <c:pt idx="56">
                  <c:v>56.290544562340209</c:v>
                </c:pt>
                <c:pt idx="57">
                  <c:v>56.44567865705887</c:v>
                </c:pt>
                <c:pt idx="58">
                  <c:v>56.552498771907402</c:v>
                </c:pt>
                <c:pt idx="59">
                  <c:v>56.652871984660855</c:v>
                </c:pt>
                <c:pt idx="60">
                  <c:v>56.780342885912447</c:v>
                </c:pt>
                <c:pt idx="61">
                  <c:v>56.889964353122856</c:v>
                </c:pt>
                <c:pt idx="62">
                  <c:v>56.995263929160309</c:v>
                </c:pt>
                <c:pt idx="63">
                  <c:v>57.118131382194633</c:v>
                </c:pt>
                <c:pt idx="64">
                  <c:v>57.196600431835918</c:v>
                </c:pt>
                <c:pt idx="65">
                  <c:v>57.25575040295562</c:v>
                </c:pt>
                <c:pt idx="66">
                  <c:v>57.319338607958706</c:v>
                </c:pt>
                <c:pt idx="67">
                  <c:v>57.390196838164123</c:v>
                </c:pt>
                <c:pt idx="68">
                  <c:v>57.48795553170585</c:v>
                </c:pt>
                <c:pt idx="69">
                  <c:v>57.534092653234005</c:v>
                </c:pt>
                <c:pt idx="70">
                  <c:v>57.58206735141075</c:v>
                </c:pt>
                <c:pt idx="71">
                  <c:v>57.549864847829156</c:v>
                </c:pt>
                <c:pt idx="72">
                  <c:v>57.535613775196595</c:v>
                </c:pt>
                <c:pt idx="73">
                  <c:v>57.552608178151587</c:v>
                </c:pt>
                <c:pt idx="74">
                  <c:v>57.57022056659833</c:v>
                </c:pt>
                <c:pt idx="75">
                  <c:v>57.576442600729727</c:v>
                </c:pt>
                <c:pt idx="76">
                  <c:v>57.56551220383956</c:v>
                </c:pt>
                <c:pt idx="77">
                  <c:v>57.574065846834301</c:v>
                </c:pt>
                <c:pt idx="78">
                  <c:v>57.56702869662481</c:v>
                </c:pt>
                <c:pt idx="79">
                  <c:v>57.569087627602819</c:v>
                </c:pt>
                <c:pt idx="80">
                  <c:v>57.523208332393473</c:v>
                </c:pt>
                <c:pt idx="81">
                  <c:v>57.42763083808341</c:v>
                </c:pt>
                <c:pt idx="82">
                  <c:v>57.285420741762685</c:v>
                </c:pt>
                <c:pt idx="83">
                  <c:v>57.159894916684038</c:v>
                </c:pt>
                <c:pt idx="84">
                  <c:v>57.043899696579395</c:v>
                </c:pt>
                <c:pt idx="85">
                  <c:v>56.935763511420255</c:v>
                </c:pt>
                <c:pt idx="86">
                  <c:v>56.83614361065321</c:v>
                </c:pt>
                <c:pt idx="87">
                  <c:v>56.752785177627338</c:v>
                </c:pt>
                <c:pt idx="88">
                  <c:v>56.636426365641491</c:v>
                </c:pt>
                <c:pt idx="89">
                  <c:v>56.539880859362299</c:v>
                </c:pt>
                <c:pt idx="90">
                  <c:v>56.431991538157902</c:v>
                </c:pt>
                <c:pt idx="91">
                  <c:v>56.331053222736131</c:v>
                </c:pt>
                <c:pt idx="92">
                  <c:v>56.263738942073061</c:v>
                </c:pt>
                <c:pt idx="93">
                  <c:v>56.19653450760287</c:v>
                </c:pt>
                <c:pt idx="94">
                  <c:v>56.120428868232416</c:v>
                </c:pt>
                <c:pt idx="95">
                  <c:v>56.001941382265805</c:v>
                </c:pt>
                <c:pt idx="96">
                  <c:v>55.889088515026522</c:v>
                </c:pt>
                <c:pt idx="97">
                  <c:v>55.798892585244076</c:v>
                </c:pt>
                <c:pt idx="98">
                  <c:v>55.726329404476338</c:v>
                </c:pt>
                <c:pt idx="99">
                  <c:v>55.619403453069708</c:v>
                </c:pt>
                <c:pt idx="100">
                  <c:v>55.484555104811484</c:v>
                </c:pt>
                <c:pt idx="101">
                  <c:v>55.318135831520301</c:v>
                </c:pt>
                <c:pt idx="102">
                  <c:v>55.138310705243207</c:v>
                </c:pt>
                <c:pt idx="103">
                  <c:v>54.957643639694943</c:v>
                </c:pt>
                <c:pt idx="104">
                  <c:v>54.747590072258888</c:v>
                </c:pt>
                <c:pt idx="105">
                  <c:v>54.535458784667853</c:v>
                </c:pt>
                <c:pt idx="106">
                  <c:v>54.325483201189485</c:v>
                </c:pt>
                <c:pt idx="107">
                  <c:v>54.0975816199429</c:v>
                </c:pt>
                <c:pt idx="108">
                  <c:v>53.831046583164756</c:v>
                </c:pt>
                <c:pt idx="109">
                  <c:v>53.536505874815923</c:v>
                </c:pt>
                <c:pt idx="110">
                  <c:v>53.267850316554643</c:v>
                </c:pt>
                <c:pt idx="111">
                  <c:v>53.02387422512075</c:v>
                </c:pt>
                <c:pt idx="112">
                  <c:v>52.823546654886243</c:v>
                </c:pt>
                <c:pt idx="113">
                  <c:v>52.631013211961353</c:v>
                </c:pt>
                <c:pt idx="114">
                  <c:v>52.454139090228082</c:v>
                </c:pt>
                <c:pt idx="115">
                  <c:v>52.294779837225803</c:v>
                </c:pt>
                <c:pt idx="116">
                  <c:v>52.153636134808757</c:v>
                </c:pt>
                <c:pt idx="117">
                  <c:v>52.040627037676281</c:v>
                </c:pt>
                <c:pt idx="118">
                  <c:v>51.940029670662909</c:v>
                </c:pt>
                <c:pt idx="119">
                  <c:v>51.821657669833478</c:v>
                </c:pt>
                <c:pt idx="120">
                  <c:v>51.683630300637041</c:v>
                </c:pt>
                <c:pt idx="121">
                  <c:v>51.560541127826319</c:v>
                </c:pt>
                <c:pt idx="122">
                  <c:v>51.440832848791032</c:v>
                </c:pt>
                <c:pt idx="123">
                  <c:v>51.323293441179771</c:v>
                </c:pt>
                <c:pt idx="124">
                  <c:v>51.18318579902845</c:v>
                </c:pt>
                <c:pt idx="125">
                  <c:v>51.014381377433452</c:v>
                </c:pt>
                <c:pt idx="126">
                  <c:v>50.851529139022389</c:v>
                </c:pt>
                <c:pt idx="127">
                  <c:v>50.678834776522699</c:v>
                </c:pt>
                <c:pt idx="128">
                  <c:v>50.498396511272588</c:v>
                </c:pt>
                <c:pt idx="129">
                  <c:v>50.338847663517129</c:v>
                </c:pt>
                <c:pt idx="130">
                  <c:v>50.166221157318347</c:v>
                </c:pt>
                <c:pt idx="131">
                  <c:v>49.992715992668593</c:v>
                </c:pt>
                <c:pt idx="132">
                  <c:v>49.79788767838604</c:v>
                </c:pt>
                <c:pt idx="133">
                  <c:v>49.591938396428631</c:v>
                </c:pt>
                <c:pt idx="134">
                  <c:v>49.379655624216781</c:v>
                </c:pt>
                <c:pt idx="135">
                  <c:v>49.138115755324527</c:v>
                </c:pt>
                <c:pt idx="136">
                  <c:v>48.887467048749485</c:v>
                </c:pt>
                <c:pt idx="137">
                  <c:v>48.650754065192459</c:v>
                </c:pt>
                <c:pt idx="138">
                  <c:v>48.421749047083381</c:v>
                </c:pt>
                <c:pt idx="139">
                  <c:v>48.210037106329715</c:v>
                </c:pt>
                <c:pt idx="140">
                  <c:v>48.025333750300227</c:v>
                </c:pt>
                <c:pt idx="141">
                  <c:v>47.848707926015081</c:v>
                </c:pt>
                <c:pt idx="142">
                  <c:v>47.687984447629049</c:v>
                </c:pt>
                <c:pt idx="143">
                  <c:v>47.528800278755398</c:v>
                </c:pt>
                <c:pt idx="144">
                  <c:v>47.367714111647125</c:v>
                </c:pt>
                <c:pt idx="145">
                  <c:v>47.205794625674471</c:v>
                </c:pt>
                <c:pt idx="146">
                  <c:v>47.040333148011307</c:v>
                </c:pt>
                <c:pt idx="147">
                  <c:v>46.830637447172123</c:v>
                </c:pt>
                <c:pt idx="148">
                  <c:v>46.684576853656004</c:v>
                </c:pt>
                <c:pt idx="149">
                  <c:v>46.532610570270357</c:v>
                </c:pt>
                <c:pt idx="150">
                  <c:v>46.398589450628499</c:v>
                </c:pt>
                <c:pt idx="151">
                  <c:v>46.268101342533569</c:v>
                </c:pt>
                <c:pt idx="152">
                  <c:v>46.122694897116808</c:v>
                </c:pt>
                <c:pt idx="153">
                  <c:v>45.95375044872722</c:v>
                </c:pt>
                <c:pt idx="154">
                  <c:v>45.779021685361656</c:v>
                </c:pt>
                <c:pt idx="155">
                  <c:v>45.599589593073901</c:v>
                </c:pt>
                <c:pt idx="156">
                  <c:v>45.384296982632549</c:v>
                </c:pt>
                <c:pt idx="157">
                  <c:v>45.172369605375735</c:v>
                </c:pt>
                <c:pt idx="158">
                  <c:v>44.934820984412191</c:v>
                </c:pt>
                <c:pt idx="159">
                  <c:v>44.661042206529331</c:v>
                </c:pt>
                <c:pt idx="160">
                  <c:v>44.376100665721566</c:v>
                </c:pt>
                <c:pt idx="161">
                  <c:v>44.067365614755438</c:v>
                </c:pt>
                <c:pt idx="162">
                  <c:v>43.75023440623638</c:v>
                </c:pt>
                <c:pt idx="163">
                  <c:v>43.444376302931119</c:v>
                </c:pt>
                <c:pt idx="164">
                  <c:v>43.135543063544532</c:v>
                </c:pt>
                <c:pt idx="165">
                  <c:v>42.824363632274881</c:v>
                </c:pt>
                <c:pt idx="166">
                  <c:v>42.538828076308164</c:v>
                </c:pt>
                <c:pt idx="167">
                  <c:v>42.253942300625965</c:v>
                </c:pt>
                <c:pt idx="168">
                  <c:v>41.969351680179493</c:v>
                </c:pt>
                <c:pt idx="169">
                  <c:v>41.675771022486515</c:v>
                </c:pt>
                <c:pt idx="170">
                  <c:v>41.385897942046775</c:v>
                </c:pt>
                <c:pt idx="171">
                  <c:v>41.096778019934646</c:v>
                </c:pt>
                <c:pt idx="172">
                  <c:v>40.802779899386799</c:v>
                </c:pt>
                <c:pt idx="173">
                  <c:v>40.49701569258756</c:v>
                </c:pt>
                <c:pt idx="174">
                  <c:v>40.194727015845629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3D9-4F69-A4E8-88A9E1562596}"/>
            </c:ext>
          </c:extLst>
        </c:ser>
        <c:ser>
          <c:idx val="9"/>
          <c:order val="9"/>
          <c:tx>
            <c:strRef>
              <c:f>data_co2_incLUC!$M$2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data_co2_incLUC!$M$3:$M$177</c:f>
              <c:numCache>
                <c:formatCode>0.0</c:formatCode>
                <c:ptCount val="175"/>
                <c:pt idx="0">
                  <c:v>57.666672263906364</c:v>
                </c:pt>
                <c:pt idx="1">
                  <c:v>57.336730899342861</c:v>
                </c:pt>
                <c:pt idx="2">
                  <c:v>57.215136651428608</c:v>
                </c:pt>
                <c:pt idx="3">
                  <c:v>57.136671399079674</c:v>
                </c:pt>
                <c:pt idx="4">
                  <c:v>57.309877809208089</c:v>
                </c:pt>
                <c:pt idx="5">
                  <c:v>57.350301043521334</c:v>
                </c:pt>
                <c:pt idx="6">
                  <c:v>57.414718495410952</c:v>
                </c:pt>
                <c:pt idx="7">
                  <c:v>57.482084015313148</c:v>
                </c:pt>
                <c:pt idx="8">
                  <c:v>57.571895186105095</c:v>
                </c:pt>
                <c:pt idx="9">
                  <c:v>57.67842853847084</c:v>
                </c:pt>
                <c:pt idx="10">
                  <c:v>58.04021986707415</c:v>
                </c:pt>
                <c:pt idx="11">
                  <c:v>58.424397147260962</c:v>
                </c:pt>
                <c:pt idx="12">
                  <c:v>58.864967563793655</c:v>
                </c:pt>
                <c:pt idx="13">
                  <c:v>59.295496458099215</c:v>
                </c:pt>
                <c:pt idx="14">
                  <c:v>59.70732256123199</c:v>
                </c:pt>
                <c:pt idx="15">
                  <c:v>60.104735643030374</c:v>
                </c:pt>
                <c:pt idx="16">
                  <c:v>60.498823514183009</c:v>
                </c:pt>
                <c:pt idx="17">
                  <c:v>60.865614532390097</c:v>
                </c:pt>
                <c:pt idx="18">
                  <c:v>61.222409456629158</c:v>
                </c:pt>
                <c:pt idx="19">
                  <c:v>61.549218062046648</c:v>
                </c:pt>
                <c:pt idx="20">
                  <c:v>62.001842958883699</c:v>
                </c:pt>
                <c:pt idx="21">
                  <c:v>62.477366153635764</c:v>
                </c:pt>
                <c:pt idx="22">
                  <c:v>62.940739998106601</c:v>
                </c:pt>
                <c:pt idx="23">
                  <c:v>63.405691464325287</c:v>
                </c:pt>
                <c:pt idx="24">
                  <c:v>63.844461625722815</c:v>
                </c:pt>
                <c:pt idx="25">
                  <c:v>64.279005773571839</c:v>
                </c:pt>
                <c:pt idx="26">
                  <c:v>64.699450157254773</c:v>
                </c:pt>
                <c:pt idx="27">
                  <c:v>65.091632616131761</c:v>
                </c:pt>
                <c:pt idx="28">
                  <c:v>65.472814200830555</c:v>
                </c:pt>
                <c:pt idx="29">
                  <c:v>65.858512050765327</c:v>
                </c:pt>
                <c:pt idx="30">
                  <c:v>66.136481736255391</c:v>
                </c:pt>
                <c:pt idx="31">
                  <c:v>66.347478184731941</c:v>
                </c:pt>
                <c:pt idx="32">
                  <c:v>66.531369762856571</c:v>
                </c:pt>
                <c:pt idx="33">
                  <c:v>66.708235666863402</c:v>
                </c:pt>
                <c:pt idx="34">
                  <c:v>66.871365961277945</c:v>
                </c:pt>
                <c:pt idx="35">
                  <c:v>67.016909042085501</c:v>
                </c:pt>
                <c:pt idx="36">
                  <c:v>67.146154969366194</c:v>
                </c:pt>
                <c:pt idx="37">
                  <c:v>67.264001727043137</c:v>
                </c:pt>
                <c:pt idx="38">
                  <c:v>67.400433450607352</c:v>
                </c:pt>
                <c:pt idx="39">
                  <c:v>67.507633832326533</c:v>
                </c:pt>
                <c:pt idx="40">
                  <c:v>67.637810993905688</c:v>
                </c:pt>
                <c:pt idx="41">
                  <c:v>67.764613046756267</c:v>
                </c:pt>
                <c:pt idx="42">
                  <c:v>67.897713180330584</c:v>
                </c:pt>
                <c:pt idx="43">
                  <c:v>68.025178482790409</c:v>
                </c:pt>
                <c:pt idx="44">
                  <c:v>68.152951320385498</c:v>
                </c:pt>
                <c:pt idx="45">
                  <c:v>68.278566239969862</c:v>
                </c:pt>
                <c:pt idx="46">
                  <c:v>68.408184607760077</c:v>
                </c:pt>
                <c:pt idx="47">
                  <c:v>68.533981539707852</c:v>
                </c:pt>
                <c:pt idx="48">
                  <c:v>68.674599471846321</c:v>
                </c:pt>
                <c:pt idx="49">
                  <c:v>68.825511293778405</c:v>
                </c:pt>
                <c:pt idx="50">
                  <c:v>68.979364529067311</c:v>
                </c:pt>
                <c:pt idx="51">
                  <c:v>69.107887622634166</c:v>
                </c:pt>
                <c:pt idx="52">
                  <c:v>69.228905233998304</c:v>
                </c:pt>
                <c:pt idx="53">
                  <c:v>69.365784592303314</c:v>
                </c:pt>
                <c:pt idx="54">
                  <c:v>69.494318738973476</c:v>
                </c:pt>
                <c:pt idx="55">
                  <c:v>69.638656845493472</c:v>
                </c:pt>
                <c:pt idx="56">
                  <c:v>69.773745858791528</c:v>
                </c:pt>
                <c:pt idx="57">
                  <c:v>69.941193767967292</c:v>
                </c:pt>
                <c:pt idx="58">
                  <c:v>70.090483099079464</c:v>
                </c:pt>
                <c:pt idx="59">
                  <c:v>70.242428702930638</c:v>
                </c:pt>
                <c:pt idx="60">
                  <c:v>70.315223912317506</c:v>
                </c:pt>
                <c:pt idx="61">
                  <c:v>70.356698780535083</c:v>
                </c:pt>
                <c:pt idx="62">
                  <c:v>70.396474306004393</c:v>
                </c:pt>
                <c:pt idx="63">
                  <c:v>70.432583009557192</c:v>
                </c:pt>
                <c:pt idx="64">
                  <c:v>70.425128061333879</c:v>
                </c:pt>
                <c:pt idx="65">
                  <c:v>70.401082848413395</c:v>
                </c:pt>
                <c:pt idx="66">
                  <c:v>70.393988256630209</c:v>
                </c:pt>
                <c:pt idx="67">
                  <c:v>70.384782345941417</c:v>
                </c:pt>
                <c:pt idx="68">
                  <c:v>70.36373000983545</c:v>
                </c:pt>
                <c:pt idx="69">
                  <c:v>70.296109411114259</c:v>
                </c:pt>
                <c:pt idx="70">
                  <c:v>70.206246921771026</c:v>
                </c:pt>
                <c:pt idx="71">
                  <c:v>70.064214449469802</c:v>
                </c:pt>
                <c:pt idx="72">
                  <c:v>69.92515120482291</c:v>
                </c:pt>
                <c:pt idx="73">
                  <c:v>69.800272694926207</c:v>
                </c:pt>
                <c:pt idx="74">
                  <c:v>69.66534549638655</c:v>
                </c:pt>
                <c:pt idx="75">
                  <c:v>69.536976729879711</c:v>
                </c:pt>
                <c:pt idx="76">
                  <c:v>69.403901448512087</c:v>
                </c:pt>
                <c:pt idx="77">
                  <c:v>69.288930510446491</c:v>
                </c:pt>
                <c:pt idx="78">
                  <c:v>69.165962175614098</c:v>
                </c:pt>
                <c:pt idx="79">
                  <c:v>69.063237928168547</c:v>
                </c:pt>
                <c:pt idx="80">
                  <c:v>68.947972584581805</c:v>
                </c:pt>
                <c:pt idx="81">
                  <c:v>68.809699058279122</c:v>
                </c:pt>
                <c:pt idx="82">
                  <c:v>68.649832103755941</c:v>
                </c:pt>
                <c:pt idx="83">
                  <c:v>68.499472057021919</c:v>
                </c:pt>
                <c:pt idx="84">
                  <c:v>68.359395823418438</c:v>
                </c:pt>
                <c:pt idx="85">
                  <c:v>68.23469478659122</c:v>
                </c:pt>
                <c:pt idx="86">
                  <c:v>68.1247698599134</c:v>
                </c:pt>
                <c:pt idx="87">
                  <c:v>68.023772821315092</c:v>
                </c:pt>
                <c:pt idx="88">
                  <c:v>67.911621381122828</c:v>
                </c:pt>
                <c:pt idx="89">
                  <c:v>67.80992721306626</c:v>
                </c:pt>
                <c:pt idx="90">
                  <c:v>67.642147158247866</c:v>
                </c:pt>
                <c:pt idx="91">
                  <c:v>67.440469794779659</c:v>
                </c:pt>
                <c:pt idx="92">
                  <c:v>67.222743479814</c:v>
                </c:pt>
                <c:pt idx="93">
                  <c:v>66.998047419112822</c:v>
                </c:pt>
                <c:pt idx="94">
                  <c:v>66.766939485590498</c:v>
                </c:pt>
                <c:pt idx="95">
                  <c:v>66.495367070343363</c:v>
                </c:pt>
                <c:pt idx="96">
                  <c:v>66.233241247770508</c:v>
                </c:pt>
                <c:pt idx="97">
                  <c:v>65.988243184349244</c:v>
                </c:pt>
                <c:pt idx="98">
                  <c:v>65.756669340450173</c:v>
                </c:pt>
                <c:pt idx="99">
                  <c:v>65.508205799386303</c:v>
                </c:pt>
                <c:pt idx="100">
                  <c:v>65.21153184204212</c:v>
                </c:pt>
                <c:pt idx="101">
                  <c:v>64.892200075575033</c:v>
                </c:pt>
                <c:pt idx="102">
                  <c:v>64.587110696321773</c:v>
                </c:pt>
                <c:pt idx="103">
                  <c:v>64.294427249628399</c:v>
                </c:pt>
                <c:pt idx="104">
                  <c:v>63.97272997539244</c:v>
                </c:pt>
                <c:pt idx="105">
                  <c:v>63.670500266734699</c:v>
                </c:pt>
                <c:pt idx="106">
                  <c:v>63.389142578156488</c:v>
                </c:pt>
                <c:pt idx="107">
                  <c:v>63.105433131928415</c:v>
                </c:pt>
                <c:pt idx="108">
                  <c:v>62.816704511411992</c:v>
                </c:pt>
                <c:pt idx="109">
                  <c:v>62.533264968467272</c:v>
                </c:pt>
                <c:pt idx="110">
                  <c:v>62.320575660398156</c:v>
                </c:pt>
                <c:pt idx="111">
                  <c:v>62.118445412504009</c:v>
                </c:pt>
                <c:pt idx="112">
                  <c:v>61.947068217961053</c:v>
                </c:pt>
                <c:pt idx="113">
                  <c:v>61.794279777834227</c:v>
                </c:pt>
                <c:pt idx="114">
                  <c:v>61.677120430706424</c:v>
                </c:pt>
                <c:pt idx="115">
                  <c:v>61.581621794806274</c:v>
                </c:pt>
                <c:pt idx="116">
                  <c:v>61.512348841048372</c:v>
                </c:pt>
                <c:pt idx="117">
                  <c:v>61.496603087987722</c:v>
                </c:pt>
                <c:pt idx="118">
                  <c:v>61.509916698175779</c:v>
                </c:pt>
                <c:pt idx="119">
                  <c:v>61.434291512039138</c:v>
                </c:pt>
                <c:pt idx="120">
                  <c:v>61.385197124275123</c:v>
                </c:pt>
                <c:pt idx="121">
                  <c:v>61.344007572044731</c:v>
                </c:pt>
                <c:pt idx="122">
                  <c:v>61.262775996086418</c:v>
                </c:pt>
                <c:pt idx="123">
                  <c:v>61.208173832988543</c:v>
                </c:pt>
                <c:pt idx="124">
                  <c:v>61.145917674589064</c:v>
                </c:pt>
                <c:pt idx="125">
                  <c:v>61.084422071098231</c:v>
                </c:pt>
                <c:pt idx="126">
                  <c:v>61.043067418727112</c:v>
                </c:pt>
                <c:pt idx="127">
                  <c:v>60.972544415243533</c:v>
                </c:pt>
                <c:pt idx="128">
                  <c:v>60.897392066305464</c:v>
                </c:pt>
                <c:pt idx="129">
                  <c:v>60.863007386738502</c:v>
                </c:pt>
                <c:pt idx="130">
                  <c:v>60.82688076453698</c:v>
                </c:pt>
                <c:pt idx="131">
                  <c:v>60.773080192232811</c:v>
                </c:pt>
                <c:pt idx="132">
                  <c:v>60.718009435110417</c:v>
                </c:pt>
                <c:pt idx="133">
                  <c:v>60.650061655741069</c:v>
                </c:pt>
                <c:pt idx="134">
                  <c:v>60.545258421815248</c:v>
                </c:pt>
                <c:pt idx="135">
                  <c:v>60.423043409569033</c:v>
                </c:pt>
                <c:pt idx="136">
                  <c:v>60.28046311225215</c:v>
                </c:pt>
                <c:pt idx="137">
                  <c:v>60.160166130258155</c:v>
                </c:pt>
                <c:pt idx="138">
                  <c:v>60.052324573787516</c:v>
                </c:pt>
                <c:pt idx="139">
                  <c:v>59.951140550500462</c:v>
                </c:pt>
                <c:pt idx="140">
                  <c:v>59.878883139150297</c:v>
                </c:pt>
                <c:pt idx="141">
                  <c:v>59.776130799270334</c:v>
                </c:pt>
                <c:pt idx="142">
                  <c:v>59.651769465806069</c:v>
                </c:pt>
                <c:pt idx="143">
                  <c:v>59.522835458162518</c:v>
                </c:pt>
                <c:pt idx="144">
                  <c:v>59.336293686200094</c:v>
                </c:pt>
                <c:pt idx="145">
                  <c:v>59.158571497119908</c:v>
                </c:pt>
                <c:pt idx="146">
                  <c:v>58.995722344952227</c:v>
                </c:pt>
                <c:pt idx="147">
                  <c:v>58.754608483130177</c:v>
                </c:pt>
                <c:pt idx="148">
                  <c:v>58.565289726921087</c:v>
                </c:pt>
                <c:pt idx="149">
                  <c:v>58.380183523550514</c:v>
                </c:pt>
                <c:pt idx="150">
                  <c:v>58.2061803130239</c:v>
                </c:pt>
                <c:pt idx="151">
                  <c:v>58.045199214667107</c:v>
                </c:pt>
                <c:pt idx="152">
                  <c:v>57.851089159445898</c:v>
                </c:pt>
                <c:pt idx="153">
                  <c:v>57.612413748553429</c:v>
                </c:pt>
                <c:pt idx="154">
                  <c:v>57.386664918163511</c:v>
                </c:pt>
                <c:pt idx="155">
                  <c:v>57.163502904905307</c:v>
                </c:pt>
                <c:pt idx="156">
                  <c:v>56.900692650613763</c:v>
                </c:pt>
                <c:pt idx="157">
                  <c:v>56.650804857224401</c:v>
                </c:pt>
                <c:pt idx="158">
                  <c:v>56.377478645738677</c:v>
                </c:pt>
                <c:pt idx="159">
                  <c:v>56.062475496473539</c:v>
                </c:pt>
                <c:pt idx="160">
                  <c:v>55.762974920751141</c:v>
                </c:pt>
                <c:pt idx="161">
                  <c:v>55.418561213560537</c:v>
                </c:pt>
                <c:pt idx="162">
                  <c:v>55.069875637332174</c:v>
                </c:pt>
                <c:pt idx="163">
                  <c:v>54.723018727382943</c:v>
                </c:pt>
                <c:pt idx="164">
                  <c:v>54.367562121020271</c:v>
                </c:pt>
                <c:pt idx="165">
                  <c:v>54.02822949642615</c:v>
                </c:pt>
                <c:pt idx="166">
                  <c:v>53.721408629457947</c:v>
                </c:pt>
                <c:pt idx="167">
                  <c:v>53.415507559142739</c:v>
                </c:pt>
                <c:pt idx="168">
                  <c:v>53.112852293872812</c:v>
                </c:pt>
                <c:pt idx="169">
                  <c:v>52.79502069310066</c:v>
                </c:pt>
                <c:pt idx="170">
                  <c:v>52.483665484022048</c:v>
                </c:pt>
                <c:pt idx="171">
                  <c:v>52.175412930232227</c:v>
                </c:pt>
                <c:pt idx="172">
                  <c:v>51.859586398147492</c:v>
                </c:pt>
                <c:pt idx="173">
                  <c:v>51.533804418837633</c:v>
                </c:pt>
                <c:pt idx="174">
                  <c:v>51.211261402049942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3D9-4F69-A4E8-88A9E1562596}"/>
            </c:ext>
          </c:extLst>
        </c:ser>
        <c:ser>
          <c:idx val="10"/>
          <c:order val="10"/>
          <c:tx>
            <c:strRef>
              <c:f>data_co2_incLUC!$N$2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data_co2_incLUC!$N$3:$N$177</c:f>
              <c:numCache>
                <c:formatCode>0.0</c:formatCode>
                <c:ptCount val="175"/>
                <c:pt idx="0">
                  <c:v>59.535107488149421</c:v>
                </c:pt>
                <c:pt idx="1">
                  <c:v>60.118921025636965</c:v>
                </c:pt>
                <c:pt idx="2">
                  <c:v>62.220609067246599</c:v>
                </c:pt>
                <c:pt idx="3">
                  <c:v>63.6650267533307</c:v>
                </c:pt>
                <c:pt idx="4">
                  <c:v>64.955843966451937</c:v>
                </c:pt>
                <c:pt idx="5">
                  <c:v>66.079755553098636</c:v>
                </c:pt>
                <c:pt idx="6">
                  <c:v>66.996201690049233</c:v>
                </c:pt>
                <c:pt idx="7">
                  <c:v>67.746359897529175</c:v>
                </c:pt>
                <c:pt idx="8">
                  <c:v>68.382724803305223</c:v>
                </c:pt>
                <c:pt idx="9">
                  <c:v>68.953962332813688</c:v>
                </c:pt>
                <c:pt idx="10">
                  <c:v>69.494119339450762</c:v>
                </c:pt>
                <c:pt idx="11">
                  <c:v>69.978881296723173</c:v>
                </c:pt>
                <c:pt idx="12">
                  <c:v>70.177048827143821</c:v>
                </c:pt>
                <c:pt idx="13">
                  <c:v>70.374443614734474</c:v>
                </c:pt>
                <c:pt idx="14">
                  <c:v>70.570399334608709</c:v>
                </c:pt>
                <c:pt idx="15">
                  <c:v>70.760207205256179</c:v>
                </c:pt>
                <c:pt idx="16">
                  <c:v>70.940131756412853</c:v>
                </c:pt>
                <c:pt idx="17">
                  <c:v>71.121568780528804</c:v>
                </c:pt>
                <c:pt idx="18">
                  <c:v>71.292422661048377</c:v>
                </c:pt>
                <c:pt idx="19">
                  <c:v>71.465584502797157</c:v>
                </c:pt>
                <c:pt idx="20">
                  <c:v>71.627767147435975</c:v>
                </c:pt>
                <c:pt idx="21">
                  <c:v>71.679660248028085</c:v>
                </c:pt>
                <c:pt idx="22">
                  <c:v>71.891928499549735</c:v>
                </c:pt>
                <c:pt idx="23">
                  <c:v>72.096331773437925</c:v>
                </c:pt>
                <c:pt idx="24">
                  <c:v>72.264298820757872</c:v>
                </c:pt>
                <c:pt idx="25">
                  <c:v>72.442063070090114</c:v>
                </c:pt>
                <c:pt idx="26">
                  <c:v>72.611196933627539</c:v>
                </c:pt>
                <c:pt idx="27">
                  <c:v>72.774137494659243</c:v>
                </c:pt>
                <c:pt idx="28">
                  <c:v>72.926010010199704</c:v>
                </c:pt>
                <c:pt idx="29">
                  <c:v>73.085979279876568</c:v>
                </c:pt>
                <c:pt idx="30">
                  <c:v>73.270558540427629</c:v>
                </c:pt>
                <c:pt idx="31">
                  <c:v>73.349606017246444</c:v>
                </c:pt>
                <c:pt idx="32">
                  <c:v>73.34818400406472</c:v>
                </c:pt>
                <c:pt idx="33">
                  <c:v>73.341765769723381</c:v>
                </c:pt>
                <c:pt idx="34">
                  <c:v>73.319465390582067</c:v>
                </c:pt>
                <c:pt idx="35">
                  <c:v>73.285284444914183</c:v>
                </c:pt>
                <c:pt idx="36">
                  <c:v>73.247778052103683</c:v>
                </c:pt>
                <c:pt idx="37">
                  <c:v>73.216272290027433</c:v>
                </c:pt>
                <c:pt idx="38">
                  <c:v>73.209790743758091</c:v>
                </c:pt>
                <c:pt idx="39">
                  <c:v>73.196344205463092</c:v>
                </c:pt>
                <c:pt idx="40">
                  <c:v>73.203138009537426</c:v>
                </c:pt>
                <c:pt idx="41">
                  <c:v>73.222196010436065</c:v>
                </c:pt>
                <c:pt idx="42">
                  <c:v>73.250378863556946</c:v>
                </c:pt>
                <c:pt idx="43">
                  <c:v>73.271746020301634</c:v>
                </c:pt>
                <c:pt idx="44">
                  <c:v>73.271236913230524</c:v>
                </c:pt>
                <c:pt idx="45">
                  <c:v>73.282295170707201</c:v>
                </c:pt>
                <c:pt idx="46">
                  <c:v>73.297646798993426</c:v>
                </c:pt>
                <c:pt idx="47">
                  <c:v>73.321722739146509</c:v>
                </c:pt>
                <c:pt idx="48">
                  <c:v>73.353968731316101</c:v>
                </c:pt>
                <c:pt idx="49">
                  <c:v>73.408140469719001</c:v>
                </c:pt>
                <c:pt idx="50">
                  <c:v>73.474380270004374</c:v>
                </c:pt>
                <c:pt idx="51">
                  <c:v>73.437322363885656</c:v>
                </c:pt>
                <c:pt idx="52">
                  <c:v>73.333523192088322</c:v>
                </c:pt>
                <c:pt idx="53">
                  <c:v>73.207618536372649</c:v>
                </c:pt>
                <c:pt idx="54">
                  <c:v>73.037831469449671</c:v>
                </c:pt>
                <c:pt idx="55">
                  <c:v>72.850780867111425</c:v>
                </c:pt>
                <c:pt idx="56">
                  <c:v>72.629707272205181</c:v>
                </c:pt>
                <c:pt idx="57">
                  <c:v>72.448343010535439</c:v>
                </c:pt>
                <c:pt idx="58">
                  <c:v>72.241070648089291</c:v>
                </c:pt>
                <c:pt idx="59">
                  <c:v>72.048316366752687</c:v>
                </c:pt>
                <c:pt idx="60">
                  <c:v>71.873663279072616</c:v>
                </c:pt>
                <c:pt idx="61">
                  <c:v>71.774588053984928</c:v>
                </c:pt>
                <c:pt idx="62">
                  <c:v>71.711740295784438</c:v>
                </c:pt>
                <c:pt idx="63">
                  <c:v>71.71548887445789</c:v>
                </c:pt>
                <c:pt idx="64">
                  <c:v>71.691926943463869</c:v>
                </c:pt>
                <c:pt idx="65">
                  <c:v>71.674202966010697</c:v>
                </c:pt>
                <c:pt idx="66">
                  <c:v>71.67770867834794</c:v>
                </c:pt>
                <c:pt idx="67">
                  <c:v>71.686814632556988</c:v>
                </c:pt>
                <c:pt idx="68">
                  <c:v>71.684600055606566</c:v>
                </c:pt>
                <c:pt idx="69">
                  <c:v>71.619725125813886</c:v>
                </c:pt>
                <c:pt idx="70">
                  <c:v>71.591236039634637</c:v>
                </c:pt>
                <c:pt idx="71">
                  <c:v>71.465128567249877</c:v>
                </c:pt>
                <c:pt idx="72">
                  <c:v>71.336338208714395</c:v>
                </c:pt>
                <c:pt idx="73">
                  <c:v>71.238111538095055</c:v>
                </c:pt>
                <c:pt idx="74">
                  <c:v>71.12852477377875</c:v>
                </c:pt>
                <c:pt idx="75">
                  <c:v>71.017802594699091</c:v>
                </c:pt>
                <c:pt idx="76">
                  <c:v>70.902683600903757</c:v>
                </c:pt>
                <c:pt idx="77">
                  <c:v>70.832341130562554</c:v>
                </c:pt>
                <c:pt idx="78">
                  <c:v>70.754434438859576</c:v>
                </c:pt>
                <c:pt idx="79">
                  <c:v>70.70515829133771</c:v>
                </c:pt>
                <c:pt idx="80">
                  <c:v>70.646066469209202</c:v>
                </c:pt>
                <c:pt idx="81">
                  <c:v>70.545945252685357</c:v>
                </c:pt>
                <c:pt idx="82">
                  <c:v>70.386461598454773</c:v>
                </c:pt>
                <c:pt idx="83">
                  <c:v>70.235041312244093</c:v>
                </c:pt>
                <c:pt idx="84">
                  <c:v>70.10009750539264</c:v>
                </c:pt>
                <c:pt idx="85">
                  <c:v>69.96999571209021</c:v>
                </c:pt>
                <c:pt idx="86">
                  <c:v>69.850794006356281</c:v>
                </c:pt>
                <c:pt idx="87">
                  <c:v>69.736103631231316</c:v>
                </c:pt>
                <c:pt idx="88">
                  <c:v>69.597879384425681</c:v>
                </c:pt>
                <c:pt idx="89">
                  <c:v>69.469639059694344</c:v>
                </c:pt>
                <c:pt idx="90">
                  <c:v>69.360303665283425</c:v>
                </c:pt>
                <c:pt idx="91">
                  <c:v>69.254945459498344</c:v>
                </c:pt>
                <c:pt idx="92">
                  <c:v>69.158085845416721</c:v>
                </c:pt>
                <c:pt idx="93">
                  <c:v>69.056800151079173</c:v>
                </c:pt>
                <c:pt idx="94">
                  <c:v>68.936727107782517</c:v>
                </c:pt>
                <c:pt idx="95">
                  <c:v>68.752181867506749</c:v>
                </c:pt>
                <c:pt idx="96">
                  <c:v>68.533708055690212</c:v>
                </c:pt>
                <c:pt idx="97">
                  <c:v>68.343694272061825</c:v>
                </c:pt>
                <c:pt idx="98">
                  <c:v>68.166726949384966</c:v>
                </c:pt>
                <c:pt idx="99">
                  <c:v>67.964802402075989</c:v>
                </c:pt>
                <c:pt idx="100">
                  <c:v>67.810397364676362</c:v>
                </c:pt>
                <c:pt idx="101">
                  <c:v>67.670220554540421</c:v>
                </c:pt>
                <c:pt idx="102">
                  <c:v>67.506124730980275</c:v>
                </c:pt>
                <c:pt idx="103">
                  <c:v>67.357735815235486</c:v>
                </c:pt>
                <c:pt idx="104">
                  <c:v>67.1995389391288</c:v>
                </c:pt>
                <c:pt idx="105">
                  <c:v>67.052728017271434</c:v>
                </c:pt>
                <c:pt idx="106">
                  <c:v>66.918665843664243</c:v>
                </c:pt>
                <c:pt idx="107">
                  <c:v>66.785206359979497</c:v>
                </c:pt>
                <c:pt idx="108">
                  <c:v>66.631263996614408</c:v>
                </c:pt>
                <c:pt idx="109">
                  <c:v>66.453793673231203</c:v>
                </c:pt>
                <c:pt idx="110">
                  <c:v>66.291682081907368</c:v>
                </c:pt>
                <c:pt idx="111">
                  <c:v>66.124116092945272</c:v>
                </c:pt>
                <c:pt idx="112">
                  <c:v>65.987876252065632</c:v>
                </c:pt>
                <c:pt idx="113">
                  <c:v>65.865917225963727</c:v>
                </c:pt>
                <c:pt idx="114">
                  <c:v>65.756220132195395</c:v>
                </c:pt>
                <c:pt idx="115">
                  <c:v>65.646456273482386</c:v>
                </c:pt>
                <c:pt idx="116">
                  <c:v>65.545148725979658</c:v>
                </c:pt>
                <c:pt idx="117">
                  <c:v>65.462536478402512</c:v>
                </c:pt>
                <c:pt idx="118">
                  <c:v>65.405742300962345</c:v>
                </c:pt>
                <c:pt idx="119">
                  <c:v>65.357635676338731</c:v>
                </c:pt>
                <c:pt idx="120">
                  <c:v>65.306825560442348</c:v>
                </c:pt>
                <c:pt idx="121">
                  <c:v>65.253236542691695</c:v>
                </c:pt>
                <c:pt idx="122">
                  <c:v>65.214498040169332</c:v>
                </c:pt>
                <c:pt idx="123">
                  <c:v>65.172659465453748</c:v>
                </c:pt>
                <c:pt idx="124">
                  <c:v>65.111981279834438</c:v>
                </c:pt>
                <c:pt idx="125">
                  <c:v>65.030839763723165</c:v>
                </c:pt>
                <c:pt idx="126">
                  <c:v>64.949715798961165</c:v>
                </c:pt>
                <c:pt idx="127">
                  <c:v>64.861696216951884</c:v>
                </c:pt>
                <c:pt idx="128">
                  <c:v>64.772123353377026</c:v>
                </c:pt>
                <c:pt idx="129">
                  <c:v>64.686985566725141</c:v>
                </c:pt>
                <c:pt idx="130">
                  <c:v>64.601391626419272</c:v>
                </c:pt>
                <c:pt idx="131">
                  <c:v>64.496203796909583</c:v>
                </c:pt>
                <c:pt idx="132">
                  <c:v>64.331903932606039</c:v>
                </c:pt>
                <c:pt idx="133">
                  <c:v>64.153540196694763</c:v>
                </c:pt>
                <c:pt idx="134">
                  <c:v>63.963229987946754</c:v>
                </c:pt>
                <c:pt idx="135">
                  <c:v>63.76675267146733</c:v>
                </c:pt>
                <c:pt idx="136">
                  <c:v>63.563296742696529</c:v>
                </c:pt>
                <c:pt idx="137">
                  <c:v>63.360752349549998</c:v>
                </c:pt>
                <c:pt idx="138">
                  <c:v>63.153276298606286</c:v>
                </c:pt>
                <c:pt idx="139">
                  <c:v>62.942502709944833</c:v>
                </c:pt>
                <c:pt idx="140">
                  <c:v>62.821558361783516</c:v>
                </c:pt>
                <c:pt idx="141">
                  <c:v>62.652392795271894</c:v>
                </c:pt>
                <c:pt idx="142">
                  <c:v>62.470633800069685</c:v>
                </c:pt>
                <c:pt idx="143">
                  <c:v>62.269240426615887</c:v>
                </c:pt>
                <c:pt idx="144">
                  <c:v>62.151484345916138</c:v>
                </c:pt>
                <c:pt idx="145">
                  <c:v>61.992339882402305</c:v>
                </c:pt>
                <c:pt idx="146">
                  <c:v>61.86147842083065</c:v>
                </c:pt>
                <c:pt idx="147">
                  <c:v>61.732541841554422</c:v>
                </c:pt>
                <c:pt idx="148">
                  <c:v>61.604377532111819</c:v>
                </c:pt>
                <c:pt idx="149">
                  <c:v>61.462260685747772</c:v>
                </c:pt>
                <c:pt idx="150">
                  <c:v>61.347091125050689</c:v>
                </c:pt>
                <c:pt idx="151">
                  <c:v>61.217225380730291</c:v>
                </c:pt>
                <c:pt idx="152">
                  <c:v>61.058650455840827</c:v>
                </c:pt>
                <c:pt idx="153">
                  <c:v>60.834327962928647</c:v>
                </c:pt>
                <c:pt idx="154">
                  <c:v>60.555425898061387</c:v>
                </c:pt>
                <c:pt idx="155">
                  <c:v>60.286318252463325</c:v>
                </c:pt>
                <c:pt idx="156">
                  <c:v>60.01324420769204</c:v>
                </c:pt>
                <c:pt idx="157">
                  <c:v>59.746668691806683</c:v>
                </c:pt>
                <c:pt idx="158">
                  <c:v>59.458858162041409</c:v>
                </c:pt>
                <c:pt idx="159">
                  <c:v>59.158061803601171</c:v>
                </c:pt>
                <c:pt idx="160">
                  <c:v>58.856379481662771</c:v>
                </c:pt>
                <c:pt idx="161">
                  <c:v>58.503937000642267</c:v>
                </c:pt>
                <c:pt idx="162">
                  <c:v>58.145618807990694</c:v>
                </c:pt>
                <c:pt idx="163">
                  <c:v>57.782000058537719</c:v>
                </c:pt>
                <c:pt idx="164">
                  <c:v>57.415390830965244</c:v>
                </c:pt>
                <c:pt idx="165">
                  <c:v>57.026535669488077</c:v>
                </c:pt>
                <c:pt idx="166">
                  <c:v>56.660297467898488</c:v>
                </c:pt>
                <c:pt idx="167">
                  <c:v>56.296078015961101</c:v>
                </c:pt>
                <c:pt idx="168">
                  <c:v>55.944944743980663</c:v>
                </c:pt>
                <c:pt idx="169">
                  <c:v>55.578992056334883</c:v>
                </c:pt>
                <c:pt idx="170">
                  <c:v>55.222088401614592</c:v>
                </c:pt>
                <c:pt idx="171">
                  <c:v>54.851473784278312</c:v>
                </c:pt>
                <c:pt idx="172">
                  <c:v>54.438114035429905</c:v>
                </c:pt>
                <c:pt idx="173">
                  <c:v>54.014958700889792</c:v>
                </c:pt>
                <c:pt idx="174">
                  <c:v>53.670885927601717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3D9-4F69-A4E8-88A9E1562596}"/>
            </c:ext>
          </c:extLst>
        </c:ser>
        <c:ser>
          <c:idx val="11"/>
          <c:order val="11"/>
          <c:tx>
            <c:strRef>
              <c:f>data_co2_incLUC!$O$2</c:f>
              <c:strCache>
                <c:ptCount val="1"/>
                <c:pt idx="0">
                  <c:v>pct_annex1_GCP_BLUE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data_co2_incLUC!$O$3:$O$177</c:f>
              <c:numCache>
                <c:formatCode>0.0</c:formatCode>
                <c:ptCount val="175"/>
                <c:pt idx="0">
                  <c:v>57.666672263906364</c:v>
                </c:pt>
                <c:pt idx="1">
                  <c:v>57.336730899342861</c:v>
                </c:pt>
                <c:pt idx="2">
                  <c:v>57.215136651428608</c:v>
                </c:pt>
                <c:pt idx="3">
                  <c:v>57.136671399079674</c:v>
                </c:pt>
                <c:pt idx="4">
                  <c:v>57.309877809208089</c:v>
                </c:pt>
                <c:pt idx="5">
                  <c:v>57.350301043521334</c:v>
                </c:pt>
                <c:pt idx="6">
                  <c:v>57.414718495410952</c:v>
                </c:pt>
                <c:pt idx="7">
                  <c:v>57.482084015313148</c:v>
                </c:pt>
                <c:pt idx="8">
                  <c:v>57.571895186105095</c:v>
                </c:pt>
                <c:pt idx="9">
                  <c:v>57.67842853847084</c:v>
                </c:pt>
                <c:pt idx="10">
                  <c:v>58.040220812724307</c:v>
                </c:pt>
                <c:pt idx="11">
                  <c:v>58.424398011308455</c:v>
                </c:pt>
                <c:pt idx="12">
                  <c:v>58.864968358684713</c:v>
                </c:pt>
                <c:pt idx="13">
                  <c:v>59.29549719353767</c:v>
                </c:pt>
                <c:pt idx="14">
                  <c:v>59.707323244344998</c:v>
                </c:pt>
                <c:pt idx="15">
                  <c:v>60.104736280853544</c:v>
                </c:pt>
                <c:pt idx="16">
                  <c:v>60.498824111520676</c:v>
                </c:pt>
                <c:pt idx="17">
                  <c:v>60.865615094004731</c:v>
                </c:pt>
                <c:pt idx="18">
                  <c:v>61.222409986197455</c:v>
                </c:pt>
                <c:pt idx="19">
                  <c:v>61.549218562815732</c:v>
                </c:pt>
                <c:pt idx="20">
                  <c:v>62.001843428927742</c:v>
                </c:pt>
                <c:pt idx="21">
                  <c:v>62.477366594795193</c:v>
                </c:pt>
                <c:pt idx="22">
                  <c:v>62.940740412078597</c:v>
                </c:pt>
                <c:pt idx="23">
                  <c:v>63.405691179404556</c:v>
                </c:pt>
                <c:pt idx="24">
                  <c:v>63.844461345349565</c:v>
                </c:pt>
                <c:pt idx="25">
                  <c:v>64.279005497636703</c:v>
                </c:pt>
                <c:pt idx="26">
                  <c:v>64.69944988580329</c:v>
                </c:pt>
                <c:pt idx="27">
                  <c:v>65.091632349546742</c:v>
                </c:pt>
                <c:pt idx="28">
                  <c:v>65.472813939041458</c:v>
                </c:pt>
                <c:pt idx="29">
                  <c:v>65.858511793527924</c:v>
                </c:pt>
                <c:pt idx="30">
                  <c:v>66.136481485131469</c:v>
                </c:pt>
                <c:pt idx="31">
                  <c:v>66.347477940264412</c:v>
                </c:pt>
                <c:pt idx="32">
                  <c:v>66.531369525169509</c:v>
                </c:pt>
                <c:pt idx="33">
                  <c:v>66.708235435736299</c:v>
                </c:pt>
                <c:pt idx="34">
                  <c:v>66.871365736438719</c:v>
                </c:pt>
                <c:pt idx="35">
                  <c:v>67.016908823331818</c:v>
                </c:pt>
                <c:pt idx="36">
                  <c:v>67.146154756498746</c:v>
                </c:pt>
                <c:pt idx="37">
                  <c:v>67.264001519943804</c:v>
                </c:pt>
                <c:pt idx="38">
                  <c:v>67.400433248802656</c:v>
                </c:pt>
                <c:pt idx="39">
                  <c:v>67.507633635846204</c:v>
                </c:pt>
                <c:pt idx="40">
                  <c:v>67.637810802593705</c:v>
                </c:pt>
                <c:pt idx="41">
                  <c:v>67.764612860456836</c:v>
                </c:pt>
                <c:pt idx="42">
                  <c:v>67.897712998642191</c:v>
                </c:pt>
                <c:pt idx="43">
                  <c:v>68.025178305494805</c:v>
                </c:pt>
                <c:pt idx="44">
                  <c:v>68.152951147325453</c:v>
                </c:pt>
                <c:pt idx="45">
                  <c:v>68.278566070968054</c:v>
                </c:pt>
                <c:pt idx="46">
                  <c:v>68.408184749496087</c:v>
                </c:pt>
                <c:pt idx="47">
                  <c:v>68.533981676744347</c:v>
                </c:pt>
                <c:pt idx="48">
                  <c:v>68.674599604332201</c:v>
                </c:pt>
                <c:pt idx="49">
                  <c:v>68.825511549876367</c:v>
                </c:pt>
                <c:pt idx="50">
                  <c:v>68.979364776563912</c:v>
                </c:pt>
                <c:pt idx="51">
                  <c:v>69.107887742307895</c:v>
                </c:pt>
                <c:pt idx="52">
                  <c:v>69.228905233998304</c:v>
                </c:pt>
                <c:pt idx="53">
                  <c:v>69.365784592303328</c:v>
                </c:pt>
                <c:pt idx="54">
                  <c:v>69.494318738973476</c:v>
                </c:pt>
                <c:pt idx="55">
                  <c:v>69.638656845493458</c:v>
                </c:pt>
                <c:pt idx="56">
                  <c:v>69.773745858791543</c:v>
                </c:pt>
                <c:pt idx="57">
                  <c:v>69.941193767967306</c:v>
                </c:pt>
                <c:pt idx="58">
                  <c:v>70.090483099079464</c:v>
                </c:pt>
                <c:pt idx="59">
                  <c:v>70.242428702930653</c:v>
                </c:pt>
                <c:pt idx="60">
                  <c:v>70.315223912317521</c:v>
                </c:pt>
                <c:pt idx="61">
                  <c:v>70.356698986514502</c:v>
                </c:pt>
                <c:pt idx="62">
                  <c:v>70.396474507012755</c:v>
                </c:pt>
                <c:pt idx="63">
                  <c:v>70.432583205717236</c:v>
                </c:pt>
                <c:pt idx="64">
                  <c:v>70.425128252936403</c:v>
                </c:pt>
                <c:pt idx="65">
                  <c:v>70.401083222970229</c:v>
                </c:pt>
                <c:pt idx="66">
                  <c:v>70.393988622790715</c:v>
                </c:pt>
                <c:pt idx="67">
                  <c:v>70.384782704018434</c:v>
                </c:pt>
                <c:pt idx="68">
                  <c:v>70.363730360204528</c:v>
                </c:pt>
                <c:pt idx="69">
                  <c:v>70.296109754302961</c:v>
                </c:pt>
                <c:pt idx="70">
                  <c:v>70.206247328177241</c:v>
                </c:pt>
                <c:pt idx="71">
                  <c:v>70.064214916976823</c:v>
                </c:pt>
                <c:pt idx="72">
                  <c:v>69.925151662423232</c:v>
                </c:pt>
                <c:pt idx="73">
                  <c:v>69.800273142426278</c:v>
                </c:pt>
                <c:pt idx="74">
                  <c:v>69.665345934230572</c:v>
                </c:pt>
                <c:pt idx="75">
                  <c:v>69.536977158317328</c:v>
                </c:pt>
                <c:pt idx="76">
                  <c:v>69.403901867963185</c:v>
                </c:pt>
                <c:pt idx="77">
                  <c:v>69.288930920988363</c:v>
                </c:pt>
                <c:pt idx="78">
                  <c:v>69.165962577576494</c:v>
                </c:pt>
                <c:pt idx="79">
                  <c:v>69.063238321629569</c:v>
                </c:pt>
                <c:pt idx="80">
                  <c:v>68.947972970102413</c:v>
                </c:pt>
                <c:pt idx="81">
                  <c:v>68.809699436419621</c:v>
                </c:pt>
                <c:pt idx="82">
                  <c:v>68.64983247501047</c:v>
                </c:pt>
                <c:pt idx="83">
                  <c:v>68.499472421562999</c:v>
                </c:pt>
                <c:pt idx="84">
                  <c:v>68.359396181261999</c:v>
                </c:pt>
                <c:pt idx="85">
                  <c:v>68.234695137911089</c:v>
                </c:pt>
                <c:pt idx="86">
                  <c:v>68.12477020464253</c:v>
                </c:pt>
                <c:pt idx="87">
                  <c:v>68.023773159539431</c:v>
                </c:pt>
                <c:pt idx="88">
                  <c:v>67.911621713213606</c:v>
                </c:pt>
                <c:pt idx="89">
                  <c:v>67.809927539131976</c:v>
                </c:pt>
                <c:pt idx="90">
                  <c:v>67.64214747820246</c:v>
                </c:pt>
                <c:pt idx="91">
                  <c:v>67.440470108715573</c:v>
                </c:pt>
                <c:pt idx="92">
                  <c:v>67.222743787954158</c:v>
                </c:pt>
                <c:pt idx="93">
                  <c:v>66.998047721619287</c:v>
                </c:pt>
                <c:pt idx="94">
                  <c:v>66.766939782661993</c:v>
                </c:pt>
                <c:pt idx="95">
                  <c:v>66.495367362536186</c:v>
                </c:pt>
                <c:pt idx="96">
                  <c:v>66.23324153513245</c:v>
                </c:pt>
                <c:pt idx="97">
                  <c:v>65.988243466846512</c:v>
                </c:pt>
                <c:pt idx="98">
                  <c:v>65.756669526853813</c:v>
                </c:pt>
                <c:pt idx="99">
                  <c:v>65.508205983106578</c:v>
                </c:pt>
                <c:pt idx="100">
                  <c:v>65.211532022769106</c:v>
                </c:pt>
                <c:pt idx="101">
                  <c:v>64.892200253186516</c:v>
                </c:pt>
                <c:pt idx="102">
                  <c:v>64.587110870878632</c:v>
                </c:pt>
                <c:pt idx="103">
                  <c:v>64.29442742115161</c:v>
                </c:pt>
                <c:pt idx="104">
                  <c:v>63.972730143879716</c:v>
                </c:pt>
                <c:pt idx="105">
                  <c:v>63.670501281718828</c:v>
                </c:pt>
                <c:pt idx="106">
                  <c:v>63.389144396860395</c:v>
                </c:pt>
                <c:pt idx="107">
                  <c:v>63.105436006182622</c:v>
                </c:pt>
                <c:pt idx="108">
                  <c:v>62.81670831561685</c:v>
                </c:pt>
                <c:pt idx="109">
                  <c:v>62.53326965059707</c:v>
                </c:pt>
                <c:pt idx="110">
                  <c:v>62.320581256071442</c:v>
                </c:pt>
                <c:pt idx="111">
                  <c:v>62.118454274648428</c:v>
                </c:pt>
                <c:pt idx="112">
                  <c:v>61.947080209512194</c:v>
                </c:pt>
                <c:pt idx="113">
                  <c:v>61.794295020423625</c:v>
                </c:pt>
                <c:pt idx="114">
                  <c:v>61.677138983958315</c:v>
                </c:pt>
                <c:pt idx="115">
                  <c:v>61.581644018920457</c:v>
                </c:pt>
                <c:pt idx="116">
                  <c:v>61.512374642109577</c:v>
                </c:pt>
                <c:pt idx="117">
                  <c:v>61.496632767428025</c:v>
                </c:pt>
                <c:pt idx="118">
                  <c:v>61.509950281789571</c:v>
                </c:pt>
                <c:pt idx="119">
                  <c:v>61.434331864481173</c:v>
                </c:pt>
                <c:pt idx="120">
                  <c:v>61.385248004986579</c:v>
                </c:pt>
                <c:pt idx="121">
                  <c:v>61.344070948366792</c:v>
                </c:pt>
                <c:pt idx="122">
                  <c:v>61.262851643156544</c:v>
                </c:pt>
                <c:pt idx="123">
                  <c:v>61.208260625230892</c:v>
                </c:pt>
                <c:pt idx="124">
                  <c:v>61.146018909826196</c:v>
                </c:pt>
                <c:pt idx="125">
                  <c:v>61.084537729585662</c:v>
                </c:pt>
                <c:pt idx="126">
                  <c:v>61.043192393892923</c:v>
                </c:pt>
                <c:pt idx="127">
                  <c:v>60.972679893131101</c:v>
                </c:pt>
                <c:pt idx="128">
                  <c:v>60.897534109590666</c:v>
                </c:pt>
                <c:pt idx="129">
                  <c:v>60.8631568822505</c:v>
                </c:pt>
                <c:pt idx="130">
                  <c:v>60.827038883712866</c:v>
                </c:pt>
                <c:pt idx="131">
                  <c:v>60.773246761569666</c:v>
                </c:pt>
                <c:pt idx="132">
                  <c:v>60.71818294445719</c:v>
                </c:pt>
                <c:pt idx="133">
                  <c:v>60.650242017940535</c:v>
                </c:pt>
                <c:pt idx="134">
                  <c:v>60.545441766597129</c:v>
                </c:pt>
                <c:pt idx="135">
                  <c:v>60.423229579760104</c:v>
                </c:pt>
                <c:pt idx="136">
                  <c:v>60.280651822419188</c:v>
                </c:pt>
                <c:pt idx="137">
                  <c:v>60.160357500431097</c:v>
                </c:pt>
                <c:pt idx="138">
                  <c:v>60.052519438888197</c:v>
                </c:pt>
                <c:pt idx="139">
                  <c:v>59.951340478461432</c:v>
                </c:pt>
                <c:pt idx="140">
                  <c:v>59.879088360342024</c:v>
                </c:pt>
                <c:pt idx="141">
                  <c:v>59.793654918062913</c:v>
                </c:pt>
                <c:pt idx="142">
                  <c:v>59.668961072705869</c:v>
                </c:pt>
                <c:pt idx="143">
                  <c:v>59.539705524680201</c:v>
                </c:pt>
                <c:pt idx="144">
                  <c:v>59.35282283662724</c:v>
                </c:pt>
                <c:pt idx="145">
                  <c:v>59.174772814789463</c:v>
                </c:pt>
                <c:pt idx="146">
                  <c:v>59.011602885078887</c:v>
                </c:pt>
                <c:pt idx="147">
                  <c:v>58.770144775718613</c:v>
                </c:pt>
                <c:pt idx="148">
                  <c:v>58.580516335553014</c:v>
                </c:pt>
                <c:pt idx="149">
                  <c:v>58.395110433995868</c:v>
                </c:pt>
                <c:pt idx="150">
                  <c:v>58.22081840938074</c:v>
                </c:pt>
                <c:pt idx="151">
                  <c:v>58.059566464701362</c:v>
                </c:pt>
                <c:pt idx="152">
                  <c:v>57.865176833628681</c:v>
                </c:pt>
                <c:pt idx="153">
                  <c:v>57.626200180459897</c:v>
                </c:pt>
                <c:pt idx="154">
                  <c:v>57.400164769813458</c:v>
                </c:pt>
                <c:pt idx="155">
                  <c:v>57.176724162667803</c:v>
                </c:pt>
                <c:pt idx="156">
                  <c:v>56.913629982891209</c:v>
                </c:pt>
                <c:pt idx="157">
                  <c:v>56.663468227858282</c:v>
                </c:pt>
                <c:pt idx="158">
                  <c:v>56.389866330902592</c:v>
                </c:pt>
                <c:pt idx="159">
                  <c:v>56.07458635298601</c:v>
                </c:pt>
                <c:pt idx="160">
                  <c:v>55.774812512537707</c:v>
                </c:pt>
                <c:pt idx="161">
                  <c:v>55.43012146669578</c:v>
                </c:pt>
                <c:pt idx="162">
                  <c:v>55.081162963820461</c:v>
                </c:pt>
                <c:pt idx="163">
                  <c:v>54.734042497404978</c:v>
                </c:pt>
                <c:pt idx="164">
                  <c:v>54.378328224765539</c:v>
                </c:pt>
                <c:pt idx="165">
                  <c:v>54.038749649970043</c:v>
                </c:pt>
                <c:pt idx="166">
                  <c:v>53.731701710892324</c:v>
                </c:pt>
                <c:pt idx="167">
                  <c:v>53.425578585731216</c:v>
                </c:pt>
                <c:pt idx="168">
                  <c:v>53.122708088148244</c:v>
                </c:pt>
                <c:pt idx="169">
                  <c:v>52.804664183814097</c:v>
                </c:pt>
                <c:pt idx="170">
                  <c:v>52.493111056135035</c:v>
                </c:pt>
                <c:pt idx="171">
                  <c:v>52.184661357664943</c:v>
                </c:pt>
                <c:pt idx="172">
                  <c:v>51.868639846088605</c:v>
                </c:pt>
                <c:pt idx="173">
                  <c:v>51.542665749674157</c:v>
                </c:pt>
                <c:pt idx="174">
                  <c:v>51.219936102049566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3D9-4F69-A4E8-88A9E1562596}"/>
            </c:ext>
          </c:extLst>
        </c:ser>
        <c:ser>
          <c:idx val="12"/>
          <c:order val="12"/>
          <c:tx>
            <c:strRef>
              <c:f>data_co2_incLUC!$P$2</c:f>
              <c:strCache>
                <c:ptCount val="1"/>
                <c:pt idx="0">
                  <c:v>pct_annex1_GCP_OSCAR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data_co2_incLUC!$P$3:$P$177</c:f>
              <c:numCache>
                <c:formatCode>0.0</c:formatCode>
                <c:ptCount val="175"/>
                <c:pt idx="0">
                  <c:v>59.671170314311325</c:v>
                </c:pt>
                <c:pt idx="1">
                  <c:v>59.437390200827977</c:v>
                </c:pt>
                <c:pt idx="2">
                  <c:v>59.434788211682978</c:v>
                </c:pt>
                <c:pt idx="3">
                  <c:v>59.489614379039857</c:v>
                </c:pt>
                <c:pt idx="4">
                  <c:v>59.758770437792016</c:v>
                </c:pt>
                <c:pt idx="5">
                  <c:v>59.909754125197509</c:v>
                </c:pt>
                <c:pt idx="6">
                  <c:v>60.024244129975202</c:v>
                </c:pt>
                <c:pt idx="7">
                  <c:v>60.102252826995318</c:v>
                </c:pt>
                <c:pt idx="8">
                  <c:v>60.235437732932631</c:v>
                </c:pt>
                <c:pt idx="9">
                  <c:v>60.397481123381844</c:v>
                </c:pt>
                <c:pt idx="10">
                  <c:v>60.602900313496868</c:v>
                </c:pt>
                <c:pt idx="11">
                  <c:v>60.801442389305492</c:v>
                </c:pt>
                <c:pt idx="12">
                  <c:v>61.017970068120299</c:v>
                </c:pt>
                <c:pt idx="13">
                  <c:v>61.234976183795197</c:v>
                </c:pt>
                <c:pt idx="14">
                  <c:v>61.473765958593873</c:v>
                </c:pt>
                <c:pt idx="15">
                  <c:v>61.706803058163651</c:v>
                </c:pt>
                <c:pt idx="16">
                  <c:v>61.962201438066089</c:v>
                </c:pt>
                <c:pt idx="17">
                  <c:v>62.200834798226822</c:v>
                </c:pt>
                <c:pt idx="18">
                  <c:v>62.45073319013278</c:v>
                </c:pt>
                <c:pt idx="19">
                  <c:v>62.678604066412746</c:v>
                </c:pt>
                <c:pt idx="20">
                  <c:v>62.963351823763645</c:v>
                </c:pt>
                <c:pt idx="21">
                  <c:v>63.271680858179366</c:v>
                </c:pt>
                <c:pt idx="22">
                  <c:v>63.589972220818211</c:v>
                </c:pt>
                <c:pt idx="23">
                  <c:v>63.92415471315028</c:v>
                </c:pt>
                <c:pt idx="24">
                  <c:v>64.232192559930184</c:v>
                </c:pt>
                <c:pt idx="25">
                  <c:v>64.543142596507735</c:v>
                </c:pt>
                <c:pt idx="26">
                  <c:v>64.83896567337905</c:v>
                </c:pt>
                <c:pt idx="27">
                  <c:v>65.118966380813788</c:v>
                </c:pt>
                <c:pt idx="28">
                  <c:v>65.393065077197903</c:v>
                </c:pt>
                <c:pt idx="29">
                  <c:v>65.679931324041902</c:v>
                </c:pt>
                <c:pt idx="30">
                  <c:v>65.943058790336934</c:v>
                </c:pt>
                <c:pt idx="31">
                  <c:v>66.130727871820298</c:v>
                </c:pt>
                <c:pt idx="32">
                  <c:v>66.308038079849268</c:v>
                </c:pt>
                <c:pt idx="33">
                  <c:v>66.485728988679568</c:v>
                </c:pt>
                <c:pt idx="34">
                  <c:v>66.654989627553789</c:v>
                </c:pt>
                <c:pt idx="35">
                  <c:v>66.809437640477086</c:v>
                </c:pt>
                <c:pt idx="36">
                  <c:v>66.941744562250662</c:v>
                </c:pt>
                <c:pt idx="37">
                  <c:v>67.065350227039005</c:v>
                </c:pt>
                <c:pt idx="38">
                  <c:v>67.206553774170928</c:v>
                </c:pt>
                <c:pt idx="39">
                  <c:v>67.315740198431754</c:v>
                </c:pt>
                <c:pt idx="40">
                  <c:v>67.439678511936435</c:v>
                </c:pt>
                <c:pt idx="41">
                  <c:v>67.566974381515095</c:v>
                </c:pt>
                <c:pt idx="42">
                  <c:v>67.701143725318275</c:v>
                </c:pt>
                <c:pt idx="43">
                  <c:v>67.814600623814897</c:v>
                </c:pt>
                <c:pt idx="44">
                  <c:v>67.934276368513068</c:v>
                </c:pt>
                <c:pt idx="45">
                  <c:v>68.050343254230924</c:v>
                </c:pt>
                <c:pt idx="46">
                  <c:v>68.165828208357155</c:v>
                </c:pt>
                <c:pt idx="47">
                  <c:v>68.279973274084526</c:v>
                </c:pt>
                <c:pt idx="48">
                  <c:v>68.406377094041702</c:v>
                </c:pt>
                <c:pt idx="49">
                  <c:v>68.545574996891546</c:v>
                </c:pt>
                <c:pt idx="50">
                  <c:v>68.688804341234217</c:v>
                </c:pt>
                <c:pt idx="51">
                  <c:v>68.807456856011655</c:v>
                </c:pt>
                <c:pt idx="52">
                  <c:v>68.921096862063109</c:v>
                </c:pt>
                <c:pt idx="53">
                  <c:v>69.044976616778172</c:v>
                </c:pt>
                <c:pt idx="54">
                  <c:v>69.140635737673207</c:v>
                </c:pt>
                <c:pt idx="55">
                  <c:v>69.263027856239276</c:v>
                </c:pt>
                <c:pt idx="56">
                  <c:v>69.371076035591258</c:v>
                </c:pt>
                <c:pt idx="57">
                  <c:v>69.519683567074381</c:v>
                </c:pt>
                <c:pt idx="58">
                  <c:v>69.633023366204071</c:v>
                </c:pt>
                <c:pt idx="59">
                  <c:v>69.7411729805021</c:v>
                </c:pt>
                <c:pt idx="60">
                  <c:v>69.81280082402958</c:v>
                </c:pt>
                <c:pt idx="61">
                  <c:v>69.858215973479773</c:v>
                </c:pt>
                <c:pt idx="62">
                  <c:v>69.915140182866892</c:v>
                </c:pt>
                <c:pt idx="63">
                  <c:v>69.968741788949671</c:v>
                </c:pt>
                <c:pt idx="64">
                  <c:v>69.975656967251197</c:v>
                </c:pt>
                <c:pt idx="65">
                  <c:v>69.961911026868293</c:v>
                </c:pt>
                <c:pt idx="66">
                  <c:v>69.965587790847877</c:v>
                </c:pt>
                <c:pt idx="67">
                  <c:v>69.956428912263007</c:v>
                </c:pt>
                <c:pt idx="68">
                  <c:v>69.941260177498705</c:v>
                </c:pt>
                <c:pt idx="69">
                  <c:v>69.865946377665836</c:v>
                </c:pt>
                <c:pt idx="70">
                  <c:v>69.816847965538358</c:v>
                </c:pt>
                <c:pt idx="71">
                  <c:v>69.712328887642457</c:v>
                </c:pt>
                <c:pt idx="72">
                  <c:v>69.62338788901738</c:v>
                </c:pt>
                <c:pt idx="73">
                  <c:v>69.557698397905128</c:v>
                </c:pt>
                <c:pt idx="74">
                  <c:v>69.479441140563537</c:v>
                </c:pt>
                <c:pt idx="75">
                  <c:v>69.405570505193268</c:v>
                </c:pt>
                <c:pt idx="76">
                  <c:v>69.328654070599327</c:v>
                </c:pt>
                <c:pt idx="77">
                  <c:v>69.272872678074918</c:v>
                </c:pt>
                <c:pt idx="78">
                  <c:v>69.206527774052589</c:v>
                </c:pt>
                <c:pt idx="79">
                  <c:v>69.163165213760166</c:v>
                </c:pt>
                <c:pt idx="80">
                  <c:v>69.098733599245165</c:v>
                </c:pt>
                <c:pt idx="81">
                  <c:v>69.008365160693344</c:v>
                </c:pt>
                <c:pt idx="82">
                  <c:v>68.881236544046658</c:v>
                </c:pt>
                <c:pt idx="83">
                  <c:v>68.765996156009294</c:v>
                </c:pt>
                <c:pt idx="84">
                  <c:v>68.656390459990476</c:v>
                </c:pt>
                <c:pt idx="85">
                  <c:v>68.565113730226074</c:v>
                </c:pt>
                <c:pt idx="86">
                  <c:v>68.489192461717863</c:v>
                </c:pt>
                <c:pt idx="87">
                  <c:v>68.422968270571644</c:v>
                </c:pt>
                <c:pt idx="88">
                  <c:v>68.335880881851295</c:v>
                </c:pt>
                <c:pt idx="89">
                  <c:v>68.258510954456455</c:v>
                </c:pt>
                <c:pt idx="90">
                  <c:v>68.175371995810352</c:v>
                </c:pt>
                <c:pt idx="91">
                  <c:v>68.073364757037808</c:v>
                </c:pt>
                <c:pt idx="92">
                  <c:v>67.965023861705959</c:v>
                </c:pt>
                <c:pt idx="93">
                  <c:v>67.856743342781925</c:v>
                </c:pt>
                <c:pt idx="94">
                  <c:v>67.744015573053332</c:v>
                </c:pt>
                <c:pt idx="95">
                  <c:v>67.585265031955231</c:v>
                </c:pt>
                <c:pt idx="96">
                  <c:v>67.441191350803891</c:v>
                </c:pt>
                <c:pt idx="97">
                  <c:v>67.316974147618879</c:v>
                </c:pt>
                <c:pt idx="98">
                  <c:v>67.20815913431008</c:v>
                </c:pt>
                <c:pt idx="99">
                  <c:v>67.08049975194912</c:v>
                </c:pt>
                <c:pt idx="100">
                  <c:v>66.934397682806036</c:v>
                </c:pt>
                <c:pt idx="101">
                  <c:v>66.764093370479941</c:v>
                </c:pt>
                <c:pt idx="102">
                  <c:v>66.592194728499038</c:v>
                </c:pt>
                <c:pt idx="103">
                  <c:v>66.425715562709158</c:v>
                </c:pt>
                <c:pt idx="104">
                  <c:v>66.243626736150233</c:v>
                </c:pt>
                <c:pt idx="105">
                  <c:v>66.066384213096271</c:v>
                </c:pt>
                <c:pt idx="106">
                  <c:v>65.89790643067623</c:v>
                </c:pt>
                <c:pt idx="107">
                  <c:v>65.721141411877667</c:v>
                </c:pt>
                <c:pt idx="108">
                  <c:v>65.516281950342247</c:v>
                </c:pt>
                <c:pt idx="109">
                  <c:v>65.289058337851984</c:v>
                </c:pt>
                <c:pt idx="110">
                  <c:v>65.093325832346736</c:v>
                </c:pt>
                <c:pt idx="111">
                  <c:v>64.925100611170294</c:v>
                </c:pt>
                <c:pt idx="112">
                  <c:v>64.78232384507659</c:v>
                </c:pt>
                <c:pt idx="113">
                  <c:v>64.658501198609059</c:v>
                </c:pt>
                <c:pt idx="114">
                  <c:v>64.552940012441653</c:v>
                </c:pt>
                <c:pt idx="115">
                  <c:v>64.469870530981567</c:v>
                </c:pt>
                <c:pt idx="116">
                  <c:v>64.405406566210587</c:v>
                </c:pt>
                <c:pt idx="117">
                  <c:v>64.372222676633584</c:v>
                </c:pt>
                <c:pt idx="118">
                  <c:v>64.354008854759286</c:v>
                </c:pt>
                <c:pt idx="119">
                  <c:v>64.314636942304531</c:v>
                </c:pt>
                <c:pt idx="120">
                  <c:v>64.258026980267303</c:v>
                </c:pt>
                <c:pt idx="121">
                  <c:v>64.210186514336002</c:v>
                </c:pt>
                <c:pt idx="122">
                  <c:v>64.16875376661919</c:v>
                </c:pt>
                <c:pt idx="123">
                  <c:v>64.129574616225753</c:v>
                </c:pt>
                <c:pt idx="124">
                  <c:v>64.077362505134445</c:v>
                </c:pt>
                <c:pt idx="125">
                  <c:v>64.004331807110006</c:v>
                </c:pt>
                <c:pt idx="126">
                  <c:v>63.941207398590926</c:v>
                </c:pt>
                <c:pt idx="127">
                  <c:v>63.868267111952015</c:v>
                </c:pt>
                <c:pt idx="128">
                  <c:v>63.785914505107456</c:v>
                </c:pt>
                <c:pt idx="129">
                  <c:v>63.717600298898923</c:v>
                </c:pt>
                <c:pt idx="130">
                  <c:v>63.653781467671386</c:v>
                </c:pt>
                <c:pt idx="131">
                  <c:v>63.572969899524189</c:v>
                </c:pt>
                <c:pt idx="132">
                  <c:v>63.477696563762478</c:v>
                </c:pt>
                <c:pt idx="133">
                  <c:v>63.365031503869453</c:v>
                </c:pt>
                <c:pt idx="134">
                  <c:v>63.237626545056379</c:v>
                </c:pt>
                <c:pt idx="135">
                  <c:v>63.09084793501485</c:v>
                </c:pt>
                <c:pt idx="136">
                  <c:v>62.925409452746763</c:v>
                </c:pt>
                <c:pt idx="137">
                  <c:v>62.768085990438614</c:v>
                </c:pt>
                <c:pt idx="138">
                  <c:v>62.609865472603012</c:v>
                </c:pt>
                <c:pt idx="139">
                  <c:v>62.454378238503693</c:v>
                </c:pt>
                <c:pt idx="140">
                  <c:v>62.322377419561789</c:v>
                </c:pt>
                <c:pt idx="141">
                  <c:v>62.176612107923326</c:v>
                </c:pt>
                <c:pt idx="142">
                  <c:v>62.00863483131841</c:v>
                </c:pt>
                <c:pt idx="143">
                  <c:v>61.822644692759944</c:v>
                </c:pt>
                <c:pt idx="144">
                  <c:v>61.604839431284589</c:v>
                </c:pt>
                <c:pt idx="145">
                  <c:v>61.378064678103286</c:v>
                </c:pt>
                <c:pt idx="146">
                  <c:v>61.159207990036343</c:v>
                </c:pt>
                <c:pt idx="147">
                  <c:v>60.855928565248362</c:v>
                </c:pt>
                <c:pt idx="148">
                  <c:v>60.633294585943155</c:v>
                </c:pt>
                <c:pt idx="149">
                  <c:v>60.40024386658601</c:v>
                </c:pt>
                <c:pt idx="150">
                  <c:v>60.180530406090249</c:v>
                </c:pt>
                <c:pt idx="151">
                  <c:v>59.97094746678475</c:v>
                </c:pt>
                <c:pt idx="152">
                  <c:v>59.739599589008606</c:v>
                </c:pt>
                <c:pt idx="153">
                  <c:v>59.482825227972732</c:v>
                </c:pt>
                <c:pt idx="154">
                  <c:v>59.217599502797981</c:v>
                </c:pt>
                <c:pt idx="155">
                  <c:v>58.950538292752576</c:v>
                </c:pt>
                <c:pt idx="156">
                  <c:v>58.646860642469598</c:v>
                </c:pt>
                <c:pt idx="157">
                  <c:v>58.352412125252847</c:v>
                </c:pt>
                <c:pt idx="158">
                  <c:v>58.026807831140779</c:v>
                </c:pt>
                <c:pt idx="159">
                  <c:v>57.665688196583773</c:v>
                </c:pt>
                <c:pt idx="160">
                  <c:v>57.298086078507836</c:v>
                </c:pt>
                <c:pt idx="161">
                  <c:v>56.895992141283834</c:v>
                </c:pt>
                <c:pt idx="162">
                  <c:v>56.495268699056453</c:v>
                </c:pt>
                <c:pt idx="163">
                  <c:v>56.098859820562062</c:v>
                </c:pt>
                <c:pt idx="164">
                  <c:v>55.694221931482922</c:v>
                </c:pt>
                <c:pt idx="165">
                  <c:v>55.296878749771949</c:v>
                </c:pt>
                <c:pt idx="166">
                  <c:v>54.935577368043134</c:v>
                </c:pt>
                <c:pt idx="167">
                  <c:v>54.57655493753979</c:v>
                </c:pt>
                <c:pt idx="168">
                  <c:v>54.218065114452926</c:v>
                </c:pt>
                <c:pt idx="169">
                  <c:v>53.847608575862061</c:v>
                </c:pt>
                <c:pt idx="170">
                  <c:v>53.485071053780686</c:v>
                </c:pt>
                <c:pt idx="171">
                  <c:v>53.124497141202355</c:v>
                </c:pt>
                <c:pt idx="172">
                  <c:v>52.75710156323791</c:v>
                </c:pt>
                <c:pt idx="173">
                  <c:v>52.379741681117899</c:v>
                </c:pt>
                <c:pt idx="174">
                  <c:v>52.00917706374404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3D9-4F69-A4E8-88A9E1562596}"/>
            </c:ext>
          </c:extLst>
        </c:ser>
        <c:ser>
          <c:idx val="13"/>
          <c:order val="13"/>
          <c:tx>
            <c:strRef>
              <c:f>data_co2_incLUC!$R$2</c:f>
              <c:strCache>
                <c:ptCount val="1"/>
                <c:pt idx="0">
                  <c:v>Annex II GMST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data_co2_incLUC!$R$3:$R$177</c:f>
              <c:numCache>
                <c:formatCode>0.0</c:formatCode>
                <c:ptCount val="175"/>
                <c:pt idx="1">
                  <c:v>39.363</c:v>
                </c:pt>
                <c:pt idx="2">
                  <c:v>39.115000000000002</c:v>
                </c:pt>
                <c:pt idx="3">
                  <c:v>39.42</c:v>
                </c:pt>
                <c:pt idx="4">
                  <c:v>39.814</c:v>
                </c:pt>
                <c:pt idx="5">
                  <c:v>40</c:v>
                </c:pt>
                <c:pt idx="6">
                  <c:v>40.182000000000002</c:v>
                </c:pt>
                <c:pt idx="7">
                  <c:v>40.317</c:v>
                </c:pt>
                <c:pt idx="8">
                  <c:v>40.482999999999997</c:v>
                </c:pt>
                <c:pt idx="9">
                  <c:v>40.677999999999997</c:v>
                </c:pt>
                <c:pt idx="10">
                  <c:v>41.024999999999999</c:v>
                </c:pt>
                <c:pt idx="11">
                  <c:v>41.298000000000002</c:v>
                </c:pt>
                <c:pt idx="12">
                  <c:v>41.613999999999997</c:v>
                </c:pt>
                <c:pt idx="13">
                  <c:v>41.948</c:v>
                </c:pt>
                <c:pt idx="14">
                  <c:v>42.207000000000001</c:v>
                </c:pt>
                <c:pt idx="15">
                  <c:v>42.478999999999999</c:v>
                </c:pt>
                <c:pt idx="16">
                  <c:v>42.697000000000003</c:v>
                </c:pt>
                <c:pt idx="17">
                  <c:v>42.984999999999999</c:v>
                </c:pt>
                <c:pt idx="18">
                  <c:v>43.241</c:v>
                </c:pt>
                <c:pt idx="19">
                  <c:v>43.47</c:v>
                </c:pt>
                <c:pt idx="20">
                  <c:v>43.816000000000003</c:v>
                </c:pt>
                <c:pt idx="21">
                  <c:v>44.256999999999998</c:v>
                </c:pt>
                <c:pt idx="22">
                  <c:v>44.683</c:v>
                </c:pt>
                <c:pt idx="23">
                  <c:v>45.155999999999999</c:v>
                </c:pt>
                <c:pt idx="24">
                  <c:v>45.563000000000002</c:v>
                </c:pt>
                <c:pt idx="25">
                  <c:v>46</c:v>
                </c:pt>
                <c:pt idx="26">
                  <c:v>46.408999999999999</c:v>
                </c:pt>
                <c:pt idx="27">
                  <c:v>46.798999999999999</c:v>
                </c:pt>
                <c:pt idx="28">
                  <c:v>47.170999999999999</c:v>
                </c:pt>
                <c:pt idx="29">
                  <c:v>47.554000000000002</c:v>
                </c:pt>
                <c:pt idx="30">
                  <c:v>47.848999999999997</c:v>
                </c:pt>
                <c:pt idx="31">
                  <c:v>48.069000000000003</c:v>
                </c:pt>
                <c:pt idx="32">
                  <c:v>48.273000000000003</c:v>
                </c:pt>
                <c:pt idx="33">
                  <c:v>48.478000000000002</c:v>
                </c:pt>
                <c:pt idx="34">
                  <c:v>48.655000000000001</c:v>
                </c:pt>
                <c:pt idx="35">
                  <c:v>48.8</c:v>
                </c:pt>
                <c:pt idx="36">
                  <c:v>48.941000000000003</c:v>
                </c:pt>
                <c:pt idx="37">
                  <c:v>49.091999999999999</c:v>
                </c:pt>
                <c:pt idx="38">
                  <c:v>49.262</c:v>
                </c:pt>
                <c:pt idx="39">
                  <c:v>49.387999999999998</c:v>
                </c:pt>
                <c:pt idx="40">
                  <c:v>49.502000000000002</c:v>
                </c:pt>
                <c:pt idx="41">
                  <c:v>49.613</c:v>
                </c:pt>
                <c:pt idx="42">
                  <c:v>49.722000000000001</c:v>
                </c:pt>
                <c:pt idx="43">
                  <c:v>49.822000000000003</c:v>
                </c:pt>
                <c:pt idx="44">
                  <c:v>49.908000000000001</c:v>
                </c:pt>
                <c:pt idx="45">
                  <c:v>50.008000000000003</c:v>
                </c:pt>
                <c:pt idx="46">
                  <c:v>50.113999999999997</c:v>
                </c:pt>
                <c:pt idx="47">
                  <c:v>50.216000000000001</c:v>
                </c:pt>
                <c:pt idx="48">
                  <c:v>50.33</c:v>
                </c:pt>
                <c:pt idx="49">
                  <c:v>50.469000000000001</c:v>
                </c:pt>
                <c:pt idx="50">
                  <c:v>50.604999999999997</c:v>
                </c:pt>
                <c:pt idx="51">
                  <c:v>50.698</c:v>
                </c:pt>
                <c:pt idx="52">
                  <c:v>50.79</c:v>
                </c:pt>
                <c:pt idx="53">
                  <c:v>50.9</c:v>
                </c:pt>
                <c:pt idx="54">
                  <c:v>50.994</c:v>
                </c:pt>
                <c:pt idx="55">
                  <c:v>51.103000000000002</c:v>
                </c:pt>
                <c:pt idx="56">
                  <c:v>51.2</c:v>
                </c:pt>
                <c:pt idx="57">
                  <c:v>51.341999999999999</c:v>
                </c:pt>
                <c:pt idx="58">
                  <c:v>51.442999999999998</c:v>
                </c:pt>
                <c:pt idx="59">
                  <c:v>51.545000000000002</c:v>
                </c:pt>
                <c:pt idx="60">
                  <c:v>51.685000000000002</c:v>
                </c:pt>
                <c:pt idx="61">
                  <c:v>51.82</c:v>
                </c:pt>
                <c:pt idx="62">
                  <c:v>51.960999999999999</c:v>
                </c:pt>
                <c:pt idx="63">
                  <c:v>52.128999999999998</c:v>
                </c:pt>
                <c:pt idx="64">
                  <c:v>52.256</c:v>
                </c:pt>
                <c:pt idx="65">
                  <c:v>52.374000000000002</c:v>
                </c:pt>
                <c:pt idx="66">
                  <c:v>52.508000000000003</c:v>
                </c:pt>
                <c:pt idx="67">
                  <c:v>52.658000000000001</c:v>
                </c:pt>
                <c:pt idx="68">
                  <c:v>52.831000000000003</c:v>
                </c:pt>
                <c:pt idx="69">
                  <c:v>52.954999999999998</c:v>
                </c:pt>
                <c:pt idx="70">
                  <c:v>53.054000000000002</c:v>
                </c:pt>
                <c:pt idx="71">
                  <c:v>53.069000000000003</c:v>
                </c:pt>
                <c:pt idx="72">
                  <c:v>53.094999999999999</c:v>
                </c:pt>
                <c:pt idx="73">
                  <c:v>53.146999999999998</c:v>
                </c:pt>
                <c:pt idx="74">
                  <c:v>53.195999999999998</c:v>
                </c:pt>
                <c:pt idx="75">
                  <c:v>53.231999999999999</c:v>
                </c:pt>
                <c:pt idx="76">
                  <c:v>53.247</c:v>
                </c:pt>
                <c:pt idx="77">
                  <c:v>53.28</c:v>
                </c:pt>
                <c:pt idx="78">
                  <c:v>53.295999999999999</c:v>
                </c:pt>
                <c:pt idx="79">
                  <c:v>53.320999999999998</c:v>
                </c:pt>
                <c:pt idx="80">
                  <c:v>53.28</c:v>
                </c:pt>
                <c:pt idx="81">
                  <c:v>53.182000000000002</c:v>
                </c:pt>
                <c:pt idx="82">
                  <c:v>53.036000000000001</c:v>
                </c:pt>
                <c:pt idx="83">
                  <c:v>52.902000000000001</c:v>
                </c:pt>
                <c:pt idx="84">
                  <c:v>52.776000000000003</c:v>
                </c:pt>
                <c:pt idx="85">
                  <c:v>52.654000000000003</c:v>
                </c:pt>
                <c:pt idx="86">
                  <c:v>52.542000000000002</c:v>
                </c:pt>
                <c:pt idx="87">
                  <c:v>52.442999999999998</c:v>
                </c:pt>
                <c:pt idx="88">
                  <c:v>52.311999999999998</c:v>
                </c:pt>
                <c:pt idx="89">
                  <c:v>52.198999999999998</c:v>
                </c:pt>
                <c:pt idx="90">
                  <c:v>52.076999999999998</c:v>
                </c:pt>
                <c:pt idx="91">
                  <c:v>51.966000000000001</c:v>
                </c:pt>
                <c:pt idx="92">
                  <c:v>51.886000000000003</c:v>
                </c:pt>
                <c:pt idx="93">
                  <c:v>51.811999999999998</c:v>
                </c:pt>
                <c:pt idx="94">
                  <c:v>51.737000000000002</c:v>
                </c:pt>
                <c:pt idx="95">
                  <c:v>51.622999999999998</c:v>
                </c:pt>
                <c:pt idx="96">
                  <c:v>51.521000000000001</c:v>
                </c:pt>
                <c:pt idx="97">
                  <c:v>51.447000000000003</c:v>
                </c:pt>
                <c:pt idx="98">
                  <c:v>51.393000000000001</c:v>
                </c:pt>
                <c:pt idx="99">
                  <c:v>51.308</c:v>
                </c:pt>
                <c:pt idx="100">
                  <c:v>51.173999999999999</c:v>
                </c:pt>
                <c:pt idx="101">
                  <c:v>51.008000000000003</c:v>
                </c:pt>
                <c:pt idx="102">
                  <c:v>50.832999999999998</c:v>
                </c:pt>
                <c:pt idx="103">
                  <c:v>50.652999999999999</c:v>
                </c:pt>
                <c:pt idx="104">
                  <c:v>50.433999999999997</c:v>
                </c:pt>
                <c:pt idx="105">
                  <c:v>50.220999999999997</c:v>
                </c:pt>
                <c:pt idx="106">
                  <c:v>50.012999999999998</c:v>
                </c:pt>
                <c:pt idx="107">
                  <c:v>49.786999999999999</c:v>
                </c:pt>
                <c:pt idx="108">
                  <c:v>49.534999999999997</c:v>
                </c:pt>
                <c:pt idx="109">
                  <c:v>49.243000000000002</c:v>
                </c:pt>
                <c:pt idx="110">
                  <c:v>49.023000000000003</c:v>
                </c:pt>
                <c:pt idx="111">
                  <c:v>48.814</c:v>
                </c:pt>
                <c:pt idx="112">
                  <c:v>48.655999999999999</c:v>
                </c:pt>
                <c:pt idx="113">
                  <c:v>48.511000000000003</c:v>
                </c:pt>
                <c:pt idx="114">
                  <c:v>48.39</c:v>
                </c:pt>
                <c:pt idx="115">
                  <c:v>48.286999999999999</c:v>
                </c:pt>
                <c:pt idx="116">
                  <c:v>48.207000000000001</c:v>
                </c:pt>
                <c:pt idx="117">
                  <c:v>48.171999999999997</c:v>
                </c:pt>
                <c:pt idx="118">
                  <c:v>48.152999999999999</c:v>
                </c:pt>
                <c:pt idx="119">
                  <c:v>48.078000000000003</c:v>
                </c:pt>
                <c:pt idx="120">
                  <c:v>48.003999999999998</c:v>
                </c:pt>
                <c:pt idx="121">
                  <c:v>47.945999999999998</c:v>
                </c:pt>
                <c:pt idx="122">
                  <c:v>47.869</c:v>
                </c:pt>
                <c:pt idx="123">
                  <c:v>47.805999999999997</c:v>
                </c:pt>
                <c:pt idx="124">
                  <c:v>47.722000000000001</c:v>
                </c:pt>
                <c:pt idx="125">
                  <c:v>47.616999999999997</c:v>
                </c:pt>
                <c:pt idx="126">
                  <c:v>47.523000000000003</c:v>
                </c:pt>
                <c:pt idx="127">
                  <c:v>47.411999999999999</c:v>
                </c:pt>
                <c:pt idx="128">
                  <c:v>47.290999999999997</c:v>
                </c:pt>
                <c:pt idx="129">
                  <c:v>47.201999999999998</c:v>
                </c:pt>
                <c:pt idx="130">
                  <c:v>47.094000000000001</c:v>
                </c:pt>
                <c:pt idx="131">
                  <c:v>46.981999999999999</c:v>
                </c:pt>
                <c:pt idx="132">
                  <c:v>46.853000000000002</c:v>
                </c:pt>
                <c:pt idx="133">
                  <c:v>46.712000000000003</c:v>
                </c:pt>
                <c:pt idx="134">
                  <c:v>46.552</c:v>
                </c:pt>
                <c:pt idx="135">
                  <c:v>46.363</c:v>
                </c:pt>
                <c:pt idx="136">
                  <c:v>46.161000000000001</c:v>
                </c:pt>
                <c:pt idx="137">
                  <c:v>45.981000000000002</c:v>
                </c:pt>
                <c:pt idx="138">
                  <c:v>45.816000000000003</c:v>
                </c:pt>
                <c:pt idx="139">
                  <c:v>45.667999999999999</c:v>
                </c:pt>
                <c:pt idx="140">
                  <c:v>45.548999999999999</c:v>
                </c:pt>
                <c:pt idx="141">
                  <c:v>45.418999999999997</c:v>
                </c:pt>
                <c:pt idx="142">
                  <c:v>45.308999999999997</c:v>
                </c:pt>
                <c:pt idx="143">
                  <c:v>45.204000000000001</c:v>
                </c:pt>
                <c:pt idx="144">
                  <c:v>45.079000000000001</c:v>
                </c:pt>
                <c:pt idx="145">
                  <c:v>44.966000000000001</c:v>
                </c:pt>
                <c:pt idx="146">
                  <c:v>44.85</c:v>
                </c:pt>
                <c:pt idx="147">
                  <c:v>44.692999999999998</c:v>
                </c:pt>
                <c:pt idx="148">
                  <c:v>44.585000000000001</c:v>
                </c:pt>
                <c:pt idx="149">
                  <c:v>44.48</c:v>
                </c:pt>
                <c:pt idx="150">
                  <c:v>44.392000000000003</c:v>
                </c:pt>
                <c:pt idx="151">
                  <c:v>44.307000000000002</c:v>
                </c:pt>
                <c:pt idx="152">
                  <c:v>44.2</c:v>
                </c:pt>
                <c:pt idx="153">
                  <c:v>44.057000000000002</c:v>
                </c:pt>
                <c:pt idx="154">
                  <c:v>43.920999999999999</c:v>
                </c:pt>
                <c:pt idx="155">
                  <c:v>43.781999999999996</c:v>
                </c:pt>
                <c:pt idx="156">
                  <c:v>43.600999999999999</c:v>
                </c:pt>
                <c:pt idx="157">
                  <c:v>43.424999999999997</c:v>
                </c:pt>
                <c:pt idx="158">
                  <c:v>43.23</c:v>
                </c:pt>
                <c:pt idx="159">
                  <c:v>42.991999999999997</c:v>
                </c:pt>
                <c:pt idx="160">
                  <c:v>42.756</c:v>
                </c:pt>
                <c:pt idx="161">
                  <c:v>42.487000000000002</c:v>
                </c:pt>
                <c:pt idx="162">
                  <c:v>42.206000000000003</c:v>
                </c:pt>
                <c:pt idx="163">
                  <c:v>41.936</c:v>
                </c:pt>
                <c:pt idx="164">
                  <c:v>41.664999999999999</c:v>
                </c:pt>
                <c:pt idx="165">
                  <c:v>41.393999999999998</c:v>
                </c:pt>
                <c:pt idx="166">
                  <c:v>41.149000000000001</c:v>
                </c:pt>
                <c:pt idx="167">
                  <c:v>40.902999999999999</c:v>
                </c:pt>
                <c:pt idx="168">
                  <c:v>40.661000000000001</c:v>
                </c:pt>
                <c:pt idx="169">
                  <c:v>40.408000000000001</c:v>
                </c:pt>
                <c:pt idx="170">
                  <c:v>40.155999999999999</c:v>
                </c:pt>
                <c:pt idx="171">
                  <c:v>39.904000000000003</c:v>
                </c:pt>
                <c:pt idx="172">
                  <c:v>39.646999999999998</c:v>
                </c:pt>
                <c:pt idx="173">
                  <c:v>39.377000000000002</c:v>
                </c:pt>
                <c:pt idx="174">
                  <c:v>39.109000000000002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3D9-4F69-A4E8-88A9E1562596}"/>
            </c:ext>
          </c:extLst>
        </c:ser>
        <c:ser>
          <c:idx val="14"/>
          <c:order val="14"/>
          <c:tx>
            <c:strRef>
              <c:f>data_co2_incLUC!$S$2</c:f>
              <c:strCache>
                <c:ptCount val="1"/>
                <c:pt idx="0">
                  <c:v>Annex I GMST</c:v>
                </c:pt>
              </c:strCache>
            </c:strRef>
          </c:tx>
          <c:spPr>
            <a:ln w="317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data_co2_incLUC!$S$3:$S$177</c:f>
              <c:numCache>
                <c:formatCode>0.0</c:formatCode>
                <c:ptCount val="175"/>
                <c:pt idx="1">
                  <c:v>58.487000000000002</c:v>
                </c:pt>
                <c:pt idx="2">
                  <c:v>58.518000000000001</c:v>
                </c:pt>
                <c:pt idx="3">
                  <c:v>58.570999999999998</c:v>
                </c:pt>
                <c:pt idx="4">
                  <c:v>58.921999999999997</c:v>
                </c:pt>
                <c:pt idx="5">
                  <c:v>59.04</c:v>
                </c:pt>
                <c:pt idx="6">
                  <c:v>59.171999999999997</c:v>
                </c:pt>
                <c:pt idx="7">
                  <c:v>59.276000000000003</c:v>
                </c:pt>
                <c:pt idx="8">
                  <c:v>59.408000000000001</c:v>
                </c:pt>
                <c:pt idx="9">
                  <c:v>59.558999999999997</c:v>
                </c:pt>
                <c:pt idx="10">
                  <c:v>59.904000000000003</c:v>
                </c:pt>
                <c:pt idx="11">
                  <c:v>60.241</c:v>
                </c:pt>
                <c:pt idx="12">
                  <c:v>60.624000000000002</c:v>
                </c:pt>
                <c:pt idx="13">
                  <c:v>60.99</c:v>
                </c:pt>
                <c:pt idx="14">
                  <c:v>61.34</c:v>
                </c:pt>
                <c:pt idx="15">
                  <c:v>61.676000000000002</c:v>
                </c:pt>
                <c:pt idx="16">
                  <c:v>62.015000000000001</c:v>
                </c:pt>
                <c:pt idx="17">
                  <c:v>62.329000000000001</c:v>
                </c:pt>
                <c:pt idx="18">
                  <c:v>62.637999999999998</c:v>
                </c:pt>
                <c:pt idx="19">
                  <c:v>62.92</c:v>
                </c:pt>
                <c:pt idx="20">
                  <c:v>63.31</c:v>
                </c:pt>
                <c:pt idx="21">
                  <c:v>63.725999999999999</c:v>
                </c:pt>
                <c:pt idx="22">
                  <c:v>64.135000000000005</c:v>
                </c:pt>
                <c:pt idx="23">
                  <c:v>64.552999999999997</c:v>
                </c:pt>
                <c:pt idx="24">
                  <c:v>64.944999999999993</c:v>
                </c:pt>
                <c:pt idx="25">
                  <c:v>65.335999999999999</c:v>
                </c:pt>
                <c:pt idx="26">
                  <c:v>65.713999999999999</c:v>
                </c:pt>
                <c:pt idx="27">
                  <c:v>66.066000000000003</c:v>
                </c:pt>
                <c:pt idx="28">
                  <c:v>66.412000000000006</c:v>
                </c:pt>
                <c:pt idx="29">
                  <c:v>66.763999999999996</c:v>
                </c:pt>
                <c:pt idx="30">
                  <c:v>67.031000000000006</c:v>
                </c:pt>
                <c:pt idx="31">
                  <c:v>67.227999999999994</c:v>
                </c:pt>
                <c:pt idx="32">
                  <c:v>67.403000000000006</c:v>
                </c:pt>
                <c:pt idx="33">
                  <c:v>67.576999999999998</c:v>
                </c:pt>
                <c:pt idx="34">
                  <c:v>67.742000000000004</c:v>
                </c:pt>
                <c:pt idx="35">
                  <c:v>67.887</c:v>
                </c:pt>
                <c:pt idx="36">
                  <c:v>68.016000000000005</c:v>
                </c:pt>
                <c:pt idx="37">
                  <c:v>68.132000000000005</c:v>
                </c:pt>
                <c:pt idx="38">
                  <c:v>68.269000000000005</c:v>
                </c:pt>
                <c:pt idx="39">
                  <c:v>68.372</c:v>
                </c:pt>
                <c:pt idx="40">
                  <c:v>68.491</c:v>
                </c:pt>
                <c:pt idx="41">
                  <c:v>68.605000000000004</c:v>
                </c:pt>
                <c:pt idx="42">
                  <c:v>68.727000000000004</c:v>
                </c:pt>
                <c:pt idx="43">
                  <c:v>68.838999999999999</c:v>
                </c:pt>
                <c:pt idx="44">
                  <c:v>68.951999999999998</c:v>
                </c:pt>
                <c:pt idx="45">
                  <c:v>69.063000000000002</c:v>
                </c:pt>
                <c:pt idx="46">
                  <c:v>69.177000000000007</c:v>
                </c:pt>
                <c:pt idx="47">
                  <c:v>69.287000000000006</c:v>
                </c:pt>
                <c:pt idx="48">
                  <c:v>69.412999999999997</c:v>
                </c:pt>
                <c:pt idx="49">
                  <c:v>69.55</c:v>
                </c:pt>
                <c:pt idx="50">
                  <c:v>69.694000000000003</c:v>
                </c:pt>
                <c:pt idx="51">
                  <c:v>69.81</c:v>
                </c:pt>
                <c:pt idx="52">
                  <c:v>69.921999999999997</c:v>
                </c:pt>
                <c:pt idx="53">
                  <c:v>70.05</c:v>
                </c:pt>
                <c:pt idx="54">
                  <c:v>70.164000000000001</c:v>
                </c:pt>
                <c:pt idx="55">
                  <c:v>70.298000000000002</c:v>
                </c:pt>
                <c:pt idx="56">
                  <c:v>70.42</c:v>
                </c:pt>
                <c:pt idx="57">
                  <c:v>70.578999999999994</c:v>
                </c:pt>
                <c:pt idx="58">
                  <c:v>70.713999999999999</c:v>
                </c:pt>
                <c:pt idx="59">
                  <c:v>70.849999999999994</c:v>
                </c:pt>
                <c:pt idx="60">
                  <c:v>70.918999999999997</c:v>
                </c:pt>
                <c:pt idx="61">
                  <c:v>70.959000000000003</c:v>
                </c:pt>
                <c:pt idx="62">
                  <c:v>71.003</c:v>
                </c:pt>
                <c:pt idx="63">
                  <c:v>71.045000000000002</c:v>
                </c:pt>
                <c:pt idx="64">
                  <c:v>71.042000000000002</c:v>
                </c:pt>
                <c:pt idx="65">
                  <c:v>71.021000000000001</c:v>
                </c:pt>
                <c:pt idx="66">
                  <c:v>71.018000000000001</c:v>
                </c:pt>
                <c:pt idx="67">
                  <c:v>71.010000000000005</c:v>
                </c:pt>
                <c:pt idx="68">
                  <c:v>70.992000000000004</c:v>
                </c:pt>
                <c:pt idx="69">
                  <c:v>70.921999999999997</c:v>
                </c:pt>
                <c:pt idx="70">
                  <c:v>70.849999999999994</c:v>
                </c:pt>
                <c:pt idx="71">
                  <c:v>70.727999999999994</c:v>
                </c:pt>
                <c:pt idx="72">
                  <c:v>70.614999999999995</c:v>
                </c:pt>
                <c:pt idx="73">
                  <c:v>70.522000000000006</c:v>
                </c:pt>
                <c:pt idx="74">
                  <c:v>70.418999999999997</c:v>
                </c:pt>
                <c:pt idx="75">
                  <c:v>70.323999999999998</c:v>
                </c:pt>
                <c:pt idx="76">
                  <c:v>70.224999999999994</c:v>
                </c:pt>
                <c:pt idx="77">
                  <c:v>70.146000000000001</c:v>
                </c:pt>
                <c:pt idx="78">
                  <c:v>70.058000000000007</c:v>
                </c:pt>
                <c:pt idx="79">
                  <c:v>69.992999999999995</c:v>
                </c:pt>
                <c:pt idx="80">
                  <c:v>69.912999999999997</c:v>
                </c:pt>
                <c:pt idx="81">
                  <c:v>69.808000000000007</c:v>
                </c:pt>
                <c:pt idx="82">
                  <c:v>69.677999999999997</c:v>
                </c:pt>
                <c:pt idx="83">
                  <c:v>69.557000000000002</c:v>
                </c:pt>
                <c:pt idx="84">
                  <c:v>69.444999999999993</c:v>
                </c:pt>
                <c:pt idx="85">
                  <c:v>69.349000000000004</c:v>
                </c:pt>
                <c:pt idx="86">
                  <c:v>69.266999999999996</c:v>
                </c:pt>
                <c:pt idx="87">
                  <c:v>69.194000000000003</c:v>
                </c:pt>
                <c:pt idx="88">
                  <c:v>69.105999999999995</c:v>
                </c:pt>
                <c:pt idx="89">
                  <c:v>69.028000000000006</c:v>
                </c:pt>
                <c:pt idx="90">
                  <c:v>68.902000000000001</c:v>
                </c:pt>
                <c:pt idx="91">
                  <c:v>68.747</c:v>
                </c:pt>
                <c:pt idx="92">
                  <c:v>68.58</c:v>
                </c:pt>
                <c:pt idx="93">
                  <c:v>68.408000000000001</c:v>
                </c:pt>
                <c:pt idx="94">
                  <c:v>68.231999999999999</c:v>
                </c:pt>
                <c:pt idx="95">
                  <c:v>68.013000000000005</c:v>
                </c:pt>
                <c:pt idx="96">
                  <c:v>67.804000000000002</c:v>
                </c:pt>
                <c:pt idx="97">
                  <c:v>67.611999999999995</c:v>
                </c:pt>
                <c:pt idx="98">
                  <c:v>67.433999999999997</c:v>
                </c:pt>
                <c:pt idx="99">
                  <c:v>67.238</c:v>
                </c:pt>
                <c:pt idx="100">
                  <c:v>67.001999999999995</c:v>
                </c:pt>
                <c:pt idx="101">
                  <c:v>66.742999999999995</c:v>
                </c:pt>
                <c:pt idx="102">
                  <c:v>66.495000000000005</c:v>
                </c:pt>
                <c:pt idx="103">
                  <c:v>66.254000000000005</c:v>
                </c:pt>
                <c:pt idx="104">
                  <c:v>65.988</c:v>
                </c:pt>
                <c:pt idx="105">
                  <c:v>65.736000000000004</c:v>
                </c:pt>
                <c:pt idx="106">
                  <c:v>65.5</c:v>
                </c:pt>
                <c:pt idx="107">
                  <c:v>65.257000000000005</c:v>
                </c:pt>
                <c:pt idx="108">
                  <c:v>65.001999999999995</c:v>
                </c:pt>
                <c:pt idx="109">
                  <c:v>64.736000000000004</c:v>
                </c:pt>
                <c:pt idx="110">
                  <c:v>64.531999999999996</c:v>
                </c:pt>
                <c:pt idx="111">
                  <c:v>64.344999999999999</c:v>
                </c:pt>
                <c:pt idx="112">
                  <c:v>64.188999999999993</c:v>
                </c:pt>
                <c:pt idx="113">
                  <c:v>64.052999999999997</c:v>
                </c:pt>
                <c:pt idx="114">
                  <c:v>63.944000000000003</c:v>
                </c:pt>
                <c:pt idx="115">
                  <c:v>63.856999999999999</c:v>
                </c:pt>
                <c:pt idx="116">
                  <c:v>63.795000000000002</c:v>
                </c:pt>
                <c:pt idx="117">
                  <c:v>63.777999999999999</c:v>
                </c:pt>
                <c:pt idx="118">
                  <c:v>63.783000000000001</c:v>
                </c:pt>
                <c:pt idx="119">
                  <c:v>63.716000000000001</c:v>
                </c:pt>
                <c:pt idx="120">
                  <c:v>63.661999999999999</c:v>
                </c:pt>
                <c:pt idx="121">
                  <c:v>63.622</c:v>
                </c:pt>
                <c:pt idx="122">
                  <c:v>63.558</c:v>
                </c:pt>
                <c:pt idx="123">
                  <c:v>63.514000000000003</c:v>
                </c:pt>
                <c:pt idx="124">
                  <c:v>63.457999999999998</c:v>
                </c:pt>
                <c:pt idx="125">
                  <c:v>63.393999999999998</c:v>
                </c:pt>
                <c:pt idx="126">
                  <c:v>63.344999999999999</c:v>
                </c:pt>
                <c:pt idx="127">
                  <c:v>63.274000000000001</c:v>
                </c:pt>
                <c:pt idx="128">
                  <c:v>63.194000000000003</c:v>
                </c:pt>
                <c:pt idx="129">
                  <c:v>63.146999999999998</c:v>
                </c:pt>
                <c:pt idx="130">
                  <c:v>63.097999999999999</c:v>
                </c:pt>
                <c:pt idx="131">
                  <c:v>63.031999999999996</c:v>
                </c:pt>
                <c:pt idx="132">
                  <c:v>62.96</c:v>
                </c:pt>
                <c:pt idx="133">
                  <c:v>62.872</c:v>
                </c:pt>
                <c:pt idx="134">
                  <c:v>62.753999999999998</c:v>
                </c:pt>
                <c:pt idx="135">
                  <c:v>62.615000000000002</c:v>
                </c:pt>
                <c:pt idx="136">
                  <c:v>62.457999999999998</c:v>
                </c:pt>
                <c:pt idx="137">
                  <c:v>62.317999999999998</c:v>
                </c:pt>
                <c:pt idx="138">
                  <c:v>62.189</c:v>
                </c:pt>
                <c:pt idx="139">
                  <c:v>62.064999999999998</c:v>
                </c:pt>
                <c:pt idx="140">
                  <c:v>61.969000000000001</c:v>
                </c:pt>
                <c:pt idx="141">
                  <c:v>61.838000000000001</c:v>
                </c:pt>
                <c:pt idx="142">
                  <c:v>61.69</c:v>
                </c:pt>
                <c:pt idx="143">
                  <c:v>61.531999999999996</c:v>
                </c:pt>
                <c:pt idx="144">
                  <c:v>61.32</c:v>
                </c:pt>
                <c:pt idx="145">
                  <c:v>61.113999999999997</c:v>
                </c:pt>
                <c:pt idx="146">
                  <c:v>60.920999999999999</c:v>
                </c:pt>
                <c:pt idx="147">
                  <c:v>60.643999999999998</c:v>
                </c:pt>
                <c:pt idx="148">
                  <c:v>60.43</c:v>
                </c:pt>
                <c:pt idx="149">
                  <c:v>60.218000000000004</c:v>
                </c:pt>
                <c:pt idx="150">
                  <c:v>60.017000000000003</c:v>
                </c:pt>
                <c:pt idx="151">
                  <c:v>59.83</c:v>
                </c:pt>
                <c:pt idx="152">
                  <c:v>59.61</c:v>
                </c:pt>
                <c:pt idx="153">
                  <c:v>59.345999999999997</c:v>
                </c:pt>
                <c:pt idx="154">
                  <c:v>59.091999999999999</c:v>
                </c:pt>
                <c:pt idx="155">
                  <c:v>58.84</c:v>
                </c:pt>
                <c:pt idx="156">
                  <c:v>58.546999999999997</c:v>
                </c:pt>
                <c:pt idx="157">
                  <c:v>58.267000000000003</c:v>
                </c:pt>
                <c:pt idx="158">
                  <c:v>57.960999999999999</c:v>
                </c:pt>
                <c:pt idx="159">
                  <c:v>57.616</c:v>
                </c:pt>
                <c:pt idx="160">
                  <c:v>57.276000000000003</c:v>
                </c:pt>
                <c:pt idx="161">
                  <c:v>56.895000000000003</c:v>
                </c:pt>
                <c:pt idx="162">
                  <c:v>56.51</c:v>
                </c:pt>
                <c:pt idx="163">
                  <c:v>56.133000000000003</c:v>
                </c:pt>
                <c:pt idx="164">
                  <c:v>55.749000000000002</c:v>
                </c:pt>
                <c:pt idx="165">
                  <c:v>55.38</c:v>
                </c:pt>
                <c:pt idx="166">
                  <c:v>55.048999999999999</c:v>
                </c:pt>
                <c:pt idx="167">
                  <c:v>54.719000000000001</c:v>
                </c:pt>
                <c:pt idx="168">
                  <c:v>54.39</c:v>
                </c:pt>
                <c:pt idx="169">
                  <c:v>54.048000000000002</c:v>
                </c:pt>
                <c:pt idx="170">
                  <c:v>53.713000000000001</c:v>
                </c:pt>
                <c:pt idx="171">
                  <c:v>53.378</c:v>
                </c:pt>
                <c:pt idx="172">
                  <c:v>53.036000000000001</c:v>
                </c:pt>
                <c:pt idx="173">
                  <c:v>52.683999999999997</c:v>
                </c:pt>
                <c:pt idx="174">
                  <c:v>52.337000000000003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3D9-4F69-A4E8-88A9E1562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Cumulative share of emissions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Cumulative CO</a:t>
            </a:r>
            <a:r>
              <a:rPr lang="en-US" baseline="-25000"/>
              <a:t>2</a:t>
            </a:r>
            <a:r>
              <a:rPr lang="en-US"/>
              <a:t> emissions excluding LULUCF since 1850, different end points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data_co2_excLUC!$B$3:$B$177</c:f>
              <c:numCache>
                <c:formatCode>0.0</c:formatCode>
                <c:ptCount val="175"/>
                <c:pt idx="0">
                  <c:v>98.267698935219045</c:v>
                </c:pt>
                <c:pt idx="1">
                  <c:v>98.166450132195536</c:v>
                </c:pt>
                <c:pt idx="2">
                  <c:v>98.025765018127686</c:v>
                </c:pt>
                <c:pt idx="3">
                  <c:v>97.966257870603982</c:v>
                </c:pt>
                <c:pt idx="4">
                  <c:v>97.963265321302913</c:v>
                </c:pt>
                <c:pt idx="5">
                  <c:v>97.868248392670523</c:v>
                </c:pt>
                <c:pt idx="6">
                  <c:v>97.756073261416816</c:v>
                </c:pt>
                <c:pt idx="7">
                  <c:v>97.639910045578731</c:v>
                </c:pt>
                <c:pt idx="8">
                  <c:v>97.477267943639077</c:v>
                </c:pt>
                <c:pt idx="9">
                  <c:v>97.37720286247793</c:v>
                </c:pt>
                <c:pt idx="10">
                  <c:v>97.284771528352238</c:v>
                </c:pt>
                <c:pt idx="11">
                  <c:v>97.196371831071389</c:v>
                </c:pt>
                <c:pt idx="12">
                  <c:v>97.073775918595402</c:v>
                </c:pt>
                <c:pt idx="13">
                  <c:v>96.944120966546848</c:v>
                </c:pt>
                <c:pt idx="14">
                  <c:v>96.806240969798679</c:v>
                </c:pt>
                <c:pt idx="15">
                  <c:v>96.664443130696498</c:v>
                </c:pt>
                <c:pt idx="16">
                  <c:v>96.497009296921959</c:v>
                </c:pt>
                <c:pt idx="17">
                  <c:v>96.342405141811483</c:v>
                </c:pt>
                <c:pt idx="18">
                  <c:v>96.183621872279275</c:v>
                </c:pt>
                <c:pt idx="19">
                  <c:v>96.034390032567458</c:v>
                </c:pt>
                <c:pt idx="20">
                  <c:v>95.885101973409405</c:v>
                </c:pt>
                <c:pt idx="21">
                  <c:v>95.711502274253832</c:v>
                </c:pt>
                <c:pt idx="22">
                  <c:v>95.553445269185261</c:v>
                </c:pt>
                <c:pt idx="23">
                  <c:v>95.410393589630473</c:v>
                </c:pt>
                <c:pt idx="24">
                  <c:v>95.226207839407863</c:v>
                </c:pt>
                <c:pt idx="25">
                  <c:v>95.081722039885562</c:v>
                </c:pt>
                <c:pt idx="26">
                  <c:v>94.877664760214046</c:v>
                </c:pt>
                <c:pt idx="27">
                  <c:v>94.706251873074962</c:v>
                </c:pt>
                <c:pt idx="28">
                  <c:v>94.505055212090554</c:v>
                </c:pt>
                <c:pt idx="29">
                  <c:v>94.319429045707182</c:v>
                </c:pt>
                <c:pt idx="30">
                  <c:v>94.165749318303696</c:v>
                </c:pt>
                <c:pt idx="31">
                  <c:v>94.026201996658358</c:v>
                </c:pt>
                <c:pt idx="32">
                  <c:v>93.902950075491304</c:v>
                </c:pt>
                <c:pt idx="33">
                  <c:v>93.770931595967511</c:v>
                </c:pt>
                <c:pt idx="34">
                  <c:v>93.638243184855668</c:v>
                </c:pt>
                <c:pt idx="35">
                  <c:v>93.499926519273288</c:v>
                </c:pt>
                <c:pt idx="36">
                  <c:v>93.369160882119644</c:v>
                </c:pt>
                <c:pt idx="37">
                  <c:v>93.248266501878518</c:v>
                </c:pt>
                <c:pt idx="38">
                  <c:v>93.135257253214249</c:v>
                </c:pt>
                <c:pt idx="39">
                  <c:v>92.995594734272274</c:v>
                </c:pt>
                <c:pt idx="40">
                  <c:v>92.871409264366164</c:v>
                </c:pt>
                <c:pt idx="41">
                  <c:v>92.74044249947093</c:v>
                </c:pt>
                <c:pt idx="42">
                  <c:v>92.617899231747131</c:v>
                </c:pt>
                <c:pt idx="43">
                  <c:v>92.464871126168163</c:v>
                </c:pt>
                <c:pt idx="44">
                  <c:v>92.320673202875497</c:v>
                </c:pt>
                <c:pt idx="45">
                  <c:v>92.168989547038336</c:v>
                </c:pt>
                <c:pt idx="46">
                  <c:v>92.017017275667868</c:v>
                </c:pt>
                <c:pt idx="47">
                  <c:v>91.85767624430909</c:v>
                </c:pt>
                <c:pt idx="48">
                  <c:v>91.68509610525166</c:v>
                </c:pt>
                <c:pt idx="49">
                  <c:v>91.52691081706827</c:v>
                </c:pt>
                <c:pt idx="50">
                  <c:v>91.380723015816812</c:v>
                </c:pt>
                <c:pt idx="51">
                  <c:v>91.229419341667992</c:v>
                </c:pt>
                <c:pt idx="52">
                  <c:v>91.103598330574414</c:v>
                </c:pt>
                <c:pt idx="53">
                  <c:v>91.007411915722656</c:v>
                </c:pt>
                <c:pt idx="54">
                  <c:v>90.895053204436451</c:v>
                </c:pt>
                <c:pt idx="55">
                  <c:v>90.811372853842144</c:v>
                </c:pt>
                <c:pt idx="56">
                  <c:v>90.706039131289444</c:v>
                </c:pt>
                <c:pt idx="57">
                  <c:v>90.581429690254041</c:v>
                </c:pt>
                <c:pt idx="58">
                  <c:v>90.424578786419474</c:v>
                </c:pt>
                <c:pt idx="59">
                  <c:v>90.279447454721065</c:v>
                </c:pt>
                <c:pt idx="60">
                  <c:v>90.16562173472218</c:v>
                </c:pt>
                <c:pt idx="61">
                  <c:v>90.040088446842333</c:v>
                </c:pt>
                <c:pt idx="62">
                  <c:v>89.911046248206745</c:v>
                </c:pt>
                <c:pt idx="63">
                  <c:v>89.77819608162217</c:v>
                </c:pt>
                <c:pt idx="64">
                  <c:v>89.672660790531879</c:v>
                </c:pt>
                <c:pt idx="65">
                  <c:v>89.586213359943571</c:v>
                </c:pt>
                <c:pt idx="66">
                  <c:v>89.496296902731345</c:v>
                </c:pt>
                <c:pt idx="67">
                  <c:v>89.416327558238436</c:v>
                </c:pt>
                <c:pt idx="68">
                  <c:v>89.419166568801188</c:v>
                </c:pt>
                <c:pt idx="69">
                  <c:v>89.462572969626024</c:v>
                </c:pt>
                <c:pt idx="70">
                  <c:v>89.443928007744091</c:v>
                </c:pt>
                <c:pt idx="71">
                  <c:v>89.363877591829038</c:v>
                </c:pt>
                <c:pt idx="72">
                  <c:v>89.302300783198149</c:v>
                </c:pt>
                <c:pt idx="73">
                  <c:v>89.289496491767494</c:v>
                </c:pt>
                <c:pt idx="74">
                  <c:v>89.255268602895654</c:v>
                </c:pt>
                <c:pt idx="75">
                  <c:v>89.234527655042555</c:v>
                </c:pt>
                <c:pt idx="76">
                  <c:v>89.193260722973918</c:v>
                </c:pt>
                <c:pt idx="77">
                  <c:v>89.153660761392374</c:v>
                </c:pt>
                <c:pt idx="78">
                  <c:v>89.097859866845525</c:v>
                </c:pt>
                <c:pt idx="79">
                  <c:v>89.041252958303033</c:v>
                </c:pt>
                <c:pt idx="80">
                  <c:v>88.952868693387984</c:v>
                </c:pt>
                <c:pt idx="81">
                  <c:v>88.829004421954465</c:v>
                </c:pt>
                <c:pt idx="82">
                  <c:v>88.682859818539839</c:v>
                </c:pt>
                <c:pt idx="83">
                  <c:v>88.531229295337127</c:v>
                </c:pt>
                <c:pt idx="84">
                  <c:v>88.350923344365768</c:v>
                </c:pt>
                <c:pt idx="85">
                  <c:v>88.149173251648563</c:v>
                </c:pt>
                <c:pt idx="86">
                  <c:v>87.940455647422453</c:v>
                </c:pt>
                <c:pt idx="87">
                  <c:v>87.732470094881464</c:v>
                </c:pt>
                <c:pt idx="88">
                  <c:v>87.494168724010692</c:v>
                </c:pt>
                <c:pt idx="89">
                  <c:v>87.228437064050468</c:v>
                </c:pt>
                <c:pt idx="90">
                  <c:v>86.882669267961901</c:v>
                </c:pt>
                <c:pt idx="91">
                  <c:v>86.586702953701192</c:v>
                </c:pt>
                <c:pt idx="92">
                  <c:v>86.380140035077758</c:v>
                </c:pt>
                <c:pt idx="93">
                  <c:v>86.134267537212409</c:v>
                </c:pt>
                <c:pt idx="94">
                  <c:v>85.904251910098253</c:v>
                </c:pt>
                <c:pt idx="95">
                  <c:v>85.707644236898375</c:v>
                </c:pt>
                <c:pt idx="96">
                  <c:v>85.45807051480466</c:v>
                </c:pt>
                <c:pt idx="97">
                  <c:v>85.209440038427829</c:v>
                </c:pt>
                <c:pt idx="98">
                  <c:v>84.974414279583144</c:v>
                </c:pt>
                <c:pt idx="99">
                  <c:v>84.678431418324891</c:v>
                </c:pt>
                <c:pt idx="100">
                  <c:v>84.436976049253829</c:v>
                </c:pt>
                <c:pt idx="101">
                  <c:v>84.172096856953871</c:v>
                </c:pt>
                <c:pt idx="102">
                  <c:v>83.872008789220203</c:v>
                </c:pt>
                <c:pt idx="103">
                  <c:v>83.560299846460779</c:v>
                </c:pt>
                <c:pt idx="104">
                  <c:v>83.203057678848452</c:v>
                </c:pt>
                <c:pt idx="105">
                  <c:v>82.811120168070346</c:v>
                </c:pt>
                <c:pt idx="106">
                  <c:v>82.395780352224207</c:v>
                </c:pt>
                <c:pt idx="107">
                  <c:v>81.932674864373098</c:v>
                </c:pt>
                <c:pt idx="108">
                  <c:v>81.369280520453884</c:v>
                </c:pt>
                <c:pt idx="109">
                  <c:v>80.750637704182779</c:v>
                </c:pt>
                <c:pt idx="110">
                  <c:v>80.124772664549226</c:v>
                </c:pt>
                <c:pt idx="111">
                  <c:v>79.567705243288501</c:v>
                </c:pt>
                <c:pt idx="112">
                  <c:v>79.041512376121148</c:v>
                </c:pt>
                <c:pt idx="113">
                  <c:v>78.516195428115779</c:v>
                </c:pt>
                <c:pt idx="114">
                  <c:v>77.989662779318749</c:v>
                </c:pt>
                <c:pt idx="115">
                  <c:v>77.454938048082838</c:v>
                </c:pt>
                <c:pt idx="116">
                  <c:v>76.910450587307068</c:v>
                </c:pt>
                <c:pt idx="117">
                  <c:v>76.399593937436478</c:v>
                </c:pt>
                <c:pt idx="118">
                  <c:v>75.888915083121873</c:v>
                </c:pt>
                <c:pt idx="119">
                  <c:v>75.37004833742273</c:v>
                </c:pt>
                <c:pt idx="120">
                  <c:v>74.820921612369418</c:v>
                </c:pt>
                <c:pt idx="121">
                  <c:v>74.251851317287247</c:v>
                </c:pt>
                <c:pt idx="122">
                  <c:v>73.694622348275288</c:v>
                </c:pt>
                <c:pt idx="123">
                  <c:v>73.141075841181063</c:v>
                </c:pt>
                <c:pt idx="124">
                  <c:v>72.583616861409141</c:v>
                </c:pt>
                <c:pt idx="125">
                  <c:v>71.986372104638789</c:v>
                </c:pt>
                <c:pt idx="126">
                  <c:v>71.401891953115125</c:v>
                </c:pt>
                <c:pt idx="127">
                  <c:v>70.8151574042097</c:v>
                </c:pt>
                <c:pt idx="128">
                  <c:v>70.227764944409472</c:v>
                </c:pt>
                <c:pt idx="129">
                  <c:v>69.661137804111391</c:v>
                </c:pt>
                <c:pt idx="130">
                  <c:v>69.093428461828637</c:v>
                </c:pt>
                <c:pt idx="131">
                  <c:v>68.551791941112342</c:v>
                </c:pt>
                <c:pt idx="132">
                  <c:v>67.994457619018121</c:v>
                </c:pt>
                <c:pt idx="133">
                  <c:v>67.444381564289984</c:v>
                </c:pt>
                <c:pt idx="134">
                  <c:v>66.90146107935206</c:v>
                </c:pt>
                <c:pt idx="135">
                  <c:v>66.335449859311538</c:v>
                </c:pt>
                <c:pt idx="136">
                  <c:v>65.773550203314272</c:v>
                </c:pt>
                <c:pt idx="137">
                  <c:v>65.228795845893472</c:v>
                </c:pt>
                <c:pt idx="138">
                  <c:v>64.691960583595431</c:v>
                </c:pt>
                <c:pt idx="139">
                  <c:v>64.182471222439787</c:v>
                </c:pt>
                <c:pt idx="140">
                  <c:v>63.725297237759527</c:v>
                </c:pt>
                <c:pt idx="141">
                  <c:v>63.268400886868392</c:v>
                </c:pt>
                <c:pt idx="142">
                  <c:v>62.881230214845452</c:v>
                </c:pt>
                <c:pt idx="143">
                  <c:v>62.504651617201681</c:v>
                </c:pt>
                <c:pt idx="144">
                  <c:v>62.154606142448756</c:v>
                </c:pt>
                <c:pt idx="145">
                  <c:v>61.8000459560647</c:v>
                </c:pt>
                <c:pt idx="146">
                  <c:v>61.446677650791415</c:v>
                </c:pt>
                <c:pt idx="147">
                  <c:v>61.102509972654808</c:v>
                </c:pt>
                <c:pt idx="148">
                  <c:v>60.787881026095057</c:v>
                </c:pt>
                <c:pt idx="149">
                  <c:v>60.466294885344837</c:v>
                </c:pt>
                <c:pt idx="150">
                  <c:v>60.147969181675485</c:v>
                </c:pt>
                <c:pt idx="151">
                  <c:v>59.822851053299964</c:v>
                </c:pt>
                <c:pt idx="152">
                  <c:v>59.485492261574812</c:v>
                </c:pt>
                <c:pt idx="153">
                  <c:v>59.106403360562155</c:v>
                </c:pt>
                <c:pt idx="154">
                  <c:v>58.704126701698954</c:v>
                </c:pt>
                <c:pt idx="155">
                  <c:v>58.269832687648794</c:v>
                </c:pt>
                <c:pt idx="156">
                  <c:v>57.80959221986619</c:v>
                </c:pt>
                <c:pt idx="157">
                  <c:v>57.341122687578995</c:v>
                </c:pt>
                <c:pt idx="158">
                  <c:v>56.850804417376146</c:v>
                </c:pt>
                <c:pt idx="159">
                  <c:v>56.345562109794635</c:v>
                </c:pt>
                <c:pt idx="160">
                  <c:v>55.826674279175073</c:v>
                </c:pt>
                <c:pt idx="161">
                  <c:v>55.268833268163874</c:v>
                </c:pt>
                <c:pt idx="162">
                  <c:v>54.705423433859323</c:v>
                </c:pt>
                <c:pt idx="163">
                  <c:v>54.160892045929351</c:v>
                </c:pt>
                <c:pt idx="164">
                  <c:v>53.617720987131122</c:v>
                </c:pt>
                <c:pt idx="165">
                  <c:v>53.082872102892779</c:v>
                </c:pt>
                <c:pt idx="166">
                  <c:v>52.556945428153746</c:v>
                </c:pt>
                <c:pt idx="167">
                  <c:v>52.02670707811582</c:v>
                </c:pt>
                <c:pt idx="168">
                  <c:v>51.503660826587719</c:v>
                </c:pt>
                <c:pt idx="169">
                  <c:v>50.985130807460763</c:v>
                </c:pt>
                <c:pt idx="170">
                  <c:v>50.47844888902592</c:v>
                </c:pt>
                <c:pt idx="171">
                  <c:v>49.973357560028994</c:v>
                </c:pt>
                <c:pt idx="172">
                  <c:v>49.478882150808495</c:v>
                </c:pt>
                <c:pt idx="173">
                  <c:v>48.971768350528372</c:v>
                </c:pt>
                <c:pt idx="174">
                  <c:v>48.501612141772895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0-4014-A4AD-5DEE22E8B1E4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data_co2_excLUC!$F$3:$F$177</c:f>
              <c:numCache>
                <c:formatCode>0.0</c:formatCode>
                <c:ptCount val="175"/>
                <c:pt idx="0">
                  <c:v>5.0283822385878807E-2</c:v>
                </c:pt>
                <c:pt idx="1">
                  <c:v>3.5255285846403694E-2</c:v>
                </c:pt>
                <c:pt idx="2">
                  <c:v>3.9043690312965396E-2</c:v>
                </c:pt>
                <c:pt idx="3">
                  <c:v>2.7439891714649889E-2</c:v>
                </c:pt>
                <c:pt idx="4">
                  <c:v>6.4738520398179844E-3</c:v>
                </c:pt>
                <c:pt idx="5">
                  <c:v>2.5815276744580729E-2</c:v>
                </c:pt>
                <c:pt idx="6">
                  <c:v>6.5857316080212058E-2</c:v>
                </c:pt>
                <c:pt idx="7">
                  <c:v>0.10833564181530164</c:v>
                </c:pt>
                <c:pt idx="8">
                  <c:v>0.16067055520635165</c:v>
                </c:pt>
                <c:pt idx="9">
                  <c:v>0.19102502444650327</c:v>
                </c:pt>
                <c:pt idx="10">
                  <c:v>0.22102274121495213</c:v>
                </c:pt>
                <c:pt idx="11">
                  <c:v>0.24546731804352362</c:v>
                </c:pt>
                <c:pt idx="12">
                  <c:v>0.26781536211206003</c:v>
                </c:pt>
                <c:pt idx="13">
                  <c:v>0.28033039609883303</c:v>
                </c:pt>
                <c:pt idx="14">
                  <c:v>0.29815400885857457</c:v>
                </c:pt>
                <c:pt idx="15">
                  <c:v>0.31531115268197141</c:v>
                </c:pt>
                <c:pt idx="16">
                  <c:v>0.33717565971248575</c:v>
                </c:pt>
                <c:pt idx="17">
                  <c:v>0.3447337547197975</c:v>
                </c:pt>
                <c:pt idx="18">
                  <c:v>0.35374821641990195</c:v>
                </c:pt>
                <c:pt idx="19">
                  <c:v>0.35533359843157086</c:v>
                </c:pt>
                <c:pt idx="20">
                  <c:v>0.3549813361558023</c:v>
                </c:pt>
                <c:pt idx="21">
                  <c:v>0.35372152705352278</c:v>
                </c:pt>
                <c:pt idx="22">
                  <c:v>0.3580264748068771</c:v>
                </c:pt>
                <c:pt idx="23">
                  <c:v>0.36264570257813489</c:v>
                </c:pt>
                <c:pt idx="24">
                  <c:v>0.37032443246943103</c:v>
                </c:pt>
                <c:pt idx="25">
                  <c:v>0.37018434047891446</c:v>
                </c:pt>
                <c:pt idx="26">
                  <c:v>0.36498477131247853</c:v>
                </c:pt>
                <c:pt idx="27">
                  <c:v>0.35799084110483648</c:v>
                </c:pt>
                <c:pt idx="28">
                  <c:v>0.36390682951567044</c:v>
                </c:pt>
                <c:pt idx="29">
                  <c:v>0.3688516233793564</c:v>
                </c:pt>
                <c:pt idx="30">
                  <c:v>0.37410986497884835</c:v>
                </c:pt>
                <c:pt idx="31">
                  <c:v>0.37800099738210236</c:v>
                </c:pt>
                <c:pt idx="32">
                  <c:v>0.38113661809120458</c:v>
                </c:pt>
                <c:pt idx="33">
                  <c:v>0.38385387234274049</c:v>
                </c:pt>
                <c:pt idx="34">
                  <c:v>0.38872956849500895</c:v>
                </c:pt>
                <c:pt idx="35">
                  <c:v>0.39388902330139786</c:v>
                </c:pt>
                <c:pt idx="36">
                  <c:v>0.39608665332754356</c:v>
                </c:pt>
                <c:pt idx="37">
                  <c:v>0.39511818379511965</c:v>
                </c:pt>
                <c:pt idx="38">
                  <c:v>0.39852887606710397</c:v>
                </c:pt>
                <c:pt idx="39">
                  <c:v>0.40351858286008735</c:v>
                </c:pt>
                <c:pt idx="40">
                  <c:v>0.40361889106142712</c:v>
                </c:pt>
                <c:pt idx="41">
                  <c:v>0.4054737711228853</c:v>
                </c:pt>
                <c:pt idx="42">
                  <c:v>0.40748975976580937</c:v>
                </c:pt>
                <c:pt idx="43">
                  <c:v>0.40853328015256807</c:v>
                </c:pt>
                <c:pt idx="44">
                  <c:v>0.41334771687064631</c:v>
                </c:pt>
                <c:pt idx="45">
                  <c:v>0.41369661679833314</c:v>
                </c:pt>
                <c:pt idx="46">
                  <c:v>0.41479793586007929</c:v>
                </c:pt>
                <c:pt idx="47">
                  <c:v>0.41460493662640374</c:v>
                </c:pt>
                <c:pt idx="48">
                  <c:v>0.4147128907080031</c:v>
                </c:pt>
                <c:pt idx="49">
                  <c:v>0.41425618616086979</c:v>
                </c:pt>
                <c:pt idx="50">
                  <c:v>0.41311135166633051</c:v>
                </c:pt>
                <c:pt idx="51">
                  <c:v>0.40343118440171111</c:v>
                </c:pt>
                <c:pt idx="52">
                  <c:v>0.39320425619260391</c:v>
                </c:pt>
                <c:pt idx="53">
                  <c:v>0.38086748699183204</c:v>
                </c:pt>
                <c:pt idx="54">
                  <c:v>0.36798380753570825</c:v>
                </c:pt>
                <c:pt idx="55">
                  <c:v>0.35927734761258989</c:v>
                </c:pt>
                <c:pt idx="56">
                  <c:v>0.32556806893094858</c:v>
                </c:pt>
                <c:pt idx="57">
                  <c:v>0.32856939479393077</c:v>
                </c:pt>
                <c:pt idx="58">
                  <c:v>0.32388015615049426</c:v>
                </c:pt>
                <c:pt idx="59">
                  <c:v>0.32470938801071725</c:v>
                </c:pt>
                <c:pt idx="60">
                  <c:v>0.32623920341562496</c:v>
                </c:pt>
                <c:pt idx="61">
                  <c:v>0.31724057966722796</c:v>
                </c:pt>
                <c:pt idx="62">
                  <c:v>0.32144039933490376</c:v>
                </c:pt>
                <c:pt idx="63">
                  <c:v>0.33070235645318746</c:v>
                </c:pt>
                <c:pt idx="64">
                  <c:v>0.33381133398434315</c:v>
                </c:pt>
                <c:pt idx="65">
                  <c:v>0.33079678420821779</c:v>
                </c:pt>
                <c:pt idx="66">
                  <c:v>0.33017608222446881</c:v>
                </c:pt>
                <c:pt idx="67">
                  <c:v>0.32982792564121155</c:v>
                </c:pt>
                <c:pt idx="68">
                  <c:v>0.33285586196750216</c:v>
                </c:pt>
                <c:pt idx="69">
                  <c:v>0.33555849367749602</c:v>
                </c:pt>
                <c:pt idx="70">
                  <c:v>0.34307288083039111</c:v>
                </c:pt>
                <c:pt idx="71">
                  <c:v>0.35144168406584697</c:v>
                </c:pt>
                <c:pt idx="72">
                  <c:v>0.35719209469706925</c:v>
                </c:pt>
                <c:pt idx="73">
                  <c:v>0.35900542696334981</c:v>
                </c:pt>
                <c:pt idx="74">
                  <c:v>0.35929664677053097</c:v>
                </c:pt>
                <c:pt idx="75">
                  <c:v>0.35870145811038867</c:v>
                </c:pt>
                <c:pt idx="76">
                  <c:v>0.35004278879166861</c:v>
                </c:pt>
                <c:pt idx="77">
                  <c:v>0.33649003057679749</c:v>
                </c:pt>
                <c:pt idx="78">
                  <c:v>0.31305774860923918</c:v>
                </c:pt>
                <c:pt idx="79">
                  <c:v>0.28439735695309309</c:v>
                </c:pt>
                <c:pt idx="80">
                  <c:v>0.25027694084097618</c:v>
                </c:pt>
                <c:pt idx="81">
                  <c:v>0.22230217394773888</c:v>
                </c:pt>
                <c:pt idx="82">
                  <c:v>0.1976759932432941</c:v>
                </c:pt>
                <c:pt idx="83">
                  <c:v>0.17284126013095147</c:v>
                </c:pt>
                <c:pt idx="84">
                  <c:v>0.14485153024249087</c:v>
                </c:pt>
                <c:pt idx="85">
                  <c:v>0.11275674619163567</c:v>
                </c:pt>
                <c:pt idx="86">
                  <c:v>7.7083267816732359E-2</c:v>
                </c:pt>
                <c:pt idx="87">
                  <c:v>3.8649538508437331E-2</c:v>
                </c:pt>
                <c:pt idx="88">
                  <c:v>2.9811445367897704E-3</c:v>
                </c:pt>
                <c:pt idx="89">
                  <c:v>4.5110038828298116E-2</c:v>
                </c:pt>
                <c:pt idx="90">
                  <c:v>7.6987472000269008E-2</c:v>
                </c:pt>
                <c:pt idx="91">
                  <c:v>0.11425446720393495</c:v>
                </c:pt>
                <c:pt idx="92">
                  <c:v>0.16547543891846317</c:v>
                </c:pt>
                <c:pt idx="93">
                  <c:v>0.25777818524089469</c:v>
                </c:pt>
                <c:pt idx="94">
                  <c:v>0.30000300872923447</c:v>
                </c:pt>
                <c:pt idx="95">
                  <c:v>0.35547264669288836</c:v>
                </c:pt>
                <c:pt idx="96">
                  <c:v>0.43303527800976838</c:v>
                </c:pt>
                <c:pt idx="97">
                  <c:v>0.49146562128342453</c:v>
                </c:pt>
                <c:pt idx="98">
                  <c:v>0.5456243925281683</c:v>
                </c:pt>
                <c:pt idx="99">
                  <c:v>0.61462657103146512</c:v>
                </c:pt>
                <c:pt idx="100">
                  <c:v>0.61585378842116256</c:v>
                </c:pt>
                <c:pt idx="101">
                  <c:v>0.62058579949687953</c:v>
                </c:pt>
                <c:pt idx="102">
                  <c:v>0.62598094179125496</c:v>
                </c:pt>
                <c:pt idx="103">
                  <c:v>0.63473625996354599</c:v>
                </c:pt>
                <c:pt idx="104">
                  <c:v>0.6464390294041209</c:v>
                </c:pt>
                <c:pt idx="105">
                  <c:v>0.6572628365376687</c:v>
                </c:pt>
                <c:pt idx="106">
                  <c:v>0.66918386210465997</c:v>
                </c:pt>
                <c:pt idx="107">
                  <c:v>0.68764730013606368</c:v>
                </c:pt>
                <c:pt idx="108">
                  <c:v>0.70988418035759082</c:v>
                </c:pt>
                <c:pt idx="109">
                  <c:v>0.73194069845941101</c:v>
                </c:pt>
                <c:pt idx="110">
                  <c:v>0.75578515241373623</c:v>
                </c:pt>
                <c:pt idx="111">
                  <c:v>0.78287220683431258</c:v>
                </c:pt>
                <c:pt idx="112">
                  <c:v>0.81075675983839801</c:v>
                </c:pt>
                <c:pt idx="113">
                  <c:v>0.83772733671361266</c:v>
                </c:pt>
                <c:pt idx="114">
                  <c:v>0.86127142915930222</c:v>
                </c:pt>
                <c:pt idx="115">
                  <c:v>0.88112429089586897</c:v>
                </c:pt>
                <c:pt idx="116">
                  <c:v>0.90654050873168046</c:v>
                </c:pt>
                <c:pt idx="117">
                  <c:v>0.92433961012682175</c:v>
                </c:pt>
                <c:pt idx="118">
                  <c:v>0.9439718319724193</c:v>
                </c:pt>
                <c:pt idx="119">
                  <c:v>0.96032258990368291</c:v>
                </c:pt>
                <c:pt idx="120">
                  <c:v>0.97582431233185218</c:v>
                </c:pt>
                <c:pt idx="121">
                  <c:v>0.97850313706965153</c:v>
                </c:pt>
                <c:pt idx="122">
                  <c:v>0.97995998556004338</c:v>
                </c:pt>
                <c:pt idx="123">
                  <c:v>0.97812823380506586</c:v>
                </c:pt>
                <c:pt idx="124">
                  <c:v>0.9711167245996819</c:v>
                </c:pt>
                <c:pt idx="125">
                  <c:v>0.96230702850975547</c:v>
                </c:pt>
                <c:pt idx="126">
                  <c:v>0.94656723938798848</c:v>
                </c:pt>
                <c:pt idx="127">
                  <c:v>0.92672953389134705</c:v>
                </c:pt>
                <c:pt idx="128">
                  <c:v>0.90093559736237694</c:v>
                </c:pt>
                <c:pt idx="129">
                  <c:v>0.87560090483914621</c:v>
                </c:pt>
                <c:pt idx="130">
                  <c:v>0.84842684794591605</c:v>
                </c:pt>
                <c:pt idx="131">
                  <c:v>0.82444646158073454</c:v>
                </c:pt>
                <c:pt idx="132">
                  <c:v>0.79864466214502272</c:v>
                </c:pt>
                <c:pt idx="133">
                  <c:v>0.77112635415809905</c:v>
                </c:pt>
                <c:pt idx="134">
                  <c:v>0.74648024334119611</c:v>
                </c:pt>
                <c:pt idx="135">
                  <c:v>0.71922083501787881</c:v>
                </c:pt>
                <c:pt idx="136">
                  <c:v>0.6918945331807862</c:v>
                </c:pt>
                <c:pt idx="137">
                  <c:v>0.66442043128030548</c:v>
                </c:pt>
                <c:pt idx="138">
                  <c:v>0.63278080572598583</c:v>
                </c:pt>
                <c:pt idx="139">
                  <c:v>0.60981607297446772</c:v>
                </c:pt>
                <c:pt idx="140">
                  <c:v>0.57993839845607198</c:v>
                </c:pt>
                <c:pt idx="141">
                  <c:v>0.57403795817057812</c:v>
                </c:pt>
                <c:pt idx="142">
                  <c:v>0.54685574650996926</c:v>
                </c:pt>
                <c:pt idx="143">
                  <c:v>0.51843458491197225</c:v>
                </c:pt>
                <c:pt idx="144">
                  <c:v>0.48745504915385141</c:v>
                </c:pt>
                <c:pt idx="145">
                  <c:v>0.45980855597462522</c:v>
                </c:pt>
                <c:pt idx="146">
                  <c:v>0.43728800132828383</c:v>
                </c:pt>
                <c:pt idx="147">
                  <c:v>0.41978270767538817</c:v>
                </c:pt>
                <c:pt idx="148">
                  <c:v>0.40796403231555445</c:v>
                </c:pt>
                <c:pt idx="149">
                  <c:v>0.39812326556446465</c:v>
                </c:pt>
                <c:pt idx="150">
                  <c:v>0.3905453038180795</c:v>
                </c:pt>
                <c:pt idx="151">
                  <c:v>0.38709048707065108</c:v>
                </c:pt>
                <c:pt idx="152">
                  <c:v>0.38755990037565624</c:v>
                </c:pt>
                <c:pt idx="153">
                  <c:v>0.38593584531112413</c:v>
                </c:pt>
                <c:pt idx="154">
                  <c:v>0.38921614980477415</c:v>
                </c:pt>
                <c:pt idx="155">
                  <c:v>0.39624717181590086</c:v>
                </c:pt>
                <c:pt idx="156">
                  <c:v>0.39445642364213995</c:v>
                </c:pt>
                <c:pt idx="157">
                  <c:v>0.38889131426472545</c:v>
                </c:pt>
                <c:pt idx="158">
                  <c:v>0.37514205813481993</c:v>
                </c:pt>
                <c:pt idx="159">
                  <c:v>0.35880975531451753</c:v>
                </c:pt>
                <c:pt idx="160">
                  <c:v>0.3309652429968466</c:v>
                </c:pt>
                <c:pt idx="161">
                  <c:v>0.30480127247209055</c:v>
                </c:pt>
                <c:pt idx="162">
                  <c:v>0.27953176881512576</c:v>
                </c:pt>
                <c:pt idx="163">
                  <c:v>0.25833108468916777</c:v>
                </c:pt>
                <c:pt idx="164">
                  <c:v>0.24421217262847961</c:v>
                </c:pt>
                <c:pt idx="165">
                  <c:v>0.24023229908945609</c:v>
                </c:pt>
                <c:pt idx="166">
                  <c:v>0.24074368629671739</c:v>
                </c:pt>
                <c:pt idx="167">
                  <c:v>0.2462275762989492</c:v>
                </c:pt>
                <c:pt idx="168">
                  <c:v>0.24764969834580342</c:v>
                </c:pt>
                <c:pt idx="169">
                  <c:v>0.23896921503929747</c:v>
                </c:pt>
                <c:pt idx="170">
                  <c:v>0.23005899156098764</c:v>
                </c:pt>
                <c:pt idx="171">
                  <c:v>0.22029915835631186</c:v>
                </c:pt>
                <c:pt idx="172">
                  <c:v>0.20106408438000045</c:v>
                </c:pt>
                <c:pt idx="173">
                  <c:v>0.18224297239923004</c:v>
                </c:pt>
                <c:pt idx="174">
                  <c:v>0.13291763889239405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90-4014-A4AD-5DEE22E8B1E4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90-4014-A4AD-5DEE22E8B1E4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data_co2_excLUC!$H$3:$H$177</c:f>
              <c:numCache>
                <c:formatCode>0.0</c:formatCode>
                <c:ptCount val="175"/>
                <c:pt idx="0">
                  <c:v>1.6261365628860034</c:v>
                </c:pt>
                <c:pt idx="1">
                  <c:v>1.7426865076656668</c:v>
                </c:pt>
                <c:pt idx="2">
                  <c:v>1.8687148260516864</c:v>
                </c:pt>
                <c:pt idx="3">
                  <c:v>1.9431667694428967</c:v>
                </c:pt>
                <c:pt idx="4">
                  <c:v>1.9816321009344477</c:v>
                </c:pt>
                <c:pt idx="5">
                  <c:v>2.0518845426835242</c:v>
                </c:pt>
                <c:pt idx="6">
                  <c:v>2.0745378881358931</c:v>
                </c:pt>
                <c:pt idx="7">
                  <c:v>2.0976794005394765</c:v>
                </c:pt>
                <c:pt idx="8">
                  <c:v>2.1465832968276715</c:v>
                </c:pt>
                <c:pt idx="9">
                  <c:v>2.1703863699745369</c:v>
                </c:pt>
                <c:pt idx="10">
                  <c:v>2.1900433153747088</c:v>
                </c:pt>
                <c:pt idx="11">
                  <c:v>2.2236680943311029</c:v>
                </c:pt>
                <c:pt idx="12">
                  <c:v>2.2963585730608713</c:v>
                </c:pt>
                <c:pt idx="13">
                  <c:v>2.3954514247680692</c:v>
                </c:pt>
                <c:pt idx="14">
                  <c:v>2.4935486123273733</c:v>
                </c:pt>
                <c:pt idx="15">
                  <c:v>2.5985326244206561</c:v>
                </c:pt>
                <c:pt idx="16">
                  <c:v>2.7124635035760889</c:v>
                </c:pt>
                <c:pt idx="17">
                  <c:v>2.8433987154418361</c:v>
                </c:pt>
                <c:pt idx="18">
                  <c:v>2.9771757852406324</c:v>
                </c:pt>
                <c:pt idx="19">
                  <c:v>3.1139663507751436</c:v>
                </c:pt>
                <c:pt idx="20">
                  <c:v>3.2544203670986178</c:v>
                </c:pt>
                <c:pt idx="21">
                  <c:v>3.4198718453078243</c:v>
                </c:pt>
                <c:pt idx="22">
                  <c:v>3.5598746342638208</c:v>
                </c:pt>
                <c:pt idx="23">
                  <c:v>3.6857421402927883</c:v>
                </c:pt>
                <c:pt idx="24">
                  <c:v>3.8429315357214477</c:v>
                </c:pt>
                <c:pt idx="25">
                  <c:v>3.9770157266818416</c:v>
                </c:pt>
                <c:pt idx="26">
                  <c:v>4.1765779709706692</c:v>
                </c:pt>
                <c:pt idx="27">
                  <c:v>4.3483592916388716</c:v>
                </c:pt>
                <c:pt idx="28">
                  <c:v>4.5204796593530148</c:v>
                </c:pt>
                <c:pt idx="29">
                  <c:v>4.6822079026523795</c:v>
                </c:pt>
                <c:pt idx="30">
                  <c:v>4.8123860312581002</c:v>
                </c:pt>
                <c:pt idx="31">
                  <c:v>4.9309609844652584</c:v>
                </c:pt>
                <c:pt idx="32">
                  <c:v>5.0344364440482394</c:v>
                </c:pt>
                <c:pt idx="33">
                  <c:v>5.1468081385564943</c:v>
                </c:pt>
                <c:pt idx="34">
                  <c:v>5.2551087377941457</c:v>
                </c:pt>
                <c:pt idx="35">
                  <c:v>5.3700761336655489</c:v>
                </c:pt>
                <c:pt idx="36">
                  <c:v>5.4825627742724379</c:v>
                </c:pt>
                <c:pt idx="37">
                  <c:v>5.5855024635038575</c:v>
                </c:pt>
                <c:pt idx="38">
                  <c:v>5.6741923200707731</c:v>
                </c:pt>
                <c:pt idx="39">
                  <c:v>5.7806624260102808</c:v>
                </c:pt>
                <c:pt idx="40">
                  <c:v>5.8826636788687381</c:v>
                </c:pt>
                <c:pt idx="41">
                  <c:v>5.9870306134511253</c:v>
                </c:pt>
                <c:pt idx="42">
                  <c:v>6.0780396350834138</c:v>
                </c:pt>
                <c:pt idx="43">
                  <c:v>6.1931260177300942</c:v>
                </c:pt>
                <c:pt idx="44">
                  <c:v>6.2919192881958566</c:v>
                </c:pt>
                <c:pt idx="45">
                  <c:v>6.3983228441309166</c:v>
                </c:pt>
                <c:pt idx="46">
                  <c:v>6.5022278510220417</c:v>
                </c:pt>
                <c:pt idx="47">
                  <c:v>6.6143033154582298</c:v>
                </c:pt>
                <c:pt idx="48">
                  <c:v>6.7339313406747578</c:v>
                </c:pt>
                <c:pt idx="49">
                  <c:v>6.8421368930369226</c:v>
                </c:pt>
                <c:pt idx="50">
                  <c:v>6.9481180125646205</c:v>
                </c:pt>
                <c:pt idx="51">
                  <c:v>7.0600353229584698</c:v>
                </c:pt>
                <c:pt idx="52">
                  <c:v>7.1460553978429147</c:v>
                </c:pt>
                <c:pt idx="53">
                  <c:v>7.2039141856566573</c:v>
                </c:pt>
                <c:pt idx="54">
                  <c:v>7.2726900820532734</c:v>
                </c:pt>
                <c:pt idx="55">
                  <c:v>7.3105111628730981</c:v>
                </c:pt>
                <c:pt idx="56">
                  <c:v>7.385806140520458</c:v>
                </c:pt>
                <c:pt idx="57">
                  <c:v>7.409385793042162</c:v>
                </c:pt>
                <c:pt idx="58">
                  <c:v>7.46585081009367</c:v>
                </c:pt>
                <c:pt idx="59">
                  <c:v>7.5110570005587789</c:v>
                </c:pt>
                <c:pt idx="60">
                  <c:v>7.5290917680875822</c:v>
                </c:pt>
                <c:pt idx="61">
                  <c:v>7.5661150464822811</c:v>
                </c:pt>
                <c:pt idx="62">
                  <c:v>7.6072710550114806</c:v>
                </c:pt>
                <c:pt idx="63">
                  <c:v>7.6357928000602868</c:v>
                </c:pt>
                <c:pt idx="64">
                  <c:v>7.6510467768648027</c:v>
                </c:pt>
                <c:pt idx="65">
                  <c:v>7.6615214115476249</c:v>
                </c:pt>
                <c:pt idx="66">
                  <c:v>7.670005583036982</c:v>
                </c:pt>
                <c:pt idx="67">
                  <c:v>7.6642058032377918</c:v>
                </c:pt>
                <c:pt idx="68">
                  <c:v>7.5739927089164638</c:v>
                </c:pt>
                <c:pt idx="69">
                  <c:v>7.4133348226530273</c:v>
                </c:pt>
                <c:pt idx="70">
                  <c:v>7.2928561501586273</c:v>
                </c:pt>
                <c:pt idx="71">
                  <c:v>7.2139803907434725</c:v>
                </c:pt>
                <c:pt idx="72">
                  <c:v>7.1335356255550266</c:v>
                </c:pt>
                <c:pt idx="73">
                  <c:v>7.0221842423263894</c:v>
                </c:pt>
                <c:pt idx="74">
                  <c:v>6.9313060551410501</c:v>
                </c:pt>
                <c:pt idx="75">
                  <c:v>6.8432898623204892</c:v>
                </c:pt>
                <c:pt idx="76">
                  <c:v>6.7944495602923922</c:v>
                </c:pt>
                <c:pt idx="77">
                  <c:v>6.7635280642087565</c:v>
                </c:pt>
                <c:pt idx="78">
                  <c:v>6.7597222293777151</c:v>
                </c:pt>
                <c:pt idx="79">
                  <c:v>6.7683208486710384</c:v>
                </c:pt>
                <c:pt idx="80">
                  <c:v>6.8098654502761917</c:v>
                </c:pt>
                <c:pt idx="81">
                  <c:v>6.8822362860409072</c:v>
                </c:pt>
                <c:pt idx="82">
                  <c:v>6.9677200584280143</c:v>
                </c:pt>
                <c:pt idx="83">
                  <c:v>7.055249724688295</c:v>
                </c:pt>
                <c:pt idx="84">
                  <c:v>7.1627103289759191</c:v>
                </c:pt>
                <c:pt idx="85">
                  <c:v>7.2847512014686231</c:v>
                </c:pt>
                <c:pt idx="86">
                  <c:v>7.420313481481557</c:v>
                </c:pt>
                <c:pt idx="87">
                  <c:v>7.5516540852777894</c:v>
                </c:pt>
                <c:pt idx="88">
                  <c:v>7.6876662504262754</c:v>
                </c:pt>
                <c:pt idx="89">
                  <c:v>7.7447504860447225</c:v>
                </c:pt>
                <c:pt idx="90">
                  <c:v>7.8994319637839965</c:v>
                </c:pt>
                <c:pt idx="91">
                  <c:v>8.0047096627136511</c:v>
                </c:pt>
                <c:pt idx="92">
                  <c:v>8.0401039788766582</c:v>
                </c:pt>
                <c:pt idx="93">
                  <c:v>8.0719671306656409</c:v>
                </c:pt>
                <c:pt idx="94">
                  <c:v>8.1275335467156822</c:v>
                </c:pt>
                <c:pt idx="95">
                  <c:v>8.1246351634062677</c:v>
                </c:pt>
                <c:pt idx="96">
                  <c:v>8.1286892469043863</c:v>
                </c:pt>
                <c:pt idx="97">
                  <c:v>8.1625263776016936</c:v>
                </c:pt>
                <c:pt idx="98">
                  <c:v>8.2053125278192454</c:v>
                </c:pt>
                <c:pt idx="99">
                  <c:v>8.2775509267722072</c:v>
                </c:pt>
                <c:pt idx="100">
                  <c:v>8.4271035957905127</c:v>
                </c:pt>
                <c:pt idx="101">
                  <c:v>8.5814567734136205</c:v>
                </c:pt>
                <c:pt idx="102">
                  <c:v>8.753884530913453</c:v>
                </c:pt>
                <c:pt idx="103">
                  <c:v>8.9355700870617909</c:v>
                </c:pt>
                <c:pt idx="104">
                  <c:v>9.1362117671629619</c:v>
                </c:pt>
                <c:pt idx="105">
                  <c:v>9.3537659649365708</c:v>
                </c:pt>
                <c:pt idx="106">
                  <c:v>9.5837124428219198</c:v>
                </c:pt>
                <c:pt idx="107">
                  <c:v>9.8315860233909262</c:v>
                </c:pt>
                <c:pt idx="108">
                  <c:v>10.083646535225199</c:v>
                </c:pt>
                <c:pt idx="109">
                  <c:v>10.33379096825135</c:v>
                </c:pt>
                <c:pt idx="110">
                  <c:v>10.575078831745245</c:v>
                </c:pt>
                <c:pt idx="111">
                  <c:v>10.819655571970031</c:v>
                </c:pt>
                <c:pt idx="112">
                  <c:v>11.06772701437545</c:v>
                </c:pt>
                <c:pt idx="113">
                  <c:v>11.323572114038328</c:v>
                </c:pt>
                <c:pt idx="114">
                  <c:v>11.588346893150145</c:v>
                </c:pt>
                <c:pt idx="115">
                  <c:v>11.853724423171812</c:v>
                </c:pt>
                <c:pt idx="116">
                  <c:v>12.109843115565212</c:v>
                </c:pt>
                <c:pt idx="117">
                  <c:v>12.372137521148446</c:v>
                </c:pt>
                <c:pt idx="118">
                  <c:v>12.616711012246142</c:v>
                </c:pt>
                <c:pt idx="119">
                  <c:v>12.851734511043787</c:v>
                </c:pt>
                <c:pt idx="120">
                  <c:v>13.07093819642003</c:v>
                </c:pt>
                <c:pt idx="121">
                  <c:v>13.297782854608371</c:v>
                </c:pt>
                <c:pt idx="122">
                  <c:v>13.523711955570505</c:v>
                </c:pt>
                <c:pt idx="123">
                  <c:v>13.741243689094674</c:v>
                </c:pt>
                <c:pt idx="124">
                  <c:v>13.969324166390948</c:v>
                </c:pt>
                <c:pt idx="125">
                  <c:v>14.218618460994207</c:v>
                </c:pt>
                <c:pt idx="126">
                  <c:v>14.463902590788905</c:v>
                </c:pt>
                <c:pt idx="127">
                  <c:v>14.70787654895291</c:v>
                </c:pt>
                <c:pt idx="128">
                  <c:v>14.94867956713712</c:v>
                </c:pt>
                <c:pt idx="129">
                  <c:v>15.167336141856097</c:v>
                </c:pt>
                <c:pt idx="130">
                  <c:v>15.400320942914533</c:v>
                </c:pt>
                <c:pt idx="131">
                  <c:v>15.61177182567377</c:v>
                </c:pt>
                <c:pt idx="132">
                  <c:v>15.830981281890104</c:v>
                </c:pt>
                <c:pt idx="133">
                  <c:v>16.044088765821442</c:v>
                </c:pt>
                <c:pt idx="134">
                  <c:v>16.236151237752537</c:v>
                </c:pt>
                <c:pt idx="135">
                  <c:v>16.440594161106858</c:v>
                </c:pt>
                <c:pt idx="136">
                  <c:v>16.636236300556135</c:v>
                </c:pt>
                <c:pt idx="137">
                  <c:v>16.812435014378963</c:v>
                </c:pt>
                <c:pt idx="138">
                  <c:v>16.97110254150644</c:v>
                </c:pt>
                <c:pt idx="139">
                  <c:v>17.092899138535188</c:v>
                </c:pt>
                <c:pt idx="140">
                  <c:v>17.195019325484211</c:v>
                </c:pt>
                <c:pt idx="141">
                  <c:v>17.229961368744299</c:v>
                </c:pt>
                <c:pt idx="142">
                  <c:v>17.232604182013077</c:v>
                </c:pt>
                <c:pt idx="143">
                  <c:v>17.211230936450072</c:v>
                </c:pt>
                <c:pt idx="144">
                  <c:v>17.155055809129777</c:v>
                </c:pt>
                <c:pt idx="145">
                  <c:v>17.084814979950977</c:v>
                </c:pt>
                <c:pt idx="146">
                  <c:v>16.998634006922288</c:v>
                </c:pt>
                <c:pt idx="147">
                  <c:v>16.896443558359877</c:v>
                </c:pt>
                <c:pt idx="148">
                  <c:v>16.787549598038652</c:v>
                </c:pt>
                <c:pt idx="149">
                  <c:v>16.668060913955088</c:v>
                </c:pt>
                <c:pt idx="150">
                  <c:v>16.539828956830959</c:v>
                </c:pt>
                <c:pt idx="151">
                  <c:v>16.414309666491128</c:v>
                </c:pt>
                <c:pt idx="152">
                  <c:v>16.278967319116049</c:v>
                </c:pt>
                <c:pt idx="153">
                  <c:v>16.140045804133692</c:v>
                </c:pt>
                <c:pt idx="154">
                  <c:v>15.990782625155326</c:v>
                </c:pt>
                <c:pt idx="155">
                  <c:v>15.833382949487337</c:v>
                </c:pt>
                <c:pt idx="156">
                  <c:v>15.690906588218525</c:v>
                </c:pt>
                <c:pt idx="157">
                  <c:v>15.552899851909622</c:v>
                </c:pt>
                <c:pt idx="158">
                  <c:v>15.424940609023594</c:v>
                </c:pt>
                <c:pt idx="159">
                  <c:v>15.296047437100583</c:v>
                </c:pt>
                <c:pt idx="160">
                  <c:v>15.178014060001942</c:v>
                </c:pt>
                <c:pt idx="161">
                  <c:v>15.058916124504705</c:v>
                </c:pt>
                <c:pt idx="162">
                  <c:v>14.940430670905592</c:v>
                </c:pt>
                <c:pt idx="163">
                  <c:v>14.798355143677455</c:v>
                </c:pt>
                <c:pt idx="164">
                  <c:v>14.655611046652197</c:v>
                </c:pt>
                <c:pt idx="165">
                  <c:v>14.519508783400653</c:v>
                </c:pt>
                <c:pt idx="166">
                  <c:v>14.392042853716049</c:v>
                </c:pt>
                <c:pt idx="167">
                  <c:v>14.267435510929175</c:v>
                </c:pt>
                <c:pt idx="168">
                  <c:v>14.137300226169366</c:v>
                </c:pt>
                <c:pt idx="169">
                  <c:v>14.01832979558116</c:v>
                </c:pt>
                <c:pt idx="170">
                  <c:v>13.910554942548075</c:v>
                </c:pt>
                <c:pt idx="171">
                  <c:v>13.80268441959376</c:v>
                </c:pt>
                <c:pt idx="172">
                  <c:v>13.683955990439834</c:v>
                </c:pt>
                <c:pt idx="173">
                  <c:v>13.568155141152566</c:v>
                </c:pt>
                <c:pt idx="174">
                  <c:v>13.457213427147224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90-4014-A4AD-5DEE22E8B1E4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data_co2_excLUC!$Q$3:$Q$177</c:f>
              <c:numCache>
                <c:formatCode>0.0</c:formatCode>
                <c:ptCount val="175"/>
                <c:pt idx="0">
                  <c:v>3.4769546577663846E-2</c:v>
                </c:pt>
                <c:pt idx="1">
                  <c:v>3.4156275022724003E-2</c:v>
                </c:pt>
                <c:pt idx="2">
                  <c:v>4.4280608627829565E-2</c:v>
                </c:pt>
                <c:pt idx="3">
                  <c:v>3.9798190631586294E-2</c:v>
                </c:pt>
                <c:pt idx="4">
                  <c:v>2.4493007899764052E-2</c:v>
                </c:pt>
                <c:pt idx="5">
                  <c:v>2.887406917534463E-2</c:v>
                </c:pt>
                <c:pt idx="6">
                  <c:v>7.751922703376124E-2</c:v>
                </c:pt>
                <c:pt idx="7">
                  <c:v>0.12716151390785058</c:v>
                </c:pt>
                <c:pt idx="8">
                  <c:v>0.16896983348077299</c:v>
                </c:pt>
                <c:pt idx="9">
                  <c:v>0.18998930062409158</c:v>
                </c:pt>
                <c:pt idx="10">
                  <c:v>0.21303040261011574</c:v>
                </c:pt>
                <c:pt idx="11">
                  <c:v>0.23221124140357574</c:v>
                </c:pt>
                <c:pt idx="12">
                  <c:v>0.24982368119071907</c:v>
                </c:pt>
                <c:pt idx="13">
                  <c:v>0.25872636468689336</c:v>
                </c:pt>
                <c:pt idx="14">
                  <c:v>0.27442121700430278</c:v>
                </c:pt>
                <c:pt idx="15">
                  <c:v>0.28987166714732382</c:v>
                </c:pt>
                <c:pt idx="16">
                  <c:v>0.31177506268505795</c:v>
                </c:pt>
                <c:pt idx="17">
                  <c:v>0.31842219840126518</c:v>
                </c:pt>
                <c:pt idx="18">
                  <c:v>0.32628801260516127</c:v>
                </c:pt>
                <c:pt idx="19">
                  <c:v>0.32725680234000265</c:v>
                </c:pt>
                <c:pt idx="20">
                  <c:v>0.32599657129080128</c:v>
                </c:pt>
                <c:pt idx="21">
                  <c:v>0.32316523874087011</c:v>
                </c:pt>
                <c:pt idx="22">
                  <c:v>0.3260709402458275</c:v>
                </c:pt>
                <c:pt idx="23">
                  <c:v>0.32940010568751177</c:v>
                </c:pt>
                <c:pt idx="24">
                  <c:v>0.33713356607118783</c:v>
                </c:pt>
                <c:pt idx="25">
                  <c:v>0.33654389847680477</c:v>
                </c:pt>
                <c:pt idx="26">
                  <c:v>0.33385908797598063</c:v>
                </c:pt>
                <c:pt idx="27">
                  <c:v>0.32919539593795832</c:v>
                </c:pt>
                <c:pt idx="28">
                  <c:v>0.33858773635951422</c:v>
                </c:pt>
                <c:pt idx="29">
                  <c:v>0.346604048894946</c:v>
                </c:pt>
                <c:pt idx="30">
                  <c:v>0.35359532593683696</c:v>
                </c:pt>
                <c:pt idx="31">
                  <c:v>0.36070253966744303</c:v>
                </c:pt>
                <c:pt idx="32">
                  <c:v>0.3664510611652787</c:v>
                </c:pt>
                <c:pt idx="33">
                  <c:v>0.37142659316218385</c:v>
                </c:pt>
                <c:pt idx="34">
                  <c:v>0.3783291117904497</c:v>
                </c:pt>
                <c:pt idx="35">
                  <c:v>0.38532031197992467</c:v>
                </c:pt>
                <c:pt idx="36">
                  <c:v>0.38957831432612977</c:v>
                </c:pt>
                <c:pt idx="37">
                  <c:v>0.39084193132819678</c:v>
                </c:pt>
                <c:pt idx="38">
                  <c:v>0.39636302164984727</c:v>
                </c:pt>
                <c:pt idx="39">
                  <c:v>0.40294568368028649</c:v>
                </c:pt>
                <c:pt idx="40">
                  <c:v>0.40445439114105852</c:v>
                </c:pt>
                <c:pt idx="41">
                  <c:v>0.40769226854237672</c:v>
                </c:pt>
                <c:pt idx="42">
                  <c:v>0.41118430706043796</c:v>
                </c:pt>
                <c:pt idx="43">
                  <c:v>0.41321805857371885</c:v>
                </c:pt>
                <c:pt idx="44">
                  <c:v>0.41875025371071217</c:v>
                </c:pt>
                <c:pt idx="45">
                  <c:v>0.41993880037196618</c:v>
                </c:pt>
                <c:pt idx="46">
                  <c:v>0.42167821528069283</c:v>
                </c:pt>
                <c:pt idx="47">
                  <c:v>0.4221766719658433</c:v>
                </c:pt>
                <c:pt idx="48">
                  <c:v>0.42247789575105799</c:v>
                </c:pt>
                <c:pt idx="49">
                  <c:v>0.42215246700666853</c:v>
                </c:pt>
                <c:pt idx="50">
                  <c:v>0.42008262332093693</c:v>
                </c:pt>
                <c:pt idx="51">
                  <c:v>0.40953082283786557</c:v>
                </c:pt>
                <c:pt idx="52">
                  <c:v>0.3987265329974008</c:v>
                </c:pt>
                <c:pt idx="53">
                  <c:v>0.38532126926838828</c:v>
                </c:pt>
                <c:pt idx="54">
                  <c:v>0.37182810221419516</c:v>
                </c:pt>
                <c:pt idx="55">
                  <c:v>0.36200913023789383</c:v>
                </c:pt>
                <c:pt idx="56">
                  <c:v>0.32493946901756487</c:v>
                </c:pt>
                <c:pt idx="57">
                  <c:v>0.32746826637254856</c:v>
                </c:pt>
                <c:pt idx="58">
                  <c:v>0.32065553089572063</c:v>
                </c:pt>
                <c:pt idx="59">
                  <c:v>0.32087734383675581</c:v>
                </c:pt>
                <c:pt idx="60">
                  <c:v>0.32168438252828935</c:v>
                </c:pt>
                <c:pt idx="61">
                  <c:v>0.31071016861127987</c:v>
                </c:pt>
                <c:pt idx="62">
                  <c:v>0.3130803892127858</c:v>
                </c:pt>
                <c:pt idx="63">
                  <c:v>0.32087334528885947</c:v>
                </c:pt>
                <c:pt idx="64">
                  <c:v>0.32367022112757127</c:v>
                </c:pt>
                <c:pt idx="65">
                  <c:v>0.32009183412066022</c:v>
                </c:pt>
                <c:pt idx="66">
                  <c:v>0.32041042647784934</c:v>
                </c:pt>
                <c:pt idx="67">
                  <c:v>0.32287544298827697</c:v>
                </c:pt>
                <c:pt idx="68">
                  <c:v>0.32698414014700461</c:v>
                </c:pt>
                <c:pt idx="69">
                  <c:v>0.33328242754188864</c:v>
                </c:pt>
                <c:pt idx="70">
                  <c:v>0.34280172068173442</c:v>
                </c:pt>
                <c:pt idx="71">
                  <c:v>0.35239746267052396</c:v>
                </c:pt>
                <c:pt idx="72">
                  <c:v>0.35805556906093727</c:v>
                </c:pt>
                <c:pt idx="73">
                  <c:v>0.36058734620047517</c:v>
                </c:pt>
                <c:pt idx="74">
                  <c:v>0.3614897400333632</c:v>
                </c:pt>
                <c:pt idx="75">
                  <c:v>0.35980314208231334</c:v>
                </c:pt>
                <c:pt idx="76">
                  <c:v>0.34957906265050553</c:v>
                </c:pt>
                <c:pt idx="77">
                  <c:v>0.33569041716425829</c:v>
                </c:pt>
                <c:pt idx="78">
                  <c:v>0.31038174110992145</c:v>
                </c:pt>
                <c:pt idx="79">
                  <c:v>0.27878214884040631</c:v>
                </c:pt>
                <c:pt idx="80">
                  <c:v>0.24287012339627267</c:v>
                </c:pt>
                <c:pt idx="81">
                  <c:v>0.21379117771282097</c:v>
                </c:pt>
                <c:pt idx="82">
                  <c:v>0.18820664788044894</c:v>
                </c:pt>
                <c:pt idx="83">
                  <c:v>0.16232343404024618</c:v>
                </c:pt>
                <c:pt idx="84">
                  <c:v>0.13315835824293742</c:v>
                </c:pt>
                <c:pt idx="85">
                  <c:v>9.9665420362128998E-2</c:v>
                </c:pt>
                <c:pt idx="86">
                  <c:v>6.2718419840436468E-2</c:v>
                </c:pt>
                <c:pt idx="87">
                  <c:v>2.2698578022229299E-2</c:v>
                </c:pt>
                <c:pt idx="88">
                  <c:v>2.0535059232571484E-2</c:v>
                </c:pt>
                <c:pt idx="89">
                  <c:v>6.5214872933552215E-2</c:v>
                </c:pt>
                <c:pt idx="90">
                  <c:v>9.9126332541047191E-2</c:v>
                </c:pt>
                <c:pt idx="91">
                  <c:v>0.13697288023404042</c:v>
                </c:pt>
                <c:pt idx="92">
                  <c:v>0.16132186141298632</c:v>
                </c:pt>
                <c:pt idx="93">
                  <c:v>0.19987682647739291</c:v>
                </c:pt>
                <c:pt idx="94">
                  <c:v>0.24294141720118034</c:v>
                </c:pt>
                <c:pt idx="95">
                  <c:v>0.29949209935638521</c:v>
                </c:pt>
                <c:pt idx="96">
                  <c:v>0.38155742500582335</c:v>
                </c:pt>
                <c:pt idx="97">
                  <c:v>0.44183973605071003</c:v>
                </c:pt>
                <c:pt idx="98">
                  <c:v>0.49629274383009658</c:v>
                </c:pt>
                <c:pt idx="99">
                  <c:v>0.56644979854685573</c:v>
                </c:pt>
                <c:pt idx="100">
                  <c:v>0.55776040935398896</c:v>
                </c:pt>
                <c:pt idx="101">
                  <c:v>0.55143505985624586</c:v>
                </c:pt>
                <c:pt idx="102">
                  <c:v>0.54413952984205594</c:v>
                </c:pt>
                <c:pt idx="103">
                  <c:v>0.53903635472269684</c:v>
                </c:pt>
                <c:pt idx="104">
                  <c:v>0.53549643326407192</c:v>
                </c:pt>
                <c:pt idx="105">
                  <c:v>0.52798310155345973</c:v>
                </c:pt>
                <c:pt idx="106">
                  <c:v>0.51990182130447238</c:v>
                </c:pt>
                <c:pt idx="107">
                  <c:v>0.51722960880161395</c:v>
                </c:pt>
                <c:pt idx="108">
                  <c:v>0.51770906629081992</c:v>
                </c:pt>
                <c:pt idx="109">
                  <c:v>0.51777163875338772</c:v>
                </c:pt>
                <c:pt idx="110">
                  <c:v>0.51900527056625378</c:v>
                </c:pt>
                <c:pt idx="111">
                  <c:v>0.52453831382325689</c:v>
                </c:pt>
                <c:pt idx="112">
                  <c:v>0.53224343570649069</c:v>
                </c:pt>
                <c:pt idx="113">
                  <c:v>0.54089926320324366</c:v>
                </c:pt>
                <c:pt idx="114">
                  <c:v>0.54520529910757887</c:v>
                </c:pt>
                <c:pt idx="115">
                  <c:v>0.54557459216952964</c:v>
                </c:pt>
                <c:pt idx="116">
                  <c:v>0.55061912010782521</c:v>
                </c:pt>
                <c:pt idx="117">
                  <c:v>0.54767587900232684</c:v>
                </c:pt>
                <c:pt idx="118">
                  <c:v>0.54876828956847135</c:v>
                </c:pt>
                <c:pt idx="119">
                  <c:v>0.54779291763441051</c:v>
                </c:pt>
                <c:pt idx="120">
                  <c:v>0.54865033610482783</c:v>
                </c:pt>
                <c:pt idx="121">
                  <c:v>0.54505351403989266</c:v>
                </c:pt>
                <c:pt idx="122">
                  <c:v>0.53799810576754226</c:v>
                </c:pt>
                <c:pt idx="123">
                  <c:v>0.52754049478319587</c:v>
                </c:pt>
                <c:pt idx="124">
                  <c:v>0.51716894632018295</c:v>
                </c:pt>
                <c:pt idx="125">
                  <c:v>0.50722492853903134</c:v>
                </c:pt>
                <c:pt idx="126">
                  <c:v>0.49086897642942517</c:v>
                </c:pt>
                <c:pt idx="127">
                  <c:v>0.47227996447639953</c:v>
                </c:pt>
                <c:pt idx="128">
                  <c:v>0.44822029504211969</c:v>
                </c:pt>
                <c:pt idx="129">
                  <c:v>0.42358749370639259</c:v>
                </c:pt>
                <c:pt idx="130">
                  <c:v>0.39784884102196827</c:v>
                </c:pt>
                <c:pt idx="131">
                  <c:v>0.37671645132837739</c:v>
                </c:pt>
                <c:pt idx="132">
                  <c:v>0.35178940941658254</c:v>
                </c:pt>
                <c:pt idx="133">
                  <c:v>0.32579614662503786</c:v>
                </c:pt>
                <c:pt idx="134">
                  <c:v>0.30274664490482905</c:v>
                </c:pt>
                <c:pt idx="135">
                  <c:v>0.27977869855472193</c:v>
                </c:pt>
                <c:pt idx="136">
                  <c:v>0.25373445888503454</c:v>
                </c:pt>
                <c:pt idx="137">
                  <c:v>0.22790129933017056</c:v>
                </c:pt>
                <c:pt idx="138">
                  <c:v>0.1982990610377442</c:v>
                </c:pt>
                <c:pt idx="139">
                  <c:v>0.17911669643947903</c:v>
                </c:pt>
                <c:pt idx="140">
                  <c:v>0.17097058702363199</c:v>
                </c:pt>
                <c:pt idx="141">
                  <c:v>0.18925260796005716</c:v>
                </c:pt>
                <c:pt idx="142">
                  <c:v>0.17411143250626537</c:v>
                </c:pt>
                <c:pt idx="143">
                  <c:v>0.15477114751172394</c:v>
                </c:pt>
                <c:pt idx="144">
                  <c:v>0.12861641967259629</c:v>
                </c:pt>
                <c:pt idx="145">
                  <c:v>0.10577174522788368</c:v>
                </c:pt>
                <c:pt idx="146">
                  <c:v>8.8571511528044766E-2</c:v>
                </c:pt>
                <c:pt idx="147">
                  <c:v>7.6549463712382249E-2</c:v>
                </c:pt>
                <c:pt idx="148">
                  <c:v>7.0734281262218701E-2</c:v>
                </c:pt>
                <c:pt idx="149">
                  <c:v>6.6867330390223856E-2</c:v>
                </c:pt>
                <c:pt idx="150">
                  <c:v>6.5345852549711481E-2</c:v>
                </c:pt>
                <c:pt idx="151">
                  <c:v>6.9243207408632657E-2</c:v>
                </c:pt>
                <c:pt idx="152">
                  <c:v>7.7851679613971214E-2</c:v>
                </c:pt>
                <c:pt idx="153">
                  <c:v>8.4181679860776626E-2</c:v>
                </c:pt>
                <c:pt idx="154">
                  <c:v>9.6741474307592057E-2</c:v>
                </c:pt>
                <c:pt idx="155">
                  <c:v>0.11421883043860248</c:v>
                </c:pt>
                <c:pt idx="156">
                  <c:v>0.12091517146886588</c:v>
                </c:pt>
                <c:pt idx="157">
                  <c:v>0.12274388178207118</c:v>
                </c:pt>
                <c:pt idx="158">
                  <c:v>0.1142289395620395</c:v>
                </c:pt>
                <c:pt idx="159">
                  <c:v>0.10188138814099545</c:v>
                </c:pt>
                <c:pt idx="160">
                  <c:v>7.506698962239966E-2</c:v>
                </c:pt>
                <c:pt idx="161">
                  <c:v>5.0795894342897441E-2</c:v>
                </c:pt>
                <c:pt idx="162">
                  <c:v>2.7464687814543254E-2</c:v>
                </c:pt>
                <c:pt idx="163">
                  <c:v>2.3786170130307482E-2</c:v>
                </c:pt>
                <c:pt idx="164">
                  <c:v>2.4588390344007394E-2</c:v>
                </c:pt>
                <c:pt idx="165">
                  <c:v>2.223048135564909E-2</c:v>
                </c:pt>
                <c:pt idx="166">
                  <c:v>2.1517808880645362E-2</c:v>
                </c:pt>
                <c:pt idx="167">
                  <c:v>2.3231964622397072E-2</c:v>
                </c:pt>
                <c:pt idx="168">
                  <c:v>3.2324723251448972E-2</c:v>
                </c:pt>
                <c:pt idx="169">
                  <c:v>2.8276232963449388E-2</c:v>
                </c:pt>
                <c:pt idx="170">
                  <c:v>2.3679254251675275E-2</c:v>
                </c:pt>
                <c:pt idx="171">
                  <c:v>1.8352105612130742E-2</c:v>
                </c:pt>
                <c:pt idx="172">
                  <c:v>1.7850236318523116E-2</c:v>
                </c:pt>
                <c:pt idx="173">
                  <c:v>3.265846259939309E-2</c:v>
                </c:pt>
                <c:pt idx="174">
                  <c:v>8.0786340485850872E-2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90-4014-A4AD-5DEE22E8B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data_co2_excLUC!$I$2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data_co2_excLUC!$I$3:$I$177</c:f>
              <c:numCache>
                <c:formatCode>0.0</c:formatCode>
                <c:ptCount val="175"/>
                <c:pt idx="0">
                  <c:v>98.267698935219045</c:v>
                </c:pt>
                <c:pt idx="1">
                  <c:v>98.166450132195536</c:v>
                </c:pt>
                <c:pt idx="2">
                  <c:v>98.025765018127686</c:v>
                </c:pt>
                <c:pt idx="3">
                  <c:v>97.966257870603982</c:v>
                </c:pt>
                <c:pt idx="4">
                  <c:v>97.963265321302913</c:v>
                </c:pt>
                <c:pt idx="5">
                  <c:v>97.868248392670523</c:v>
                </c:pt>
                <c:pt idx="6">
                  <c:v>97.756073261416816</c:v>
                </c:pt>
                <c:pt idx="7">
                  <c:v>97.639910045578731</c:v>
                </c:pt>
                <c:pt idx="8">
                  <c:v>97.477267943639077</c:v>
                </c:pt>
                <c:pt idx="9">
                  <c:v>97.37720286247793</c:v>
                </c:pt>
                <c:pt idx="10">
                  <c:v>97.284771528352238</c:v>
                </c:pt>
                <c:pt idx="11">
                  <c:v>97.196371831071389</c:v>
                </c:pt>
                <c:pt idx="12">
                  <c:v>97.073775918595402</c:v>
                </c:pt>
                <c:pt idx="13">
                  <c:v>96.944120966546848</c:v>
                </c:pt>
                <c:pt idx="14">
                  <c:v>96.806240969798679</c:v>
                </c:pt>
                <c:pt idx="15">
                  <c:v>96.664443130696498</c:v>
                </c:pt>
                <c:pt idx="16">
                  <c:v>96.497009296921959</c:v>
                </c:pt>
                <c:pt idx="17">
                  <c:v>96.342405141811483</c:v>
                </c:pt>
                <c:pt idx="18">
                  <c:v>96.183621872279275</c:v>
                </c:pt>
                <c:pt idx="19">
                  <c:v>96.034390032567458</c:v>
                </c:pt>
                <c:pt idx="20">
                  <c:v>95.885101973409405</c:v>
                </c:pt>
                <c:pt idx="21">
                  <c:v>95.711502274253832</c:v>
                </c:pt>
                <c:pt idx="22">
                  <c:v>95.553445269185261</c:v>
                </c:pt>
                <c:pt idx="23">
                  <c:v>95.410404577278271</c:v>
                </c:pt>
                <c:pt idx="24">
                  <c:v>95.226218117120922</c:v>
                </c:pt>
                <c:pt idx="25">
                  <c:v>95.081731645259353</c:v>
                </c:pt>
                <c:pt idx="26">
                  <c:v>94.877673768069897</c:v>
                </c:pt>
                <c:pt idx="27">
                  <c:v>94.706260343736062</c:v>
                </c:pt>
                <c:pt idx="28">
                  <c:v>94.505063202436304</c:v>
                </c:pt>
                <c:pt idx="29">
                  <c:v>94.319436578721749</c:v>
                </c:pt>
                <c:pt idx="30">
                  <c:v>94.165756393879178</c:v>
                </c:pt>
                <c:pt idx="31">
                  <c:v>94.026208653872672</c:v>
                </c:pt>
                <c:pt idx="32">
                  <c:v>93.902956341369048</c:v>
                </c:pt>
                <c:pt idx="33">
                  <c:v>93.770937493126141</c:v>
                </c:pt>
                <c:pt idx="34">
                  <c:v>93.638248750590037</c:v>
                </c:pt>
                <c:pt idx="35">
                  <c:v>93.499931786708899</c:v>
                </c:pt>
                <c:pt idx="36">
                  <c:v>93.369165877734233</c:v>
                </c:pt>
                <c:pt idx="37">
                  <c:v>93.248271240801756</c:v>
                </c:pt>
                <c:pt idx="38">
                  <c:v>93.135261736879613</c:v>
                </c:pt>
                <c:pt idx="39">
                  <c:v>92.99559898863572</c:v>
                </c:pt>
                <c:pt idx="40">
                  <c:v>92.871413294587342</c:v>
                </c:pt>
                <c:pt idx="41">
                  <c:v>92.740446318869445</c:v>
                </c:pt>
                <c:pt idx="42">
                  <c:v>92.6179028598428</c:v>
                </c:pt>
                <c:pt idx="43">
                  <c:v>92.464874583283645</c:v>
                </c:pt>
                <c:pt idx="44">
                  <c:v>92.320676499063438</c:v>
                </c:pt>
                <c:pt idx="45">
                  <c:v>92.168992688329865</c:v>
                </c:pt>
                <c:pt idx="46">
                  <c:v>92.017020271519428</c:v>
                </c:pt>
                <c:pt idx="47">
                  <c:v>91.857679101623717</c:v>
                </c:pt>
                <c:pt idx="48">
                  <c:v>91.685098829686382</c:v>
                </c:pt>
                <c:pt idx="49">
                  <c:v>91.526913409804905</c:v>
                </c:pt>
                <c:pt idx="50">
                  <c:v>91.380725482992901</c:v>
                </c:pt>
                <c:pt idx="51">
                  <c:v>91.229421691413634</c:v>
                </c:pt>
                <c:pt idx="52">
                  <c:v>91.103600570981087</c:v>
                </c:pt>
                <c:pt idx="53">
                  <c:v>91.007414047948558</c:v>
                </c:pt>
                <c:pt idx="54">
                  <c:v>90.895055237386472</c:v>
                </c:pt>
                <c:pt idx="55">
                  <c:v>90.811374790694117</c:v>
                </c:pt>
                <c:pt idx="56">
                  <c:v>90.706040977017935</c:v>
                </c:pt>
                <c:pt idx="57">
                  <c:v>90.581431442055361</c:v>
                </c:pt>
                <c:pt idx="58">
                  <c:v>90.424580456579733</c:v>
                </c:pt>
                <c:pt idx="59">
                  <c:v>90.279448892713091</c:v>
                </c:pt>
                <c:pt idx="60">
                  <c:v>90.165623104356825</c:v>
                </c:pt>
                <c:pt idx="61">
                  <c:v>90.040089753113662</c:v>
                </c:pt>
                <c:pt idx="62">
                  <c:v>89.911047493805128</c:v>
                </c:pt>
                <c:pt idx="63">
                  <c:v>89.77819608162217</c:v>
                </c:pt>
                <c:pt idx="64">
                  <c:v>89.672660790531879</c:v>
                </c:pt>
                <c:pt idx="65">
                  <c:v>89.586213359943571</c:v>
                </c:pt>
                <c:pt idx="66">
                  <c:v>89.496296902731345</c:v>
                </c:pt>
                <c:pt idx="67">
                  <c:v>89.416327558238436</c:v>
                </c:pt>
                <c:pt idx="68">
                  <c:v>89.419166568801188</c:v>
                </c:pt>
                <c:pt idx="69">
                  <c:v>89.462572969626024</c:v>
                </c:pt>
                <c:pt idx="70">
                  <c:v>89.443928007744091</c:v>
                </c:pt>
                <c:pt idx="71">
                  <c:v>89.363877591829038</c:v>
                </c:pt>
                <c:pt idx="72">
                  <c:v>89.302300783198149</c:v>
                </c:pt>
                <c:pt idx="73">
                  <c:v>89.289496491767494</c:v>
                </c:pt>
                <c:pt idx="74">
                  <c:v>89.255268602895654</c:v>
                </c:pt>
                <c:pt idx="75">
                  <c:v>89.234527655042555</c:v>
                </c:pt>
                <c:pt idx="76">
                  <c:v>89.193260722973918</c:v>
                </c:pt>
                <c:pt idx="77">
                  <c:v>89.153660761392374</c:v>
                </c:pt>
                <c:pt idx="78">
                  <c:v>89.097859866845525</c:v>
                </c:pt>
                <c:pt idx="79">
                  <c:v>89.041252958303033</c:v>
                </c:pt>
                <c:pt idx="80">
                  <c:v>88.952868693387984</c:v>
                </c:pt>
                <c:pt idx="81">
                  <c:v>88.829004421954465</c:v>
                </c:pt>
                <c:pt idx="82">
                  <c:v>88.682859818539839</c:v>
                </c:pt>
                <c:pt idx="83">
                  <c:v>88.531229295337127</c:v>
                </c:pt>
                <c:pt idx="84">
                  <c:v>88.350923344365768</c:v>
                </c:pt>
                <c:pt idx="85">
                  <c:v>88.149173251648563</c:v>
                </c:pt>
                <c:pt idx="86">
                  <c:v>87.940455647422453</c:v>
                </c:pt>
                <c:pt idx="87">
                  <c:v>87.732470094881464</c:v>
                </c:pt>
                <c:pt idx="88">
                  <c:v>87.497149793723821</c:v>
                </c:pt>
                <c:pt idx="89">
                  <c:v>87.27354702870133</c:v>
                </c:pt>
                <c:pt idx="90">
                  <c:v>86.95965666605926</c:v>
                </c:pt>
                <c:pt idx="91">
                  <c:v>86.700957420905127</c:v>
                </c:pt>
                <c:pt idx="92">
                  <c:v>86.545615473996222</c:v>
                </c:pt>
                <c:pt idx="93">
                  <c:v>86.392045722453304</c:v>
                </c:pt>
                <c:pt idx="94">
                  <c:v>86.204254918827488</c:v>
                </c:pt>
                <c:pt idx="95">
                  <c:v>86.063116883591263</c:v>
                </c:pt>
                <c:pt idx="96">
                  <c:v>85.891105792814429</c:v>
                </c:pt>
                <c:pt idx="97">
                  <c:v>85.700905659711253</c:v>
                </c:pt>
                <c:pt idx="98">
                  <c:v>85.520038672111312</c:v>
                </c:pt>
                <c:pt idx="99">
                  <c:v>85.293057989356356</c:v>
                </c:pt>
                <c:pt idx="100">
                  <c:v>85.052829837674992</c:v>
                </c:pt>
                <c:pt idx="101">
                  <c:v>84.792682656450751</c:v>
                </c:pt>
                <c:pt idx="102">
                  <c:v>84.497989731011458</c:v>
                </c:pt>
                <c:pt idx="103">
                  <c:v>84.195036106424325</c:v>
                </c:pt>
                <c:pt idx="104">
                  <c:v>83.849496708252573</c:v>
                </c:pt>
                <c:pt idx="105">
                  <c:v>83.468380437248442</c:v>
                </c:pt>
                <c:pt idx="106">
                  <c:v>83.064958321330693</c:v>
                </c:pt>
                <c:pt idx="107">
                  <c:v>82.620312341017282</c:v>
                </c:pt>
                <c:pt idx="108">
                  <c:v>82.07915089069067</c:v>
                </c:pt>
                <c:pt idx="109">
                  <c:v>81.482561201908297</c:v>
                </c:pt>
                <c:pt idx="110">
                  <c:v>80.880537511263697</c:v>
                </c:pt>
                <c:pt idx="111">
                  <c:v>80.350544694060972</c:v>
                </c:pt>
                <c:pt idx="112">
                  <c:v>79.852224837460668</c:v>
                </c:pt>
                <c:pt idx="113">
                  <c:v>79.353866624578231</c:v>
                </c:pt>
                <c:pt idx="114">
                  <c:v>78.850866499556389</c:v>
                </c:pt>
                <c:pt idx="115">
                  <c:v>78.335982482062633</c:v>
                </c:pt>
                <c:pt idx="116">
                  <c:v>77.816900150787333</c:v>
                </c:pt>
                <c:pt idx="117">
                  <c:v>77.323830789766575</c:v>
                </c:pt>
                <c:pt idx="118">
                  <c:v>76.832772849390224</c:v>
                </c:pt>
                <c:pt idx="119">
                  <c:v>76.330236262457689</c:v>
                </c:pt>
                <c:pt idx="120">
                  <c:v>75.796579469001131</c:v>
                </c:pt>
                <c:pt idx="121">
                  <c:v>75.230151517199204</c:v>
                </c:pt>
                <c:pt idx="122">
                  <c:v>74.674345004487392</c:v>
                </c:pt>
                <c:pt idx="123">
                  <c:v>74.118937548795884</c:v>
                </c:pt>
                <c:pt idx="124">
                  <c:v>73.554429566741589</c:v>
                </c:pt>
                <c:pt idx="125">
                  <c:v>72.948339141452507</c:v>
                </c:pt>
                <c:pt idx="126">
                  <c:v>72.348099906642815</c:v>
                </c:pt>
                <c:pt idx="127">
                  <c:v>71.741505814878693</c:v>
                </c:pt>
                <c:pt idx="128">
                  <c:v>71.128309310550975</c:v>
                </c:pt>
                <c:pt idx="129">
                  <c:v>70.536336081236797</c:v>
                </c:pt>
                <c:pt idx="130">
                  <c:v>69.941438383584938</c:v>
                </c:pt>
                <c:pt idx="131">
                  <c:v>69.375807864107131</c:v>
                </c:pt>
                <c:pt idx="132">
                  <c:v>68.792662472912667</c:v>
                </c:pt>
                <c:pt idx="133">
                  <c:v>68.21505914000619</c:v>
                </c:pt>
                <c:pt idx="134">
                  <c:v>67.647492976829724</c:v>
                </c:pt>
                <c:pt idx="135">
                  <c:v>67.054223342756245</c:v>
                </c:pt>
                <c:pt idx="136">
                  <c:v>66.464998737719981</c:v>
                </c:pt>
                <c:pt idx="137">
                  <c:v>65.892771667969697</c:v>
                </c:pt>
                <c:pt idx="138">
                  <c:v>65.324296511907264</c:v>
                </c:pt>
                <c:pt idx="139">
                  <c:v>64.791838714897935</c:v>
                </c:pt>
                <c:pt idx="140">
                  <c:v>64.304782969907748</c:v>
                </c:pt>
                <c:pt idx="141">
                  <c:v>63.804343469531801</c:v>
                </c:pt>
                <c:pt idx="142">
                  <c:v>63.39123522869081</c:v>
                </c:pt>
                <c:pt idx="143">
                  <c:v>62.987420345088452</c:v>
                </c:pt>
                <c:pt idx="144">
                  <c:v>62.607514804967501</c:v>
                </c:pt>
                <c:pt idx="145">
                  <c:v>62.226392277729268</c:v>
                </c:pt>
                <c:pt idx="146">
                  <c:v>61.851553663928591</c:v>
                </c:pt>
                <c:pt idx="147">
                  <c:v>61.490875208164688</c:v>
                </c:pt>
                <c:pt idx="148">
                  <c:v>61.16535204851953</c:v>
                </c:pt>
                <c:pt idx="149">
                  <c:v>60.834823566812815</c:v>
                </c:pt>
                <c:pt idx="150">
                  <c:v>60.509792038672259</c:v>
                </c:pt>
                <c:pt idx="151">
                  <c:v>60.182056177682242</c:v>
                </c:pt>
                <c:pt idx="152">
                  <c:v>59.845982585994676</c:v>
                </c:pt>
                <c:pt idx="153">
                  <c:v>59.466099440731277</c:v>
                </c:pt>
                <c:pt idx="154">
                  <c:v>59.067920835029106</c:v>
                </c:pt>
                <c:pt idx="155">
                  <c:v>58.641468396382677</c:v>
                </c:pt>
                <c:pt idx="156">
                  <c:v>58.180241773212352</c:v>
                </c:pt>
                <c:pt idx="157">
                  <c:v>57.70699309466584</c:v>
                </c:pt>
                <c:pt idx="158">
                  <c:v>57.203694946788531</c:v>
                </c:pt>
                <c:pt idx="159">
                  <c:v>56.682850651315029</c:v>
                </c:pt>
                <c:pt idx="160">
                  <c:v>56.136851680289823</c:v>
                </c:pt>
                <c:pt idx="161">
                  <c:v>55.553575078379872</c:v>
                </c:pt>
                <c:pt idx="162">
                  <c:v>54.965597234961869</c:v>
                </c:pt>
                <c:pt idx="163">
                  <c:v>54.400529123498643</c:v>
                </c:pt>
                <c:pt idx="164">
                  <c:v>53.843871100875198</c:v>
                </c:pt>
                <c:pt idx="165">
                  <c:v>53.30563771967789</c:v>
                </c:pt>
                <c:pt idx="166">
                  <c:v>52.780786188754966</c:v>
                </c:pt>
                <c:pt idx="167">
                  <c:v>52.256576129374508</c:v>
                </c:pt>
                <c:pt idx="168">
                  <c:v>51.735478744052557</c:v>
                </c:pt>
                <c:pt idx="169">
                  <c:v>51.208776809765396</c:v>
                </c:pt>
                <c:pt idx="170">
                  <c:v>50.693654081146867</c:v>
                </c:pt>
                <c:pt idx="171">
                  <c:v>50.179267225268987</c:v>
                </c:pt>
                <c:pt idx="172">
                  <c:v>49.666005956446746</c:v>
                </c:pt>
                <c:pt idx="173">
                  <c:v>49.140508491639388</c:v>
                </c:pt>
                <c:pt idx="174">
                  <c:v>48.621447498541478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90-4014-A4AD-5DEE22E8B1E4}"/>
            </c:ext>
          </c:extLst>
        </c:ser>
        <c:ser>
          <c:idx val="6"/>
          <c:order val="6"/>
          <c:tx>
            <c:strRef>
              <c:f>data_co2_excLUC!$J$2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data_co2_excLUC!$J$3:$J$177</c:f>
              <c:numCache>
                <c:formatCode>0.0</c:formatCode>
                <c:ptCount val="175"/>
                <c:pt idx="0">
                  <c:v>98.317982757604923</c:v>
                </c:pt>
                <c:pt idx="1">
                  <c:v>98.201705418041939</c:v>
                </c:pt>
                <c:pt idx="2">
                  <c:v>98.064808708440651</c:v>
                </c:pt>
                <c:pt idx="3">
                  <c:v>97.993697762318632</c:v>
                </c:pt>
                <c:pt idx="4">
                  <c:v>97.969739173342731</c:v>
                </c:pt>
                <c:pt idx="5">
                  <c:v>97.894063669415104</c:v>
                </c:pt>
                <c:pt idx="6">
                  <c:v>97.821930577497028</c:v>
                </c:pt>
                <c:pt idx="7">
                  <c:v>97.748245687394032</c:v>
                </c:pt>
                <c:pt idx="8">
                  <c:v>97.637938498845429</c:v>
                </c:pt>
                <c:pt idx="9">
                  <c:v>97.568227886924433</c:v>
                </c:pt>
                <c:pt idx="10">
                  <c:v>97.50579426956719</c:v>
                </c:pt>
                <c:pt idx="11">
                  <c:v>97.441839149114912</c:v>
                </c:pt>
                <c:pt idx="12">
                  <c:v>97.341591280707462</c:v>
                </c:pt>
                <c:pt idx="13">
                  <c:v>97.224451362645681</c:v>
                </c:pt>
                <c:pt idx="14">
                  <c:v>97.104394978657254</c:v>
                </c:pt>
                <c:pt idx="15">
                  <c:v>96.979754283378469</c:v>
                </c:pt>
                <c:pt idx="16">
                  <c:v>96.834184956634445</c:v>
                </c:pt>
                <c:pt idx="17">
                  <c:v>96.68713889653128</c:v>
                </c:pt>
                <c:pt idx="18">
                  <c:v>96.537370088699177</c:v>
                </c:pt>
                <c:pt idx="19">
                  <c:v>96.389723630999029</c:v>
                </c:pt>
                <c:pt idx="20">
                  <c:v>96.240083309565208</c:v>
                </c:pt>
                <c:pt idx="21">
                  <c:v>96.065223801307354</c:v>
                </c:pt>
                <c:pt idx="22">
                  <c:v>95.911471743992138</c:v>
                </c:pt>
                <c:pt idx="23">
                  <c:v>95.773039292208608</c:v>
                </c:pt>
                <c:pt idx="24">
                  <c:v>95.596532271877294</c:v>
                </c:pt>
                <c:pt idx="25">
                  <c:v>95.451906380364477</c:v>
                </c:pt>
                <c:pt idx="26">
                  <c:v>95.242649531526524</c:v>
                </c:pt>
                <c:pt idx="27">
                  <c:v>95.064242714179798</c:v>
                </c:pt>
                <c:pt idx="28">
                  <c:v>94.868962041606224</c:v>
                </c:pt>
                <c:pt idx="29">
                  <c:v>94.688280669086538</c:v>
                </c:pt>
                <c:pt idx="30">
                  <c:v>94.539859183282545</c:v>
                </c:pt>
                <c:pt idx="31">
                  <c:v>94.40420299404046</c:v>
                </c:pt>
                <c:pt idx="32">
                  <c:v>94.284086693582509</c:v>
                </c:pt>
                <c:pt idx="33">
                  <c:v>94.154785468310251</c:v>
                </c:pt>
                <c:pt idx="34">
                  <c:v>94.026972753350677</c:v>
                </c:pt>
                <c:pt idx="35">
                  <c:v>93.893815542574686</c:v>
                </c:pt>
                <c:pt idx="36">
                  <c:v>93.765247535447187</c:v>
                </c:pt>
                <c:pt idx="37">
                  <c:v>93.643384685673638</c:v>
                </c:pt>
                <c:pt idx="38">
                  <c:v>93.533786129281353</c:v>
                </c:pt>
                <c:pt idx="39">
                  <c:v>93.399113317132361</c:v>
                </c:pt>
                <c:pt idx="40">
                  <c:v>93.275028155427592</c:v>
                </c:pt>
                <c:pt idx="41">
                  <c:v>93.145916270593816</c:v>
                </c:pt>
                <c:pt idx="42">
                  <c:v>93.025388991512941</c:v>
                </c:pt>
                <c:pt idx="43">
                  <c:v>92.873404406320731</c:v>
                </c:pt>
                <c:pt idx="44">
                  <c:v>92.734020919746143</c:v>
                </c:pt>
                <c:pt idx="45">
                  <c:v>92.582686163836669</c:v>
                </c:pt>
                <c:pt idx="46">
                  <c:v>92.431815211527947</c:v>
                </c:pt>
                <c:pt idx="47">
                  <c:v>92.272281180935494</c:v>
                </c:pt>
                <c:pt idx="48">
                  <c:v>92.099808995959663</c:v>
                </c:pt>
                <c:pt idx="49">
                  <c:v>91.94116700322914</c:v>
                </c:pt>
                <c:pt idx="50">
                  <c:v>91.793834367483143</c:v>
                </c:pt>
                <c:pt idx="51">
                  <c:v>91.632850526069703</c:v>
                </c:pt>
                <c:pt idx="52">
                  <c:v>91.496802586767018</c:v>
                </c:pt>
                <c:pt idx="53">
                  <c:v>91.388279402714488</c:v>
                </c:pt>
                <c:pt idx="54">
                  <c:v>91.263037011972159</c:v>
                </c:pt>
                <c:pt idx="55">
                  <c:v>91.170650201454734</c:v>
                </c:pt>
                <c:pt idx="56">
                  <c:v>91.031607200220392</c:v>
                </c:pt>
                <c:pt idx="57">
                  <c:v>90.909999085047971</c:v>
                </c:pt>
                <c:pt idx="58">
                  <c:v>90.748458942569968</c:v>
                </c:pt>
                <c:pt idx="59">
                  <c:v>90.604156842731783</c:v>
                </c:pt>
                <c:pt idx="60">
                  <c:v>90.491860938137805</c:v>
                </c:pt>
                <c:pt idx="61">
                  <c:v>90.357329026509561</c:v>
                </c:pt>
                <c:pt idx="62">
                  <c:v>90.232486647541648</c:v>
                </c:pt>
                <c:pt idx="63">
                  <c:v>90.108898438075357</c:v>
                </c:pt>
                <c:pt idx="64">
                  <c:v>90.006472124516222</c:v>
                </c:pt>
                <c:pt idx="65">
                  <c:v>89.917010144151789</c:v>
                </c:pt>
                <c:pt idx="66">
                  <c:v>89.826472984955814</c:v>
                </c:pt>
                <c:pt idx="67">
                  <c:v>89.746155483879647</c:v>
                </c:pt>
                <c:pt idx="68">
                  <c:v>89.75202243076869</c:v>
                </c:pt>
                <c:pt idx="69">
                  <c:v>89.79813146330352</c:v>
                </c:pt>
                <c:pt idx="70">
                  <c:v>89.787000888574482</c:v>
                </c:pt>
                <c:pt idx="71">
                  <c:v>89.715319275894885</c:v>
                </c:pt>
                <c:pt idx="72">
                  <c:v>89.659492877895218</c:v>
                </c:pt>
                <c:pt idx="73">
                  <c:v>89.648501918730844</c:v>
                </c:pt>
                <c:pt idx="74">
                  <c:v>89.614565249666185</c:v>
                </c:pt>
                <c:pt idx="75">
                  <c:v>89.593229113152944</c:v>
                </c:pt>
                <c:pt idx="76">
                  <c:v>89.543303511765586</c:v>
                </c:pt>
                <c:pt idx="77">
                  <c:v>89.490150791969171</c:v>
                </c:pt>
                <c:pt idx="78">
                  <c:v>89.410917615454764</c:v>
                </c:pt>
                <c:pt idx="79">
                  <c:v>89.325650315256127</c:v>
                </c:pt>
                <c:pt idx="80">
                  <c:v>89.20314563422896</c:v>
                </c:pt>
                <c:pt idx="81">
                  <c:v>89.051306595902204</c:v>
                </c:pt>
                <c:pt idx="82">
                  <c:v>88.880535811783133</c:v>
                </c:pt>
                <c:pt idx="83">
                  <c:v>88.704070555468078</c:v>
                </c:pt>
                <c:pt idx="84">
                  <c:v>88.495774874608259</c:v>
                </c:pt>
                <c:pt idx="85">
                  <c:v>88.261929997840198</c:v>
                </c:pt>
                <c:pt idx="86">
                  <c:v>88.017538915239186</c:v>
                </c:pt>
                <c:pt idx="87">
                  <c:v>87.771119633389901</c:v>
                </c:pt>
                <c:pt idx="88">
                  <c:v>87.494168724010692</c:v>
                </c:pt>
                <c:pt idx="89">
                  <c:v>87.228437064050468</c:v>
                </c:pt>
                <c:pt idx="90">
                  <c:v>86.882669267961901</c:v>
                </c:pt>
                <c:pt idx="91">
                  <c:v>86.586702953701192</c:v>
                </c:pt>
                <c:pt idx="92">
                  <c:v>86.380140035077758</c:v>
                </c:pt>
                <c:pt idx="93">
                  <c:v>86.134267537212409</c:v>
                </c:pt>
                <c:pt idx="94">
                  <c:v>85.904251910098253</c:v>
                </c:pt>
                <c:pt idx="95">
                  <c:v>85.707644236898375</c:v>
                </c:pt>
                <c:pt idx="96">
                  <c:v>85.45807051480466</c:v>
                </c:pt>
                <c:pt idx="97">
                  <c:v>85.209440038427829</c:v>
                </c:pt>
                <c:pt idx="98">
                  <c:v>84.974414279583144</c:v>
                </c:pt>
                <c:pt idx="99">
                  <c:v>84.678431418324891</c:v>
                </c:pt>
                <c:pt idx="100">
                  <c:v>84.436976049253829</c:v>
                </c:pt>
                <c:pt idx="101">
                  <c:v>84.172096856953871</c:v>
                </c:pt>
                <c:pt idx="102">
                  <c:v>83.872008789220203</c:v>
                </c:pt>
                <c:pt idx="103">
                  <c:v>83.560299846460779</c:v>
                </c:pt>
                <c:pt idx="104">
                  <c:v>83.203057678848452</c:v>
                </c:pt>
                <c:pt idx="105">
                  <c:v>82.811120168070346</c:v>
                </c:pt>
                <c:pt idx="106">
                  <c:v>82.395780352224207</c:v>
                </c:pt>
                <c:pt idx="107">
                  <c:v>81.932674864373098</c:v>
                </c:pt>
                <c:pt idx="108">
                  <c:v>81.369280520453884</c:v>
                </c:pt>
                <c:pt idx="109">
                  <c:v>80.750637704182779</c:v>
                </c:pt>
                <c:pt idx="110">
                  <c:v>80.124772664549226</c:v>
                </c:pt>
                <c:pt idx="111">
                  <c:v>79.567705243288501</c:v>
                </c:pt>
                <c:pt idx="112">
                  <c:v>79.041512376121148</c:v>
                </c:pt>
                <c:pt idx="113">
                  <c:v>78.516195428115779</c:v>
                </c:pt>
                <c:pt idx="114">
                  <c:v>77.989662779318749</c:v>
                </c:pt>
                <c:pt idx="115">
                  <c:v>77.454938048082838</c:v>
                </c:pt>
                <c:pt idx="116">
                  <c:v>76.910450587307068</c:v>
                </c:pt>
                <c:pt idx="117">
                  <c:v>76.399593937436478</c:v>
                </c:pt>
                <c:pt idx="118">
                  <c:v>75.888915083121873</c:v>
                </c:pt>
                <c:pt idx="119">
                  <c:v>75.37004833742273</c:v>
                </c:pt>
                <c:pt idx="120">
                  <c:v>74.820921612369418</c:v>
                </c:pt>
                <c:pt idx="121">
                  <c:v>74.251851317287247</c:v>
                </c:pt>
                <c:pt idx="122">
                  <c:v>73.694622348275288</c:v>
                </c:pt>
                <c:pt idx="123">
                  <c:v>73.141075841181063</c:v>
                </c:pt>
                <c:pt idx="124">
                  <c:v>72.583616861409141</c:v>
                </c:pt>
                <c:pt idx="125">
                  <c:v>71.986372104638789</c:v>
                </c:pt>
                <c:pt idx="126">
                  <c:v>71.401891953115125</c:v>
                </c:pt>
                <c:pt idx="127">
                  <c:v>70.8151574042097</c:v>
                </c:pt>
                <c:pt idx="128">
                  <c:v>70.227764944409472</c:v>
                </c:pt>
                <c:pt idx="129">
                  <c:v>69.661137804111391</c:v>
                </c:pt>
                <c:pt idx="130">
                  <c:v>69.093428461828637</c:v>
                </c:pt>
                <c:pt idx="131">
                  <c:v>68.551791941112342</c:v>
                </c:pt>
                <c:pt idx="132">
                  <c:v>67.994457619018121</c:v>
                </c:pt>
                <c:pt idx="133">
                  <c:v>67.444381564289984</c:v>
                </c:pt>
                <c:pt idx="134">
                  <c:v>66.90146107935206</c:v>
                </c:pt>
                <c:pt idx="135">
                  <c:v>66.335449859311538</c:v>
                </c:pt>
                <c:pt idx="136">
                  <c:v>65.773550203314272</c:v>
                </c:pt>
                <c:pt idx="137">
                  <c:v>65.228795845893472</c:v>
                </c:pt>
                <c:pt idx="138">
                  <c:v>64.691960583595431</c:v>
                </c:pt>
                <c:pt idx="139">
                  <c:v>64.182471222439787</c:v>
                </c:pt>
                <c:pt idx="140">
                  <c:v>63.725297237759527</c:v>
                </c:pt>
                <c:pt idx="141">
                  <c:v>63.268400886868392</c:v>
                </c:pt>
                <c:pt idx="142">
                  <c:v>62.881230214845452</c:v>
                </c:pt>
                <c:pt idx="143">
                  <c:v>62.504651617201681</c:v>
                </c:pt>
                <c:pt idx="144">
                  <c:v>62.154606142448756</c:v>
                </c:pt>
                <c:pt idx="145">
                  <c:v>61.8000459560647</c:v>
                </c:pt>
                <c:pt idx="146">
                  <c:v>61.446677650791415</c:v>
                </c:pt>
                <c:pt idx="147">
                  <c:v>61.102509972654808</c:v>
                </c:pt>
                <c:pt idx="148">
                  <c:v>60.787881026095057</c:v>
                </c:pt>
                <c:pt idx="149">
                  <c:v>60.466294885344837</c:v>
                </c:pt>
                <c:pt idx="150">
                  <c:v>60.147969181675485</c:v>
                </c:pt>
                <c:pt idx="151">
                  <c:v>59.822851053299964</c:v>
                </c:pt>
                <c:pt idx="152">
                  <c:v>59.485492261574812</c:v>
                </c:pt>
                <c:pt idx="153">
                  <c:v>59.106403360562155</c:v>
                </c:pt>
                <c:pt idx="154">
                  <c:v>58.704126701698954</c:v>
                </c:pt>
                <c:pt idx="155">
                  <c:v>58.269832687648794</c:v>
                </c:pt>
                <c:pt idx="156">
                  <c:v>57.80959221986619</c:v>
                </c:pt>
                <c:pt idx="157">
                  <c:v>57.341122687578995</c:v>
                </c:pt>
                <c:pt idx="158">
                  <c:v>56.850804417376146</c:v>
                </c:pt>
                <c:pt idx="159">
                  <c:v>56.345562109794635</c:v>
                </c:pt>
                <c:pt idx="160">
                  <c:v>55.826674279175073</c:v>
                </c:pt>
                <c:pt idx="161">
                  <c:v>55.268833268163874</c:v>
                </c:pt>
                <c:pt idx="162">
                  <c:v>54.705423433859323</c:v>
                </c:pt>
                <c:pt idx="163">
                  <c:v>54.160892045929351</c:v>
                </c:pt>
                <c:pt idx="164">
                  <c:v>53.617720987131122</c:v>
                </c:pt>
                <c:pt idx="165">
                  <c:v>53.082872102892779</c:v>
                </c:pt>
                <c:pt idx="166">
                  <c:v>52.556945428153746</c:v>
                </c:pt>
                <c:pt idx="167">
                  <c:v>52.02670707811582</c:v>
                </c:pt>
                <c:pt idx="168">
                  <c:v>51.503660826587719</c:v>
                </c:pt>
                <c:pt idx="169">
                  <c:v>50.985130807460763</c:v>
                </c:pt>
                <c:pt idx="170">
                  <c:v>50.47844888902592</c:v>
                </c:pt>
                <c:pt idx="171">
                  <c:v>49.973357560028994</c:v>
                </c:pt>
                <c:pt idx="172">
                  <c:v>49.478882150808495</c:v>
                </c:pt>
                <c:pt idx="173">
                  <c:v>48.971768350528372</c:v>
                </c:pt>
                <c:pt idx="174">
                  <c:v>48.501612141772895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90-4014-A4AD-5DEE22E8B1E4}"/>
            </c:ext>
          </c:extLst>
        </c:ser>
        <c:ser>
          <c:idx val="7"/>
          <c:order val="7"/>
          <c:tx>
            <c:strRef>
              <c:f>data_co2_excLUC!$K$2</c:f>
              <c:strCache>
                <c:ptCount val="1"/>
                <c:pt idx="0">
                  <c:v>pct_annex2_GCP_fossil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data_co2_excLUC!$K$3:$K$177</c:f>
              <c:numCache>
                <c:formatCode>0.0</c:formatCode>
                <c:ptCount val="175"/>
                <c:pt idx="0">
                  <c:v>98.267698935219045</c:v>
                </c:pt>
                <c:pt idx="1">
                  <c:v>98.166450132195536</c:v>
                </c:pt>
                <c:pt idx="2">
                  <c:v>98.025765018127686</c:v>
                </c:pt>
                <c:pt idx="3">
                  <c:v>97.966257870603982</c:v>
                </c:pt>
                <c:pt idx="4">
                  <c:v>97.963265321302913</c:v>
                </c:pt>
                <c:pt idx="5">
                  <c:v>97.868248392670523</c:v>
                </c:pt>
                <c:pt idx="6">
                  <c:v>97.756073261416816</c:v>
                </c:pt>
                <c:pt idx="7">
                  <c:v>97.639910045578731</c:v>
                </c:pt>
                <c:pt idx="8">
                  <c:v>97.477267943639077</c:v>
                </c:pt>
                <c:pt idx="9">
                  <c:v>97.37720286247793</c:v>
                </c:pt>
                <c:pt idx="10">
                  <c:v>97.284771528352238</c:v>
                </c:pt>
                <c:pt idx="11">
                  <c:v>97.196371831071389</c:v>
                </c:pt>
                <c:pt idx="12">
                  <c:v>97.073775918595402</c:v>
                </c:pt>
                <c:pt idx="13">
                  <c:v>96.944120966546848</c:v>
                </c:pt>
                <c:pt idx="14">
                  <c:v>96.806240969798679</c:v>
                </c:pt>
                <c:pt idx="15">
                  <c:v>96.664443130696498</c:v>
                </c:pt>
                <c:pt idx="16">
                  <c:v>96.497009296921959</c:v>
                </c:pt>
                <c:pt idx="17">
                  <c:v>96.342405141811483</c:v>
                </c:pt>
                <c:pt idx="18">
                  <c:v>96.183621872279275</c:v>
                </c:pt>
                <c:pt idx="19">
                  <c:v>96.034390032567458</c:v>
                </c:pt>
                <c:pt idx="20">
                  <c:v>95.885101973409405</c:v>
                </c:pt>
                <c:pt idx="21">
                  <c:v>95.711502274253832</c:v>
                </c:pt>
                <c:pt idx="22">
                  <c:v>95.553445269185261</c:v>
                </c:pt>
                <c:pt idx="23">
                  <c:v>95.410393589630473</c:v>
                </c:pt>
                <c:pt idx="24">
                  <c:v>95.226207839407863</c:v>
                </c:pt>
                <c:pt idx="25">
                  <c:v>95.081722039885562</c:v>
                </c:pt>
                <c:pt idx="26">
                  <c:v>94.877664760214046</c:v>
                </c:pt>
                <c:pt idx="27">
                  <c:v>94.706251873074962</c:v>
                </c:pt>
                <c:pt idx="28">
                  <c:v>94.505055212090554</c:v>
                </c:pt>
                <c:pt idx="29">
                  <c:v>94.319429045707182</c:v>
                </c:pt>
                <c:pt idx="30">
                  <c:v>94.165749318303696</c:v>
                </c:pt>
                <c:pt idx="31">
                  <c:v>94.026201996658358</c:v>
                </c:pt>
                <c:pt idx="32">
                  <c:v>93.902950075491304</c:v>
                </c:pt>
                <c:pt idx="33">
                  <c:v>93.770931595967511</c:v>
                </c:pt>
                <c:pt idx="34">
                  <c:v>93.638243184855668</c:v>
                </c:pt>
                <c:pt idx="35">
                  <c:v>93.499926519273288</c:v>
                </c:pt>
                <c:pt idx="36">
                  <c:v>93.369160882119644</c:v>
                </c:pt>
                <c:pt idx="37">
                  <c:v>93.248266501878518</c:v>
                </c:pt>
                <c:pt idx="38">
                  <c:v>93.135257253214249</c:v>
                </c:pt>
                <c:pt idx="39">
                  <c:v>92.995594734272274</c:v>
                </c:pt>
                <c:pt idx="40">
                  <c:v>92.871409264366164</c:v>
                </c:pt>
                <c:pt idx="41">
                  <c:v>92.74044249947093</c:v>
                </c:pt>
                <c:pt idx="42">
                  <c:v>92.617899231747131</c:v>
                </c:pt>
                <c:pt idx="43">
                  <c:v>92.464871126168163</c:v>
                </c:pt>
                <c:pt idx="44">
                  <c:v>92.320673202875497</c:v>
                </c:pt>
                <c:pt idx="45">
                  <c:v>92.168989547038336</c:v>
                </c:pt>
                <c:pt idx="46">
                  <c:v>92.017017275667868</c:v>
                </c:pt>
                <c:pt idx="47">
                  <c:v>91.85767624430909</c:v>
                </c:pt>
                <c:pt idx="48">
                  <c:v>91.68509610525166</c:v>
                </c:pt>
                <c:pt idx="49">
                  <c:v>91.52691081706827</c:v>
                </c:pt>
                <c:pt idx="50">
                  <c:v>91.380723015816812</c:v>
                </c:pt>
                <c:pt idx="51">
                  <c:v>91.229419341667992</c:v>
                </c:pt>
                <c:pt idx="52">
                  <c:v>91.103598330574414</c:v>
                </c:pt>
                <c:pt idx="53">
                  <c:v>91.007411915722656</c:v>
                </c:pt>
                <c:pt idx="54">
                  <c:v>90.895053204436451</c:v>
                </c:pt>
                <c:pt idx="55">
                  <c:v>90.811372853842144</c:v>
                </c:pt>
                <c:pt idx="56">
                  <c:v>90.706039131289444</c:v>
                </c:pt>
                <c:pt idx="57">
                  <c:v>90.581429690254041</c:v>
                </c:pt>
                <c:pt idx="58">
                  <c:v>90.424578786419474</c:v>
                </c:pt>
                <c:pt idx="59">
                  <c:v>90.279447454721065</c:v>
                </c:pt>
                <c:pt idx="60">
                  <c:v>90.16562173472218</c:v>
                </c:pt>
                <c:pt idx="61">
                  <c:v>90.040088446842333</c:v>
                </c:pt>
                <c:pt idx="62">
                  <c:v>89.911046248206745</c:v>
                </c:pt>
                <c:pt idx="63">
                  <c:v>89.778196216638577</c:v>
                </c:pt>
                <c:pt idx="64">
                  <c:v>89.672660921414064</c:v>
                </c:pt>
                <c:pt idx="65">
                  <c:v>89.586213486857943</c:v>
                </c:pt>
                <c:pt idx="66">
                  <c:v>89.496297025647991</c:v>
                </c:pt>
                <c:pt idx="67">
                  <c:v>89.416327677142249</c:v>
                </c:pt>
                <c:pt idx="68">
                  <c:v>89.419166683168228</c:v>
                </c:pt>
                <c:pt idx="69">
                  <c:v>89.462573079899101</c:v>
                </c:pt>
                <c:pt idx="70">
                  <c:v>89.443928114258824</c:v>
                </c:pt>
                <c:pt idx="71">
                  <c:v>89.363877695881001</c:v>
                </c:pt>
                <c:pt idx="72">
                  <c:v>89.302300884613487</c:v>
                </c:pt>
                <c:pt idx="73">
                  <c:v>89.289496589860676</c:v>
                </c:pt>
                <c:pt idx="74">
                  <c:v>89.255268698063318</c:v>
                </c:pt>
                <c:pt idx="75">
                  <c:v>89.234527747336116</c:v>
                </c:pt>
                <c:pt idx="76">
                  <c:v>89.19326081278966</c:v>
                </c:pt>
                <c:pt idx="77">
                  <c:v>89.153660848627752</c:v>
                </c:pt>
                <c:pt idx="78">
                  <c:v>89.097859951799151</c:v>
                </c:pt>
                <c:pt idx="79">
                  <c:v>89.041253040936525</c:v>
                </c:pt>
                <c:pt idx="80">
                  <c:v>88.952868774273853</c:v>
                </c:pt>
                <c:pt idx="81">
                  <c:v>88.829004501681183</c:v>
                </c:pt>
                <c:pt idx="82">
                  <c:v>88.682859897510198</c:v>
                </c:pt>
                <c:pt idx="83">
                  <c:v>88.531229373530778</c:v>
                </c:pt>
                <c:pt idx="84">
                  <c:v>88.350923421857061</c:v>
                </c:pt>
                <c:pt idx="85">
                  <c:v>88.149173328520476</c:v>
                </c:pt>
                <c:pt idx="86">
                  <c:v>87.940455723569769</c:v>
                </c:pt>
                <c:pt idx="87">
                  <c:v>87.732470170203413</c:v>
                </c:pt>
                <c:pt idx="88">
                  <c:v>87.497149868547481</c:v>
                </c:pt>
                <c:pt idx="89">
                  <c:v>87.273547102878766</c:v>
                </c:pt>
                <c:pt idx="90">
                  <c:v>86.95965673996217</c:v>
                </c:pt>
                <c:pt idx="91">
                  <c:v>86.700956943086069</c:v>
                </c:pt>
                <c:pt idx="92">
                  <c:v>86.545615009780292</c:v>
                </c:pt>
                <c:pt idx="93">
                  <c:v>86.392044820230026</c:v>
                </c:pt>
                <c:pt idx="94">
                  <c:v>86.204254042196581</c:v>
                </c:pt>
                <c:pt idx="95">
                  <c:v>86.063116027075793</c:v>
                </c:pt>
                <c:pt idx="96">
                  <c:v>85.891104539354075</c:v>
                </c:pt>
                <c:pt idx="97">
                  <c:v>85.700904439681452</c:v>
                </c:pt>
                <c:pt idx="98">
                  <c:v>85.52003748533663</c:v>
                </c:pt>
                <c:pt idx="99">
                  <c:v>85.293056833554431</c:v>
                </c:pt>
                <c:pt idx="100">
                  <c:v>85.052828714550998</c:v>
                </c:pt>
                <c:pt idx="101">
                  <c:v>84.792681566629241</c:v>
                </c:pt>
                <c:pt idx="102">
                  <c:v>84.497988673562375</c:v>
                </c:pt>
                <c:pt idx="103">
                  <c:v>84.195035080529337</c:v>
                </c:pt>
                <c:pt idx="104">
                  <c:v>83.849495713341554</c:v>
                </c:pt>
                <c:pt idx="105">
                  <c:v>83.468383004608015</c:v>
                </c:pt>
                <c:pt idx="106">
                  <c:v>83.064964214328867</c:v>
                </c:pt>
                <c:pt idx="107">
                  <c:v>82.620322164509162</c:v>
                </c:pt>
                <c:pt idx="108">
                  <c:v>82.079164700811475</c:v>
                </c:pt>
                <c:pt idx="109">
                  <c:v>81.48257840264219</c:v>
                </c:pt>
                <c:pt idx="110">
                  <c:v>80.880557816962963</c:v>
                </c:pt>
                <c:pt idx="111">
                  <c:v>80.350577450122813</c:v>
                </c:pt>
                <c:pt idx="112">
                  <c:v>79.852269135959546</c:v>
                </c:pt>
                <c:pt idx="113">
                  <c:v>79.353922764829392</c:v>
                </c:pt>
                <c:pt idx="114">
                  <c:v>78.850934208478051</c:v>
                </c:pt>
                <c:pt idx="115">
                  <c:v>78.336062338978707</c:v>
                </c:pt>
                <c:pt idx="116">
                  <c:v>77.816991096038748</c:v>
                </c:pt>
                <c:pt idx="117">
                  <c:v>77.3239335475633</c:v>
                </c:pt>
                <c:pt idx="118">
                  <c:v>76.832886915094292</c:v>
                </c:pt>
                <c:pt idx="119">
                  <c:v>76.330370927326413</c:v>
                </c:pt>
                <c:pt idx="120">
                  <c:v>75.79674592470127</c:v>
                </c:pt>
                <c:pt idx="121">
                  <c:v>75.230354454356899</c:v>
                </c:pt>
                <c:pt idx="122">
                  <c:v>74.674582333835332</c:v>
                </c:pt>
                <c:pt idx="123">
                  <c:v>74.119204074986129</c:v>
                </c:pt>
                <c:pt idx="124">
                  <c:v>73.554733586008822</c:v>
                </c:pt>
                <c:pt idx="125">
                  <c:v>72.948679133148545</c:v>
                </c:pt>
                <c:pt idx="126">
                  <c:v>72.348459192503114</c:v>
                </c:pt>
                <c:pt idx="127">
                  <c:v>71.741886938101047</c:v>
                </c:pt>
                <c:pt idx="128">
                  <c:v>71.128700541771849</c:v>
                </c:pt>
                <c:pt idx="129">
                  <c:v>70.536738708950537</c:v>
                </c:pt>
                <c:pt idx="130">
                  <c:v>69.941855309774553</c:v>
                </c:pt>
                <c:pt idx="131">
                  <c:v>69.376238402693076</c:v>
                </c:pt>
                <c:pt idx="132">
                  <c:v>68.793102281163144</c:v>
                </c:pt>
                <c:pt idx="133">
                  <c:v>68.215507918448083</c:v>
                </c:pt>
                <c:pt idx="134">
                  <c:v>67.647941322693256</c:v>
                </c:pt>
                <c:pt idx="135">
                  <c:v>67.054670694329417</c:v>
                </c:pt>
                <c:pt idx="136">
                  <c:v>66.465444736495058</c:v>
                </c:pt>
                <c:pt idx="137">
                  <c:v>65.893216277173778</c:v>
                </c:pt>
                <c:pt idx="138">
                  <c:v>65.324741389321417</c:v>
                </c:pt>
                <c:pt idx="139">
                  <c:v>64.792287295414255</c:v>
                </c:pt>
                <c:pt idx="140">
                  <c:v>64.305235636215599</c:v>
                </c:pt>
                <c:pt idx="141">
                  <c:v>63.84243884503897</c:v>
                </c:pt>
                <c:pt idx="142">
                  <c:v>63.428085961355421</c:v>
                </c:pt>
                <c:pt idx="143">
                  <c:v>63.023086202113653</c:v>
                </c:pt>
                <c:pt idx="144">
                  <c:v>62.642061191602608</c:v>
                </c:pt>
                <c:pt idx="145">
                  <c:v>62.259854512039325</c:v>
                </c:pt>
                <c:pt idx="146">
                  <c:v>61.883965652119699</c:v>
                </c:pt>
                <c:pt idx="147">
                  <c:v>61.522292680330196</c:v>
                </c:pt>
                <c:pt idx="148">
                  <c:v>61.195845058410612</c:v>
                </c:pt>
                <c:pt idx="149">
                  <c:v>60.864418150909302</c:v>
                </c:pt>
                <c:pt idx="150">
                  <c:v>60.538514485493565</c:v>
                </c:pt>
                <c:pt idx="151">
                  <c:v>60.209941540370615</c:v>
                </c:pt>
                <c:pt idx="152">
                  <c:v>59.873052161950469</c:v>
                </c:pt>
                <c:pt idx="153">
                  <c:v>59.492339205873279</c:v>
                </c:pt>
                <c:pt idx="154">
                  <c:v>59.093342851503728</c:v>
                </c:pt>
                <c:pt idx="155">
                  <c:v>58.666079859464695</c:v>
                </c:pt>
                <c:pt idx="156">
                  <c:v>58.20404864350833</c:v>
                </c:pt>
                <c:pt idx="157">
                  <c:v>57.73001400184372</c:v>
                </c:pt>
                <c:pt idx="158">
                  <c:v>57.225946475510966</c:v>
                </c:pt>
                <c:pt idx="159">
                  <c:v>56.704371865109152</c:v>
                </c:pt>
                <c:pt idx="160">
                  <c:v>56.15763952217192</c:v>
                </c:pt>
                <c:pt idx="161">
                  <c:v>55.573634540635965</c:v>
                </c:pt>
                <c:pt idx="162">
                  <c:v>54.984955202674449</c:v>
                </c:pt>
                <c:pt idx="163">
                  <c:v>54.419223130618519</c:v>
                </c:pt>
                <c:pt idx="164">
                  <c:v>53.861933159759602</c:v>
                </c:pt>
                <c:pt idx="165">
                  <c:v>53.323104401982235</c:v>
                </c:pt>
                <c:pt idx="166">
                  <c:v>52.797689114450463</c:v>
                </c:pt>
                <c:pt idx="167">
                  <c:v>52.272934654414769</c:v>
                </c:pt>
                <c:pt idx="168">
                  <c:v>51.751310524933523</c:v>
                </c:pt>
                <c:pt idx="169">
                  <c:v>51.22410002250006</c:v>
                </c:pt>
                <c:pt idx="170">
                  <c:v>50.708507880586907</c:v>
                </c:pt>
                <c:pt idx="171">
                  <c:v>50.193656718385306</c:v>
                </c:pt>
                <c:pt idx="172">
                  <c:v>49.679946235188496</c:v>
                </c:pt>
                <c:pt idx="173">
                  <c:v>49.154011322927602</c:v>
                </c:pt>
                <c:pt idx="174">
                  <c:v>48.634529780665289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F90-4014-A4AD-5DEE22E8B1E4}"/>
            </c:ext>
          </c:extLst>
        </c:ser>
        <c:ser>
          <c:idx val="8"/>
          <c:order val="8"/>
          <c:tx>
            <c:strRef>
              <c:f>data_co2_excLUC!$L$2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data_co2_excLUC!$L$3:$L$177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90-4014-A4AD-5DEE22E8B1E4}"/>
            </c:ext>
          </c:extLst>
        </c:ser>
        <c:ser>
          <c:idx val="9"/>
          <c:order val="9"/>
          <c:tx>
            <c:strRef>
              <c:f>data_co2_excLUC!$M$2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data_co2_excLUC!$M$3:$M$177</c:f>
              <c:numCache>
                <c:formatCode>0.0</c:formatCode>
                <c:ptCount val="175"/>
                <c:pt idx="0">
                  <c:v>99.944119320490927</c:v>
                </c:pt>
                <c:pt idx="1">
                  <c:v>99.944391925707606</c:v>
                </c:pt>
                <c:pt idx="2">
                  <c:v>99.933523534492338</c:v>
                </c:pt>
                <c:pt idx="3">
                  <c:v>99.936864531761529</c:v>
                </c:pt>
                <c:pt idx="4">
                  <c:v>99.951371274277179</c:v>
                </c:pt>
                <c:pt idx="5">
                  <c:v>99.945948212098628</c:v>
                </c:pt>
                <c:pt idx="6">
                  <c:v>99.896468465632921</c:v>
                </c:pt>
                <c:pt idx="7">
                  <c:v>99.845925087933509</c:v>
                </c:pt>
                <c:pt idx="8">
                  <c:v>99.784521795673101</c:v>
                </c:pt>
                <c:pt idx="9">
                  <c:v>99.73861425689897</c:v>
                </c:pt>
                <c:pt idx="10">
                  <c:v>99.695837584941899</c:v>
                </c:pt>
                <c:pt idx="11">
                  <c:v>99.665507243446015</c:v>
                </c:pt>
                <c:pt idx="12">
                  <c:v>99.637949853768333</c:v>
                </c:pt>
                <c:pt idx="13">
                  <c:v>99.61990278741375</c:v>
                </c:pt>
                <c:pt idx="14">
                  <c:v>99.597943590984627</c:v>
                </c:pt>
                <c:pt idx="15">
                  <c:v>99.578286907799125</c:v>
                </c:pt>
                <c:pt idx="16">
                  <c:v>99.546648460210534</c:v>
                </c:pt>
                <c:pt idx="17">
                  <c:v>99.530537611973116</c:v>
                </c:pt>
                <c:pt idx="18">
                  <c:v>99.514545873939809</c:v>
                </c:pt>
                <c:pt idx="19">
                  <c:v>99.503689981774173</c:v>
                </c:pt>
                <c:pt idx="20">
                  <c:v>99.494503676663825</c:v>
                </c:pt>
                <c:pt idx="21">
                  <c:v>99.485095646615179</c:v>
                </c:pt>
                <c:pt idx="22">
                  <c:v>99.471346378255959</c:v>
                </c:pt>
                <c:pt idx="23">
                  <c:v>99.458781432501397</c:v>
                </c:pt>
                <c:pt idx="24">
                  <c:v>99.439463807598742</c:v>
                </c:pt>
                <c:pt idx="25">
                  <c:v>99.428922107046319</c:v>
                </c:pt>
                <c:pt idx="26">
                  <c:v>99.419227502497193</c:v>
                </c:pt>
                <c:pt idx="27">
                  <c:v>99.41260200581867</c:v>
                </c:pt>
                <c:pt idx="28">
                  <c:v>99.389441700959239</c:v>
                </c:pt>
                <c:pt idx="29">
                  <c:v>99.370488571738917</c:v>
                </c:pt>
                <c:pt idx="30">
                  <c:v>99.352245214540645</c:v>
                </c:pt>
                <c:pt idx="31">
                  <c:v>99.335163978505719</c:v>
                </c:pt>
                <c:pt idx="32">
                  <c:v>99.318523137630748</c:v>
                </c:pt>
                <c:pt idx="33">
                  <c:v>99.301593606866746</c:v>
                </c:pt>
                <c:pt idx="34">
                  <c:v>99.282081491144822</c:v>
                </c:pt>
                <c:pt idx="35">
                  <c:v>99.263891676240235</c:v>
                </c:pt>
                <c:pt idx="36">
                  <c:v>99.247810309719625</c:v>
                </c:pt>
                <c:pt idx="37">
                  <c:v>99.228887149177496</c:v>
                </c:pt>
                <c:pt idx="38">
                  <c:v>99.207978449352126</c:v>
                </c:pt>
                <c:pt idx="39">
                  <c:v>99.179775743142642</c:v>
                </c:pt>
                <c:pt idx="40">
                  <c:v>99.15769183429633</c:v>
                </c:pt>
                <c:pt idx="41">
                  <c:v>99.132946884044941</c:v>
                </c:pt>
                <c:pt idx="42">
                  <c:v>99.103428626596354</c:v>
                </c:pt>
                <c:pt idx="43">
                  <c:v>99.066530424050825</c:v>
                </c:pt>
                <c:pt idx="44">
                  <c:v>99.025940207942</c:v>
                </c:pt>
                <c:pt idx="45">
                  <c:v>98.981009007967586</c:v>
                </c:pt>
                <c:pt idx="46">
                  <c:v>98.934043062549989</c:v>
                </c:pt>
                <c:pt idx="47">
                  <c:v>98.886584496393723</c:v>
                </c:pt>
                <c:pt idx="48">
                  <c:v>98.83374033663442</c:v>
                </c:pt>
                <c:pt idx="49">
                  <c:v>98.783303896266062</c:v>
                </c:pt>
                <c:pt idx="50">
                  <c:v>98.741952380047763</c:v>
                </c:pt>
                <c:pt idx="51">
                  <c:v>98.692885849028173</c:v>
                </c:pt>
                <c:pt idx="52">
                  <c:v>98.642857984609932</c:v>
                </c:pt>
                <c:pt idx="53">
                  <c:v>98.592193588371146</c:v>
                </c:pt>
                <c:pt idx="54">
                  <c:v>98.535727094025432</c:v>
                </c:pt>
                <c:pt idx="55">
                  <c:v>98.481161364327832</c:v>
                </c:pt>
                <c:pt idx="56">
                  <c:v>98.41741334074085</c:v>
                </c:pt>
                <c:pt idx="57">
                  <c:v>98.319384878090133</c:v>
                </c:pt>
                <c:pt idx="58">
                  <c:v>98.214309752663638</c:v>
                </c:pt>
                <c:pt idx="59">
                  <c:v>98.115213843290562</c:v>
                </c:pt>
                <c:pt idx="60">
                  <c:v>98.020952706225387</c:v>
                </c:pt>
                <c:pt idx="61">
                  <c:v>97.923444072991842</c:v>
                </c:pt>
                <c:pt idx="62">
                  <c:v>97.839757702553129</c:v>
                </c:pt>
                <c:pt idx="63">
                  <c:v>97.744691238135644</c:v>
                </c:pt>
                <c:pt idx="64">
                  <c:v>97.657518901381025</c:v>
                </c:pt>
                <c:pt idx="65">
                  <c:v>97.578531555699414</c:v>
                </c:pt>
                <c:pt idx="66">
                  <c:v>97.496478567992796</c:v>
                </c:pt>
                <c:pt idx="67">
                  <c:v>97.410361287117439</c:v>
                </c:pt>
                <c:pt idx="68">
                  <c:v>97.326015139685154</c:v>
                </c:pt>
                <c:pt idx="69">
                  <c:v>97.211466285956547</c:v>
                </c:pt>
                <c:pt idx="70">
                  <c:v>97.07985703873311</c:v>
                </c:pt>
                <c:pt idx="71">
                  <c:v>96.929299666638357</c:v>
                </c:pt>
                <c:pt idx="72">
                  <c:v>96.793028503450245</c:v>
                </c:pt>
                <c:pt idx="73">
                  <c:v>96.670686161057233</c:v>
                </c:pt>
                <c:pt idx="74">
                  <c:v>96.545871304807235</c:v>
                </c:pt>
                <c:pt idx="75">
                  <c:v>96.436518975473433</c:v>
                </c:pt>
                <c:pt idx="76">
                  <c:v>96.337753072057978</c:v>
                </c:pt>
                <c:pt idx="77">
                  <c:v>96.253678856177928</c:v>
                </c:pt>
                <c:pt idx="78">
                  <c:v>96.170639844832479</c:v>
                </c:pt>
                <c:pt idx="79">
                  <c:v>96.093971163927165</c:v>
                </c:pt>
                <c:pt idx="80">
                  <c:v>96.013011084505152</c:v>
                </c:pt>
                <c:pt idx="81">
                  <c:v>95.933542881943112</c:v>
                </c:pt>
                <c:pt idx="82">
                  <c:v>95.848255870211148</c:v>
                </c:pt>
                <c:pt idx="83">
                  <c:v>95.759320280156373</c:v>
                </c:pt>
                <c:pt idx="84">
                  <c:v>95.658485203584178</c:v>
                </c:pt>
                <c:pt idx="85">
                  <c:v>95.546681199308821</c:v>
                </c:pt>
                <c:pt idx="86">
                  <c:v>95.437852396720743</c:v>
                </c:pt>
                <c:pt idx="87">
                  <c:v>95.32277371866769</c:v>
                </c:pt>
                <c:pt idx="88">
                  <c:v>95.205351149512623</c:v>
                </c:pt>
                <c:pt idx="89">
                  <c:v>95.083512433200795</c:v>
                </c:pt>
                <c:pt idx="90">
                  <c:v>94.958215007714159</c:v>
                </c:pt>
                <c:pt idx="91">
                  <c:v>94.84263993543</c:v>
                </c:pt>
                <c:pt idx="92">
                  <c:v>94.747041286109877</c:v>
                </c:pt>
                <c:pt idx="93">
                  <c:v>94.663889679596338</c:v>
                </c:pt>
                <c:pt idx="94">
                  <c:v>94.57472988274435</c:v>
                </c:pt>
                <c:pt idx="95">
                  <c:v>94.487244146353916</c:v>
                </c:pt>
                <c:pt idx="96">
                  <c:v>94.401352464724638</c:v>
                </c:pt>
                <c:pt idx="97">
                  <c:v>94.305271773363657</c:v>
                </c:pt>
                <c:pt idx="98">
                  <c:v>94.221643943760654</c:v>
                </c:pt>
                <c:pt idx="99">
                  <c:v>94.137058714675419</c:v>
                </c:pt>
                <c:pt idx="100">
                  <c:v>94.037693842819493</c:v>
                </c:pt>
                <c:pt idx="101">
                  <c:v>93.925574489720617</c:v>
                </c:pt>
                <c:pt idx="102">
                  <c:v>93.796013791766967</c:v>
                </c:pt>
                <c:pt idx="103">
                  <c:v>93.669642548208813</c:v>
                </c:pt>
                <c:pt idx="104">
                  <c:v>93.521204908679607</c:v>
                </c:pt>
                <c:pt idx="105">
                  <c:v>93.350128430829315</c:v>
                </c:pt>
                <c:pt idx="106">
                  <c:v>93.168571121878045</c:v>
                </c:pt>
                <c:pt idx="107">
                  <c:v>92.969125609487506</c:v>
                </c:pt>
                <c:pt idx="108">
                  <c:v>92.680503606617904</c:v>
                </c:pt>
                <c:pt idx="109">
                  <c:v>92.334120447474078</c:v>
                </c:pt>
                <c:pt idx="110">
                  <c:v>91.974617788755538</c:v>
                </c:pt>
                <c:pt idx="111">
                  <c:v>91.694732944980245</c:v>
                </c:pt>
                <c:pt idx="112">
                  <c:v>91.452187870746059</c:v>
                </c:pt>
                <c:pt idx="113">
                  <c:v>91.218328957503417</c:v>
                </c:pt>
                <c:pt idx="114">
                  <c:v>90.984407640974666</c:v>
                </c:pt>
                <c:pt idx="115">
                  <c:v>90.735268244041578</c:v>
                </c:pt>
                <c:pt idx="116">
                  <c:v>90.477346994972862</c:v>
                </c:pt>
                <c:pt idx="117">
                  <c:v>90.243626442966246</c:v>
                </c:pt>
                <c:pt idx="118">
                  <c:v>89.998232045860703</c:v>
                </c:pt>
                <c:pt idx="119">
                  <c:v>89.729739508839771</c:v>
                </c:pt>
                <c:pt idx="120">
                  <c:v>89.416137567350205</c:v>
                </c:pt>
                <c:pt idx="121">
                  <c:v>89.072950037040201</c:v>
                </c:pt>
                <c:pt idx="122">
                  <c:v>88.736009884924556</c:v>
                </c:pt>
                <c:pt idx="123">
                  <c:v>88.387669949753288</c:v>
                </c:pt>
                <c:pt idx="124">
                  <c:v>88.040862136510896</c:v>
                </c:pt>
                <c:pt idx="125">
                  <c:v>87.674113252731573</c:v>
                </c:pt>
                <c:pt idx="126">
                  <c:v>87.302796583170718</c:v>
                </c:pt>
                <c:pt idx="127">
                  <c:v>86.921580892237841</c:v>
                </c:pt>
                <c:pt idx="128">
                  <c:v>86.525123717943913</c:v>
                </c:pt>
                <c:pt idx="129">
                  <c:v>86.12716998101854</c:v>
                </c:pt>
                <c:pt idx="130">
                  <c:v>85.739513275207898</c:v>
                </c:pt>
                <c:pt idx="131">
                  <c:v>85.364196018362037</c:v>
                </c:pt>
                <c:pt idx="132">
                  <c:v>84.975328828845548</c:v>
                </c:pt>
                <c:pt idx="133">
                  <c:v>84.584835505843486</c:v>
                </c:pt>
                <c:pt idx="134">
                  <c:v>84.186280417040606</c:v>
                </c:pt>
                <c:pt idx="135">
                  <c:v>83.774483847294675</c:v>
                </c:pt>
                <c:pt idx="136">
                  <c:v>83.354855377068247</c:v>
                </c:pt>
                <c:pt idx="137">
                  <c:v>82.932992240051277</c:v>
                </c:pt>
                <c:pt idx="138">
                  <c:v>82.493580444107934</c:v>
                </c:pt>
                <c:pt idx="139">
                  <c:v>82.063734246907643</c:v>
                </c:pt>
                <c:pt idx="140">
                  <c:v>81.670649934264191</c:v>
                </c:pt>
                <c:pt idx="141">
                  <c:v>81.21316255555638</c:v>
                </c:pt>
                <c:pt idx="142">
                  <c:v>80.787837145391535</c:v>
                </c:pt>
                <c:pt idx="143">
                  <c:v>80.343594058022376</c:v>
                </c:pt>
                <c:pt idx="144">
                  <c:v>79.881654651558392</c:v>
                </c:pt>
                <c:pt idx="145">
                  <c:v>79.407738976936699</c:v>
                </c:pt>
                <c:pt idx="146">
                  <c:v>78.929809055366604</c:v>
                </c:pt>
                <c:pt idx="147">
                  <c:v>78.455200049018231</c:v>
                </c:pt>
                <c:pt idx="148">
                  <c:v>78.015235087188955</c:v>
                </c:pt>
                <c:pt idx="149">
                  <c:v>77.561614070111702</c:v>
                </c:pt>
                <c:pt idx="150">
                  <c:v>77.107087965907311</c:v>
                </c:pt>
                <c:pt idx="151">
                  <c:v>76.657974279712406</c:v>
                </c:pt>
                <c:pt idx="152">
                  <c:v>76.195405764806949</c:v>
                </c:pt>
                <c:pt idx="153">
                  <c:v>75.683170309148892</c:v>
                </c:pt>
                <c:pt idx="154">
                  <c:v>75.14852334590833</c:v>
                </c:pt>
                <c:pt idx="155">
                  <c:v>74.582379259397413</c:v>
                </c:pt>
                <c:pt idx="156">
                  <c:v>73.985595514448306</c:v>
                </c:pt>
                <c:pt idx="157">
                  <c:v>73.376385397245727</c:v>
                </c:pt>
                <c:pt idx="158">
                  <c:v>72.736821833949264</c:v>
                </c:pt>
                <c:pt idx="159">
                  <c:v>72.074934989236198</c:v>
                </c:pt>
                <c:pt idx="160">
                  <c:v>71.384286060584103</c:v>
                </c:pt>
                <c:pt idx="161">
                  <c:v>70.657832769610934</c:v>
                </c:pt>
                <c:pt idx="162">
                  <c:v>69.928222582885851</c:v>
                </c:pt>
                <c:pt idx="163">
                  <c:v>69.217578274295974</c:v>
                </c:pt>
                <c:pt idx="164">
                  <c:v>68.517544206411799</c:v>
                </c:pt>
                <c:pt idx="165">
                  <c:v>67.842613185382888</c:v>
                </c:pt>
                <c:pt idx="166">
                  <c:v>67.189731968166512</c:v>
                </c:pt>
                <c:pt idx="167">
                  <c:v>66.542770978646558</c:v>
                </c:pt>
                <c:pt idx="168">
                  <c:v>65.900768485028038</c:v>
                </c:pt>
                <c:pt idx="169">
                  <c:v>65.251180505028415</c:v>
                </c:pt>
                <c:pt idx="170">
                  <c:v>64.623806176538764</c:v>
                </c:pt>
                <c:pt idx="171">
                  <c:v>63.996341137979066</c:v>
                </c:pt>
                <c:pt idx="172">
                  <c:v>63.36390222562833</c:v>
                </c:pt>
                <c:pt idx="173">
                  <c:v>62.722166464080168</c:v>
                </c:pt>
                <c:pt idx="174">
                  <c:v>62.091743207812513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F90-4014-A4AD-5DEE22E8B1E4}"/>
            </c:ext>
          </c:extLst>
        </c:ser>
        <c:ser>
          <c:idx val="10"/>
          <c:order val="10"/>
          <c:tx>
            <c:strRef>
              <c:f>data_co2_excLUC!$N$2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data_co2_excLUC!$N$3:$N$177</c:f>
              <c:numCache>
                <c:formatCode>0.0</c:formatCode>
                <c:ptCount val="175"/>
                <c:pt idx="0">
                  <c:v>99.978888867068591</c:v>
                </c:pt>
                <c:pt idx="1">
                  <c:v>99.97854820073033</c:v>
                </c:pt>
                <c:pt idx="2">
                  <c:v>99.977804143120167</c:v>
                </c:pt>
                <c:pt idx="3">
                  <c:v>99.976662722393115</c:v>
                </c:pt>
                <c:pt idx="4">
                  <c:v>99.975864282176943</c:v>
                </c:pt>
                <c:pt idx="5">
                  <c:v>99.974822281273973</c:v>
                </c:pt>
                <c:pt idx="6">
                  <c:v>99.973987692666682</c:v>
                </c:pt>
                <c:pt idx="7">
                  <c:v>99.973086601841359</c:v>
                </c:pt>
                <c:pt idx="8">
                  <c:v>99.953491629153874</c:v>
                </c:pt>
                <c:pt idx="9">
                  <c:v>99.928603557523061</c:v>
                </c:pt>
                <c:pt idx="10">
                  <c:v>99.908867987552014</c:v>
                </c:pt>
                <c:pt idx="11">
                  <c:v>99.897718484849591</c:v>
                </c:pt>
                <c:pt idx="12">
                  <c:v>99.887773534959052</c:v>
                </c:pt>
                <c:pt idx="13">
                  <c:v>99.878629152100643</c:v>
                </c:pt>
                <c:pt idx="14">
                  <c:v>99.87236480798893</c:v>
                </c:pt>
                <c:pt idx="15">
                  <c:v>99.868158574946449</c:v>
                </c:pt>
                <c:pt idx="16">
                  <c:v>99.858423522895592</c:v>
                </c:pt>
                <c:pt idx="17">
                  <c:v>99.848959810374382</c:v>
                </c:pt>
                <c:pt idx="18">
                  <c:v>99.840833886544971</c:v>
                </c:pt>
                <c:pt idx="19">
                  <c:v>99.830946784114175</c:v>
                </c:pt>
                <c:pt idx="20">
                  <c:v>99.820500247954627</c:v>
                </c:pt>
                <c:pt idx="21">
                  <c:v>99.808260885356049</c:v>
                </c:pt>
                <c:pt idx="22">
                  <c:v>99.797417318501786</c:v>
                </c:pt>
                <c:pt idx="23">
                  <c:v>99.788181538188908</c:v>
                </c:pt>
                <c:pt idx="24">
                  <c:v>99.776597373669929</c:v>
                </c:pt>
                <c:pt idx="25">
                  <c:v>99.765466005523123</c:v>
                </c:pt>
                <c:pt idx="26">
                  <c:v>99.753086590473174</c:v>
                </c:pt>
                <c:pt idx="27">
                  <c:v>99.741797401756628</c:v>
                </c:pt>
                <c:pt idx="28">
                  <c:v>99.728029437318753</c:v>
                </c:pt>
                <c:pt idx="29">
                  <c:v>99.717092620633863</c:v>
                </c:pt>
                <c:pt idx="30">
                  <c:v>99.705840540477482</c:v>
                </c:pt>
                <c:pt idx="31">
                  <c:v>99.695866518173162</c:v>
                </c:pt>
                <c:pt idx="32">
                  <c:v>99.684974198796027</c:v>
                </c:pt>
                <c:pt idx="33">
                  <c:v>99.67302020002893</c:v>
                </c:pt>
                <c:pt idx="34">
                  <c:v>99.660410602935272</c:v>
                </c:pt>
                <c:pt idx="35">
                  <c:v>99.649211988220159</c:v>
                </c:pt>
                <c:pt idx="36">
                  <c:v>99.637388624045755</c:v>
                </c:pt>
                <c:pt idx="37">
                  <c:v>99.619729080505692</c:v>
                </c:pt>
                <c:pt idx="38">
                  <c:v>99.604341471001973</c:v>
                </c:pt>
                <c:pt idx="39">
                  <c:v>99.582721426822928</c:v>
                </c:pt>
                <c:pt idx="40">
                  <c:v>99.562146225437388</c:v>
                </c:pt>
                <c:pt idx="41">
                  <c:v>99.540639152587318</c:v>
                </c:pt>
                <c:pt idx="42">
                  <c:v>99.514612933656792</c:v>
                </c:pt>
                <c:pt idx="43">
                  <c:v>99.479748482624544</c:v>
                </c:pt>
                <c:pt idx="44">
                  <c:v>99.444690461652712</c:v>
                </c:pt>
                <c:pt idx="45">
                  <c:v>99.400947808339552</c:v>
                </c:pt>
                <c:pt idx="46">
                  <c:v>99.355721277830682</c:v>
                </c:pt>
                <c:pt idx="47">
                  <c:v>99.308761168359567</c:v>
                </c:pt>
                <c:pt idx="48">
                  <c:v>99.256218232385478</c:v>
                </c:pt>
                <c:pt idx="49">
                  <c:v>99.205456363272731</c:v>
                </c:pt>
                <c:pt idx="50">
                  <c:v>99.1620350033687</c:v>
                </c:pt>
                <c:pt idx="51">
                  <c:v>99.102416671866038</c:v>
                </c:pt>
                <c:pt idx="52">
                  <c:v>99.041584517607333</c:v>
                </c:pt>
                <c:pt idx="53">
                  <c:v>98.977514857639534</c:v>
                </c:pt>
                <c:pt idx="54">
                  <c:v>98.907555196239628</c:v>
                </c:pt>
                <c:pt idx="55">
                  <c:v>98.843170494565726</c:v>
                </c:pt>
                <c:pt idx="56">
                  <c:v>98.742352809758415</c:v>
                </c:pt>
                <c:pt idx="57">
                  <c:v>98.646853144462682</c:v>
                </c:pt>
                <c:pt idx="58">
                  <c:v>98.534965283559359</c:v>
                </c:pt>
                <c:pt idx="59">
                  <c:v>98.436091187127317</c:v>
                </c:pt>
                <c:pt idx="60">
                  <c:v>98.342637088753676</c:v>
                </c:pt>
                <c:pt idx="61">
                  <c:v>98.234154241603122</c:v>
                </c:pt>
                <c:pt idx="62">
                  <c:v>98.152838091765915</c:v>
                </c:pt>
                <c:pt idx="63">
                  <c:v>98.065564583424504</c:v>
                </c:pt>
                <c:pt idx="64">
                  <c:v>97.981189122508596</c:v>
                </c:pt>
                <c:pt idx="65">
                  <c:v>97.898623389820074</c:v>
                </c:pt>
                <c:pt idx="66">
                  <c:v>97.816888994470645</c:v>
                </c:pt>
                <c:pt idx="67">
                  <c:v>97.733236730105716</c:v>
                </c:pt>
                <c:pt idx="68">
                  <c:v>97.652999279832159</c:v>
                </c:pt>
                <c:pt idx="69">
                  <c:v>97.544748713498436</c:v>
                </c:pt>
                <c:pt idx="70">
                  <c:v>97.422658759414844</c:v>
                </c:pt>
                <c:pt idx="71">
                  <c:v>97.281697129308881</c:v>
                </c:pt>
                <c:pt idx="72">
                  <c:v>97.151084072511182</c:v>
                </c:pt>
                <c:pt idx="73">
                  <c:v>97.031273507257708</c:v>
                </c:pt>
                <c:pt idx="74">
                  <c:v>96.907361044840599</c:v>
                </c:pt>
                <c:pt idx="75">
                  <c:v>96.796322117555746</c:v>
                </c:pt>
                <c:pt idx="76">
                  <c:v>96.687332134708484</c:v>
                </c:pt>
                <c:pt idx="77">
                  <c:v>96.589369273342186</c:v>
                </c:pt>
                <c:pt idx="78">
                  <c:v>96.481021585942401</c:v>
                </c:pt>
                <c:pt idx="79">
                  <c:v>96.372753312767571</c:v>
                </c:pt>
                <c:pt idx="80">
                  <c:v>96.255881207901425</c:v>
                </c:pt>
                <c:pt idx="81">
                  <c:v>96.147334059655932</c:v>
                </c:pt>
                <c:pt idx="82">
                  <c:v>96.036462518091597</c:v>
                </c:pt>
                <c:pt idx="83">
                  <c:v>95.92164371419662</c:v>
                </c:pt>
                <c:pt idx="84">
                  <c:v>95.791643561827115</c:v>
                </c:pt>
                <c:pt idx="85">
                  <c:v>95.64634661967095</c:v>
                </c:pt>
                <c:pt idx="86">
                  <c:v>95.500570816561179</c:v>
                </c:pt>
                <c:pt idx="87">
                  <c:v>95.34547229668992</c:v>
                </c:pt>
                <c:pt idx="88">
                  <c:v>95.184816118973757</c:v>
                </c:pt>
                <c:pt idx="89">
                  <c:v>95.018297588923488</c:v>
                </c:pt>
                <c:pt idx="90">
                  <c:v>94.859088703746167</c:v>
                </c:pt>
                <c:pt idx="91">
                  <c:v>94.705667083618778</c:v>
                </c:pt>
                <c:pt idx="92">
                  <c:v>94.58571945287288</c:v>
                </c:pt>
                <c:pt idx="93">
                  <c:v>94.464012853118945</c:v>
                </c:pt>
                <c:pt idx="94">
                  <c:v>94.33178846554317</c:v>
                </c:pt>
                <c:pt idx="95">
                  <c:v>94.187752046997531</c:v>
                </c:pt>
                <c:pt idx="96">
                  <c:v>94.019795039718815</c:v>
                </c:pt>
                <c:pt idx="97">
                  <c:v>93.863432037312947</c:v>
                </c:pt>
                <c:pt idx="98">
                  <c:v>93.725351199930557</c:v>
                </c:pt>
                <c:pt idx="99">
                  <c:v>93.570608916128563</c:v>
                </c:pt>
                <c:pt idx="100">
                  <c:v>93.479933433465504</c:v>
                </c:pt>
                <c:pt idx="101">
                  <c:v>93.374139429864371</c:v>
                </c:pt>
                <c:pt idx="102">
                  <c:v>93.251874261924911</c:v>
                </c:pt>
                <c:pt idx="103">
                  <c:v>93.130606193486116</c:v>
                </c:pt>
                <c:pt idx="104">
                  <c:v>92.985708475415535</c:v>
                </c:pt>
                <c:pt idx="105">
                  <c:v>92.822148969544585</c:v>
                </c:pt>
                <c:pt idx="106">
                  <c:v>92.648676657150787</c:v>
                </c:pt>
                <c:pt idx="107">
                  <c:v>92.451908187900088</c:v>
                </c:pt>
                <c:pt idx="108">
                  <c:v>92.162811236036674</c:v>
                </c:pt>
                <c:pt idx="109">
                  <c:v>91.81636937089354</c:v>
                </c:pt>
                <c:pt idx="110">
                  <c:v>91.455636648708207</c:v>
                </c:pt>
                <c:pt idx="111">
                  <c:v>91.170233022092845</c:v>
                </c:pt>
                <c:pt idx="112">
                  <c:v>90.919996150334995</c:v>
                </c:pt>
                <c:pt idx="113">
                  <c:v>90.677494878867719</c:v>
                </c:pt>
                <c:pt idx="114">
                  <c:v>90.439281101628197</c:v>
                </c:pt>
                <c:pt idx="115">
                  <c:v>90.189786762150518</c:v>
                </c:pt>
                <c:pt idx="116">
                  <c:v>89.926834211603961</c:v>
                </c:pt>
                <c:pt idx="117">
                  <c:v>89.696071068711746</c:v>
                </c:pt>
                <c:pt idx="118">
                  <c:v>89.449597927340434</c:v>
                </c:pt>
                <c:pt idx="119">
                  <c:v>89.182105438370201</c:v>
                </c:pt>
                <c:pt idx="120">
                  <c:v>88.8676841211213</c:v>
                </c:pt>
                <c:pt idx="121">
                  <c:v>88.52813730896527</c:v>
                </c:pt>
                <c:pt idx="122">
                  <c:v>88.198294289405837</c:v>
                </c:pt>
                <c:pt idx="123">
                  <c:v>87.860447764080803</c:v>
                </c:pt>
                <c:pt idx="124">
                  <c:v>87.52405775239977</c:v>
                </c:pt>
                <c:pt idx="125">
                  <c:v>87.167297594142752</c:v>
                </c:pt>
                <c:pt idx="126">
                  <c:v>86.812361783292019</c:v>
                </c:pt>
                <c:pt idx="127">
                  <c:v>86.449763487053957</c:v>
                </c:pt>
                <c:pt idx="128">
                  <c:v>86.077380108908969</c:v>
                </c:pt>
                <c:pt idx="129">
                  <c:v>85.704074850806634</c:v>
                </c:pt>
                <c:pt idx="130">
                  <c:v>85.342176252689086</c:v>
                </c:pt>
                <c:pt idx="131">
                  <c:v>84.988010228366846</c:v>
                </c:pt>
                <c:pt idx="132">
                  <c:v>84.624083563053247</c:v>
                </c:pt>
                <c:pt idx="133">
                  <c:v>84.259596684269525</c:v>
                </c:pt>
                <c:pt idx="134">
                  <c:v>83.884092560445794</c:v>
                </c:pt>
                <c:pt idx="135">
                  <c:v>83.495264855436275</c:v>
                </c:pt>
                <c:pt idx="136">
                  <c:v>83.101681037051193</c:v>
                </c:pt>
                <c:pt idx="137">
                  <c:v>82.705651291552741</c:v>
                </c:pt>
                <c:pt idx="138">
                  <c:v>82.295843930827857</c:v>
                </c:pt>
                <c:pt idx="139">
                  <c:v>81.885186433949443</c:v>
                </c:pt>
                <c:pt idx="140">
                  <c:v>81.50025496169981</c:v>
                </c:pt>
                <c:pt idx="141">
                  <c:v>81.072400213783268</c:v>
                </c:pt>
                <c:pt idx="142">
                  <c:v>80.660690143368498</c:v>
                </c:pt>
                <c:pt idx="143">
                  <c:v>80.234317138563725</c:v>
                </c:pt>
                <c:pt idx="144">
                  <c:v>79.797117000732385</c:v>
                </c:pt>
                <c:pt idx="145">
                  <c:v>79.344669491990302</c:v>
                </c:pt>
                <c:pt idx="146">
                  <c:v>78.882599659041986</c:v>
                </c:pt>
                <c:pt idx="147">
                  <c:v>78.418736238690073</c:v>
                </c:pt>
                <c:pt idx="148">
                  <c:v>77.983394656449263</c:v>
                </c:pt>
                <c:pt idx="149">
                  <c:v>77.53247906486439</c:v>
                </c:pt>
                <c:pt idx="150">
                  <c:v>77.078343442324524</c:v>
                </c:pt>
                <c:pt idx="151">
                  <c:v>76.624251206861743</c:v>
                </c:pt>
                <c:pt idx="152">
                  <c:v>76.152019481066517</c:v>
                </c:pt>
                <c:pt idx="153">
                  <c:v>75.632385010006971</c:v>
                </c:pt>
                <c:pt idx="154">
                  <c:v>75.084125476659054</c:v>
                </c:pt>
                <c:pt idx="155">
                  <c:v>74.499462808952032</c:v>
                </c:pt>
                <c:pt idx="156">
                  <c:v>73.894955231726854</c:v>
                </c:pt>
                <c:pt idx="157">
                  <c:v>73.282913853753342</c:v>
                </c:pt>
                <c:pt idx="158">
                  <c:v>72.65088708453456</c:v>
                </c:pt>
                <c:pt idx="159">
                  <c:v>72.000419302209735</c:v>
                </c:pt>
                <c:pt idx="160">
                  <c:v>71.335653582173862</c:v>
                </c:pt>
                <c:pt idx="161">
                  <c:v>70.63255066514067</c:v>
                </c:pt>
                <c:pt idx="162">
                  <c:v>69.925385873580041</c:v>
                </c:pt>
                <c:pt idx="163">
                  <c:v>69.232777601503699</c:v>
                </c:pt>
                <c:pt idx="164">
                  <c:v>68.542132596755806</c:v>
                </c:pt>
                <c:pt idx="165">
                  <c:v>67.864022642665248</c:v>
                </c:pt>
                <c:pt idx="166">
                  <c:v>67.202415773235501</c:v>
                </c:pt>
                <c:pt idx="167">
                  <c:v>66.540370165343944</c:v>
                </c:pt>
                <c:pt idx="168">
                  <c:v>65.888610751102888</c:v>
                </c:pt>
                <c:pt idx="169">
                  <c:v>65.24242981808122</c:v>
                </c:pt>
                <c:pt idx="170">
                  <c:v>64.619062823134982</c:v>
                </c:pt>
                <c:pt idx="171">
                  <c:v>63.996722953411819</c:v>
                </c:pt>
                <c:pt idx="172">
                  <c:v>63.381752461946853</c:v>
                </c:pt>
                <c:pt idx="173">
                  <c:v>62.754824926679561</c:v>
                </c:pt>
                <c:pt idx="174">
                  <c:v>62.172529548298364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90-4014-A4AD-5DEE22E8B1E4}"/>
            </c:ext>
          </c:extLst>
        </c:ser>
        <c:ser>
          <c:idx val="11"/>
          <c:order val="11"/>
          <c:tx>
            <c:strRef>
              <c:f>data_co2_excLUC!$O$2</c:f>
              <c:strCache>
                <c:ptCount val="1"/>
                <c:pt idx="0">
                  <c:v>pct_annex1_GCP_fossil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data_co2_excLUC!$O$3:$O$177</c:f>
              <c:numCache>
                <c:formatCode>0.0</c:formatCode>
                <c:ptCount val="175"/>
                <c:pt idx="0">
                  <c:v>99.944119320490927</c:v>
                </c:pt>
                <c:pt idx="1">
                  <c:v>99.944391925707606</c:v>
                </c:pt>
                <c:pt idx="2">
                  <c:v>99.933523534492338</c:v>
                </c:pt>
                <c:pt idx="3">
                  <c:v>99.936864531761529</c:v>
                </c:pt>
                <c:pt idx="4">
                  <c:v>99.951371274277179</c:v>
                </c:pt>
                <c:pt idx="5">
                  <c:v>99.945948212098628</c:v>
                </c:pt>
                <c:pt idx="6">
                  <c:v>99.896468465632921</c:v>
                </c:pt>
                <c:pt idx="7">
                  <c:v>99.845925087933509</c:v>
                </c:pt>
                <c:pt idx="8">
                  <c:v>99.784521795673101</c:v>
                </c:pt>
                <c:pt idx="9">
                  <c:v>99.73861425689897</c:v>
                </c:pt>
                <c:pt idx="10">
                  <c:v>99.695837584941899</c:v>
                </c:pt>
                <c:pt idx="11">
                  <c:v>99.665507243446015</c:v>
                </c:pt>
                <c:pt idx="12">
                  <c:v>99.637949853768333</c:v>
                </c:pt>
                <c:pt idx="13">
                  <c:v>99.61990278741375</c:v>
                </c:pt>
                <c:pt idx="14">
                  <c:v>99.597943590984627</c:v>
                </c:pt>
                <c:pt idx="15">
                  <c:v>99.578286907799125</c:v>
                </c:pt>
                <c:pt idx="16">
                  <c:v>99.546648460210534</c:v>
                </c:pt>
                <c:pt idx="17">
                  <c:v>99.530537611973116</c:v>
                </c:pt>
                <c:pt idx="18">
                  <c:v>99.514545873939809</c:v>
                </c:pt>
                <c:pt idx="19">
                  <c:v>99.503689981774173</c:v>
                </c:pt>
                <c:pt idx="20">
                  <c:v>99.494503676663825</c:v>
                </c:pt>
                <c:pt idx="21">
                  <c:v>99.485095646615179</c:v>
                </c:pt>
                <c:pt idx="22">
                  <c:v>99.471346378255959</c:v>
                </c:pt>
                <c:pt idx="23">
                  <c:v>99.458781432501397</c:v>
                </c:pt>
                <c:pt idx="24">
                  <c:v>99.439463807598742</c:v>
                </c:pt>
                <c:pt idx="25">
                  <c:v>99.428922107046319</c:v>
                </c:pt>
                <c:pt idx="26">
                  <c:v>99.419227502497193</c:v>
                </c:pt>
                <c:pt idx="27">
                  <c:v>99.41260200581867</c:v>
                </c:pt>
                <c:pt idx="28">
                  <c:v>99.389441700959239</c:v>
                </c:pt>
                <c:pt idx="29">
                  <c:v>99.370488571738917</c:v>
                </c:pt>
                <c:pt idx="30">
                  <c:v>99.352245214540645</c:v>
                </c:pt>
                <c:pt idx="31">
                  <c:v>99.335163978505719</c:v>
                </c:pt>
                <c:pt idx="32">
                  <c:v>99.318523137630748</c:v>
                </c:pt>
                <c:pt idx="33">
                  <c:v>99.301593606866746</c:v>
                </c:pt>
                <c:pt idx="34">
                  <c:v>99.282081491144822</c:v>
                </c:pt>
                <c:pt idx="35">
                  <c:v>99.263891676240235</c:v>
                </c:pt>
                <c:pt idx="36">
                  <c:v>99.247810309719625</c:v>
                </c:pt>
                <c:pt idx="37">
                  <c:v>99.228887149177496</c:v>
                </c:pt>
                <c:pt idx="38">
                  <c:v>99.207978449352126</c:v>
                </c:pt>
                <c:pt idx="39">
                  <c:v>99.179775743142642</c:v>
                </c:pt>
                <c:pt idx="40">
                  <c:v>99.15769183429633</c:v>
                </c:pt>
                <c:pt idx="41">
                  <c:v>99.132946884044941</c:v>
                </c:pt>
                <c:pt idx="42">
                  <c:v>99.103428626596354</c:v>
                </c:pt>
                <c:pt idx="43">
                  <c:v>99.066530424050825</c:v>
                </c:pt>
                <c:pt idx="44">
                  <c:v>99.025940207942</c:v>
                </c:pt>
                <c:pt idx="45">
                  <c:v>98.981009007967586</c:v>
                </c:pt>
                <c:pt idx="46">
                  <c:v>98.934043062549989</c:v>
                </c:pt>
                <c:pt idx="47">
                  <c:v>98.886584496393723</c:v>
                </c:pt>
                <c:pt idx="48">
                  <c:v>98.83374033663442</c:v>
                </c:pt>
                <c:pt idx="49">
                  <c:v>98.783303896266062</c:v>
                </c:pt>
                <c:pt idx="50">
                  <c:v>98.741952380047763</c:v>
                </c:pt>
                <c:pt idx="51">
                  <c:v>98.692885849028173</c:v>
                </c:pt>
                <c:pt idx="52">
                  <c:v>98.642857984609932</c:v>
                </c:pt>
                <c:pt idx="53">
                  <c:v>98.592193588371146</c:v>
                </c:pt>
                <c:pt idx="54">
                  <c:v>98.535727094025432</c:v>
                </c:pt>
                <c:pt idx="55">
                  <c:v>98.481161364327832</c:v>
                </c:pt>
                <c:pt idx="56">
                  <c:v>98.41741334074085</c:v>
                </c:pt>
                <c:pt idx="57">
                  <c:v>98.319384878090133</c:v>
                </c:pt>
                <c:pt idx="58">
                  <c:v>98.214309752663638</c:v>
                </c:pt>
                <c:pt idx="59">
                  <c:v>98.115213873311873</c:v>
                </c:pt>
                <c:pt idx="60">
                  <c:v>98.020952736287541</c:v>
                </c:pt>
                <c:pt idx="61">
                  <c:v>97.923444103117802</c:v>
                </c:pt>
                <c:pt idx="62">
                  <c:v>97.839757732480422</c:v>
                </c:pt>
                <c:pt idx="63">
                  <c:v>97.744691267925276</c:v>
                </c:pt>
                <c:pt idx="64">
                  <c:v>97.657518931068154</c:v>
                </c:pt>
                <c:pt idx="65">
                  <c:v>97.5785315852102</c:v>
                </c:pt>
                <c:pt idx="66">
                  <c:v>97.496478597289553</c:v>
                </c:pt>
                <c:pt idx="67">
                  <c:v>97.410361316211109</c:v>
                </c:pt>
                <c:pt idx="68">
                  <c:v>97.326015168587958</c:v>
                </c:pt>
                <c:pt idx="69">
                  <c:v>97.211466315138267</c:v>
                </c:pt>
                <c:pt idx="70">
                  <c:v>97.07985706819845</c:v>
                </c:pt>
                <c:pt idx="71">
                  <c:v>96.929299696678669</c:v>
                </c:pt>
                <c:pt idx="72">
                  <c:v>96.793028533852691</c:v>
                </c:pt>
                <c:pt idx="73">
                  <c:v>96.67068619154908</c:v>
                </c:pt>
                <c:pt idx="74">
                  <c:v>96.54587133540096</c:v>
                </c:pt>
                <c:pt idx="75">
                  <c:v>96.436519006023545</c:v>
                </c:pt>
                <c:pt idx="76">
                  <c:v>96.337753102495242</c:v>
                </c:pt>
                <c:pt idx="77">
                  <c:v>96.25367888630899</c:v>
                </c:pt>
                <c:pt idx="78">
                  <c:v>96.170639874672332</c:v>
                </c:pt>
                <c:pt idx="79">
                  <c:v>96.093971193380256</c:v>
                </c:pt>
                <c:pt idx="80">
                  <c:v>96.013011113697445</c:v>
                </c:pt>
                <c:pt idx="81">
                  <c:v>95.933542910965159</c:v>
                </c:pt>
                <c:pt idx="82">
                  <c:v>95.84825589918178</c:v>
                </c:pt>
                <c:pt idx="83">
                  <c:v>95.759320309069167</c:v>
                </c:pt>
                <c:pt idx="84">
                  <c:v>95.658485232464542</c:v>
                </c:pt>
                <c:pt idx="85">
                  <c:v>95.546681228195851</c:v>
                </c:pt>
                <c:pt idx="86">
                  <c:v>95.43785242552741</c:v>
                </c:pt>
                <c:pt idx="87">
                  <c:v>95.322773747385611</c:v>
                </c:pt>
                <c:pt idx="88">
                  <c:v>95.205351178206328</c:v>
                </c:pt>
                <c:pt idx="89">
                  <c:v>95.08351246185704</c:v>
                </c:pt>
                <c:pt idx="90">
                  <c:v>94.958215036287214</c:v>
                </c:pt>
                <c:pt idx="91">
                  <c:v>94.842639963852818</c:v>
                </c:pt>
                <c:pt idx="92">
                  <c:v>94.747041314285866</c:v>
                </c:pt>
                <c:pt idx="93">
                  <c:v>94.663889213155244</c:v>
                </c:pt>
                <c:pt idx="94">
                  <c:v>94.574729429453669</c:v>
                </c:pt>
                <c:pt idx="95">
                  <c:v>94.487243703608954</c:v>
                </c:pt>
                <c:pt idx="96">
                  <c:v>94.401352059975764</c:v>
                </c:pt>
                <c:pt idx="97">
                  <c:v>94.305271379903147</c:v>
                </c:pt>
                <c:pt idx="98">
                  <c:v>94.221643561376013</c:v>
                </c:pt>
                <c:pt idx="99">
                  <c:v>94.137058342425533</c:v>
                </c:pt>
                <c:pt idx="100">
                  <c:v>94.037693481384636</c:v>
                </c:pt>
                <c:pt idx="101">
                  <c:v>93.925574139367939</c:v>
                </c:pt>
                <c:pt idx="102">
                  <c:v>93.796013452257071</c:v>
                </c:pt>
                <c:pt idx="103">
                  <c:v>93.669642219184439</c:v>
                </c:pt>
                <c:pt idx="104">
                  <c:v>93.521204590038735</c:v>
                </c:pt>
                <c:pt idx="105">
                  <c:v>93.350132071098045</c:v>
                </c:pt>
                <c:pt idx="106">
                  <c:v>93.16857847845526</c:v>
                </c:pt>
                <c:pt idx="107">
                  <c:v>92.969137796701702</c:v>
                </c:pt>
                <c:pt idx="108">
                  <c:v>92.680520302327494</c:v>
                </c:pt>
                <c:pt idx="109">
                  <c:v>92.334141009646928</c:v>
                </c:pt>
                <c:pt idx="110">
                  <c:v>91.974641919274461</c:v>
                </c:pt>
                <c:pt idx="111">
                  <c:v>91.694771335916101</c:v>
                </c:pt>
                <c:pt idx="112">
                  <c:v>91.452239586041486</c:v>
                </c:pt>
                <c:pt idx="113">
                  <c:v>91.218394142070963</c:v>
                </c:pt>
                <c:pt idx="114">
                  <c:v>90.984486400735776</c:v>
                </c:pt>
                <c:pt idx="115">
                  <c:v>90.735361354320048</c:v>
                </c:pt>
                <c:pt idx="116">
                  <c:v>90.477453331711786</c:v>
                </c:pt>
                <c:pt idx="117">
                  <c:v>90.243746947714072</c:v>
                </c:pt>
                <c:pt idx="118">
                  <c:v>89.998366216908906</c:v>
                </c:pt>
                <c:pt idx="119">
                  <c:v>89.729898356004611</c:v>
                </c:pt>
                <c:pt idx="120">
                  <c:v>89.416334457226128</c:v>
                </c:pt>
                <c:pt idx="121">
                  <c:v>89.073190823005163</c:v>
                </c:pt>
                <c:pt idx="122">
                  <c:v>88.736292395173379</c:v>
                </c:pt>
                <c:pt idx="123">
                  <c:v>88.387988258863999</c:v>
                </c:pt>
                <c:pt idx="124">
                  <c:v>88.041226698719953</c:v>
                </c:pt>
                <c:pt idx="125">
                  <c:v>87.674522522681784</c:v>
                </c:pt>
                <c:pt idx="126">
                  <c:v>87.303230759721444</c:v>
                </c:pt>
                <c:pt idx="127">
                  <c:v>86.922043451530357</c:v>
                </c:pt>
                <c:pt idx="128">
                  <c:v>86.525600403951088</c:v>
                </c:pt>
                <c:pt idx="129">
                  <c:v>86.127662344513027</c:v>
                </c:pt>
                <c:pt idx="130">
                  <c:v>85.740025093711054</c:v>
                </c:pt>
                <c:pt idx="131">
                  <c:v>85.364726679695224</c:v>
                </c:pt>
                <c:pt idx="132">
                  <c:v>84.97587297246983</c:v>
                </c:pt>
                <c:pt idx="133">
                  <c:v>84.585392830894563</c:v>
                </c:pt>
                <c:pt idx="134">
                  <c:v>84.186839205350623</c:v>
                </c:pt>
                <c:pt idx="135">
                  <c:v>83.775043553990997</c:v>
                </c:pt>
                <c:pt idx="136">
                  <c:v>83.355415495936228</c:v>
                </c:pt>
                <c:pt idx="137">
                  <c:v>82.933552590882911</c:v>
                </c:pt>
                <c:pt idx="138">
                  <c:v>82.494142991865601</c:v>
                </c:pt>
                <c:pt idx="139">
                  <c:v>82.064303130388922</c:v>
                </c:pt>
                <c:pt idx="140">
                  <c:v>81.671225548723442</c:v>
                </c:pt>
                <c:pt idx="141">
                  <c:v>81.261652821743326</c:v>
                </c:pt>
                <c:pt idx="142">
                  <c:v>80.834801575874764</c:v>
                </c:pt>
                <c:pt idx="143">
                  <c:v>80.389088286075449</c:v>
                </c:pt>
                <c:pt idx="144">
                  <c:v>79.925733420404981</c:v>
                </c:pt>
                <c:pt idx="145">
                  <c:v>79.450441237218186</c:v>
                </c:pt>
                <c:pt idx="146">
                  <c:v>78.971171170570031</c:v>
                </c:pt>
                <c:pt idx="147">
                  <c:v>78.495285702402455</c:v>
                </c:pt>
                <c:pt idx="148">
                  <c:v>78.054128937711482</c:v>
                </c:pt>
                <c:pt idx="149">
                  <c:v>77.599346395254614</c:v>
                </c:pt>
                <c:pt idx="150">
                  <c:v>77.143689294874235</c:v>
                </c:pt>
                <c:pt idx="151">
                  <c:v>76.693494414270376</c:v>
                </c:pt>
                <c:pt idx="152">
                  <c:v>76.229871160680489</c:v>
                </c:pt>
                <c:pt idx="153">
                  <c:v>75.716566689867747</c:v>
                </c:pt>
                <c:pt idx="154">
                  <c:v>75.180866950966646</c:v>
                </c:pt>
                <c:pt idx="155">
                  <c:v>74.613681639390634</c:v>
                </c:pt>
                <c:pt idx="156">
                  <c:v>74.01587040319572</c:v>
                </c:pt>
                <c:pt idx="157">
                  <c:v>73.405657735535414</c:v>
                </c:pt>
                <c:pt idx="158">
                  <c:v>72.765116024096599</c:v>
                </c:pt>
                <c:pt idx="159">
                  <c:v>72.102300690350731</c:v>
                </c:pt>
                <c:pt idx="160">
                  <c:v>71.410720571796261</c:v>
                </c:pt>
                <c:pt idx="161">
                  <c:v>70.683346559483567</c:v>
                </c:pt>
                <c:pt idx="162">
                  <c:v>69.952850561394584</c:v>
                </c:pt>
                <c:pt idx="163">
                  <c:v>69.241364444426281</c:v>
                </c:pt>
                <c:pt idx="164">
                  <c:v>68.540529057684552</c:v>
                </c:pt>
                <c:pt idx="165">
                  <c:v>67.864843666738537</c:v>
                </c:pt>
                <c:pt idx="166">
                  <c:v>67.211249777047158</c:v>
                </c:pt>
                <c:pt idx="167">
                  <c:v>66.563602129966341</c:v>
                </c:pt>
                <c:pt idx="168">
                  <c:v>65.920935474354337</c:v>
                </c:pt>
                <c:pt idx="169">
                  <c:v>65.270706051044669</c:v>
                </c:pt>
                <c:pt idx="170">
                  <c:v>64.642742077386657</c:v>
                </c:pt>
                <c:pt idx="171">
                  <c:v>64.014693243591196</c:v>
                </c:pt>
                <c:pt idx="172">
                  <c:v>63.381687558627775</c:v>
                </c:pt>
                <c:pt idx="173">
                  <c:v>62.739401579357605</c:v>
                </c:pt>
                <c:pt idx="174">
                  <c:v>62.108450170722151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F90-4014-A4AD-5DEE22E8B1E4}"/>
            </c:ext>
          </c:extLst>
        </c:ser>
        <c:ser>
          <c:idx val="12"/>
          <c:order val="12"/>
          <c:tx>
            <c:strRef>
              <c:f>data_co2_excLUC!$P$2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data_co2_excLUC!$P$3:$P$177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90-4014-A4AD-5DEE22E8B1E4}"/>
            </c:ext>
          </c:extLst>
        </c:ser>
        <c:ser>
          <c:idx val="13"/>
          <c:order val="13"/>
          <c:tx>
            <c:strRef>
              <c:f>data_co2_excLUC!$R$2</c:f>
              <c:strCache>
                <c:ptCount val="1"/>
                <c:pt idx="0">
                  <c:v>Annex II GMST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data_co2_excLUC!$R$3:$R$177</c:f>
              <c:numCache>
                <c:formatCode>0.0</c:formatCode>
                <c:ptCount val="175"/>
                <c:pt idx="1">
                  <c:v>98.066000000000003</c:v>
                </c:pt>
                <c:pt idx="2">
                  <c:v>97.909000000000006</c:v>
                </c:pt>
                <c:pt idx="3">
                  <c:v>97.870999999999995</c:v>
                </c:pt>
                <c:pt idx="4">
                  <c:v>97.894999999999996</c:v>
                </c:pt>
                <c:pt idx="5">
                  <c:v>97.799000000000007</c:v>
                </c:pt>
                <c:pt idx="6">
                  <c:v>97.685000000000002</c:v>
                </c:pt>
                <c:pt idx="7">
                  <c:v>97.566999999999993</c:v>
                </c:pt>
                <c:pt idx="8">
                  <c:v>97.399000000000001</c:v>
                </c:pt>
                <c:pt idx="9">
                  <c:v>97.301000000000002</c:v>
                </c:pt>
                <c:pt idx="10">
                  <c:v>97.210999999999999</c:v>
                </c:pt>
                <c:pt idx="11">
                  <c:v>97.125</c:v>
                </c:pt>
                <c:pt idx="12">
                  <c:v>97.003</c:v>
                </c:pt>
                <c:pt idx="13">
                  <c:v>96.873999999999995</c:v>
                </c:pt>
                <c:pt idx="14">
                  <c:v>96.736000000000004</c:v>
                </c:pt>
                <c:pt idx="15">
                  <c:v>96.594999999999999</c:v>
                </c:pt>
                <c:pt idx="16">
                  <c:v>96.427000000000007</c:v>
                </c:pt>
                <c:pt idx="17">
                  <c:v>96.272999999999996</c:v>
                </c:pt>
                <c:pt idx="18">
                  <c:v>96.114999999999995</c:v>
                </c:pt>
                <c:pt idx="19">
                  <c:v>95.966999999999999</c:v>
                </c:pt>
                <c:pt idx="20">
                  <c:v>95.817999999999998</c:v>
                </c:pt>
                <c:pt idx="21">
                  <c:v>95.644999999999996</c:v>
                </c:pt>
                <c:pt idx="22">
                  <c:v>95.489000000000004</c:v>
                </c:pt>
                <c:pt idx="23">
                  <c:v>95.346999999999994</c:v>
                </c:pt>
                <c:pt idx="24">
                  <c:v>95.162999999999997</c:v>
                </c:pt>
                <c:pt idx="25">
                  <c:v>95.02</c:v>
                </c:pt>
                <c:pt idx="26">
                  <c:v>94.816000000000003</c:v>
                </c:pt>
                <c:pt idx="27">
                  <c:v>94.646000000000001</c:v>
                </c:pt>
                <c:pt idx="28">
                  <c:v>94.444999999999993</c:v>
                </c:pt>
                <c:pt idx="29">
                  <c:v>94.26</c:v>
                </c:pt>
                <c:pt idx="30">
                  <c:v>94.108000000000004</c:v>
                </c:pt>
                <c:pt idx="31">
                  <c:v>93.97</c:v>
                </c:pt>
                <c:pt idx="32">
                  <c:v>93.847999999999999</c:v>
                </c:pt>
                <c:pt idx="33">
                  <c:v>93.718000000000004</c:v>
                </c:pt>
                <c:pt idx="34">
                  <c:v>93.587000000000003</c:v>
                </c:pt>
                <c:pt idx="35">
                  <c:v>93.45</c:v>
                </c:pt>
                <c:pt idx="36">
                  <c:v>93.320999999999998</c:v>
                </c:pt>
                <c:pt idx="37">
                  <c:v>93.200999999999993</c:v>
                </c:pt>
                <c:pt idx="38">
                  <c:v>93.09</c:v>
                </c:pt>
                <c:pt idx="39">
                  <c:v>92.950999999999993</c:v>
                </c:pt>
                <c:pt idx="40">
                  <c:v>92.828000000000003</c:v>
                </c:pt>
                <c:pt idx="41">
                  <c:v>92.698999999999998</c:v>
                </c:pt>
                <c:pt idx="42">
                  <c:v>92.576999999999998</c:v>
                </c:pt>
                <c:pt idx="43">
                  <c:v>92.424999999999997</c:v>
                </c:pt>
                <c:pt idx="44">
                  <c:v>92.281999999999996</c:v>
                </c:pt>
                <c:pt idx="45">
                  <c:v>92.131</c:v>
                </c:pt>
                <c:pt idx="46">
                  <c:v>91.98</c:v>
                </c:pt>
                <c:pt idx="47">
                  <c:v>91.820999999999998</c:v>
                </c:pt>
                <c:pt idx="48">
                  <c:v>91.65</c:v>
                </c:pt>
                <c:pt idx="49">
                  <c:v>91.492000000000004</c:v>
                </c:pt>
                <c:pt idx="50">
                  <c:v>91.346999999999994</c:v>
                </c:pt>
                <c:pt idx="51">
                  <c:v>91.197000000000003</c:v>
                </c:pt>
                <c:pt idx="52">
                  <c:v>91.072000000000003</c:v>
                </c:pt>
                <c:pt idx="53">
                  <c:v>90.977000000000004</c:v>
                </c:pt>
                <c:pt idx="54">
                  <c:v>90.864999999999995</c:v>
                </c:pt>
                <c:pt idx="55">
                  <c:v>90.783000000000001</c:v>
                </c:pt>
                <c:pt idx="56">
                  <c:v>90.677999999999997</c:v>
                </c:pt>
                <c:pt idx="57">
                  <c:v>90.555000000000007</c:v>
                </c:pt>
                <c:pt idx="58">
                  <c:v>90.399000000000001</c:v>
                </c:pt>
                <c:pt idx="59">
                  <c:v>90.254000000000005</c:v>
                </c:pt>
                <c:pt idx="60">
                  <c:v>90.141000000000005</c:v>
                </c:pt>
                <c:pt idx="61">
                  <c:v>90.016999999999996</c:v>
                </c:pt>
                <c:pt idx="62">
                  <c:v>89.888000000000005</c:v>
                </c:pt>
                <c:pt idx="63">
                  <c:v>89.756</c:v>
                </c:pt>
                <c:pt idx="64">
                  <c:v>89.650999999999996</c:v>
                </c:pt>
                <c:pt idx="65">
                  <c:v>89.564999999999998</c:v>
                </c:pt>
                <c:pt idx="66">
                  <c:v>89.475999999999999</c:v>
                </c:pt>
                <c:pt idx="67">
                  <c:v>89.397000000000006</c:v>
                </c:pt>
                <c:pt idx="68">
                  <c:v>89.4</c:v>
                </c:pt>
                <c:pt idx="69">
                  <c:v>89.444000000000003</c:v>
                </c:pt>
                <c:pt idx="70">
                  <c:v>89.426000000000002</c:v>
                </c:pt>
                <c:pt idx="71">
                  <c:v>89.346999999999994</c:v>
                </c:pt>
                <c:pt idx="72">
                  <c:v>89.286000000000001</c:v>
                </c:pt>
                <c:pt idx="73">
                  <c:v>89.272999999999996</c:v>
                </c:pt>
                <c:pt idx="74">
                  <c:v>89.24</c:v>
                </c:pt>
                <c:pt idx="75">
                  <c:v>89.218999999999994</c:v>
                </c:pt>
                <c:pt idx="76">
                  <c:v>89.177999999999997</c:v>
                </c:pt>
                <c:pt idx="77">
                  <c:v>89.138999999999996</c:v>
                </c:pt>
                <c:pt idx="78">
                  <c:v>89.084000000000003</c:v>
                </c:pt>
                <c:pt idx="79">
                  <c:v>89.028000000000006</c:v>
                </c:pt>
                <c:pt idx="80">
                  <c:v>88.938999999999993</c:v>
                </c:pt>
                <c:pt idx="81">
                  <c:v>88.816000000000003</c:v>
                </c:pt>
                <c:pt idx="82">
                  <c:v>88.67</c:v>
                </c:pt>
                <c:pt idx="83">
                  <c:v>88.518000000000001</c:v>
                </c:pt>
                <c:pt idx="84">
                  <c:v>88.337999999999994</c:v>
                </c:pt>
                <c:pt idx="85">
                  <c:v>88.135999999999996</c:v>
                </c:pt>
                <c:pt idx="86">
                  <c:v>87.927999999999997</c:v>
                </c:pt>
                <c:pt idx="87">
                  <c:v>87.72</c:v>
                </c:pt>
                <c:pt idx="88">
                  <c:v>87.483999999999995</c:v>
                </c:pt>
                <c:pt idx="89">
                  <c:v>87.260999999999996</c:v>
                </c:pt>
                <c:pt idx="90">
                  <c:v>86.947000000000003</c:v>
                </c:pt>
                <c:pt idx="91">
                  <c:v>86.688000000000002</c:v>
                </c:pt>
                <c:pt idx="92">
                  <c:v>86.533000000000001</c:v>
                </c:pt>
                <c:pt idx="93">
                  <c:v>86.38</c:v>
                </c:pt>
                <c:pt idx="94">
                  <c:v>86.191999999999993</c:v>
                </c:pt>
                <c:pt idx="95">
                  <c:v>86.051000000000002</c:v>
                </c:pt>
                <c:pt idx="96">
                  <c:v>85.879000000000005</c:v>
                </c:pt>
                <c:pt idx="97">
                  <c:v>85.688999999999993</c:v>
                </c:pt>
                <c:pt idx="98">
                  <c:v>85.507999999999996</c:v>
                </c:pt>
                <c:pt idx="99">
                  <c:v>85.281999999999996</c:v>
                </c:pt>
                <c:pt idx="100">
                  <c:v>85.040999999999997</c:v>
                </c:pt>
                <c:pt idx="101">
                  <c:v>84.781000000000006</c:v>
                </c:pt>
                <c:pt idx="102">
                  <c:v>84.486999999999995</c:v>
                </c:pt>
                <c:pt idx="103">
                  <c:v>84.183999999999997</c:v>
                </c:pt>
                <c:pt idx="104">
                  <c:v>83.837999999999994</c:v>
                </c:pt>
                <c:pt idx="105">
                  <c:v>83.456999999999994</c:v>
                </c:pt>
                <c:pt idx="106">
                  <c:v>83.054000000000002</c:v>
                </c:pt>
                <c:pt idx="107">
                  <c:v>82.608999999999995</c:v>
                </c:pt>
                <c:pt idx="108">
                  <c:v>82.067999999999998</c:v>
                </c:pt>
                <c:pt idx="109">
                  <c:v>81.471000000000004</c:v>
                </c:pt>
                <c:pt idx="110">
                  <c:v>80.869</c:v>
                </c:pt>
                <c:pt idx="111">
                  <c:v>80.338999999999999</c:v>
                </c:pt>
                <c:pt idx="112">
                  <c:v>79.840999999999994</c:v>
                </c:pt>
                <c:pt idx="113">
                  <c:v>79.343000000000004</c:v>
                </c:pt>
                <c:pt idx="114">
                  <c:v>78.84</c:v>
                </c:pt>
                <c:pt idx="115">
                  <c:v>78.325000000000003</c:v>
                </c:pt>
                <c:pt idx="116">
                  <c:v>77.805999999999997</c:v>
                </c:pt>
                <c:pt idx="117">
                  <c:v>77.313000000000002</c:v>
                </c:pt>
                <c:pt idx="118">
                  <c:v>76.822000000000003</c:v>
                </c:pt>
                <c:pt idx="119">
                  <c:v>76.319999999999993</c:v>
                </c:pt>
                <c:pt idx="120">
                  <c:v>75.786000000000001</c:v>
                </c:pt>
                <c:pt idx="121">
                  <c:v>75.22</c:v>
                </c:pt>
                <c:pt idx="122">
                  <c:v>74.664000000000001</c:v>
                </c:pt>
                <c:pt idx="123">
                  <c:v>74.108999999999995</c:v>
                </c:pt>
                <c:pt idx="124">
                  <c:v>73.545000000000002</c:v>
                </c:pt>
                <c:pt idx="125">
                  <c:v>72.938999999999993</c:v>
                </c:pt>
                <c:pt idx="126">
                  <c:v>72.338999999999999</c:v>
                </c:pt>
                <c:pt idx="127">
                  <c:v>71.731999999999999</c:v>
                </c:pt>
                <c:pt idx="128">
                  <c:v>71.119</c:v>
                </c:pt>
                <c:pt idx="129">
                  <c:v>70.527000000000001</c:v>
                </c:pt>
                <c:pt idx="130">
                  <c:v>69.932000000000002</c:v>
                </c:pt>
                <c:pt idx="131">
                  <c:v>69.367000000000004</c:v>
                </c:pt>
                <c:pt idx="132">
                  <c:v>68.784000000000006</c:v>
                </c:pt>
                <c:pt idx="133">
                  <c:v>68.206000000000003</c:v>
                </c:pt>
                <c:pt idx="134">
                  <c:v>67.638999999999996</c:v>
                </c:pt>
                <c:pt idx="135">
                  <c:v>67.046000000000006</c:v>
                </c:pt>
                <c:pt idx="136">
                  <c:v>66.456999999999994</c:v>
                </c:pt>
                <c:pt idx="137">
                  <c:v>65.885000000000005</c:v>
                </c:pt>
                <c:pt idx="138">
                  <c:v>65.316000000000003</c:v>
                </c:pt>
                <c:pt idx="139">
                  <c:v>64.784000000000006</c:v>
                </c:pt>
                <c:pt idx="140">
                  <c:v>64.296999999999997</c:v>
                </c:pt>
                <c:pt idx="141">
                  <c:v>63.796999999999997</c:v>
                </c:pt>
                <c:pt idx="142">
                  <c:v>63.384</c:v>
                </c:pt>
                <c:pt idx="143">
                  <c:v>62.98</c:v>
                </c:pt>
                <c:pt idx="144">
                  <c:v>62.600999999999999</c:v>
                </c:pt>
                <c:pt idx="145">
                  <c:v>62.22</c:v>
                </c:pt>
                <c:pt idx="146">
                  <c:v>61.844999999999999</c:v>
                </c:pt>
                <c:pt idx="147">
                  <c:v>61.484999999999999</c:v>
                </c:pt>
                <c:pt idx="148">
                  <c:v>61.158999999999999</c:v>
                </c:pt>
                <c:pt idx="149">
                  <c:v>60.829000000000001</c:v>
                </c:pt>
                <c:pt idx="150">
                  <c:v>60.503999999999998</c:v>
                </c:pt>
                <c:pt idx="151">
                  <c:v>60.177</c:v>
                </c:pt>
                <c:pt idx="152">
                  <c:v>59.841000000000001</c:v>
                </c:pt>
                <c:pt idx="153">
                  <c:v>59.460999999999999</c:v>
                </c:pt>
                <c:pt idx="154">
                  <c:v>59.063000000000002</c:v>
                </c:pt>
                <c:pt idx="155">
                  <c:v>58.637</c:v>
                </c:pt>
                <c:pt idx="156">
                  <c:v>58.176000000000002</c:v>
                </c:pt>
                <c:pt idx="157">
                  <c:v>57.703000000000003</c:v>
                </c:pt>
                <c:pt idx="158">
                  <c:v>57.2</c:v>
                </c:pt>
                <c:pt idx="159">
                  <c:v>56.679000000000002</c:v>
                </c:pt>
                <c:pt idx="160">
                  <c:v>56.133000000000003</c:v>
                </c:pt>
                <c:pt idx="161">
                  <c:v>55.55</c:v>
                </c:pt>
                <c:pt idx="162">
                  <c:v>54.962000000000003</c:v>
                </c:pt>
                <c:pt idx="163">
                  <c:v>54.396999999999998</c:v>
                </c:pt>
                <c:pt idx="164">
                  <c:v>53.841000000000001</c:v>
                </c:pt>
                <c:pt idx="165">
                  <c:v>53.302</c:v>
                </c:pt>
                <c:pt idx="166">
                  <c:v>52.777999999999999</c:v>
                </c:pt>
                <c:pt idx="167">
                  <c:v>52.253999999999998</c:v>
                </c:pt>
                <c:pt idx="168">
                  <c:v>51.732999999999997</c:v>
                </c:pt>
                <c:pt idx="169">
                  <c:v>51.206000000000003</c:v>
                </c:pt>
                <c:pt idx="170">
                  <c:v>50.691000000000003</c:v>
                </c:pt>
                <c:pt idx="171">
                  <c:v>50.177</c:v>
                </c:pt>
                <c:pt idx="172">
                  <c:v>49.664000000000001</c:v>
                </c:pt>
                <c:pt idx="173">
                  <c:v>49.137999999999998</c:v>
                </c:pt>
                <c:pt idx="174">
                  <c:v>48.619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55-44CF-9D04-C6AA703F1420}"/>
            </c:ext>
          </c:extLst>
        </c:ser>
        <c:ser>
          <c:idx val="14"/>
          <c:order val="14"/>
          <c:tx>
            <c:strRef>
              <c:f>data_co2_excLUC!$S$2</c:f>
              <c:strCache>
                <c:ptCount val="1"/>
                <c:pt idx="0">
                  <c:v>Annex I GMST</c:v>
                </c:pt>
              </c:strCache>
            </c:strRef>
          </c:tx>
          <c:spPr>
            <a:ln w="317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data_co2_excLUC!$S$3:$S$177</c:f>
              <c:numCache>
                <c:formatCode>0.0</c:formatCode>
                <c:ptCount val="175"/>
                <c:pt idx="1">
                  <c:v>99.944000000000003</c:v>
                </c:pt>
                <c:pt idx="2">
                  <c:v>99.927999999999997</c:v>
                </c:pt>
                <c:pt idx="3">
                  <c:v>99.935000000000002</c:v>
                </c:pt>
                <c:pt idx="4">
                  <c:v>99.953000000000003</c:v>
                </c:pt>
                <c:pt idx="5">
                  <c:v>99.945999999999998</c:v>
                </c:pt>
                <c:pt idx="6">
                  <c:v>99.89</c:v>
                </c:pt>
                <c:pt idx="7">
                  <c:v>99.834999999999994</c:v>
                </c:pt>
                <c:pt idx="8">
                  <c:v>99.769000000000005</c:v>
                </c:pt>
                <c:pt idx="9">
                  <c:v>99.721000000000004</c:v>
                </c:pt>
                <c:pt idx="10">
                  <c:v>99.677000000000007</c:v>
                </c:pt>
                <c:pt idx="11">
                  <c:v>99.647000000000006</c:v>
                </c:pt>
                <c:pt idx="12">
                  <c:v>99.62</c:v>
                </c:pt>
                <c:pt idx="13">
                  <c:v>99.602999999999994</c:v>
                </c:pt>
                <c:pt idx="14">
                  <c:v>99.581000000000003</c:v>
                </c:pt>
                <c:pt idx="15">
                  <c:v>99.561999999999998</c:v>
                </c:pt>
                <c:pt idx="16">
                  <c:v>99.531000000000006</c:v>
                </c:pt>
                <c:pt idx="17">
                  <c:v>99.516000000000005</c:v>
                </c:pt>
                <c:pt idx="18">
                  <c:v>99.5</c:v>
                </c:pt>
                <c:pt idx="19">
                  <c:v>99.49</c:v>
                </c:pt>
                <c:pt idx="20">
                  <c:v>99.481999999999999</c:v>
                </c:pt>
                <c:pt idx="21">
                  <c:v>99.472999999999999</c:v>
                </c:pt>
                <c:pt idx="22">
                  <c:v>99.46</c:v>
                </c:pt>
                <c:pt idx="23">
                  <c:v>99.447999999999993</c:v>
                </c:pt>
                <c:pt idx="24">
                  <c:v>99.429000000000002</c:v>
                </c:pt>
                <c:pt idx="25">
                  <c:v>99.418999999999997</c:v>
                </c:pt>
                <c:pt idx="26">
                  <c:v>99.41</c:v>
                </c:pt>
                <c:pt idx="27">
                  <c:v>99.403999999999996</c:v>
                </c:pt>
                <c:pt idx="28">
                  <c:v>99.381</c:v>
                </c:pt>
                <c:pt idx="29">
                  <c:v>99.361999999999995</c:v>
                </c:pt>
                <c:pt idx="30">
                  <c:v>99.343999999999994</c:v>
                </c:pt>
                <c:pt idx="31">
                  <c:v>99.326999999999998</c:v>
                </c:pt>
                <c:pt idx="32">
                  <c:v>99.311000000000007</c:v>
                </c:pt>
                <c:pt idx="33">
                  <c:v>99.293999999999997</c:v>
                </c:pt>
                <c:pt idx="34">
                  <c:v>99.275000000000006</c:v>
                </c:pt>
                <c:pt idx="35">
                  <c:v>99.257000000000005</c:v>
                </c:pt>
                <c:pt idx="36">
                  <c:v>99.241</c:v>
                </c:pt>
                <c:pt idx="37">
                  <c:v>99.221999999999994</c:v>
                </c:pt>
                <c:pt idx="38">
                  <c:v>99.200999999999993</c:v>
                </c:pt>
                <c:pt idx="39">
                  <c:v>99.173000000000002</c:v>
                </c:pt>
                <c:pt idx="40">
                  <c:v>99.150999999999996</c:v>
                </c:pt>
                <c:pt idx="41">
                  <c:v>99.126999999999995</c:v>
                </c:pt>
                <c:pt idx="42">
                  <c:v>99.096999999999994</c:v>
                </c:pt>
                <c:pt idx="43">
                  <c:v>99.061000000000007</c:v>
                </c:pt>
                <c:pt idx="44">
                  <c:v>99.02</c:v>
                </c:pt>
                <c:pt idx="45">
                  <c:v>98.974999999999994</c:v>
                </c:pt>
                <c:pt idx="46">
                  <c:v>98.927999999999997</c:v>
                </c:pt>
                <c:pt idx="47">
                  <c:v>98.881</c:v>
                </c:pt>
                <c:pt idx="48">
                  <c:v>98.828000000000003</c:v>
                </c:pt>
                <c:pt idx="49">
                  <c:v>98.777000000000001</c:v>
                </c:pt>
                <c:pt idx="50">
                  <c:v>98.736000000000004</c:v>
                </c:pt>
                <c:pt idx="51">
                  <c:v>98.686999999999998</c:v>
                </c:pt>
                <c:pt idx="52">
                  <c:v>98.637</c:v>
                </c:pt>
                <c:pt idx="53">
                  <c:v>98.585999999999999</c:v>
                </c:pt>
                <c:pt idx="54">
                  <c:v>98.53</c:v>
                </c:pt>
                <c:pt idx="55">
                  <c:v>98.475999999999999</c:v>
                </c:pt>
                <c:pt idx="56">
                  <c:v>98.412000000000006</c:v>
                </c:pt>
                <c:pt idx="57">
                  <c:v>98.313999999999993</c:v>
                </c:pt>
                <c:pt idx="58">
                  <c:v>98.209000000000003</c:v>
                </c:pt>
                <c:pt idx="59">
                  <c:v>98.108999999999995</c:v>
                </c:pt>
                <c:pt idx="60">
                  <c:v>98.015000000000001</c:v>
                </c:pt>
                <c:pt idx="61">
                  <c:v>97.918000000000006</c:v>
                </c:pt>
                <c:pt idx="62">
                  <c:v>97.834000000000003</c:v>
                </c:pt>
                <c:pt idx="63">
                  <c:v>97.739000000000004</c:v>
                </c:pt>
                <c:pt idx="64">
                  <c:v>97.652000000000001</c:v>
                </c:pt>
                <c:pt idx="65">
                  <c:v>97.572999999999993</c:v>
                </c:pt>
                <c:pt idx="66">
                  <c:v>97.491</c:v>
                </c:pt>
                <c:pt idx="67">
                  <c:v>97.405000000000001</c:v>
                </c:pt>
                <c:pt idx="68">
                  <c:v>97.32</c:v>
                </c:pt>
                <c:pt idx="69">
                  <c:v>97.206000000000003</c:v>
                </c:pt>
                <c:pt idx="70">
                  <c:v>97.073999999999998</c:v>
                </c:pt>
                <c:pt idx="71">
                  <c:v>96.923000000000002</c:v>
                </c:pt>
                <c:pt idx="72">
                  <c:v>96.787000000000006</c:v>
                </c:pt>
                <c:pt idx="73">
                  <c:v>96.665000000000006</c:v>
                </c:pt>
                <c:pt idx="74">
                  <c:v>96.54</c:v>
                </c:pt>
                <c:pt idx="75">
                  <c:v>96.430999999999997</c:v>
                </c:pt>
                <c:pt idx="76">
                  <c:v>96.331999999999994</c:v>
                </c:pt>
                <c:pt idx="77">
                  <c:v>96.248000000000005</c:v>
                </c:pt>
                <c:pt idx="78">
                  <c:v>96.165000000000006</c:v>
                </c:pt>
                <c:pt idx="79">
                  <c:v>96.087999999999994</c:v>
                </c:pt>
                <c:pt idx="80">
                  <c:v>96.007000000000005</c:v>
                </c:pt>
                <c:pt idx="81">
                  <c:v>95.927999999999997</c:v>
                </c:pt>
                <c:pt idx="82">
                  <c:v>95.843000000000004</c:v>
                </c:pt>
                <c:pt idx="83">
                  <c:v>95.754000000000005</c:v>
                </c:pt>
                <c:pt idx="84">
                  <c:v>95.653000000000006</c:v>
                </c:pt>
                <c:pt idx="85">
                  <c:v>95.540999999999997</c:v>
                </c:pt>
                <c:pt idx="86">
                  <c:v>95.432000000000002</c:v>
                </c:pt>
                <c:pt idx="87">
                  <c:v>95.316999999999993</c:v>
                </c:pt>
                <c:pt idx="88">
                  <c:v>95.2</c:v>
                </c:pt>
                <c:pt idx="89">
                  <c:v>95.078000000000003</c:v>
                </c:pt>
                <c:pt idx="90">
                  <c:v>94.953000000000003</c:v>
                </c:pt>
                <c:pt idx="91">
                  <c:v>94.837000000000003</c:v>
                </c:pt>
                <c:pt idx="92">
                  <c:v>94.742000000000004</c:v>
                </c:pt>
                <c:pt idx="93">
                  <c:v>94.658000000000001</c:v>
                </c:pt>
                <c:pt idx="94">
                  <c:v>94.569000000000003</c:v>
                </c:pt>
                <c:pt idx="95">
                  <c:v>94.481999999999999</c:v>
                </c:pt>
                <c:pt idx="96">
                  <c:v>94.396000000000001</c:v>
                </c:pt>
                <c:pt idx="97">
                  <c:v>94.3</c:v>
                </c:pt>
                <c:pt idx="98">
                  <c:v>94.215999999999994</c:v>
                </c:pt>
                <c:pt idx="99">
                  <c:v>94.132000000000005</c:v>
                </c:pt>
                <c:pt idx="100">
                  <c:v>94.033000000000001</c:v>
                </c:pt>
                <c:pt idx="101">
                  <c:v>93.92</c:v>
                </c:pt>
                <c:pt idx="102">
                  <c:v>93.790999999999997</c:v>
                </c:pt>
                <c:pt idx="103">
                  <c:v>93.665000000000006</c:v>
                </c:pt>
                <c:pt idx="104">
                  <c:v>93.516000000000005</c:v>
                </c:pt>
                <c:pt idx="105">
                  <c:v>93.344999999999999</c:v>
                </c:pt>
                <c:pt idx="106">
                  <c:v>93.164000000000001</c:v>
                </c:pt>
                <c:pt idx="107">
                  <c:v>92.963999999999999</c:v>
                </c:pt>
                <c:pt idx="108">
                  <c:v>92.674999999999997</c:v>
                </c:pt>
                <c:pt idx="109">
                  <c:v>92.328999999999994</c:v>
                </c:pt>
                <c:pt idx="110">
                  <c:v>91.968999999999994</c:v>
                </c:pt>
                <c:pt idx="111">
                  <c:v>91.69</c:v>
                </c:pt>
                <c:pt idx="112">
                  <c:v>91.447000000000003</c:v>
                </c:pt>
                <c:pt idx="113">
                  <c:v>91.212999999999994</c:v>
                </c:pt>
                <c:pt idx="114">
                  <c:v>90.978999999999999</c:v>
                </c:pt>
                <c:pt idx="115">
                  <c:v>90.73</c:v>
                </c:pt>
                <c:pt idx="116">
                  <c:v>90.471999999999994</c:v>
                </c:pt>
                <c:pt idx="117">
                  <c:v>90.239000000000004</c:v>
                </c:pt>
                <c:pt idx="118">
                  <c:v>89.992999999999995</c:v>
                </c:pt>
                <c:pt idx="119">
                  <c:v>89.724999999999994</c:v>
                </c:pt>
                <c:pt idx="120">
                  <c:v>89.411000000000001</c:v>
                </c:pt>
                <c:pt idx="121">
                  <c:v>89.067999999999998</c:v>
                </c:pt>
                <c:pt idx="122">
                  <c:v>88.730999999999995</c:v>
                </c:pt>
                <c:pt idx="123">
                  <c:v>88.382999999999996</c:v>
                </c:pt>
                <c:pt idx="124">
                  <c:v>88.036000000000001</c:v>
                </c:pt>
                <c:pt idx="125">
                  <c:v>87.67</c:v>
                </c:pt>
                <c:pt idx="126">
                  <c:v>87.298000000000002</c:v>
                </c:pt>
                <c:pt idx="127">
                  <c:v>86.917000000000002</c:v>
                </c:pt>
                <c:pt idx="128">
                  <c:v>86.521000000000001</c:v>
                </c:pt>
                <c:pt idx="129">
                  <c:v>86.123000000000005</c:v>
                </c:pt>
                <c:pt idx="130">
                  <c:v>85.734999999999999</c:v>
                </c:pt>
                <c:pt idx="131">
                  <c:v>85.36</c:v>
                </c:pt>
                <c:pt idx="132">
                  <c:v>84.971000000000004</c:v>
                </c:pt>
                <c:pt idx="133">
                  <c:v>84.581000000000003</c:v>
                </c:pt>
                <c:pt idx="134">
                  <c:v>84.182000000000002</c:v>
                </c:pt>
                <c:pt idx="135">
                  <c:v>83.771000000000001</c:v>
                </c:pt>
                <c:pt idx="136">
                  <c:v>83.350999999999999</c:v>
                </c:pt>
                <c:pt idx="137">
                  <c:v>82.929000000000002</c:v>
                </c:pt>
                <c:pt idx="138">
                  <c:v>82.49</c:v>
                </c:pt>
                <c:pt idx="139">
                  <c:v>82.06</c:v>
                </c:pt>
                <c:pt idx="140">
                  <c:v>81.667000000000002</c:v>
                </c:pt>
                <c:pt idx="141">
                  <c:v>81.209999999999994</c:v>
                </c:pt>
                <c:pt idx="142">
                  <c:v>80.784999999999997</c:v>
                </c:pt>
                <c:pt idx="143">
                  <c:v>80.340999999999994</c:v>
                </c:pt>
                <c:pt idx="144">
                  <c:v>79.879000000000005</c:v>
                </c:pt>
                <c:pt idx="145">
                  <c:v>79.405000000000001</c:v>
                </c:pt>
                <c:pt idx="146">
                  <c:v>78.927000000000007</c:v>
                </c:pt>
                <c:pt idx="147">
                  <c:v>78.453000000000003</c:v>
                </c:pt>
                <c:pt idx="148">
                  <c:v>78.013000000000005</c:v>
                </c:pt>
                <c:pt idx="149">
                  <c:v>77.558999999999997</c:v>
                </c:pt>
                <c:pt idx="150">
                  <c:v>77.105000000000004</c:v>
                </c:pt>
                <c:pt idx="151">
                  <c:v>76.656000000000006</c:v>
                </c:pt>
                <c:pt idx="152">
                  <c:v>76.194000000000003</c:v>
                </c:pt>
                <c:pt idx="153">
                  <c:v>75.680999999999997</c:v>
                </c:pt>
                <c:pt idx="154">
                  <c:v>75.147000000000006</c:v>
                </c:pt>
                <c:pt idx="155">
                  <c:v>74.581000000000003</c:v>
                </c:pt>
                <c:pt idx="156">
                  <c:v>73.983999999999995</c:v>
                </c:pt>
                <c:pt idx="157">
                  <c:v>73.375</c:v>
                </c:pt>
                <c:pt idx="158">
                  <c:v>72.736000000000004</c:v>
                </c:pt>
                <c:pt idx="159">
                  <c:v>72.073999999999998</c:v>
                </c:pt>
                <c:pt idx="160">
                  <c:v>71.382999999999996</c:v>
                </c:pt>
                <c:pt idx="161">
                  <c:v>70.656999999999996</c:v>
                </c:pt>
                <c:pt idx="162">
                  <c:v>69.927000000000007</c:v>
                </c:pt>
                <c:pt idx="163">
                  <c:v>69.216999999999999</c:v>
                </c:pt>
                <c:pt idx="164">
                  <c:v>68.516999999999996</c:v>
                </c:pt>
                <c:pt idx="165">
                  <c:v>67.841999999999999</c:v>
                </c:pt>
                <c:pt idx="166">
                  <c:v>67.188999999999993</c:v>
                </c:pt>
                <c:pt idx="167">
                  <c:v>66.542000000000002</c:v>
                </c:pt>
                <c:pt idx="168">
                  <c:v>65.900000000000006</c:v>
                </c:pt>
                <c:pt idx="169">
                  <c:v>65.251000000000005</c:v>
                </c:pt>
                <c:pt idx="170">
                  <c:v>64.623999999999995</c:v>
                </c:pt>
                <c:pt idx="171">
                  <c:v>63.996000000000002</c:v>
                </c:pt>
                <c:pt idx="172">
                  <c:v>63.363999999999997</c:v>
                </c:pt>
                <c:pt idx="173">
                  <c:v>62.722000000000001</c:v>
                </c:pt>
                <c:pt idx="174">
                  <c:v>62.091999999999999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55-44CF-9D04-C6AA703F1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Cumulative share of emissions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latin typeface="Sofia Pro"/>
                <a:ea typeface="Sofia Pro"/>
                <a:cs typeface="Sofia Pro"/>
              </a:defRPr>
            </a:pPr>
            <a:r>
              <a:rPr lang="en-US" sz="1600"/>
              <a:t>All GHGs, including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data_ghg_incLUC!$B$3:$B$177</c:f>
              <c:numCache>
                <c:formatCode>0.0</c:formatCode>
                <c:ptCount val="175"/>
                <c:pt idx="0">
                  <c:v>36.117602475106047</c:v>
                </c:pt>
                <c:pt idx="1">
                  <c:v>36.199508645811314</c:v>
                </c:pt>
                <c:pt idx="2">
                  <c:v>36.147776786226665</c:v>
                </c:pt>
                <c:pt idx="3">
                  <c:v>36.340561031595627</c:v>
                </c:pt>
                <c:pt idx="4">
                  <c:v>36.624606494935144</c:v>
                </c:pt>
                <c:pt idx="5">
                  <c:v>36.796073543703685</c:v>
                </c:pt>
                <c:pt idx="6">
                  <c:v>36.964209248762295</c:v>
                </c:pt>
                <c:pt idx="7">
                  <c:v>37.099803773937332</c:v>
                </c:pt>
                <c:pt idx="8">
                  <c:v>37.249017671989279</c:v>
                </c:pt>
                <c:pt idx="9">
                  <c:v>37.419861445132952</c:v>
                </c:pt>
                <c:pt idx="10">
                  <c:v>37.673572147850273</c:v>
                </c:pt>
                <c:pt idx="11">
                  <c:v>37.873267423898092</c:v>
                </c:pt>
                <c:pt idx="12">
                  <c:v>38.094748602434159</c:v>
                </c:pt>
                <c:pt idx="13">
                  <c:v>38.328860079746974</c:v>
                </c:pt>
                <c:pt idx="14">
                  <c:v>38.519813300272077</c:v>
                </c:pt>
                <c:pt idx="15">
                  <c:v>38.717656293011188</c:v>
                </c:pt>
                <c:pt idx="16">
                  <c:v>38.88246724416036</c:v>
                </c:pt>
                <c:pt idx="17">
                  <c:v>39.090834412268762</c:v>
                </c:pt>
                <c:pt idx="18">
                  <c:v>39.277927064583835</c:v>
                </c:pt>
                <c:pt idx="19">
                  <c:v>39.448727858653108</c:v>
                </c:pt>
                <c:pt idx="20">
                  <c:v>39.708992137858402</c:v>
                </c:pt>
                <c:pt idx="21">
                  <c:v>40.034475924731019</c:v>
                </c:pt>
                <c:pt idx="22">
                  <c:v>40.360673859377016</c:v>
                </c:pt>
                <c:pt idx="23">
                  <c:v>40.721328850299379</c:v>
                </c:pt>
                <c:pt idx="24">
                  <c:v>41.034048026297995</c:v>
                </c:pt>
                <c:pt idx="25">
                  <c:v>41.369031589133655</c:v>
                </c:pt>
                <c:pt idx="26">
                  <c:v>41.684277062365396</c:v>
                </c:pt>
                <c:pt idx="27">
                  <c:v>41.987680785717515</c:v>
                </c:pt>
                <c:pt idx="28">
                  <c:v>42.277611374038557</c:v>
                </c:pt>
                <c:pt idx="29">
                  <c:v>42.577370445922433</c:v>
                </c:pt>
                <c:pt idx="30">
                  <c:v>42.823472456786341</c:v>
                </c:pt>
                <c:pt idx="31">
                  <c:v>43.01672779108489</c:v>
                </c:pt>
                <c:pt idx="32">
                  <c:v>43.200278418399492</c:v>
                </c:pt>
                <c:pt idx="33">
                  <c:v>43.38598082234337</c:v>
                </c:pt>
                <c:pt idx="34">
                  <c:v>43.547939975174636</c:v>
                </c:pt>
                <c:pt idx="35">
                  <c:v>43.684647572494804</c:v>
                </c:pt>
                <c:pt idx="36">
                  <c:v>43.81520658536926</c:v>
                </c:pt>
                <c:pt idx="37">
                  <c:v>43.953303832937287</c:v>
                </c:pt>
                <c:pt idx="38">
                  <c:v>44.107044646915526</c:v>
                </c:pt>
                <c:pt idx="39">
                  <c:v>44.228022568502816</c:v>
                </c:pt>
                <c:pt idx="40">
                  <c:v>44.348405637685588</c:v>
                </c:pt>
                <c:pt idx="41">
                  <c:v>44.468442971709372</c:v>
                </c:pt>
                <c:pt idx="42">
                  <c:v>44.583151294246306</c:v>
                </c:pt>
                <c:pt idx="43">
                  <c:v>44.687741006476706</c:v>
                </c:pt>
                <c:pt idx="44">
                  <c:v>44.784010476898679</c:v>
                </c:pt>
                <c:pt idx="45">
                  <c:v>44.889767213773048</c:v>
                </c:pt>
                <c:pt idx="46">
                  <c:v>44.998917016951232</c:v>
                </c:pt>
                <c:pt idx="47">
                  <c:v>45.106058860071379</c:v>
                </c:pt>
                <c:pt idx="48">
                  <c:v>45.221738963250921</c:v>
                </c:pt>
                <c:pt idx="49">
                  <c:v>45.358346099170333</c:v>
                </c:pt>
                <c:pt idx="50">
                  <c:v>45.493397178025411</c:v>
                </c:pt>
                <c:pt idx="51">
                  <c:v>45.599152856235889</c:v>
                </c:pt>
                <c:pt idx="52">
                  <c:v>45.70419497079898</c:v>
                </c:pt>
                <c:pt idx="53">
                  <c:v>45.825175371201475</c:v>
                </c:pt>
                <c:pt idx="54">
                  <c:v>45.933208732030245</c:v>
                </c:pt>
                <c:pt idx="55">
                  <c:v>46.054606442996494</c:v>
                </c:pt>
                <c:pt idx="56">
                  <c:v>46.168314597018586</c:v>
                </c:pt>
                <c:pt idx="57">
                  <c:v>46.319510249324011</c:v>
                </c:pt>
                <c:pt idx="58">
                  <c:v>46.435105705191013</c:v>
                </c:pt>
                <c:pt idx="59">
                  <c:v>46.552429068991422</c:v>
                </c:pt>
                <c:pt idx="60">
                  <c:v>46.694899436703238</c:v>
                </c:pt>
                <c:pt idx="61">
                  <c:v>46.831962728085145</c:v>
                </c:pt>
                <c:pt idx="62">
                  <c:v>46.971997514337431</c:v>
                </c:pt>
                <c:pt idx="63">
                  <c:v>47.134637029215867</c:v>
                </c:pt>
                <c:pt idx="64">
                  <c:v>47.256740322160006</c:v>
                </c:pt>
                <c:pt idx="65">
                  <c:v>47.367666625978607</c:v>
                </c:pt>
                <c:pt idx="66">
                  <c:v>47.492977228902902</c:v>
                </c:pt>
                <c:pt idx="67">
                  <c:v>47.631447692560535</c:v>
                </c:pt>
                <c:pt idx="68">
                  <c:v>47.783197247306411</c:v>
                </c:pt>
                <c:pt idx="69">
                  <c:v>47.889757133897348</c:v>
                </c:pt>
                <c:pt idx="70">
                  <c:v>47.990262529581095</c:v>
                </c:pt>
                <c:pt idx="71">
                  <c:v>48.018992752654214</c:v>
                </c:pt>
                <c:pt idx="72">
                  <c:v>48.057338762674966</c:v>
                </c:pt>
                <c:pt idx="73">
                  <c:v>48.122993491146246</c:v>
                </c:pt>
                <c:pt idx="74">
                  <c:v>48.18193515979145</c:v>
                </c:pt>
                <c:pt idx="75">
                  <c:v>48.231464983074055</c:v>
                </c:pt>
                <c:pt idx="76">
                  <c:v>48.260081009352461</c:v>
                </c:pt>
                <c:pt idx="77">
                  <c:v>48.305255005737735</c:v>
                </c:pt>
                <c:pt idx="78">
                  <c:v>48.334576645656611</c:v>
                </c:pt>
                <c:pt idx="79">
                  <c:v>48.373814282373402</c:v>
                </c:pt>
                <c:pt idx="80">
                  <c:v>48.356985153918139</c:v>
                </c:pt>
                <c:pt idx="81">
                  <c:v>48.289156226197818</c:v>
                </c:pt>
                <c:pt idx="82">
                  <c:v>48.17861755623413</c:v>
                </c:pt>
                <c:pt idx="83">
                  <c:v>48.077027268668523</c:v>
                </c:pt>
                <c:pt idx="84">
                  <c:v>47.982248469206723</c:v>
                </c:pt>
                <c:pt idx="85">
                  <c:v>47.890446204829921</c:v>
                </c:pt>
                <c:pt idx="86">
                  <c:v>47.808535912450637</c:v>
                </c:pt>
                <c:pt idx="87">
                  <c:v>47.738448529334335</c:v>
                </c:pt>
                <c:pt idx="88">
                  <c:v>47.638636609459098</c:v>
                </c:pt>
                <c:pt idx="89">
                  <c:v>47.553234588906328</c:v>
                </c:pt>
                <c:pt idx="90">
                  <c:v>47.462306193723037</c:v>
                </c:pt>
                <c:pt idx="91">
                  <c:v>47.381365234008442</c:v>
                </c:pt>
                <c:pt idx="92">
                  <c:v>47.325606084173785</c:v>
                </c:pt>
                <c:pt idx="93">
                  <c:v>47.271716555009633</c:v>
                </c:pt>
                <c:pt idx="94">
                  <c:v>47.21485688054095</c:v>
                </c:pt>
                <c:pt idx="95">
                  <c:v>47.122063648229414</c:v>
                </c:pt>
                <c:pt idx="96">
                  <c:v>47.035235795593742</c:v>
                </c:pt>
                <c:pt idx="97">
                  <c:v>46.974283824531007</c:v>
                </c:pt>
                <c:pt idx="98">
                  <c:v>46.930671240291822</c:v>
                </c:pt>
                <c:pt idx="99">
                  <c:v>46.859591471623091</c:v>
                </c:pt>
                <c:pt idx="100">
                  <c:v>46.762234301602291</c:v>
                </c:pt>
                <c:pt idx="101">
                  <c:v>46.645230403460189</c:v>
                </c:pt>
                <c:pt idx="102">
                  <c:v>46.520072390791512</c:v>
                </c:pt>
                <c:pt idx="103">
                  <c:v>46.391147216488577</c:v>
                </c:pt>
                <c:pt idx="104">
                  <c:v>46.234353682797838</c:v>
                </c:pt>
                <c:pt idx="105">
                  <c:v>46.081655088878101</c:v>
                </c:pt>
                <c:pt idx="106">
                  <c:v>45.93505432898035</c:v>
                </c:pt>
                <c:pt idx="107">
                  <c:v>45.77323929856319</c:v>
                </c:pt>
                <c:pt idx="108">
                  <c:v>45.590529621482432</c:v>
                </c:pt>
                <c:pt idx="109">
                  <c:v>45.375601664796434</c:v>
                </c:pt>
                <c:pt idx="110">
                  <c:v>45.210764992061698</c:v>
                </c:pt>
                <c:pt idx="111">
                  <c:v>45.053719722996462</c:v>
                </c:pt>
                <c:pt idx="112">
                  <c:v>44.93556642208533</c:v>
                </c:pt>
                <c:pt idx="113">
                  <c:v>44.826901531576098</c:v>
                </c:pt>
                <c:pt idx="114">
                  <c:v>44.736154783311562</c:v>
                </c:pt>
                <c:pt idx="115">
                  <c:v>44.657563834112118</c:v>
                </c:pt>
                <c:pt idx="116">
                  <c:v>44.59012236670246</c:v>
                </c:pt>
                <c:pt idx="117">
                  <c:v>44.559477891971191</c:v>
                </c:pt>
                <c:pt idx="118">
                  <c:v>44.542919376335163</c:v>
                </c:pt>
                <c:pt idx="119">
                  <c:v>44.487754182507558</c:v>
                </c:pt>
                <c:pt idx="120">
                  <c:v>44.428135378654126</c:v>
                </c:pt>
                <c:pt idx="121">
                  <c:v>44.380138852227951</c:v>
                </c:pt>
                <c:pt idx="122">
                  <c:v>44.318680848371791</c:v>
                </c:pt>
                <c:pt idx="123">
                  <c:v>44.263452335067825</c:v>
                </c:pt>
                <c:pt idx="124">
                  <c:v>44.192977433836347</c:v>
                </c:pt>
                <c:pt idx="125">
                  <c:v>44.103013457340978</c:v>
                </c:pt>
                <c:pt idx="126">
                  <c:v>44.022262866873227</c:v>
                </c:pt>
                <c:pt idx="127">
                  <c:v>43.927064086541755</c:v>
                </c:pt>
                <c:pt idx="128">
                  <c:v>43.821899832917573</c:v>
                </c:pt>
                <c:pt idx="129">
                  <c:v>43.738369651803957</c:v>
                </c:pt>
                <c:pt idx="130">
                  <c:v>43.641822397001754</c:v>
                </c:pt>
                <c:pt idx="131">
                  <c:v>43.544221871475195</c:v>
                </c:pt>
                <c:pt idx="132">
                  <c:v>43.43073134264268</c:v>
                </c:pt>
                <c:pt idx="133">
                  <c:v>43.306703470057691</c:v>
                </c:pt>
                <c:pt idx="134">
                  <c:v>43.169444081589248</c:v>
                </c:pt>
                <c:pt idx="135">
                  <c:v>43.013482542459982</c:v>
                </c:pt>
                <c:pt idx="136">
                  <c:v>42.844945824242146</c:v>
                </c:pt>
                <c:pt idx="137">
                  <c:v>42.688363431875764</c:v>
                </c:pt>
                <c:pt idx="138">
                  <c:v>42.541293994321769</c:v>
                </c:pt>
                <c:pt idx="139">
                  <c:v>42.404777909757044</c:v>
                </c:pt>
                <c:pt idx="140">
                  <c:v>42.288507486965337</c:v>
                </c:pt>
                <c:pt idx="141">
                  <c:v>42.166308530272339</c:v>
                </c:pt>
                <c:pt idx="142">
                  <c:v>42.058633425558305</c:v>
                </c:pt>
                <c:pt idx="143">
                  <c:v>41.955290782967616</c:v>
                </c:pt>
                <c:pt idx="144">
                  <c:v>41.83872094663711</c:v>
                </c:pt>
                <c:pt idx="145">
                  <c:v>41.728628447020888</c:v>
                </c:pt>
                <c:pt idx="146">
                  <c:v>41.615977072565677</c:v>
                </c:pt>
                <c:pt idx="147">
                  <c:v>41.476329768654395</c:v>
                </c:pt>
                <c:pt idx="148">
                  <c:v>41.369744411531187</c:v>
                </c:pt>
                <c:pt idx="149">
                  <c:v>41.265531768376995</c:v>
                </c:pt>
                <c:pt idx="150">
                  <c:v>41.173235201533842</c:v>
                </c:pt>
                <c:pt idx="151">
                  <c:v>41.082428434529575</c:v>
                </c:pt>
                <c:pt idx="152">
                  <c:v>40.976830857802462</c:v>
                </c:pt>
                <c:pt idx="153">
                  <c:v>40.841925415245171</c:v>
                </c:pt>
                <c:pt idx="154">
                  <c:v>40.711126972453009</c:v>
                </c:pt>
                <c:pt idx="155">
                  <c:v>40.574748783754742</c:v>
                </c:pt>
                <c:pt idx="156">
                  <c:v>40.408930257550537</c:v>
                </c:pt>
                <c:pt idx="157">
                  <c:v>40.246374924847608</c:v>
                </c:pt>
                <c:pt idx="158">
                  <c:v>40.068240362630227</c:v>
                </c:pt>
                <c:pt idx="159">
                  <c:v>39.858640092724471</c:v>
                </c:pt>
                <c:pt idx="160">
                  <c:v>39.649530807695392</c:v>
                </c:pt>
                <c:pt idx="161">
                  <c:v>39.416929980758979</c:v>
                </c:pt>
                <c:pt idx="162">
                  <c:v>39.174290398520185</c:v>
                </c:pt>
                <c:pt idx="163">
                  <c:v>38.939589350546676</c:v>
                </c:pt>
                <c:pt idx="164">
                  <c:v>38.704307114999537</c:v>
                </c:pt>
                <c:pt idx="165">
                  <c:v>38.468939302269334</c:v>
                </c:pt>
                <c:pt idx="166">
                  <c:v>38.249986702530414</c:v>
                </c:pt>
                <c:pt idx="167">
                  <c:v>38.031829710975778</c:v>
                </c:pt>
                <c:pt idx="168">
                  <c:v>37.815929859834917</c:v>
                </c:pt>
                <c:pt idx="169">
                  <c:v>37.592006398611346</c:v>
                </c:pt>
                <c:pt idx="170">
                  <c:v>37.365976273004222</c:v>
                </c:pt>
                <c:pt idx="171">
                  <c:v>37.141489340821373</c:v>
                </c:pt>
                <c:pt idx="172">
                  <c:v>36.911996924475638</c:v>
                </c:pt>
                <c:pt idx="173">
                  <c:v>36.673499400702113</c:v>
                </c:pt>
                <c:pt idx="174">
                  <c:v>36.435551692977214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A-4D5E-80C3-5622E4C3A5CD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data_ghg_incLUC!$F$3:$F$177</c:f>
              <c:numCache>
                <c:formatCode>0.0</c:formatCode>
                <c:ptCount val="175"/>
                <c:pt idx="0">
                  <c:v>5.3884204754123459</c:v>
                </c:pt>
                <c:pt idx="1">
                  <c:v>5.5571364831443546</c:v>
                </c:pt>
                <c:pt idx="2">
                  <c:v>7.0831701170905816</c:v>
                </c:pt>
                <c:pt idx="3">
                  <c:v>7.8581362568872279</c:v>
                </c:pt>
                <c:pt idx="4">
                  <c:v>8.4373658398204299</c:v>
                </c:pt>
                <c:pt idx="5">
                  <c:v>8.9795344059480371</c:v>
                </c:pt>
                <c:pt idx="6">
                  <c:v>9.4140373243668662</c:v>
                </c:pt>
                <c:pt idx="7">
                  <c:v>9.7774105650148542</c:v>
                </c:pt>
                <c:pt idx="8">
                  <c:v>10.054392069845932</c:v>
                </c:pt>
                <c:pt idx="9">
                  <c:v>10.281685658203003</c:v>
                </c:pt>
                <c:pt idx="10">
                  <c:v>10.419404040472713</c:v>
                </c:pt>
                <c:pt idx="11">
                  <c:v>10.560800868413516</c:v>
                </c:pt>
                <c:pt idx="12">
                  <c:v>10.468273127052321</c:v>
                </c:pt>
                <c:pt idx="13">
                  <c:v>10.36172330014125</c:v>
                </c:pt>
                <c:pt idx="14">
                  <c:v>10.303474703975866</c:v>
                </c:pt>
                <c:pt idx="15">
                  <c:v>10.237975080610397</c:v>
                </c:pt>
                <c:pt idx="16">
                  <c:v>10.198437623925862</c:v>
                </c:pt>
                <c:pt idx="17">
                  <c:v>10.117780334777066</c:v>
                </c:pt>
                <c:pt idx="18">
                  <c:v>10.047998024142267</c:v>
                </c:pt>
                <c:pt idx="19">
                  <c:v>9.9980781251996476</c:v>
                </c:pt>
                <c:pt idx="20">
                  <c:v>9.8472877367265852</c:v>
                </c:pt>
                <c:pt idx="21">
                  <c:v>9.5980870639039395</c:v>
                </c:pt>
                <c:pt idx="22">
                  <c:v>9.5221985479662621</c:v>
                </c:pt>
                <c:pt idx="23">
                  <c:v>9.4117932332397274</c:v>
                </c:pt>
                <c:pt idx="24">
                  <c:v>9.30510784788639</c:v>
                </c:pt>
                <c:pt idx="25">
                  <c:v>9.1888340282425105</c:v>
                </c:pt>
                <c:pt idx="26">
                  <c:v>9.0727092008246331</c:v>
                </c:pt>
                <c:pt idx="27">
                  <c:v>8.9633402441619552</c:v>
                </c:pt>
                <c:pt idx="28">
                  <c:v>8.852897333867908</c:v>
                </c:pt>
                <c:pt idx="29">
                  <c:v>8.7410123080787869</c:v>
                </c:pt>
                <c:pt idx="30">
                  <c:v>8.7104234504342983</c:v>
                </c:pt>
                <c:pt idx="31">
                  <c:v>8.6852473276011963</c:v>
                </c:pt>
                <c:pt idx="32">
                  <c:v>8.5943277195280672</c:v>
                </c:pt>
                <c:pt idx="33">
                  <c:v>8.4977293404577665</c:v>
                </c:pt>
                <c:pt idx="34">
                  <c:v>8.408487785015879</c:v>
                </c:pt>
                <c:pt idx="35">
                  <c:v>8.3292121067498712</c:v>
                </c:pt>
                <c:pt idx="36">
                  <c:v>8.2478675024011139</c:v>
                </c:pt>
                <c:pt idx="37">
                  <c:v>8.1606448646670771</c:v>
                </c:pt>
                <c:pt idx="38">
                  <c:v>8.0775195222678633</c:v>
                </c:pt>
                <c:pt idx="39">
                  <c:v>8.011262826448089</c:v>
                </c:pt>
                <c:pt idx="40">
                  <c:v>7.9608079326016039</c:v>
                </c:pt>
                <c:pt idx="41">
                  <c:v>7.9137617870814125</c:v>
                </c:pt>
                <c:pt idx="42">
                  <c:v>7.8779783594366819</c:v>
                </c:pt>
                <c:pt idx="43">
                  <c:v>7.8357125547104474</c:v>
                </c:pt>
                <c:pt idx="44">
                  <c:v>7.7952970124212158</c:v>
                </c:pt>
                <c:pt idx="45">
                  <c:v>7.7529972595960785</c:v>
                </c:pt>
                <c:pt idx="46">
                  <c:v>7.7080341495549476</c:v>
                </c:pt>
                <c:pt idx="47">
                  <c:v>7.6692389078024945</c:v>
                </c:pt>
                <c:pt idx="48">
                  <c:v>7.6256170390357596</c:v>
                </c:pt>
                <c:pt idx="49">
                  <c:v>7.581426440417836</c:v>
                </c:pt>
                <c:pt idx="50">
                  <c:v>7.5471734928683247</c:v>
                </c:pt>
                <c:pt idx="51">
                  <c:v>7.4925565322678409</c:v>
                </c:pt>
                <c:pt idx="52">
                  <c:v>7.3984939924237949</c:v>
                </c:pt>
                <c:pt idx="53">
                  <c:v>7.2913204272958652</c:v>
                </c:pt>
                <c:pt idx="54">
                  <c:v>7.1664620975789717</c:v>
                </c:pt>
                <c:pt idx="55">
                  <c:v>7.0285927098815506</c:v>
                </c:pt>
                <c:pt idx="56">
                  <c:v>6.8787245489534001</c:v>
                </c:pt>
                <c:pt idx="57">
                  <c:v>6.7273753615133458</c:v>
                </c:pt>
                <c:pt idx="58">
                  <c:v>6.5765979820243601</c:v>
                </c:pt>
                <c:pt idx="59">
                  <c:v>6.4316000632782391</c:v>
                </c:pt>
                <c:pt idx="60">
                  <c:v>6.2771941630185424</c:v>
                </c:pt>
                <c:pt idx="61">
                  <c:v>6.1563907602725507</c:v>
                </c:pt>
                <c:pt idx="62">
                  <c:v>6.0438255120334503</c:v>
                </c:pt>
                <c:pt idx="63">
                  <c:v>5.9460833515168616</c:v>
                </c:pt>
                <c:pt idx="64">
                  <c:v>5.8528463971213611</c:v>
                </c:pt>
                <c:pt idx="65">
                  <c:v>5.7675134057899982</c:v>
                </c:pt>
                <c:pt idx="66">
                  <c:v>5.6851602889070847</c:v>
                </c:pt>
                <c:pt idx="67">
                  <c:v>5.5971289046014476</c:v>
                </c:pt>
                <c:pt idx="68">
                  <c:v>5.5038653013675614</c:v>
                </c:pt>
                <c:pt idx="69">
                  <c:v>5.4137944780288905</c:v>
                </c:pt>
                <c:pt idx="70">
                  <c:v>5.3568922149723193</c:v>
                </c:pt>
                <c:pt idx="71">
                  <c:v>5.2853927754383747</c:v>
                </c:pt>
                <c:pt idx="72">
                  <c:v>5.2051617168619444</c:v>
                </c:pt>
                <c:pt idx="73">
                  <c:v>5.1378194877684962</c:v>
                </c:pt>
                <c:pt idx="74">
                  <c:v>5.0619215719893162</c:v>
                </c:pt>
                <c:pt idx="75">
                  <c:v>4.9920088590431178</c:v>
                </c:pt>
                <c:pt idx="76">
                  <c:v>4.9214047742193614</c:v>
                </c:pt>
                <c:pt idx="77">
                  <c:v>4.8709009185283421</c:v>
                </c:pt>
                <c:pt idx="78">
                  <c:v>4.8222819037702109</c:v>
                </c:pt>
                <c:pt idx="79">
                  <c:v>4.7888898645323152</c:v>
                </c:pt>
                <c:pt idx="80">
                  <c:v>4.7930284821642317</c:v>
                </c:pt>
                <c:pt idx="81">
                  <c:v>4.7961890156838791</c:v>
                </c:pt>
                <c:pt idx="82">
                  <c:v>4.7741057788522951</c:v>
                </c:pt>
                <c:pt idx="83">
                  <c:v>4.7490773662954524</c:v>
                </c:pt>
                <c:pt idx="84">
                  <c:v>4.7266004000040027</c:v>
                </c:pt>
                <c:pt idx="85">
                  <c:v>4.7030895565595472</c:v>
                </c:pt>
                <c:pt idx="86">
                  <c:v>4.6815012733871342</c:v>
                </c:pt>
                <c:pt idx="87">
                  <c:v>4.6557753487465448</c:v>
                </c:pt>
                <c:pt idx="88">
                  <c:v>4.6287962673687488</c:v>
                </c:pt>
                <c:pt idx="89">
                  <c:v>4.602748225002081</c:v>
                </c:pt>
                <c:pt idx="90">
                  <c:v>4.5723977274928487</c:v>
                </c:pt>
                <c:pt idx="91">
                  <c:v>4.5549659555026096</c:v>
                </c:pt>
                <c:pt idx="92">
                  <c:v>4.5402664225188971</c:v>
                </c:pt>
                <c:pt idx="93">
                  <c:v>4.5117587487496564</c:v>
                </c:pt>
                <c:pt idx="94">
                  <c:v>4.4804032617426088</c:v>
                </c:pt>
                <c:pt idx="95">
                  <c:v>4.4444476241655053</c:v>
                </c:pt>
                <c:pt idx="96">
                  <c:v>4.3812602821121018</c:v>
                </c:pt>
                <c:pt idx="97">
                  <c:v>4.3203197508451581</c:v>
                </c:pt>
                <c:pt idx="98">
                  <c:v>4.2543041992287414</c:v>
                </c:pt>
                <c:pt idx="99">
                  <c:v>4.1801984975434436</c:v>
                </c:pt>
                <c:pt idx="100">
                  <c:v>4.1664408451409045</c:v>
                </c:pt>
                <c:pt idx="101">
                  <c:v>4.1524271928748249</c:v>
                </c:pt>
                <c:pt idx="102">
                  <c:v>4.1148629684202618</c:v>
                </c:pt>
                <c:pt idx="103">
                  <c:v>4.0779077845751601</c:v>
                </c:pt>
                <c:pt idx="104">
                  <c:v>4.0494756866922046</c:v>
                </c:pt>
                <c:pt idx="105">
                  <c:v>4.0166564405226381</c:v>
                </c:pt>
                <c:pt idx="106">
                  <c:v>3.979713271635049</c:v>
                </c:pt>
                <c:pt idx="107">
                  <c:v>3.9426950733025876</c:v>
                </c:pt>
                <c:pt idx="108">
                  <c:v>3.9049189145340506</c:v>
                </c:pt>
                <c:pt idx="109">
                  <c:v>3.8985878474130331</c:v>
                </c:pt>
                <c:pt idx="110">
                  <c:v>3.8542593123582307</c:v>
                </c:pt>
                <c:pt idx="111">
                  <c:v>3.8040886355042645</c:v>
                </c:pt>
                <c:pt idx="112">
                  <c:v>3.7377795993999428</c:v>
                </c:pt>
                <c:pt idx="113">
                  <c:v>3.6724189866565951</c:v>
                </c:pt>
                <c:pt idx="114">
                  <c:v>3.5980139687444179</c:v>
                </c:pt>
                <c:pt idx="115">
                  <c:v>3.5134214979749245</c:v>
                </c:pt>
                <c:pt idx="116">
                  <c:v>3.4250569146991694</c:v>
                </c:pt>
                <c:pt idx="117">
                  <c:v>3.318690087205681</c:v>
                </c:pt>
                <c:pt idx="118">
                  <c:v>3.220425173011435</c:v>
                </c:pt>
                <c:pt idx="119">
                  <c:v>3.1731515865904996</c:v>
                </c:pt>
                <c:pt idx="120">
                  <c:v>3.1346770549057723</c:v>
                </c:pt>
                <c:pt idx="121">
                  <c:v>3.0806148787362915</c:v>
                </c:pt>
                <c:pt idx="122">
                  <c:v>3.0505973525299481</c:v>
                </c:pt>
                <c:pt idx="123">
                  <c:v>3.0156472803825665</c:v>
                </c:pt>
                <c:pt idx="124">
                  <c:v>2.9799680024208968</c:v>
                </c:pt>
                <c:pt idx="125">
                  <c:v>2.9352525583993838</c:v>
                </c:pt>
                <c:pt idx="126">
                  <c:v>2.8877305306457828</c:v>
                </c:pt>
                <c:pt idx="127">
                  <c:v>2.8466354780685919</c:v>
                </c:pt>
                <c:pt idx="128">
                  <c:v>2.814457637811941</c:v>
                </c:pt>
                <c:pt idx="129">
                  <c:v>2.7678805749618007</c:v>
                </c:pt>
                <c:pt idx="130">
                  <c:v>2.724593280439521</c:v>
                </c:pt>
                <c:pt idx="131">
                  <c:v>2.678013532167725</c:v>
                </c:pt>
                <c:pt idx="132">
                  <c:v>2.6061438617333792</c:v>
                </c:pt>
                <c:pt idx="133">
                  <c:v>2.5356099743949656</c:v>
                </c:pt>
                <c:pt idx="134">
                  <c:v>2.4769059614723616</c:v>
                </c:pt>
                <c:pt idx="135">
                  <c:v>2.4264595139246126</c:v>
                </c:pt>
                <c:pt idx="136">
                  <c:v>2.3831882134424731</c:v>
                </c:pt>
                <c:pt idx="137">
                  <c:v>2.3314176475665889</c:v>
                </c:pt>
                <c:pt idx="138">
                  <c:v>2.2751246149993918</c:v>
                </c:pt>
                <c:pt idx="139">
                  <c:v>2.2157816650676452</c:v>
                </c:pt>
                <c:pt idx="140">
                  <c:v>2.2142087089848701</c:v>
                </c:pt>
                <c:pt idx="141">
                  <c:v>2.2141145661084423</c:v>
                </c:pt>
                <c:pt idx="142">
                  <c:v>2.2169629364499173</c:v>
                </c:pt>
                <c:pt idx="143">
                  <c:v>2.2195710197055973</c:v>
                </c:pt>
                <c:pt idx="144">
                  <c:v>2.2991603516460799</c:v>
                </c:pt>
                <c:pt idx="145">
                  <c:v>2.3543107768942946</c:v>
                </c:pt>
                <c:pt idx="146">
                  <c:v>2.4196687245346098</c:v>
                </c:pt>
                <c:pt idx="147">
                  <c:v>2.5246898523028491</c:v>
                </c:pt>
                <c:pt idx="148">
                  <c:v>2.5865534865660962</c:v>
                </c:pt>
                <c:pt idx="149">
                  <c:v>2.6506548919619561</c:v>
                </c:pt>
                <c:pt idx="150">
                  <c:v>2.7137257176052429</c:v>
                </c:pt>
                <c:pt idx="151">
                  <c:v>2.7647957188178935</c:v>
                </c:pt>
                <c:pt idx="152">
                  <c:v>2.8145357027505966</c:v>
                </c:pt>
                <c:pt idx="153">
                  <c:v>2.8482841631510638</c:v>
                </c:pt>
                <c:pt idx="154">
                  <c:v>2.8582161541820312</c:v>
                </c:pt>
                <c:pt idx="155">
                  <c:v>2.8718697441085794</c:v>
                </c:pt>
                <c:pt idx="156">
                  <c:v>2.9033276394878769</c:v>
                </c:pt>
                <c:pt idx="157">
                  <c:v>2.9365124325501597</c:v>
                </c:pt>
                <c:pt idx="158">
                  <c:v>2.9638618158198184</c:v>
                </c:pt>
                <c:pt idx="159">
                  <c:v>3.0133929208433443</c:v>
                </c:pt>
                <c:pt idx="160">
                  <c:v>3.0580505196099352</c:v>
                </c:pt>
                <c:pt idx="161">
                  <c:v>3.0804871019269555</c:v>
                </c:pt>
                <c:pt idx="162">
                  <c:v>3.0949056906160592</c:v>
                </c:pt>
                <c:pt idx="163">
                  <c:v>3.1168059906089098</c:v>
                </c:pt>
                <c:pt idx="164">
                  <c:v>3.1302606613949564</c:v>
                </c:pt>
                <c:pt idx="165">
                  <c:v>3.1295084506638204</c:v>
                </c:pt>
                <c:pt idx="166">
                  <c:v>3.1143578486177574</c:v>
                </c:pt>
                <c:pt idx="167">
                  <c:v>3.098965883321398</c:v>
                </c:pt>
                <c:pt idx="168">
                  <c:v>3.0850821596440028</c:v>
                </c:pt>
                <c:pt idx="169">
                  <c:v>3.0665286193842647</c:v>
                </c:pt>
                <c:pt idx="170">
                  <c:v>3.0534160115763243</c:v>
                </c:pt>
                <c:pt idx="171">
                  <c:v>3.0215269067882247</c:v>
                </c:pt>
                <c:pt idx="172">
                  <c:v>2.9864388423997781</c:v>
                </c:pt>
                <c:pt idx="173">
                  <c:v>2.9519722778572302</c:v>
                </c:pt>
                <c:pt idx="174">
                  <c:v>3.0187333026094478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0A-4D5E-80C3-5622E4C3A5CD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0A-4D5E-80C3-5622E4C3A5CD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data_ghg_incLUC!$H$3:$H$177</c:f>
              <c:numCache>
                <c:formatCode>0.0</c:formatCode>
                <c:ptCount val="175"/>
                <c:pt idx="0">
                  <c:v>12.667667238708525</c:v>
                </c:pt>
                <c:pt idx="1">
                  <c:v>12.276147822019219</c:v>
                </c:pt>
                <c:pt idx="2">
                  <c:v>10.82332314313831</c:v>
                </c:pt>
                <c:pt idx="3">
                  <c:v>9.9106115048949945</c:v>
                </c:pt>
                <c:pt idx="4">
                  <c:v>9.2991757823176613</c:v>
                </c:pt>
                <c:pt idx="5">
                  <c:v>8.7163914328586785</c:v>
                </c:pt>
                <c:pt idx="6">
                  <c:v>8.2534968755725941</c:v>
                </c:pt>
                <c:pt idx="7">
                  <c:v>7.8760913413393894</c:v>
                </c:pt>
                <c:pt idx="8">
                  <c:v>7.584408068842734</c:v>
                </c:pt>
                <c:pt idx="9">
                  <c:v>7.3363377103420859</c:v>
                </c:pt>
                <c:pt idx="10">
                  <c:v>7.1974940368577833</c:v>
                </c:pt>
                <c:pt idx="11">
                  <c:v>7.0955119782673606</c:v>
                </c:pt>
                <c:pt idx="12">
                  <c:v>7.2297416287733185</c:v>
                </c:pt>
                <c:pt idx="13">
                  <c:v>7.354780361281783</c:v>
                </c:pt>
                <c:pt idx="14">
                  <c:v>7.4718662272686984</c:v>
                </c:pt>
                <c:pt idx="15">
                  <c:v>7.5777911641593221</c:v>
                </c:pt>
                <c:pt idx="16">
                  <c:v>7.6962932813978426</c:v>
                </c:pt>
                <c:pt idx="17">
                  <c:v>7.7948451869117505</c:v>
                </c:pt>
                <c:pt idx="18">
                  <c:v>7.900578187967831</c:v>
                </c:pt>
                <c:pt idx="19">
                  <c:v>7.987098663993244</c:v>
                </c:pt>
                <c:pt idx="20">
                  <c:v>8.1742171068507403</c:v>
                </c:pt>
                <c:pt idx="21">
                  <c:v>8.4165358391865155</c:v>
                </c:pt>
                <c:pt idx="22">
                  <c:v>8.4920444597209297</c:v>
                </c:pt>
                <c:pt idx="23">
                  <c:v>8.5761821707437704</c:v>
                </c:pt>
                <c:pt idx="24">
                  <c:v>8.6847754054969144</c:v>
                </c:pt>
                <c:pt idx="25">
                  <c:v>8.7819431312322465</c:v>
                </c:pt>
                <c:pt idx="26">
                  <c:v>8.8889963620083066</c:v>
                </c:pt>
                <c:pt idx="27">
                  <c:v>8.9848014218984389</c:v>
                </c:pt>
                <c:pt idx="28">
                  <c:v>9.0897533640984278</c:v>
                </c:pt>
                <c:pt idx="29">
                  <c:v>9.1933308591620317</c:v>
                </c:pt>
                <c:pt idx="30">
                  <c:v>9.2163181725794843</c:v>
                </c:pt>
                <c:pt idx="31">
                  <c:v>9.2361926775237535</c:v>
                </c:pt>
                <c:pt idx="32">
                  <c:v>9.3187399103420674</c:v>
                </c:pt>
                <c:pt idx="33">
                  <c:v>9.4045367684428669</c:v>
                </c:pt>
                <c:pt idx="34">
                  <c:v>9.4960137673958513</c:v>
                </c:pt>
                <c:pt idx="35">
                  <c:v>9.5859621327975049</c:v>
                </c:pt>
                <c:pt idx="36">
                  <c:v>9.6691810089055181</c:v>
                </c:pt>
                <c:pt idx="37">
                  <c:v>9.7427799446220007</c:v>
                </c:pt>
                <c:pt idx="38">
                  <c:v>9.8123975932691962</c:v>
                </c:pt>
                <c:pt idx="39">
                  <c:v>9.8725742134561898</c:v>
                </c:pt>
                <c:pt idx="40">
                  <c:v>9.9367147798988071</c:v>
                </c:pt>
                <c:pt idx="41">
                  <c:v>9.9963626719918963</c:v>
                </c:pt>
                <c:pt idx="42">
                  <c:v>10.051006338066905</c:v>
                </c:pt>
                <c:pt idx="43">
                  <c:v>10.112185335570885</c:v>
                </c:pt>
                <c:pt idx="44">
                  <c:v>10.181236229426595</c:v>
                </c:pt>
                <c:pt idx="45">
                  <c:v>10.241324781074169</c:v>
                </c:pt>
                <c:pt idx="46">
                  <c:v>10.300978058075813</c:v>
                </c:pt>
                <c:pt idx="47">
                  <c:v>10.355512890000909</c:v>
                </c:pt>
                <c:pt idx="48">
                  <c:v>10.41807646154448</c:v>
                </c:pt>
                <c:pt idx="49">
                  <c:v>10.471149682046466</c:v>
                </c:pt>
                <c:pt idx="50">
                  <c:v>10.521129837405979</c:v>
                </c:pt>
                <c:pt idx="51">
                  <c:v>10.60304188786737</c:v>
                </c:pt>
                <c:pt idx="52">
                  <c:v>10.721133602642098</c:v>
                </c:pt>
                <c:pt idx="53">
                  <c:v>10.850420030242148</c:v>
                </c:pt>
                <c:pt idx="54">
                  <c:v>11.000603137079914</c:v>
                </c:pt>
                <c:pt idx="55">
                  <c:v>11.165225778850974</c:v>
                </c:pt>
                <c:pt idx="56">
                  <c:v>11.341734476358617</c:v>
                </c:pt>
                <c:pt idx="57">
                  <c:v>11.514477085230602</c:v>
                </c:pt>
                <c:pt idx="58">
                  <c:v>11.699076368606413</c:v>
                </c:pt>
                <c:pt idx="59">
                  <c:v>11.877962737267033</c:v>
                </c:pt>
                <c:pt idx="60">
                  <c:v>11.991052759215243</c:v>
                </c:pt>
                <c:pt idx="61">
                  <c:v>12.051976962070775</c:v>
                </c:pt>
                <c:pt idx="62">
                  <c:v>12.102491413021625</c:v>
                </c:pt>
                <c:pt idx="63">
                  <c:v>12.115304572909736</c:v>
                </c:pt>
                <c:pt idx="64">
                  <c:v>12.119432007688388</c:v>
                </c:pt>
                <c:pt idx="65">
                  <c:v>12.109037530288511</c:v>
                </c:pt>
                <c:pt idx="66">
                  <c:v>12.095388834310384</c:v>
                </c:pt>
                <c:pt idx="67">
                  <c:v>12.069354710053439</c:v>
                </c:pt>
                <c:pt idx="68">
                  <c:v>12.021479722826527</c:v>
                </c:pt>
                <c:pt idx="69">
                  <c:v>11.966252386233393</c:v>
                </c:pt>
                <c:pt idx="70">
                  <c:v>11.893954303840466</c:v>
                </c:pt>
                <c:pt idx="71">
                  <c:v>11.861850408243434</c:v>
                </c:pt>
                <c:pt idx="72">
                  <c:v>11.837460000850882</c:v>
                </c:pt>
                <c:pt idx="73">
                  <c:v>11.793403440612323</c:v>
                </c:pt>
                <c:pt idx="74">
                  <c:v>11.754342218152672</c:v>
                </c:pt>
                <c:pt idx="75">
                  <c:v>11.723194315476434</c:v>
                </c:pt>
                <c:pt idx="76">
                  <c:v>11.707250279796177</c:v>
                </c:pt>
                <c:pt idx="77">
                  <c:v>11.672426950840951</c:v>
                </c:pt>
                <c:pt idx="78">
                  <c:v>11.642383673776344</c:v>
                </c:pt>
                <c:pt idx="79">
                  <c:v>11.605926631941934</c:v>
                </c:pt>
                <c:pt idx="80">
                  <c:v>11.571970877990957</c:v>
                </c:pt>
                <c:pt idx="81">
                  <c:v>11.565563980971646</c:v>
                </c:pt>
                <c:pt idx="82">
                  <c:v>11.600565147203845</c:v>
                </c:pt>
                <c:pt idx="83">
                  <c:v>11.636846350212544</c:v>
                </c:pt>
                <c:pt idx="84">
                  <c:v>11.672229244651888</c:v>
                </c:pt>
                <c:pt idx="85">
                  <c:v>11.716951055856008</c:v>
                </c:pt>
                <c:pt idx="86">
                  <c:v>11.763618903217882</c:v>
                </c:pt>
                <c:pt idx="87">
                  <c:v>11.809850162054033</c:v>
                </c:pt>
                <c:pt idx="88">
                  <c:v>11.870605688911333</c:v>
                </c:pt>
                <c:pt idx="89">
                  <c:v>11.923740419572198</c:v>
                </c:pt>
                <c:pt idx="90">
                  <c:v>11.954963041699791</c:v>
                </c:pt>
                <c:pt idx="91">
                  <c:v>11.941698166318041</c:v>
                </c:pt>
                <c:pt idx="92">
                  <c:v>11.889177213219178</c:v>
                </c:pt>
                <c:pt idx="93">
                  <c:v>11.843729790852258</c:v>
                </c:pt>
                <c:pt idx="94">
                  <c:v>11.79707710822391</c:v>
                </c:pt>
                <c:pt idx="95">
                  <c:v>11.747719454470399</c:v>
                </c:pt>
                <c:pt idx="96">
                  <c:v>11.724527912437928</c:v>
                </c:pt>
                <c:pt idx="97">
                  <c:v>11.690654924275286</c:v>
                </c:pt>
                <c:pt idx="98">
                  <c:v>11.656916032556708</c:v>
                </c:pt>
                <c:pt idx="99">
                  <c:v>11.641357739537767</c:v>
                </c:pt>
                <c:pt idx="100">
                  <c:v>11.5721913161468</c:v>
                </c:pt>
                <c:pt idx="101">
                  <c:v>11.510938290603498</c:v>
                </c:pt>
                <c:pt idx="102">
                  <c:v>11.487434352885565</c:v>
                </c:pt>
                <c:pt idx="103">
                  <c:v>11.47367773987159</c:v>
                </c:pt>
                <c:pt idx="104">
                  <c:v>11.46124659096148</c:v>
                </c:pt>
                <c:pt idx="105">
                  <c:v>11.459857440140688</c:v>
                </c:pt>
                <c:pt idx="106">
                  <c:v>11.470557329215929</c:v>
                </c:pt>
                <c:pt idx="107">
                  <c:v>11.490986019042026</c:v>
                </c:pt>
                <c:pt idx="108">
                  <c:v>11.521362772461828</c:v>
                </c:pt>
                <c:pt idx="109">
                  <c:v>11.542092098005952</c:v>
                </c:pt>
                <c:pt idx="110">
                  <c:v>11.591517778933934</c:v>
                </c:pt>
                <c:pt idx="111">
                  <c:v>11.652310473043045</c:v>
                </c:pt>
                <c:pt idx="112">
                  <c:v>11.715293092666606</c:v>
                </c:pt>
                <c:pt idx="113">
                  <c:v>11.783219561242063</c:v>
                </c:pt>
                <c:pt idx="114">
                  <c:v>11.860947565456961</c:v>
                </c:pt>
                <c:pt idx="115">
                  <c:v>11.949953197325527</c:v>
                </c:pt>
                <c:pt idx="116">
                  <c:v>12.043623733659359</c:v>
                </c:pt>
                <c:pt idx="117">
                  <c:v>12.156154249938403</c:v>
                </c:pt>
                <c:pt idx="118">
                  <c:v>12.263538217004395</c:v>
                </c:pt>
                <c:pt idx="119">
                  <c:v>12.306065108646962</c:v>
                </c:pt>
                <c:pt idx="120">
                  <c:v>12.347088702506049</c:v>
                </c:pt>
                <c:pt idx="121">
                  <c:v>12.404367195533098</c:v>
                </c:pt>
                <c:pt idx="122">
                  <c:v>12.434883508182487</c:v>
                </c:pt>
                <c:pt idx="123">
                  <c:v>12.474690697619785</c:v>
                </c:pt>
                <c:pt idx="124">
                  <c:v>12.523961497947084</c:v>
                </c:pt>
                <c:pt idx="125">
                  <c:v>12.592941127377927</c:v>
                </c:pt>
                <c:pt idx="126">
                  <c:v>12.667876253477608</c:v>
                </c:pt>
                <c:pt idx="127">
                  <c:v>12.732042423403868</c:v>
                </c:pt>
                <c:pt idx="128">
                  <c:v>12.790640375801246</c:v>
                </c:pt>
                <c:pt idx="129">
                  <c:v>12.861814066593645</c:v>
                </c:pt>
                <c:pt idx="130">
                  <c:v>12.944124112778447</c:v>
                </c:pt>
                <c:pt idx="131">
                  <c:v>13.020934929924344</c:v>
                </c:pt>
                <c:pt idx="132">
                  <c:v>13.131430359301731</c:v>
                </c:pt>
                <c:pt idx="133">
                  <c:v>13.237910311473165</c:v>
                </c:pt>
                <c:pt idx="134">
                  <c:v>13.324612631089074</c:v>
                </c:pt>
                <c:pt idx="135">
                  <c:v>13.408265807645016</c:v>
                </c:pt>
                <c:pt idx="136">
                  <c:v>13.480534470202365</c:v>
                </c:pt>
                <c:pt idx="137">
                  <c:v>13.558344147310834</c:v>
                </c:pt>
                <c:pt idx="138">
                  <c:v>13.63626498669025</c:v>
                </c:pt>
                <c:pt idx="139">
                  <c:v>13.70628179301513</c:v>
                </c:pt>
                <c:pt idx="140">
                  <c:v>13.715884613890751</c:v>
                </c:pt>
                <c:pt idx="141">
                  <c:v>13.704003894965894</c:v>
                </c:pt>
                <c:pt idx="142">
                  <c:v>13.658724624220419</c:v>
                </c:pt>
                <c:pt idx="143">
                  <c:v>13.600910212224271</c:v>
                </c:pt>
                <c:pt idx="144">
                  <c:v>13.437705812901719</c:v>
                </c:pt>
                <c:pt idx="145">
                  <c:v>13.293045285803885</c:v>
                </c:pt>
                <c:pt idx="146">
                  <c:v>13.148144815899066</c:v>
                </c:pt>
                <c:pt idx="147">
                  <c:v>12.932378350034739</c:v>
                </c:pt>
                <c:pt idx="148">
                  <c:v>12.769468814542641</c:v>
                </c:pt>
                <c:pt idx="149">
                  <c:v>12.604026208528651</c:v>
                </c:pt>
                <c:pt idx="150">
                  <c:v>12.435884225166234</c:v>
                </c:pt>
                <c:pt idx="151">
                  <c:v>12.28785304122129</c:v>
                </c:pt>
                <c:pt idx="152">
                  <c:v>12.134297975656793</c:v>
                </c:pt>
                <c:pt idx="153">
                  <c:v>11.990770737227884</c:v>
                </c:pt>
                <c:pt idx="154">
                  <c:v>11.872998019762505</c:v>
                </c:pt>
                <c:pt idx="155">
                  <c:v>11.754810747115606</c:v>
                </c:pt>
                <c:pt idx="156">
                  <c:v>11.620306866860282</c:v>
                </c:pt>
                <c:pt idx="157">
                  <c:v>11.490092071530469</c:v>
                </c:pt>
                <c:pt idx="158">
                  <c:v>11.362016997821101</c:v>
                </c:pt>
                <c:pt idx="159">
                  <c:v>11.214249168690202</c:v>
                </c:pt>
                <c:pt idx="160">
                  <c:v>11.074520392958945</c:v>
                </c:pt>
                <c:pt idx="161">
                  <c:v>10.949417411841907</c:v>
                </c:pt>
                <c:pt idx="162">
                  <c:v>10.840901655371049</c:v>
                </c:pt>
                <c:pt idx="163">
                  <c:v>10.721973766952125</c:v>
                </c:pt>
                <c:pt idx="164">
                  <c:v>10.608019225869192</c:v>
                </c:pt>
                <c:pt idx="165">
                  <c:v>10.519982472493908</c:v>
                </c:pt>
                <c:pt idx="166">
                  <c:v>10.455252800101512</c:v>
                </c:pt>
                <c:pt idx="167">
                  <c:v>10.392000545404692</c:v>
                </c:pt>
                <c:pt idx="168">
                  <c:v>10.326999451183333</c:v>
                </c:pt>
                <c:pt idx="169">
                  <c:v>10.264987218964293</c:v>
                </c:pt>
                <c:pt idx="170">
                  <c:v>10.202348033165599</c:v>
                </c:pt>
                <c:pt idx="171">
                  <c:v>10.159075838181415</c:v>
                </c:pt>
                <c:pt idx="172">
                  <c:v>10.117150740651518</c:v>
                </c:pt>
                <c:pt idx="173">
                  <c:v>10.075811889968314</c:v>
                </c:pt>
                <c:pt idx="174">
                  <c:v>9.935670643795028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0A-4D5E-80C3-5622E4C3A5CD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data_ghg_incLUC!$Q$3:$Q$177</c:f>
              <c:numCache>
                <c:formatCode>0.0</c:formatCode>
                <c:ptCount val="175"/>
                <c:pt idx="0">
                  <c:v>1.6009239644589925</c:v>
                </c:pt>
                <c:pt idx="1">
                  <c:v>2.066294396746855</c:v>
                </c:pt>
                <c:pt idx="2">
                  <c:v>3.2991940938424591</c:v>
                </c:pt>
                <c:pt idx="3">
                  <c:v>4.1163956681312683</c:v>
                </c:pt>
                <c:pt idx="4">
                  <c:v>4.6592125919248986</c:v>
                </c:pt>
                <c:pt idx="5">
                  <c:v>5.2140237192870558</c:v>
                </c:pt>
                <c:pt idx="6">
                  <c:v>5.6476346420704857</c:v>
                </c:pt>
                <c:pt idx="7">
                  <c:v>6.002176631218461</c:v>
                </c:pt>
                <c:pt idx="8">
                  <c:v>6.2767084970692579</c:v>
                </c:pt>
                <c:pt idx="9">
                  <c:v>6.5023953128915863</c:v>
                </c:pt>
                <c:pt idx="10">
                  <c:v>6.6139634195072361</c:v>
                </c:pt>
                <c:pt idx="11">
                  <c:v>6.7099316383468164</c:v>
                </c:pt>
                <c:pt idx="12">
                  <c:v>6.5806719035819725</c:v>
                </c:pt>
                <c:pt idx="13">
                  <c:v>6.4625721453174805</c:v>
                </c:pt>
                <c:pt idx="14">
                  <c:v>6.3504314723952504</c:v>
                </c:pt>
                <c:pt idx="15">
                  <c:v>6.2487728292725535</c:v>
                </c:pt>
                <c:pt idx="16">
                  <c:v>6.1365218926769955</c:v>
                </c:pt>
                <c:pt idx="17">
                  <c:v>6.0436172779251862</c:v>
                </c:pt>
                <c:pt idx="18">
                  <c:v>5.9460557611784779</c:v>
                </c:pt>
                <c:pt idx="19">
                  <c:v>5.8668166575518583</c:v>
                </c:pt>
                <c:pt idx="20">
                  <c:v>5.6891242830889581</c:v>
                </c:pt>
                <c:pt idx="21">
                  <c:v>5.4349820105700104</c:v>
                </c:pt>
                <c:pt idx="22">
                  <c:v>5.2967382262154175</c:v>
                </c:pt>
                <c:pt idx="23">
                  <c:v>5.1479225013476935</c:v>
                </c:pt>
                <c:pt idx="24">
                  <c:v>4.9889978884271997</c:v>
                </c:pt>
                <c:pt idx="25">
                  <c:v>4.8376319636058938</c:v>
                </c:pt>
                <c:pt idx="26">
                  <c:v>4.6888109891929233</c:v>
                </c:pt>
                <c:pt idx="27">
                  <c:v>4.5511125454986825</c:v>
                </c:pt>
                <c:pt idx="28">
                  <c:v>4.409532708774627</c:v>
                </c:pt>
                <c:pt idx="29">
                  <c:v>4.2676518030954611</c:v>
                </c:pt>
                <c:pt idx="30">
                  <c:v>4.1991394905682782</c:v>
                </c:pt>
                <c:pt idx="31">
                  <c:v>4.1243374224218314</c:v>
                </c:pt>
                <c:pt idx="32">
                  <c:v>4.0036052661047492</c:v>
                </c:pt>
                <c:pt idx="33">
                  <c:v>3.880450243652831</c:v>
                </c:pt>
                <c:pt idx="34">
                  <c:v>3.7546124066756548</c:v>
                </c:pt>
                <c:pt idx="35">
                  <c:v>3.634551803597077</c:v>
                </c:pt>
                <c:pt idx="36">
                  <c:v>3.5240023954962894</c:v>
                </c:pt>
                <c:pt idx="37">
                  <c:v>3.4239060832831072</c:v>
                </c:pt>
                <c:pt idx="38">
                  <c:v>3.3258570905335318</c:v>
                </c:pt>
                <c:pt idx="39">
                  <c:v>3.2444907597235542</c:v>
                </c:pt>
                <c:pt idx="40">
                  <c:v>3.157968635762181</c:v>
                </c:pt>
                <c:pt idx="41">
                  <c:v>3.0795666750411073</c:v>
                </c:pt>
                <c:pt idx="42">
                  <c:v>3.0045126610419075</c:v>
                </c:pt>
                <c:pt idx="43">
                  <c:v>2.9308575852720082</c:v>
                </c:pt>
                <c:pt idx="44">
                  <c:v>2.8448305862202687</c:v>
                </c:pt>
                <c:pt idx="45">
                  <c:v>2.7687368993139785</c:v>
                </c:pt>
                <c:pt idx="46">
                  <c:v>2.6941412259767148</c:v>
                </c:pt>
                <c:pt idx="47">
                  <c:v>2.6265613570495319</c:v>
                </c:pt>
                <c:pt idx="48">
                  <c:v>2.5531723350788127</c:v>
                </c:pt>
                <c:pt idx="49">
                  <c:v>2.4863849824816526</c:v>
                </c:pt>
                <c:pt idx="50">
                  <c:v>2.4230692617505625</c:v>
                </c:pt>
                <c:pt idx="51">
                  <c:v>2.3208741671747148</c:v>
                </c:pt>
                <c:pt idx="52">
                  <c:v>2.1804544835320883</c:v>
                </c:pt>
                <c:pt idx="53">
                  <c:v>2.0182705864940829</c:v>
                </c:pt>
                <c:pt idx="54">
                  <c:v>1.8373772165100064</c:v>
                </c:pt>
                <c:pt idx="55">
                  <c:v>1.6333957186396617</c:v>
                </c:pt>
                <c:pt idx="56">
                  <c:v>1.4174208593030642</c:v>
                </c:pt>
                <c:pt idx="57">
                  <c:v>1.2000700813055687</c:v>
                </c:pt>
                <c:pt idx="58">
                  <c:v>0.98080240599581714</c:v>
                </c:pt>
                <c:pt idx="59">
                  <c:v>0.7679246937650106</c:v>
                </c:pt>
                <c:pt idx="60">
                  <c:v>0.61601665751689438</c:v>
                </c:pt>
                <c:pt idx="61">
                  <c:v>0.52656274608851561</c:v>
                </c:pt>
                <c:pt idx="62">
                  <c:v>0.45594325032190852</c:v>
                </c:pt>
                <c:pt idx="63">
                  <c:v>0.42761293359596664</c:v>
                </c:pt>
                <c:pt idx="64">
                  <c:v>0.41204526562786725</c:v>
                </c:pt>
                <c:pt idx="65">
                  <c:v>0.41171414801678452</c:v>
                </c:pt>
                <c:pt idx="66">
                  <c:v>0.41256472239764719</c:v>
                </c:pt>
                <c:pt idx="67">
                  <c:v>0.42119900881945682</c:v>
                </c:pt>
                <c:pt idx="68">
                  <c:v>0.43047481560579115</c:v>
                </c:pt>
                <c:pt idx="69">
                  <c:v>0.43564493628500145</c:v>
                </c:pt>
                <c:pt idx="70">
                  <c:v>0.46224755172342213</c:v>
                </c:pt>
                <c:pt idx="71">
                  <c:v>0.46138636113747111</c:v>
                </c:pt>
                <c:pt idx="72">
                  <c:v>0.45147731808457081</c:v>
                </c:pt>
                <c:pt idx="73">
                  <c:v>0.4477026075928876</c:v>
                </c:pt>
                <c:pt idx="74">
                  <c:v>0.44479503269018039</c:v>
                </c:pt>
                <c:pt idx="75">
                  <c:v>0.43489450665187235</c:v>
                </c:pt>
                <c:pt idx="76">
                  <c:v>0.42483130238447586</c:v>
                </c:pt>
                <c:pt idx="77">
                  <c:v>0.43220056680191021</c:v>
                </c:pt>
                <c:pt idx="78">
                  <c:v>0.44077941338593973</c:v>
                </c:pt>
                <c:pt idx="79">
                  <c:v>0.45315518172746749</c:v>
                </c:pt>
                <c:pt idx="80">
                  <c:v>0.47119623365725261</c:v>
                </c:pt>
                <c:pt idx="81">
                  <c:v>0.47850106945128346</c:v>
                </c:pt>
                <c:pt idx="82">
                  <c:v>0.46128846936245793</c:v>
                </c:pt>
                <c:pt idx="83">
                  <c:v>0.44254353590760331</c:v>
                </c:pt>
                <c:pt idx="84">
                  <c:v>0.42770924446057279</c:v>
                </c:pt>
                <c:pt idx="85">
                  <c:v>0.40453736563885911</c:v>
                </c:pt>
                <c:pt idx="86">
                  <c:v>0.37803251162630147</c:v>
                </c:pt>
                <c:pt idx="87">
                  <c:v>0.3479316194680564</c:v>
                </c:pt>
                <c:pt idx="88">
                  <c:v>0.31236336119847863</c:v>
                </c:pt>
                <c:pt idx="89">
                  <c:v>0.27658421897673691</c:v>
                </c:pt>
                <c:pt idx="90">
                  <c:v>0.28720661492071997</c:v>
                </c:pt>
                <c:pt idx="91">
                  <c:v>0.3200547789351802</c:v>
                </c:pt>
                <c:pt idx="92">
                  <c:v>0.36872569914553566</c:v>
                </c:pt>
                <c:pt idx="93">
                  <c:v>0.41841987261954472</c:v>
                </c:pt>
                <c:pt idx="94">
                  <c:v>0.45929270313872905</c:v>
                </c:pt>
                <c:pt idx="95">
                  <c:v>0.48845172658342761</c:v>
                </c:pt>
                <c:pt idx="96">
                  <c:v>0.4916910584839016</c:v>
                </c:pt>
                <c:pt idx="97">
                  <c:v>0.50386296264188957</c:v>
                </c:pt>
                <c:pt idx="98">
                  <c:v>0.51586366896803071</c:v>
                </c:pt>
                <c:pt idx="99">
                  <c:v>0.52533381344193941</c:v>
                </c:pt>
                <c:pt idx="100">
                  <c:v>0.59000713529135851</c:v>
                </c:pt>
                <c:pt idx="101">
                  <c:v>0.68291376880323895</c:v>
                </c:pt>
                <c:pt idx="102">
                  <c:v>0.75289469809209919</c:v>
                </c:pt>
                <c:pt idx="103">
                  <c:v>0.82629392691281112</c:v>
                </c:pt>
                <c:pt idx="104">
                  <c:v>0.91102721559075661</c:v>
                </c:pt>
                <c:pt idx="105">
                  <c:v>0.993981627486896</c:v>
                </c:pt>
                <c:pt idx="106">
                  <c:v>1.0745604142755951</c:v>
                </c:pt>
                <c:pt idx="107">
                  <c:v>1.1607044258459851</c:v>
                </c:pt>
                <c:pt idx="108">
                  <c:v>1.2453675918214131</c:v>
                </c:pt>
                <c:pt idx="109">
                  <c:v>1.3176667466893051</c:v>
                </c:pt>
                <c:pt idx="110">
                  <c:v>1.3602766352088196</c:v>
                </c:pt>
                <c:pt idx="111">
                  <c:v>1.3891233021264924</c:v>
                </c:pt>
                <c:pt idx="112">
                  <c:v>1.4183626910688858</c:v>
                </c:pt>
                <c:pt idx="113">
                  <c:v>1.4443577599610578</c:v>
                </c:pt>
                <c:pt idx="114">
                  <c:v>1.4614388466033716</c:v>
                </c:pt>
                <c:pt idx="115">
                  <c:v>1.4651521093182396</c:v>
                </c:pt>
                <c:pt idx="116">
                  <c:v>1.4593432107727367</c:v>
                </c:pt>
                <c:pt idx="117">
                  <c:v>1.4332710934950725</c:v>
                </c:pt>
                <c:pt idx="118">
                  <c:v>1.4072552074547531</c:v>
                </c:pt>
                <c:pt idx="119">
                  <c:v>1.4386444786908612</c:v>
                </c:pt>
                <c:pt idx="120">
                  <c:v>1.4603141463082068</c:v>
                </c:pt>
                <c:pt idx="121">
                  <c:v>1.4704556017317998</c:v>
                </c:pt>
                <c:pt idx="122">
                  <c:v>1.507452887724682</c:v>
                </c:pt>
                <c:pt idx="123">
                  <c:v>1.5310721717702549</c:v>
                </c:pt>
                <c:pt idx="124">
                  <c:v>1.5495727008319591</c:v>
                </c:pt>
                <c:pt idx="125">
                  <c:v>1.5574869601055497</c:v>
                </c:pt>
                <c:pt idx="126">
                  <c:v>1.5558562878797986</c:v>
                </c:pt>
                <c:pt idx="127">
                  <c:v>1.564382547485458</c:v>
                </c:pt>
                <c:pt idx="128">
                  <c:v>1.5775726679682833</c:v>
                </c:pt>
                <c:pt idx="129">
                  <c:v>1.570872912020512</c:v>
                </c:pt>
                <c:pt idx="130">
                  <c:v>1.561363521144564</c:v>
                </c:pt>
                <c:pt idx="131">
                  <c:v>1.5501326169363949</c:v>
                </c:pt>
                <c:pt idx="132">
                  <c:v>1.5024303471492217</c:v>
                </c:pt>
                <c:pt idx="133">
                  <c:v>1.4558377896981227</c:v>
                </c:pt>
                <c:pt idx="134">
                  <c:v>1.42265370728947</c:v>
                </c:pt>
                <c:pt idx="135">
                  <c:v>1.398164837850338</c:v>
                </c:pt>
                <c:pt idx="136">
                  <c:v>1.3830205063280374</c:v>
                </c:pt>
                <c:pt idx="137">
                  <c:v>1.3559728358534215</c:v>
                </c:pt>
                <c:pt idx="138">
                  <c:v>1.3190894386834415</c:v>
                </c:pt>
                <c:pt idx="139">
                  <c:v>1.2773976820260629</c:v>
                </c:pt>
                <c:pt idx="140">
                  <c:v>1.2668074937596714</c:v>
                </c:pt>
                <c:pt idx="141">
                  <c:v>1.2476295141391418</c:v>
                </c:pt>
                <c:pt idx="142">
                  <c:v>1.232540090857654</c:v>
                </c:pt>
                <c:pt idx="143">
                  <c:v>1.2110151357417678</c:v>
                </c:pt>
                <c:pt idx="144">
                  <c:v>1.2840630652082439</c:v>
                </c:pt>
                <c:pt idx="145">
                  <c:v>1.3232345879873577</c:v>
                </c:pt>
                <c:pt idx="146">
                  <c:v>1.37313220449564</c:v>
                </c:pt>
                <c:pt idx="147">
                  <c:v>1.4808078044104533</c:v>
                </c:pt>
                <c:pt idx="148">
                  <c:v>1.5431611743865332</c:v>
                </c:pt>
                <c:pt idx="149">
                  <c:v>1.590673232410559</c:v>
                </c:pt>
                <c:pt idx="150">
                  <c:v>1.6470231182017798</c:v>
                </c:pt>
                <c:pt idx="151">
                  <c:v>1.6830379434861129</c:v>
                </c:pt>
                <c:pt idx="152">
                  <c:v>1.7207857595391474</c:v>
                </c:pt>
                <c:pt idx="153">
                  <c:v>1.7449577570563619</c:v>
                </c:pt>
                <c:pt idx="154">
                  <c:v>1.7220453224316969</c:v>
                </c:pt>
                <c:pt idx="155">
                  <c:v>1.7065502435797342</c:v>
                </c:pt>
                <c:pt idx="156">
                  <c:v>1.712218571449398</c:v>
                </c:pt>
                <c:pt idx="157">
                  <c:v>1.7159369199247436</c:v>
                </c:pt>
                <c:pt idx="158">
                  <c:v>1.722848640120759</c:v>
                </c:pt>
                <c:pt idx="159">
                  <c:v>1.7456899760151288</c:v>
                </c:pt>
                <c:pt idx="160">
                  <c:v>1.7629863160906112</c:v>
                </c:pt>
                <c:pt idx="161">
                  <c:v>1.7765558200865215</c:v>
                </c:pt>
                <c:pt idx="162">
                  <c:v>1.7878797348719502</c:v>
                </c:pt>
                <c:pt idx="163">
                  <c:v>1.7913417224869335</c:v>
                </c:pt>
                <c:pt idx="164">
                  <c:v>1.7960209835976428</c:v>
                </c:pt>
                <c:pt idx="165">
                  <c:v>1.7733930180315767</c:v>
                </c:pt>
                <c:pt idx="166">
                  <c:v>1.7391574729698505</c:v>
                </c:pt>
                <c:pt idx="167">
                  <c:v>1.7026115884031583</c:v>
                </c:pt>
                <c:pt idx="168">
                  <c:v>1.6757657422318246</c:v>
                </c:pt>
                <c:pt idx="169">
                  <c:v>1.6484027015927225</c:v>
                </c:pt>
                <c:pt idx="170">
                  <c:v>1.6228829933462521</c:v>
                </c:pt>
                <c:pt idx="171">
                  <c:v>1.5861793206096593</c:v>
                </c:pt>
                <c:pt idx="172">
                  <c:v>1.5260920797086186</c:v>
                </c:pt>
                <c:pt idx="173">
                  <c:v>1.4672339131053675</c:v>
                </c:pt>
                <c:pt idx="174">
                  <c:v>1.5666652342306122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0A-4D5E-80C3-5622E4C3A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data_ghg_incLUC!$I$2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data_ghg_incLUC!$I$3:$I$177</c:f>
              <c:numCache>
                <c:formatCode>0.0</c:formatCode>
                <c:ptCount val="175"/>
                <c:pt idx="0">
                  <c:v>36.117602475106047</c:v>
                </c:pt>
                <c:pt idx="1">
                  <c:v>36.199508645811314</c:v>
                </c:pt>
                <c:pt idx="2">
                  <c:v>36.147776786226665</c:v>
                </c:pt>
                <c:pt idx="3">
                  <c:v>36.340561031595627</c:v>
                </c:pt>
                <c:pt idx="4">
                  <c:v>36.624606494935144</c:v>
                </c:pt>
                <c:pt idx="5">
                  <c:v>36.796073543703685</c:v>
                </c:pt>
                <c:pt idx="6">
                  <c:v>36.964209248762295</c:v>
                </c:pt>
                <c:pt idx="7">
                  <c:v>37.099803773937332</c:v>
                </c:pt>
                <c:pt idx="8">
                  <c:v>37.249017671989279</c:v>
                </c:pt>
                <c:pt idx="9">
                  <c:v>37.419861445132952</c:v>
                </c:pt>
                <c:pt idx="10">
                  <c:v>37.673572147850273</c:v>
                </c:pt>
                <c:pt idx="11">
                  <c:v>37.873267423898092</c:v>
                </c:pt>
                <c:pt idx="12">
                  <c:v>38.094748602434159</c:v>
                </c:pt>
                <c:pt idx="13">
                  <c:v>38.328860079746974</c:v>
                </c:pt>
                <c:pt idx="14">
                  <c:v>38.519813300272077</c:v>
                </c:pt>
                <c:pt idx="15">
                  <c:v>38.717656293011188</c:v>
                </c:pt>
                <c:pt idx="16">
                  <c:v>38.88246724416036</c:v>
                </c:pt>
                <c:pt idx="17">
                  <c:v>39.090834412268762</c:v>
                </c:pt>
                <c:pt idx="18">
                  <c:v>39.277927064583835</c:v>
                </c:pt>
                <c:pt idx="19">
                  <c:v>39.448727858653108</c:v>
                </c:pt>
                <c:pt idx="20">
                  <c:v>39.708992137858402</c:v>
                </c:pt>
                <c:pt idx="21">
                  <c:v>40.034475924731019</c:v>
                </c:pt>
                <c:pt idx="22">
                  <c:v>40.360673859377016</c:v>
                </c:pt>
                <c:pt idx="23">
                  <c:v>40.721328850299379</c:v>
                </c:pt>
                <c:pt idx="24">
                  <c:v>41.034048026297995</c:v>
                </c:pt>
                <c:pt idx="25">
                  <c:v>41.369031589133655</c:v>
                </c:pt>
                <c:pt idx="26">
                  <c:v>41.684277062365396</c:v>
                </c:pt>
                <c:pt idx="27">
                  <c:v>41.987680785717515</c:v>
                </c:pt>
                <c:pt idx="28">
                  <c:v>42.277611374038557</c:v>
                </c:pt>
                <c:pt idx="29">
                  <c:v>42.577370445922433</c:v>
                </c:pt>
                <c:pt idx="30">
                  <c:v>42.823472456786341</c:v>
                </c:pt>
                <c:pt idx="31">
                  <c:v>43.01672779108489</c:v>
                </c:pt>
                <c:pt idx="32">
                  <c:v>43.200278418399492</c:v>
                </c:pt>
                <c:pt idx="33">
                  <c:v>43.38598082234337</c:v>
                </c:pt>
                <c:pt idx="34">
                  <c:v>43.547939975174636</c:v>
                </c:pt>
                <c:pt idx="35">
                  <c:v>43.684647572494804</c:v>
                </c:pt>
                <c:pt idx="36">
                  <c:v>43.81520658536926</c:v>
                </c:pt>
                <c:pt idx="37">
                  <c:v>43.953303832937287</c:v>
                </c:pt>
                <c:pt idx="38">
                  <c:v>44.107044646915526</c:v>
                </c:pt>
                <c:pt idx="39">
                  <c:v>44.228022568502816</c:v>
                </c:pt>
                <c:pt idx="40">
                  <c:v>44.348405637685588</c:v>
                </c:pt>
                <c:pt idx="41">
                  <c:v>44.468442971709372</c:v>
                </c:pt>
                <c:pt idx="42">
                  <c:v>44.583151294246306</c:v>
                </c:pt>
                <c:pt idx="43">
                  <c:v>44.687741006476706</c:v>
                </c:pt>
                <c:pt idx="44">
                  <c:v>44.784010476898679</c:v>
                </c:pt>
                <c:pt idx="45">
                  <c:v>44.889767213773048</c:v>
                </c:pt>
                <c:pt idx="46">
                  <c:v>44.998917016951232</c:v>
                </c:pt>
                <c:pt idx="47">
                  <c:v>45.106058860071379</c:v>
                </c:pt>
                <c:pt idx="48">
                  <c:v>45.221738963250921</c:v>
                </c:pt>
                <c:pt idx="49">
                  <c:v>45.358346099170333</c:v>
                </c:pt>
                <c:pt idx="50">
                  <c:v>45.493397178025411</c:v>
                </c:pt>
                <c:pt idx="51">
                  <c:v>45.599152856235889</c:v>
                </c:pt>
                <c:pt idx="52">
                  <c:v>45.70419497079898</c:v>
                </c:pt>
                <c:pt idx="53">
                  <c:v>45.825175371201475</c:v>
                </c:pt>
                <c:pt idx="54">
                  <c:v>45.933208732030245</c:v>
                </c:pt>
                <c:pt idx="55">
                  <c:v>46.054606442996494</c:v>
                </c:pt>
                <c:pt idx="56">
                  <c:v>46.168314597018586</c:v>
                </c:pt>
                <c:pt idx="57">
                  <c:v>46.319510249324011</c:v>
                </c:pt>
                <c:pt idx="58">
                  <c:v>46.435105705191013</c:v>
                </c:pt>
                <c:pt idx="59">
                  <c:v>46.552429068991422</c:v>
                </c:pt>
                <c:pt idx="60">
                  <c:v>46.694899436703238</c:v>
                </c:pt>
                <c:pt idx="61">
                  <c:v>46.831962728085145</c:v>
                </c:pt>
                <c:pt idx="62">
                  <c:v>46.971997514337431</c:v>
                </c:pt>
                <c:pt idx="63">
                  <c:v>47.134637029215867</c:v>
                </c:pt>
                <c:pt idx="64">
                  <c:v>47.256740322160006</c:v>
                </c:pt>
                <c:pt idx="65">
                  <c:v>47.367666625978607</c:v>
                </c:pt>
                <c:pt idx="66">
                  <c:v>47.492977228902902</c:v>
                </c:pt>
                <c:pt idx="67">
                  <c:v>47.631447692560535</c:v>
                </c:pt>
                <c:pt idx="68">
                  <c:v>47.783197247306411</c:v>
                </c:pt>
                <c:pt idx="69">
                  <c:v>47.889757133897348</c:v>
                </c:pt>
                <c:pt idx="70">
                  <c:v>47.990262529581095</c:v>
                </c:pt>
                <c:pt idx="71">
                  <c:v>48.018992752654214</c:v>
                </c:pt>
                <c:pt idx="72">
                  <c:v>48.057338762674966</c:v>
                </c:pt>
                <c:pt idx="73">
                  <c:v>48.122993491146246</c:v>
                </c:pt>
                <c:pt idx="74">
                  <c:v>48.18193515979145</c:v>
                </c:pt>
                <c:pt idx="75">
                  <c:v>48.231464983074055</c:v>
                </c:pt>
                <c:pt idx="76">
                  <c:v>48.260081009352461</c:v>
                </c:pt>
                <c:pt idx="77">
                  <c:v>48.305255005737735</c:v>
                </c:pt>
                <c:pt idx="78">
                  <c:v>48.334576645656611</c:v>
                </c:pt>
                <c:pt idx="79">
                  <c:v>48.373814282373402</c:v>
                </c:pt>
                <c:pt idx="80">
                  <c:v>48.356985153918139</c:v>
                </c:pt>
                <c:pt idx="81">
                  <c:v>48.289156226197818</c:v>
                </c:pt>
                <c:pt idx="82">
                  <c:v>48.17861755623413</c:v>
                </c:pt>
                <c:pt idx="83">
                  <c:v>48.077027268668523</c:v>
                </c:pt>
                <c:pt idx="84">
                  <c:v>47.982248469206723</c:v>
                </c:pt>
                <c:pt idx="85">
                  <c:v>47.890446204829921</c:v>
                </c:pt>
                <c:pt idx="86">
                  <c:v>47.808535912450637</c:v>
                </c:pt>
                <c:pt idx="87">
                  <c:v>47.738448529334335</c:v>
                </c:pt>
                <c:pt idx="88">
                  <c:v>47.638636609459098</c:v>
                </c:pt>
                <c:pt idx="89">
                  <c:v>47.553234588906328</c:v>
                </c:pt>
                <c:pt idx="90">
                  <c:v>47.462306193723037</c:v>
                </c:pt>
                <c:pt idx="91">
                  <c:v>47.381365234008442</c:v>
                </c:pt>
                <c:pt idx="92">
                  <c:v>47.325606084173785</c:v>
                </c:pt>
                <c:pt idx="93">
                  <c:v>47.271716555009633</c:v>
                </c:pt>
                <c:pt idx="94">
                  <c:v>47.21485688054095</c:v>
                </c:pt>
                <c:pt idx="95">
                  <c:v>47.122063648229414</c:v>
                </c:pt>
                <c:pt idx="96">
                  <c:v>47.035235795593742</c:v>
                </c:pt>
                <c:pt idx="97">
                  <c:v>46.974283824531007</c:v>
                </c:pt>
                <c:pt idx="98">
                  <c:v>46.930671240291822</c:v>
                </c:pt>
                <c:pt idx="99">
                  <c:v>46.859591471623091</c:v>
                </c:pt>
                <c:pt idx="100">
                  <c:v>46.762234301602291</c:v>
                </c:pt>
                <c:pt idx="101">
                  <c:v>46.645230403460189</c:v>
                </c:pt>
                <c:pt idx="102">
                  <c:v>46.520072390791512</c:v>
                </c:pt>
                <c:pt idx="103">
                  <c:v>46.391147216488577</c:v>
                </c:pt>
                <c:pt idx="104">
                  <c:v>46.234353682797838</c:v>
                </c:pt>
                <c:pt idx="105">
                  <c:v>46.081655088878101</c:v>
                </c:pt>
                <c:pt idx="106">
                  <c:v>45.93505432898035</c:v>
                </c:pt>
                <c:pt idx="107">
                  <c:v>45.77323929856319</c:v>
                </c:pt>
                <c:pt idx="108">
                  <c:v>45.590529621482432</c:v>
                </c:pt>
                <c:pt idx="109">
                  <c:v>45.375601664796434</c:v>
                </c:pt>
                <c:pt idx="110">
                  <c:v>45.210764992061698</c:v>
                </c:pt>
                <c:pt idx="111">
                  <c:v>45.053719722996462</c:v>
                </c:pt>
                <c:pt idx="112">
                  <c:v>44.93556642208533</c:v>
                </c:pt>
                <c:pt idx="113">
                  <c:v>44.826901531576098</c:v>
                </c:pt>
                <c:pt idx="114">
                  <c:v>44.736154783311562</c:v>
                </c:pt>
                <c:pt idx="115">
                  <c:v>44.657563834112118</c:v>
                </c:pt>
                <c:pt idx="116">
                  <c:v>44.59012236670246</c:v>
                </c:pt>
                <c:pt idx="117">
                  <c:v>44.559477891971191</c:v>
                </c:pt>
                <c:pt idx="118">
                  <c:v>44.542919376335163</c:v>
                </c:pt>
                <c:pt idx="119">
                  <c:v>44.487754182507558</c:v>
                </c:pt>
                <c:pt idx="120">
                  <c:v>44.428135378654126</c:v>
                </c:pt>
                <c:pt idx="121">
                  <c:v>44.380138852227951</c:v>
                </c:pt>
                <c:pt idx="122">
                  <c:v>44.318680848371791</c:v>
                </c:pt>
                <c:pt idx="123">
                  <c:v>44.263452335067825</c:v>
                </c:pt>
                <c:pt idx="124">
                  <c:v>44.192977433836347</c:v>
                </c:pt>
                <c:pt idx="125">
                  <c:v>44.103013457340978</c:v>
                </c:pt>
                <c:pt idx="126">
                  <c:v>44.022262866873227</c:v>
                </c:pt>
                <c:pt idx="127">
                  <c:v>43.927064086541755</c:v>
                </c:pt>
                <c:pt idx="128">
                  <c:v>43.821899832917573</c:v>
                </c:pt>
                <c:pt idx="129">
                  <c:v>43.738369651803957</c:v>
                </c:pt>
                <c:pt idx="130">
                  <c:v>43.641822397001754</c:v>
                </c:pt>
                <c:pt idx="131">
                  <c:v>43.544221871475195</c:v>
                </c:pt>
                <c:pt idx="132">
                  <c:v>43.43073134264268</c:v>
                </c:pt>
                <c:pt idx="133">
                  <c:v>43.306703470057691</c:v>
                </c:pt>
                <c:pt idx="134">
                  <c:v>43.169444081589248</c:v>
                </c:pt>
                <c:pt idx="135">
                  <c:v>43.013482542459982</c:v>
                </c:pt>
                <c:pt idx="136">
                  <c:v>42.844945824242146</c:v>
                </c:pt>
                <c:pt idx="137">
                  <c:v>42.688363431875764</c:v>
                </c:pt>
                <c:pt idx="138">
                  <c:v>42.541293994321769</c:v>
                </c:pt>
                <c:pt idx="139">
                  <c:v>42.404777909757044</c:v>
                </c:pt>
                <c:pt idx="140">
                  <c:v>42.288507486965337</c:v>
                </c:pt>
                <c:pt idx="141">
                  <c:v>42.166308530272339</c:v>
                </c:pt>
                <c:pt idx="142">
                  <c:v>42.058633425558305</c:v>
                </c:pt>
                <c:pt idx="143">
                  <c:v>41.955290782967616</c:v>
                </c:pt>
                <c:pt idx="144">
                  <c:v>41.83872094663711</c:v>
                </c:pt>
                <c:pt idx="145">
                  <c:v>41.728628447020888</c:v>
                </c:pt>
                <c:pt idx="146">
                  <c:v>41.615977072565677</c:v>
                </c:pt>
                <c:pt idx="147">
                  <c:v>41.476329768654395</c:v>
                </c:pt>
                <c:pt idx="148">
                  <c:v>41.369744411531187</c:v>
                </c:pt>
                <c:pt idx="149">
                  <c:v>41.265531768376995</c:v>
                </c:pt>
                <c:pt idx="150">
                  <c:v>41.173235201533842</c:v>
                </c:pt>
                <c:pt idx="151">
                  <c:v>41.082428434529575</c:v>
                </c:pt>
                <c:pt idx="152">
                  <c:v>40.976830857802462</c:v>
                </c:pt>
                <c:pt idx="153">
                  <c:v>40.841925415245171</c:v>
                </c:pt>
                <c:pt idx="154">
                  <c:v>40.711126972453009</c:v>
                </c:pt>
                <c:pt idx="155">
                  <c:v>40.574748783754742</c:v>
                </c:pt>
                <c:pt idx="156">
                  <c:v>40.408930257550537</c:v>
                </c:pt>
                <c:pt idx="157">
                  <c:v>40.246374924847608</c:v>
                </c:pt>
                <c:pt idx="158">
                  <c:v>40.068240362630227</c:v>
                </c:pt>
                <c:pt idx="159">
                  <c:v>39.858640092724471</c:v>
                </c:pt>
                <c:pt idx="160">
                  <c:v>39.649530807695392</c:v>
                </c:pt>
                <c:pt idx="161">
                  <c:v>39.416929980758979</c:v>
                </c:pt>
                <c:pt idx="162">
                  <c:v>39.174290398520185</c:v>
                </c:pt>
                <c:pt idx="163">
                  <c:v>38.939589350546676</c:v>
                </c:pt>
                <c:pt idx="164">
                  <c:v>38.704307114999537</c:v>
                </c:pt>
                <c:pt idx="165">
                  <c:v>38.468939302269334</c:v>
                </c:pt>
                <c:pt idx="166">
                  <c:v>38.249986702530414</c:v>
                </c:pt>
                <c:pt idx="167">
                  <c:v>38.031829710975778</c:v>
                </c:pt>
                <c:pt idx="168">
                  <c:v>37.815929859834917</c:v>
                </c:pt>
                <c:pt idx="169">
                  <c:v>37.592006398611346</c:v>
                </c:pt>
                <c:pt idx="170">
                  <c:v>37.365976273004222</c:v>
                </c:pt>
                <c:pt idx="171">
                  <c:v>37.141489340821373</c:v>
                </c:pt>
                <c:pt idx="172">
                  <c:v>36.911996924475638</c:v>
                </c:pt>
                <c:pt idx="173">
                  <c:v>36.673499400702113</c:v>
                </c:pt>
                <c:pt idx="174">
                  <c:v>36.435551692977214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0A-4D5E-80C3-5622E4C3A5CD}"/>
            </c:ext>
          </c:extLst>
        </c:ser>
        <c:ser>
          <c:idx val="6"/>
          <c:order val="6"/>
          <c:tx>
            <c:strRef>
              <c:f>data_ghg_incLUC!$J$2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data_ghg_incLUC!$J$3:$J$177</c:f>
              <c:numCache>
                <c:formatCode>0.0</c:formatCode>
                <c:ptCount val="175"/>
                <c:pt idx="0">
                  <c:v>41.506022950518393</c:v>
                </c:pt>
                <c:pt idx="1">
                  <c:v>41.756645128955668</c:v>
                </c:pt>
                <c:pt idx="2">
                  <c:v>43.230946903317246</c:v>
                </c:pt>
                <c:pt idx="3">
                  <c:v>44.198697288482855</c:v>
                </c:pt>
                <c:pt idx="4">
                  <c:v>45.061972334755573</c:v>
                </c:pt>
                <c:pt idx="5">
                  <c:v>45.775607949651722</c:v>
                </c:pt>
                <c:pt idx="6">
                  <c:v>46.378246573129161</c:v>
                </c:pt>
                <c:pt idx="7">
                  <c:v>46.877214338952186</c:v>
                </c:pt>
                <c:pt idx="8">
                  <c:v>47.30340974183521</c:v>
                </c:pt>
                <c:pt idx="9">
                  <c:v>47.701547103335955</c:v>
                </c:pt>
                <c:pt idx="10">
                  <c:v>48.092976188322986</c:v>
                </c:pt>
                <c:pt idx="11">
                  <c:v>48.434068292311608</c:v>
                </c:pt>
                <c:pt idx="12">
                  <c:v>48.563021729486479</c:v>
                </c:pt>
                <c:pt idx="13">
                  <c:v>48.690583379888224</c:v>
                </c:pt>
                <c:pt idx="14">
                  <c:v>48.823288004247942</c:v>
                </c:pt>
                <c:pt idx="15">
                  <c:v>48.955631373621586</c:v>
                </c:pt>
                <c:pt idx="16">
                  <c:v>49.080904868086222</c:v>
                </c:pt>
                <c:pt idx="17">
                  <c:v>49.208614747045829</c:v>
                </c:pt>
                <c:pt idx="18">
                  <c:v>49.325925088726102</c:v>
                </c:pt>
                <c:pt idx="19">
                  <c:v>49.446805983852755</c:v>
                </c:pt>
                <c:pt idx="20">
                  <c:v>49.556279874584988</c:v>
                </c:pt>
                <c:pt idx="21">
                  <c:v>49.632562988634959</c:v>
                </c:pt>
                <c:pt idx="22">
                  <c:v>49.882872407343278</c:v>
                </c:pt>
                <c:pt idx="23">
                  <c:v>50.133122083539106</c:v>
                </c:pt>
                <c:pt idx="24">
                  <c:v>50.339155874184385</c:v>
                </c:pt>
                <c:pt idx="25">
                  <c:v>50.557865617376166</c:v>
                </c:pt>
                <c:pt idx="26">
                  <c:v>50.756986263190029</c:v>
                </c:pt>
                <c:pt idx="27">
                  <c:v>50.95102102987947</c:v>
                </c:pt>
                <c:pt idx="28">
                  <c:v>51.130508707906465</c:v>
                </c:pt>
                <c:pt idx="29">
                  <c:v>51.31838275400122</c:v>
                </c:pt>
                <c:pt idx="30">
                  <c:v>51.533895907220639</c:v>
                </c:pt>
                <c:pt idx="31">
                  <c:v>51.701975118686086</c:v>
                </c:pt>
                <c:pt idx="32">
                  <c:v>51.794606137927559</c:v>
                </c:pt>
                <c:pt idx="33">
                  <c:v>51.883710162801137</c:v>
                </c:pt>
                <c:pt idx="34">
                  <c:v>51.956427760190515</c:v>
                </c:pt>
                <c:pt idx="35">
                  <c:v>52.013859679244675</c:v>
                </c:pt>
                <c:pt idx="36">
                  <c:v>52.063074087770374</c:v>
                </c:pt>
                <c:pt idx="37">
                  <c:v>52.113948697604364</c:v>
                </c:pt>
                <c:pt idx="38">
                  <c:v>52.184564169183389</c:v>
                </c:pt>
                <c:pt idx="39">
                  <c:v>52.239285394950905</c:v>
                </c:pt>
                <c:pt idx="40">
                  <c:v>52.309213570287191</c:v>
                </c:pt>
                <c:pt idx="41">
                  <c:v>52.382204758790785</c:v>
                </c:pt>
                <c:pt idx="42">
                  <c:v>52.461129653682988</c:v>
                </c:pt>
                <c:pt idx="43">
                  <c:v>52.523453561187154</c:v>
                </c:pt>
                <c:pt idx="44">
                  <c:v>52.579307489319895</c:v>
                </c:pt>
                <c:pt idx="45">
                  <c:v>52.642764473369127</c:v>
                </c:pt>
                <c:pt idx="46">
                  <c:v>52.70695116650618</c:v>
                </c:pt>
                <c:pt idx="47">
                  <c:v>52.775297767873873</c:v>
                </c:pt>
                <c:pt idx="48">
                  <c:v>52.847356002286681</c:v>
                </c:pt>
                <c:pt idx="49">
                  <c:v>52.939772539588169</c:v>
                </c:pt>
                <c:pt idx="50">
                  <c:v>53.040570670893736</c:v>
                </c:pt>
                <c:pt idx="51">
                  <c:v>53.09170938850373</c:v>
                </c:pt>
                <c:pt idx="52">
                  <c:v>53.102688963222775</c:v>
                </c:pt>
                <c:pt idx="53">
                  <c:v>53.11649579849734</c:v>
                </c:pt>
                <c:pt idx="54">
                  <c:v>53.099670829609217</c:v>
                </c:pt>
                <c:pt idx="55">
                  <c:v>53.083199152878045</c:v>
                </c:pt>
                <c:pt idx="56">
                  <c:v>53.047039145971986</c:v>
                </c:pt>
                <c:pt idx="57">
                  <c:v>53.046885610837357</c:v>
                </c:pt>
                <c:pt idx="58">
                  <c:v>53.011703687215373</c:v>
                </c:pt>
                <c:pt idx="59">
                  <c:v>52.984029132269661</c:v>
                </c:pt>
                <c:pt idx="60">
                  <c:v>52.972093599721781</c:v>
                </c:pt>
                <c:pt idx="61">
                  <c:v>52.988353488357696</c:v>
                </c:pt>
                <c:pt idx="62">
                  <c:v>53.015823026370882</c:v>
                </c:pt>
                <c:pt idx="63">
                  <c:v>53.080720380732728</c:v>
                </c:pt>
                <c:pt idx="64">
                  <c:v>53.109586719281367</c:v>
                </c:pt>
                <c:pt idx="65">
                  <c:v>53.135180031768606</c:v>
                </c:pt>
                <c:pt idx="66">
                  <c:v>53.178137517809986</c:v>
                </c:pt>
                <c:pt idx="67">
                  <c:v>53.228576597161982</c:v>
                </c:pt>
                <c:pt idx="68">
                  <c:v>53.287062548673973</c:v>
                </c:pt>
                <c:pt idx="69">
                  <c:v>53.303551611926238</c:v>
                </c:pt>
                <c:pt idx="70">
                  <c:v>53.347154744553414</c:v>
                </c:pt>
                <c:pt idx="71">
                  <c:v>53.304385528092588</c:v>
                </c:pt>
                <c:pt idx="72">
                  <c:v>53.262500479536911</c:v>
                </c:pt>
                <c:pt idx="73">
                  <c:v>53.260812978914743</c:v>
                </c:pt>
                <c:pt idx="74">
                  <c:v>53.243856731780767</c:v>
                </c:pt>
                <c:pt idx="75">
                  <c:v>53.223473842117173</c:v>
                </c:pt>
                <c:pt idx="76">
                  <c:v>53.181485783571823</c:v>
                </c:pt>
                <c:pt idx="77">
                  <c:v>53.176155924266077</c:v>
                </c:pt>
                <c:pt idx="78">
                  <c:v>53.156858549426822</c:v>
                </c:pt>
                <c:pt idx="79">
                  <c:v>53.162704146905718</c:v>
                </c:pt>
                <c:pt idx="80">
                  <c:v>53.15001363608237</c:v>
                </c:pt>
                <c:pt idx="81">
                  <c:v>53.085345241881697</c:v>
                </c:pt>
                <c:pt idx="82">
                  <c:v>52.952723335086425</c:v>
                </c:pt>
                <c:pt idx="83">
                  <c:v>52.826104634963976</c:v>
                </c:pt>
                <c:pt idx="84">
                  <c:v>52.708848869210726</c:v>
                </c:pt>
                <c:pt idx="85">
                  <c:v>52.593535761389468</c:v>
                </c:pt>
                <c:pt idx="86">
                  <c:v>52.490037185837771</c:v>
                </c:pt>
                <c:pt idx="87">
                  <c:v>52.394223878080879</c:v>
                </c:pt>
                <c:pt idx="88">
                  <c:v>52.267432876827847</c:v>
                </c:pt>
                <c:pt idx="89">
                  <c:v>52.155982813908409</c:v>
                </c:pt>
                <c:pt idx="90">
                  <c:v>52.034703921215886</c:v>
                </c:pt>
                <c:pt idx="91">
                  <c:v>51.936331189511051</c:v>
                </c:pt>
                <c:pt idx="92">
                  <c:v>51.865872506692682</c:v>
                </c:pt>
                <c:pt idx="93">
                  <c:v>51.783475303759289</c:v>
                </c:pt>
                <c:pt idx="94">
                  <c:v>51.695260142283558</c:v>
                </c:pt>
                <c:pt idx="95">
                  <c:v>51.566511272394919</c:v>
                </c:pt>
                <c:pt idx="96">
                  <c:v>51.416496077705844</c:v>
                </c:pt>
                <c:pt idx="97">
                  <c:v>51.294603575376165</c:v>
                </c:pt>
                <c:pt idx="98">
                  <c:v>51.184975439520564</c:v>
                </c:pt>
                <c:pt idx="99">
                  <c:v>51.039789969166534</c:v>
                </c:pt>
                <c:pt idx="100">
                  <c:v>50.928675146743196</c:v>
                </c:pt>
                <c:pt idx="101">
                  <c:v>50.797657596335014</c:v>
                </c:pt>
                <c:pt idx="102">
                  <c:v>50.634935359211774</c:v>
                </c:pt>
                <c:pt idx="103">
                  <c:v>50.469055001063737</c:v>
                </c:pt>
                <c:pt idx="104">
                  <c:v>50.283829369490043</c:v>
                </c:pt>
                <c:pt idx="105">
                  <c:v>50.098311529400739</c:v>
                </c:pt>
                <c:pt idx="106">
                  <c:v>49.914767600615399</c:v>
                </c:pt>
                <c:pt idx="107">
                  <c:v>49.715934371865778</c:v>
                </c:pt>
                <c:pt idx="108">
                  <c:v>49.495448536016482</c:v>
                </c:pt>
                <c:pt idx="109">
                  <c:v>49.274189512209468</c:v>
                </c:pt>
                <c:pt idx="110">
                  <c:v>49.065024304419929</c:v>
                </c:pt>
                <c:pt idx="111">
                  <c:v>48.857808358500726</c:v>
                </c:pt>
                <c:pt idx="112">
                  <c:v>48.673346021485273</c:v>
                </c:pt>
                <c:pt idx="113">
                  <c:v>48.499320518232693</c:v>
                </c:pt>
                <c:pt idx="114">
                  <c:v>48.33416875205598</c:v>
                </c:pt>
                <c:pt idx="115">
                  <c:v>48.170985332087042</c:v>
                </c:pt>
                <c:pt idx="116">
                  <c:v>48.015179281401629</c:v>
                </c:pt>
                <c:pt idx="117">
                  <c:v>47.878167979176872</c:v>
                </c:pt>
                <c:pt idx="118">
                  <c:v>47.763344549346598</c:v>
                </c:pt>
                <c:pt idx="119">
                  <c:v>47.660905769098058</c:v>
                </c:pt>
                <c:pt idx="120">
                  <c:v>47.562812433559898</c:v>
                </c:pt>
                <c:pt idx="121">
                  <c:v>47.460753730964242</c:v>
                </c:pt>
                <c:pt idx="122">
                  <c:v>47.369278200901739</c:v>
                </c:pt>
                <c:pt idx="123">
                  <c:v>47.279099615450392</c:v>
                </c:pt>
                <c:pt idx="124">
                  <c:v>47.172945436257244</c:v>
                </c:pt>
                <c:pt idx="125">
                  <c:v>47.038266015740362</c:v>
                </c:pt>
                <c:pt idx="126">
                  <c:v>46.90999339751901</c:v>
                </c:pt>
                <c:pt idx="127">
                  <c:v>46.773699564610347</c:v>
                </c:pt>
                <c:pt idx="128">
                  <c:v>46.636357470729514</c:v>
                </c:pt>
                <c:pt idx="129">
                  <c:v>46.506250226765758</c:v>
                </c:pt>
                <c:pt idx="130">
                  <c:v>46.366415677441275</c:v>
                </c:pt>
                <c:pt idx="131">
                  <c:v>46.222235403642919</c:v>
                </c:pt>
                <c:pt idx="132">
                  <c:v>46.036875204376059</c:v>
                </c:pt>
                <c:pt idx="133">
                  <c:v>45.842313444452657</c:v>
                </c:pt>
                <c:pt idx="134">
                  <c:v>45.646350043061609</c:v>
                </c:pt>
                <c:pt idx="135">
                  <c:v>45.439942056384595</c:v>
                </c:pt>
                <c:pt idx="136">
                  <c:v>45.228134037684619</c:v>
                </c:pt>
                <c:pt idx="137">
                  <c:v>45.019781079442353</c:v>
                </c:pt>
                <c:pt idx="138">
                  <c:v>44.816418609321161</c:v>
                </c:pt>
                <c:pt idx="139">
                  <c:v>44.620559574824689</c:v>
                </c:pt>
                <c:pt idx="140">
                  <c:v>44.502716195950207</c:v>
                </c:pt>
                <c:pt idx="141">
                  <c:v>44.380423096380781</c:v>
                </c:pt>
                <c:pt idx="142">
                  <c:v>44.275596362008223</c:v>
                </c:pt>
                <c:pt idx="143">
                  <c:v>44.174861802673213</c:v>
                </c:pt>
                <c:pt idx="144">
                  <c:v>44.13788129828319</c:v>
                </c:pt>
                <c:pt idx="145">
                  <c:v>44.082939223915183</c:v>
                </c:pt>
                <c:pt idx="146">
                  <c:v>44.035645797100287</c:v>
                </c:pt>
                <c:pt idx="147">
                  <c:v>44.001019620957244</c:v>
                </c:pt>
                <c:pt idx="148">
                  <c:v>43.956297898097283</c:v>
                </c:pt>
                <c:pt idx="149">
                  <c:v>43.916186660338951</c:v>
                </c:pt>
                <c:pt idx="150">
                  <c:v>43.886960919139085</c:v>
                </c:pt>
                <c:pt idx="151">
                  <c:v>43.847224153347469</c:v>
                </c:pt>
                <c:pt idx="152">
                  <c:v>43.791366560553058</c:v>
                </c:pt>
                <c:pt idx="153">
                  <c:v>43.690209578396235</c:v>
                </c:pt>
                <c:pt idx="154">
                  <c:v>43.56934312663504</c:v>
                </c:pt>
                <c:pt idx="155">
                  <c:v>43.446618527863322</c:v>
                </c:pt>
                <c:pt idx="156">
                  <c:v>43.312257897038414</c:v>
                </c:pt>
                <c:pt idx="157">
                  <c:v>43.182887357397767</c:v>
                </c:pt>
                <c:pt idx="158">
                  <c:v>43.032102178450046</c:v>
                </c:pt>
                <c:pt idx="159">
                  <c:v>42.872033013567815</c:v>
                </c:pt>
                <c:pt idx="160">
                  <c:v>42.707581327305327</c:v>
                </c:pt>
                <c:pt idx="161">
                  <c:v>42.497417082685935</c:v>
                </c:pt>
                <c:pt idx="162">
                  <c:v>42.269196089136244</c:v>
                </c:pt>
                <c:pt idx="163">
                  <c:v>42.056395341155586</c:v>
                </c:pt>
                <c:pt idx="164">
                  <c:v>41.834567776394493</c:v>
                </c:pt>
                <c:pt idx="165">
                  <c:v>41.598447752933154</c:v>
                </c:pt>
                <c:pt idx="166">
                  <c:v>41.364344551148172</c:v>
                </c:pt>
                <c:pt idx="167">
                  <c:v>41.130795594297176</c:v>
                </c:pt>
                <c:pt idx="168">
                  <c:v>40.90101201947892</c:v>
                </c:pt>
                <c:pt idx="169">
                  <c:v>40.658535017995611</c:v>
                </c:pt>
                <c:pt idx="170">
                  <c:v>40.419392284580546</c:v>
                </c:pt>
                <c:pt idx="171">
                  <c:v>40.163016247609598</c:v>
                </c:pt>
                <c:pt idx="172">
                  <c:v>39.898435766875416</c:v>
                </c:pt>
                <c:pt idx="173">
                  <c:v>39.625471678559343</c:v>
                </c:pt>
                <c:pt idx="174">
                  <c:v>39.454284995586661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0A-4D5E-80C3-5622E4C3A5CD}"/>
            </c:ext>
          </c:extLst>
        </c:ser>
        <c:ser>
          <c:idx val="7"/>
          <c:order val="7"/>
          <c:tx>
            <c:strRef>
              <c:f>data_ghg_incLUC!$K$2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data_ghg_incLUC!$K$3:$K$177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D0A-4D5E-80C3-5622E4C3A5CD}"/>
            </c:ext>
          </c:extLst>
        </c:ser>
        <c:ser>
          <c:idx val="8"/>
          <c:order val="8"/>
          <c:tx>
            <c:strRef>
              <c:f>data_ghg_incLUC!$L$2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data_ghg_incLUC!$L$3:$L$177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0A-4D5E-80C3-5622E4C3A5CD}"/>
            </c:ext>
          </c:extLst>
        </c:ser>
        <c:ser>
          <c:idx val="9"/>
          <c:order val="9"/>
          <c:tx>
            <c:strRef>
              <c:f>data_ghg_incLUC!$M$2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data_ghg_incLUC!$M$3:$M$177</c:f>
              <c:numCache>
                <c:formatCode>0.0</c:formatCode>
                <c:ptCount val="175"/>
                <c:pt idx="0">
                  <c:v>54.173690189226917</c:v>
                </c:pt>
                <c:pt idx="1">
                  <c:v>54.032792950974887</c:v>
                </c:pt>
                <c:pt idx="2">
                  <c:v>54.054270046455557</c:v>
                </c:pt>
                <c:pt idx="3">
                  <c:v>54.109308793377849</c:v>
                </c:pt>
                <c:pt idx="4">
                  <c:v>54.361148117073235</c:v>
                </c:pt>
                <c:pt idx="5">
                  <c:v>54.4919993825104</c:v>
                </c:pt>
                <c:pt idx="6">
                  <c:v>54.631743448701755</c:v>
                </c:pt>
                <c:pt idx="7">
                  <c:v>54.753305680291575</c:v>
                </c:pt>
                <c:pt idx="8">
                  <c:v>54.887817810677944</c:v>
                </c:pt>
                <c:pt idx="9">
                  <c:v>55.037884813678041</c:v>
                </c:pt>
                <c:pt idx="10">
                  <c:v>55.290470225180769</c:v>
                </c:pt>
                <c:pt idx="11">
                  <c:v>55.529580270578968</c:v>
                </c:pt>
                <c:pt idx="12">
                  <c:v>55.792763358259798</c:v>
                </c:pt>
                <c:pt idx="13">
                  <c:v>56.045363741170007</c:v>
                </c:pt>
                <c:pt idx="14">
                  <c:v>56.295154231516641</c:v>
                </c:pt>
                <c:pt idx="15">
                  <c:v>56.533422537780908</c:v>
                </c:pt>
                <c:pt idx="16">
                  <c:v>56.777198149484065</c:v>
                </c:pt>
                <c:pt idx="17">
                  <c:v>57.003459933957579</c:v>
                </c:pt>
                <c:pt idx="18">
                  <c:v>57.226503276693933</c:v>
                </c:pt>
                <c:pt idx="19">
                  <c:v>57.433904647845999</c:v>
                </c:pt>
                <c:pt idx="20">
                  <c:v>57.730496981435728</c:v>
                </c:pt>
                <c:pt idx="21">
                  <c:v>58.049098827821474</c:v>
                </c:pt>
                <c:pt idx="22">
                  <c:v>58.374916867064208</c:v>
                </c:pt>
                <c:pt idx="23">
                  <c:v>58.709304254282877</c:v>
                </c:pt>
                <c:pt idx="24">
                  <c:v>59.0239312796813</c:v>
                </c:pt>
                <c:pt idx="25">
                  <c:v>59.339808748608412</c:v>
                </c:pt>
                <c:pt idx="26">
                  <c:v>59.645982625198336</c:v>
                </c:pt>
                <c:pt idx="27">
                  <c:v>59.935822451777909</c:v>
                </c:pt>
                <c:pt idx="28">
                  <c:v>60.220262072004893</c:v>
                </c:pt>
                <c:pt idx="29">
                  <c:v>60.511713613163252</c:v>
                </c:pt>
                <c:pt idx="30">
                  <c:v>60.750214079800124</c:v>
                </c:pt>
                <c:pt idx="31">
                  <c:v>60.938167796209839</c:v>
                </c:pt>
                <c:pt idx="32">
                  <c:v>61.113346048269626</c:v>
                </c:pt>
                <c:pt idx="33">
                  <c:v>61.288246931244004</c:v>
                </c:pt>
                <c:pt idx="34">
                  <c:v>61.452441527586366</c:v>
                </c:pt>
                <c:pt idx="35">
                  <c:v>61.59982181204218</c:v>
                </c:pt>
                <c:pt idx="36">
                  <c:v>61.732255096675893</c:v>
                </c:pt>
                <c:pt idx="37">
                  <c:v>61.856728642226365</c:v>
                </c:pt>
                <c:pt idx="38">
                  <c:v>61.996961762452585</c:v>
                </c:pt>
                <c:pt idx="39">
                  <c:v>62.111859608407094</c:v>
                </c:pt>
                <c:pt idx="40">
                  <c:v>62.245928350185999</c:v>
                </c:pt>
                <c:pt idx="41">
                  <c:v>62.378567430782681</c:v>
                </c:pt>
                <c:pt idx="42">
                  <c:v>62.512135991749894</c:v>
                </c:pt>
                <c:pt idx="43">
                  <c:v>62.635638896758039</c:v>
                </c:pt>
                <c:pt idx="44">
                  <c:v>62.76054371874649</c:v>
                </c:pt>
                <c:pt idx="45">
                  <c:v>62.884089254443296</c:v>
                </c:pt>
                <c:pt idx="46">
                  <c:v>63.007929224581993</c:v>
                </c:pt>
                <c:pt idx="47">
                  <c:v>63.130810657874783</c:v>
                </c:pt>
                <c:pt idx="48">
                  <c:v>63.265432463831161</c:v>
                </c:pt>
                <c:pt idx="49">
                  <c:v>63.410922221634635</c:v>
                </c:pt>
                <c:pt idx="50">
                  <c:v>63.561700508299715</c:v>
                </c:pt>
                <c:pt idx="51">
                  <c:v>63.6947512763711</c:v>
                </c:pt>
                <c:pt idx="52">
                  <c:v>63.823822565864873</c:v>
                </c:pt>
                <c:pt idx="53">
                  <c:v>63.966915828739488</c:v>
                </c:pt>
                <c:pt idx="54">
                  <c:v>64.10027396668913</c:v>
                </c:pt>
                <c:pt idx="55">
                  <c:v>64.248424931729019</c:v>
                </c:pt>
                <c:pt idx="56">
                  <c:v>64.388773622330604</c:v>
                </c:pt>
                <c:pt idx="57">
                  <c:v>64.56136269606796</c:v>
                </c:pt>
                <c:pt idx="58">
                  <c:v>64.710780055821786</c:v>
                </c:pt>
                <c:pt idx="59">
                  <c:v>64.861991869536695</c:v>
                </c:pt>
                <c:pt idx="60">
                  <c:v>64.963146358937024</c:v>
                </c:pt>
                <c:pt idx="61">
                  <c:v>65.04033045042847</c:v>
                </c:pt>
                <c:pt idx="62">
                  <c:v>65.118314439392506</c:v>
                </c:pt>
                <c:pt idx="63">
                  <c:v>65.196024953642464</c:v>
                </c:pt>
                <c:pt idx="64">
                  <c:v>65.229018726969755</c:v>
                </c:pt>
                <c:pt idx="65">
                  <c:v>65.244217562057116</c:v>
                </c:pt>
                <c:pt idx="66">
                  <c:v>65.273526352120371</c:v>
                </c:pt>
                <c:pt idx="67">
                  <c:v>65.297931307215421</c:v>
                </c:pt>
                <c:pt idx="68">
                  <c:v>65.3085422715005</c:v>
                </c:pt>
                <c:pt idx="69">
                  <c:v>65.269803998159631</c:v>
                </c:pt>
                <c:pt idx="70">
                  <c:v>65.241109048393881</c:v>
                </c:pt>
                <c:pt idx="71">
                  <c:v>65.166235936336022</c:v>
                </c:pt>
                <c:pt idx="72">
                  <c:v>65.099960480387793</c:v>
                </c:pt>
                <c:pt idx="73">
                  <c:v>65.054216419527066</c:v>
                </c:pt>
                <c:pt idx="74">
                  <c:v>64.998198949933439</c:v>
                </c:pt>
                <c:pt idx="75">
                  <c:v>64.946668157593606</c:v>
                </c:pt>
                <c:pt idx="76">
                  <c:v>64.888736063368</c:v>
                </c:pt>
                <c:pt idx="77">
                  <c:v>64.848582875107027</c:v>
                </c:pt>
                <c:pt idx="78">
                  <c:v>64.799242223203166</c:v>
                </c:pt>
                <c:pt idx="79">
                  <c:v>64.768630778847651</c:v>
                </c:pt>
                <c:pt idx="80">
                  <c:v>64.721984514073327</c:v>
                </c:pt>
                <c:pt idx="81">
                  <c:v>64.650909222853343</c:v>
                </c:pt>
                <c:pt idx="82">
                  <c:v>64.55328848229027</c:v>
                </c:pt>
                <c:pt idx="83">
                  <c:v>64.462950985176519</c:v>
                </c:pt>
                <c:pt idx="84">
                  <c:v>64.381078113862614</c:v>
                </c:pt>
                <c:pt idx="85">
                  <c:v>64.310486817245476</c:v>
                </c:pt>
                <c:pt idx="86">
                  <c:v>64.253656089055653</c:v>
                </c:pt>
                <c:pt idx="87">
                  <c:v>64.204074040134913</c:v>
                </c:pt>
                <c:pt idx="88">
                  <c:v>64.13803856573918</c:v>
                </c:pt>
                <c:pt idx="89">
                  <c:v>64.079723233480607</c:v>
                </c:pt>
                <c:pt idx="90">
                  <c:v>63.989666962915678</c:v>
                </c:pt>
                <c:pt idx="91">
                  <c:v>63.878029355829092</c:v>
                </c:pt>
                <c:pt idx="92">
                  <c:v>63.75504971991186</c:v>
                </c:pt>
                <c:pt idx="93">
                  <c:v>63.627205094611547</c:v>
                </c:pt>
                <c:pt idx="94">
                  <c:v>63.492337250507468</c:v>
                </c:pt>
                <c:pt idx="95">
                  <c:v>63.314230726865318</c:v>
                </c:pt>
                <c:pt idx="96">
                  <c:v>63.141023990143772</c:v>
                </c:pt>
                <c:pt idx="97">
                  <c:v>62.985258499651451</c:v>
                </c:pt>
                <c:pt idx="98">
                  <c:v>62.841891472077272</c:v>
                </c:pt>
                <c:pt idx="99">
                  <c:v>62.681147708704302</c:v>
                </c:pt>
                <c:pt idx="100">
                  <c:v>62.500866462889995</c:v>
                </c:pt>
                <c:pt idx="101">
                  <c:v>62.308595886938512</c:v>
                </c:pt>
                <c:pt idx="102">
                  <c:v>62.122369712097338</c:v>
                </c:pt>
                <c:pt idx="103">
                  <c:v>61.942732740935327</c:v>
                </c:pt>
                <c:pt idx="104">
                  <c:v>61.745075960451523</c:v>
                </c:pt>
                <c:pt idx="105">
                  <c:v>61.558168969541427</c:v>
                </c:pt>
                <c:pt idx="106">
                  <c:v>61.385324929831327</c:v>
                </c:pt>
                <c:pt idx="107">
                  <c:v>61.206920390907804</c:v>
                </c:pt>
                <c:pt idx="108">
                  <c:v>61.01681130847831</c:v>
                </c:pt>
                <c:pt idx="109">
                  <c:v>60.81628161021542</c:v>
                </c:pt>
                <c:pt idx="110">
                  <c:v>60.656542083353862</c:v>
                </c:pt>
                <c:pt idx="111">
                  <c:v>60.510118831543771</c:v>
                </c:pt>
                <c:pt idx="112">
                  <c:v>60.388639114151879</c:v>
                </c:pt>
                <c:pt idx="113">
                  <c:v>60.282540079474757</c:v>
                </c:pt>
                <c:pt idx="114">
                  <c:v>60.195116317512941</c:v>
                </c:pt>
                <c:pt idx="115">
                  <c:v>60.12093852941257</c:v>
                </c:pt>
                <c:pt idx="116">
                  <c:v>60.058803015060988</c:v>
                </c:pt>
                <c:pt idx="117">
                  <c:v>60.034322229115276</c:v>
                </c:pt>
                <c:pt idx="118">
                  <c:v>60.026882766350994</c:v>
                </c:pt>
                <c:pt idx="119">
                  <c:v>59.96697087774502</c:v>
                </c:pt>
                <c:pt idx="120">
                  <c:v>59.909901136065947</c:v>
                </c:pt>
                <c:pt idx="121">
                  <c:v>59.86512092649734</c:v>
                </c:pt>
                <c:pt idx="122">
                  <c:v>59.804161709084227</c:v>
                </c:pt>
                <c:pt idx="123">
                  <c:v>59.753790313070176</c:v>
                </c:pt>
                <c:pt idx="124">
                  <c:v>59.696906934204328</c:v>
                </c:pt>
                <c:pt idx="125">
                  <c:v>59.631207143118289</c:v>
                </c:pt>
                <c:pt idx="126">
                  <c:v>59.577869650996618</c:v>
                </c:pt>
                <c:pt idx="127">
                  <c:v>59.505741988014215</c:v>
                </c:pt>
                <c:pt idx="128">
                  <c:v>59.42699784653076</c:v>
                </c:pt>
                <c:pt idx="129">
                  <c:v>59.368064293359403</c:v>
                </c:pt>
                <c:pt idx="130">
                  <c:v>59.310539790219721</c:v>
                </c:pt>
                <c:pt idx="131">
                  <c:v>59.243170333567264</c:v>
                </c:pt>
                <c:pt idx="132">
                  <c:v>59.168305563677791</c:v>
                </c:pt>
                <c:pt idx="133">
                  <c:v>59.080223755925822</c:v>
                </c:pt>
                <c:pt idx="134">
                  <c:v>58.970962674150684</c:v>
                </c:pt>
                <c:pt idx="135">
                  <c:v>58.848207864029611</c:v>
                </c:pt>
                <c:pt idx="136">
                  <c:v>58.708668507886983</c:v>
                </c:pt>
                <c:pt idx="137">
                  <c:v>58.578125226753187</c:v>
                </c:pt>
                <c:pt idx="138">
                  <c:v>58.452683596011411</c:v>
                </c:pt>
                <c:pt idx="139">
                  <c:v>58.326841367839819</c:v>
                </c:pt>
                <c:pt idx="140">
                  <c:v>58.218600809840957</c:v>
                </c:pt>
                <c:pt idx="141">
                  <c:v>58.084426991346675</c:v>
                </c:pt>
                <c:pt idx="142">
                  <c:v>57.934320986228641</c:v>
                </c:pt>
                <c:pt idx="143">
                  <c:v>57.775772014897484</c:v>
                </c:pt>
                <c:pt idx="144">
                  <c:v>57.575587111184909</c:v>
                </c:pt>
                <c:pt idx="145">
                  <c:v>57.375984509719068</c:v>
                </c:pt>
                <c:pt idx="146">
                  <c:v>57.183790612999353</c:v>
                </c:pt>
                <c:pt idx="147">
                  <c:v>56.933397970991983</c:v>
                </c:pt>
                <c:pt idx="148">
                  <c:v>56.725766712639924</c:v>
                </c:pt>
                <c:pt idx="149">
                  <c:v>56.520212868867603</c:v>
                </c:pt>
                <c:pt idx="150">
                  <c:v>56.322845144305319</c:v>
                </c:pt>
                <c:pt idx="151">
                  <c:v>56.135077194568758</c:v>
                </c:pt>
                <c:pt idx="152">
                  <c:v>55.925664536209851</c:v>
                </c:pt>
                <c:pt idx="153">
                  <c:v>55.680980315624119</c:v>
                </c:pt>
                <c:pt idx="154">
                  <c:v>55.442341146397546</c:v>
                </c:pt>
                <c:pt idx="155">
                  <c:v>55.201429274978928</c:v>
                </c:pt>
                <c:pt idx="156">
                  <c:v>54.932564763898696</c:v>
                </c:pt>
                <c:pt idx="157">
                  <c:v>54.672979428928237</c:v>
                </c:pt>
                <c:pt idx="158">
                  <c:v>54.394119176271147</c:v>
                </c:pt>
                <c:pt idx="159">
                  <c:v>54.086282182258017</c:v>
                </c:pt>
                <c:pt idx="160">
                  <c:v>53.782101720264272</c:v>
                </c:pt>
                <c:pt idx="161">
                  <c:v>53.446834494527842</c:v>
                </c:pt>
                <c:pt idx="162">
                  <c:v>53.110097744507293</c:v>
                </c:pt>
                <c:pt idx="163">
                  <c:v>52.778369108107711</c:v>
                </c:pt>
                <c:pt idx="164">
                  <c:v>52.442587002263686</c:v>
                </c:pt>
                <c:pt idx="165">
                  <c:v>52.118430225427062</c:v>
                </c:pt>
                <c:pt idx="166">
                  <c:v>51.819597351249683</c:v>
                </c:pt>
                <c:pt idx="167">
                  <c:v>51.522796139701867</c:v>
                </c:pt>
                <c:pt idx="168">
                  <c:v>51.228011470662253</c:v>
                </c:pt>
                <c:pt idx="169">
                  <c:v>50.923522236959904</c:v>
                </c:pt>
                <c:pt idx="170">
                  <c:v>50.621740317746145</c:v>
                </c:pt>
                <c:pt idx="171">
                  <c:v>50.322092085791013</c:v>
                </c:pt>
                <c:pt idx="172">
                  <c:v>50.015586507526933</c:v>
                </c:pt>
                <c:pt idx="173">
                  <c:v>49.701283568527657</c:v>
                </c:pt>
                <c:pt idx="174">
                  <c:v>49.389955639381689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D0A-4D5E-80C3-5622E4C3A5CD}"/>
            </c:ext>
          </c:extLst>
        </c:ser>
        <c:ser>
          <c:idx val="10"/>
          <c:order val="10"/>
          <c:tx>
            <c:strRef>
              <c:f>data_ghg_incLUC!$N$2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data_ghg_incLUC!$N$3:$N$177</c:f>
              <c:numCache>
                <c:formatCode>0.0</c:formatCode>
                <c:ptCount val="175"/>
                <c:pt idx="0">
                  <c:v>55.77461415368591</c:v>
                </c:pt>
                <c:pt idx="1">
                  <c:v>56.099087347721742</c:v>
                </c:pt>
                <c:pt idx="2">
                  <c:v>57.353464140298016</c:v>
                </c:pt>
                <c:pt idx="3">
                  <c:v>58.225704461509117</c:v>
                </c:pt>
                <c:pt idx="4">
                  <c:v>59.020360708998133</c:v>
                </c:pt>
                <c:pt idx="5">
                  <c:v>59.706023101797456</c:v>
                </c:pt>
                <c:pt idx="6">
                  <c:v>60.279378090772241</c:v>
                </c:pt>
                <c:pt idx="7">
                  <c:v>60.755482311510036</c:v>
                </c:pt>
                <c:pt idx="8">
                  <c:v>61.164526307747202</c:v>
                </c:pt>
                <c:pt idx="9">
                  <c:v>61.540280126569627</c:v>
                </c:pt>
                <c:pt idx="10">
                  <c:v>61.904433644688005</c:v>
                </c:pt>
                <c:pt idx="11">
                  <c:v>62.239511908925785</c:v>
                </c:pt>
                <c:pt idx="12">
                  <c:v>62.37343526184177</c:v>
                </c:pt>
                <c:pt idx="13">
                  <c:v>62.507935886487488</c:v>
                </c:pt>
                <c:pt idx="14">
                  <c:v>62.645585703911891</c:v>
                </c:pt>
                <c:pt idx="15">
                  <c:v>62.782195367053461</c:v>
                </c:pt>
                <c:pt idx="16">
                  <c:v>62.91372004216106</c:v>
                </c:pt>
                <c:pt idx="17">
                  <c:v>63.047077211882765</c:v>
                </c:pt>
                <c:pt idx="18">
                  <c:v>63.172559037872411</c:v>
                </c:pt>
                <c:pt idx="19">
                  <c:v>63.300721305397857</c:v>
                </c:pt>
                <c:pt idx="20">
                  <c:v>63.419621264524686</c:v>
                </c:pt>
                <c:pt idx="21">
                  <c:v>63.484080838391485</c:v>
                </c:pt>
                <c:pt idx="22">
                  <c:v>63.671655093279625</c:v>
                </c:pt>
                <c:pt idx="23">
                  <c:v>63.85722675563057</c:v>
                </c:pt>
                <c:pt idx="24">
                  <c:v>64.012929168108499</c:v>
                </c:pt>
                <c:pt idx="25">
                  <c:v>64.177440712214306</c:v>
                </c:pt>
                <c:pt idx="26">
                  <c:v>64.334793614391259</c:v>
                </c:pt>
                <c:pt idx="27">
                  <c:v>64.486934997276592</c:v>
                </c:pt>
                <c:pt idx="28">
                  <c:v>64.62979478077952</c:v>
                </c:pt>
                <c:pt idx="29">
                  <c:v>64.779365416258713</c:v>
                </c:pt>
                <c:pt idx="30">
                  <c:v>64.949353570368402</c:v>
                </c:pt>
                <c:pt idx="31">
                  <c:v>65.062505218631671</c:v>
                </c:pt>
                <c:pt idx="32">
                  <c:v>65.116951314374376</c:v>
                </c:pt>
                <c:pt idx="33">
                  <c:v>65.168697174896835</c:v>
                </c:pt>
                <c:pt idx="34">
                  <c:v>65.207053934262021</c:v>
                </c:pt>
                <c:pt idx="35">
                  <c:v>65.234373615639257</c:v>
                </c:pt>
                <c:pt idx="36">
                  <c:v>65.256257492172182</c:v>
                </c:pt>
                <c:pt idx="37">
                  <c:v>65.280634725509472</c:v>
                </c:pt>
                <c:pt idx="38">
                  <c:v>65.322818852986117</c:v>
                </c:pt>
                <c:pt idx="39">
                  <c:v>65.356350368130649</c:v>
                </c:pt>
                <c:pt idx="40">
                  <c:v>65.40389698594818</c:v>
                </c:pt>
                <c:pt idx="41">
                  <c:v>65.458134105823788</c:v>
                </c:pt>
                <c:pt idx="42">
                  <c:v>65.516648652791801</c:v>
                </c:pt>
                <c:pt idx="43">
                  <c:v>65.566496482030047</c:v>
                </c:pt>
                <c:pt idx="44">
                  <c:v>65.605374304966759</c:v>
                </c:pt>
                <c:pt idx="45">
                  <c:v>65.652826153757275</c:v>
                </c:pt>
                <c:pt idx="46">
                  <c:v>65.702070450558708</c:v>
                </c:pt>
                <c:pt idx="47">
                  <c:v>65.757372014924314</c:v>
                </c:pt>
                <c:pt idx="48">
                  <c:v>65.818604798909973</c:v>
                </c:pt>
                <c:pt idx="49">
                  <c:v>65.897307204116288</c:v>
                </c:pt>
                <c:pt idx="50">
                  <c:v>65.984769770050278</c:v>
                </c:pt>
                <c:pt idx="51">
                  <c:v>66.015625443545815</c:v>
                </c:pt>
                <c:pt idx="52">
                  <c:v>66.004277049396961</c:v>
                </c:pt>
                <c:pt idx="53">
                  <c:v>65.985186415233571</c:v>
                </c:pt>
                <c:pt idx="54">
                  <c:v>65.937651183199137</c:v>
                </c:pt>
                <c:pt idx="55">
                  <c:v>65.881820650368681</c:v>
                </c:pt>
                <c:pt idx="56">
                  <c:v>65.806194481633668</c:v>
                </c:pt>
                <c:pt idx="57">
                  <c:v>65.761432777373528</c:v>
                </c:pt>
                <c:pt idx="58">
                  <c:v>65.691582461817603</c:v>
                </c:pt>
                <c:pt idx="59">
                  <c:v>65.629916563301705</c:v>
                </c:pt>
                <c:pt idx="60">
                  <c:v>65.579163016453919</c:v>
                </c:pt>
                <c:pt idx="61">
                  <c:v>65.566893196516986</c:v>
                </c:pt>
                <c:pt idx="62">
                  <c:v>65.574257689714415</c:v>
                </c:pt>
                <c:pt idx="63">
                  <c:v>65.623637887238431</c:v>
                </c:pt>
                <c:pt idx="64">
                  <c:v>65.641063992597623</c:v>
                </c:pt>
                <c:pt idx="65">
                  <c:v>65.655931710073901</c:v>
                </c:pt>
                <c:pt idx="66">
                  <c:v>65.686091074518018</c:v>
                </c:pt>
                <c:pt idx="67">
                  <c:v>65.719130316034878</c:v>
                </c:pt>
                <c:pt idx="68">
                  <c:v>65.739017087106291</c:v>
                </c:pt>
                <c:pt idx="69">
                  <c:v>65.705448934444632</c:v>
                </c:pt>
                <c:pt idx="70">
                  <c:v>65.703356600117303</c:v>
                </c:pt>
                <c:pt idx="71">
                  <c:v>65.627622297473494</c:v>
                </c:pt>
                <c:pt idx="72">
                  <c:v>65.551437798472364</c:v>
                </c:pt>
                <c:pt idx="73">
                  <c:v>65.501919027119953</c:v>
                </c:pt>
                <c:pt idx="74">
                  <c:v>65.442993982623619</c:v>
                </c:pt>
                <c:pt idx="75">
                  <c:v>65.381562664245479</c:v>
                </c:pt>
                <c:pt idx="76">
                  <c:v>65.313567365752476</c:v>
                </c:pt>
                <c:pt idx="77">
                  <c:v>65.280783441908937</c:v>
                </c:pt>
                <c:pt idx="78">
                  <c:v>65.240021636589105</c:v>
                </c:pt>
                <c:pt idx="79">
                  <c:v>65.221785960575119</c:v>
                </c:pt>
                <c:pt idx="80">
                  <c:v>65.19318074773058</c:v>
                </c:pt>
                <c:pt idx="81">
                  <c:v>65.129410292304627</c:v>
                </c:pt>
                <c:pt idx="82">
                  <c:v>65.014576951652728</c:v>
                </c:pt>
                <c:pt idx="83">
                  <c:v>64.905494521084123</c:v>
                </c:pt>
                <c:pt idx="84">
                  <c:v>64.808787358323187</c:v>
                </c:pt>
                <c:pt idx="85">
                  <c:v>64.715024182884335</c:v>
                </c:pt>
                <c:pt idx="86">
                  <c:v>64.631688600681954</c:v>
                </c:pt>
                <c:pt idx="87">
                  <c:v>64.552005659602969</c:v>
                </c:pt>
                <c:pt idx="88">
                  <c:v>64.450401926937658</c:v>
                </c:pt>
                <c:pt idx="89">
                  <c:v>64.356307452457344</c:v>
                </c:pt>
                <c:pt idx="90">
                  <c:v>64.276873577836398</c:v>
                </c:pt>
                <c:pt idx="91">
                  <c:v>64.198084134764272</c:v>
                </c:pt>
                <c:pt idx="92">
                  <c:v>64.123775419057395</c:v>
                </c:pt>
                <c:pt idx="93">
                  <c:v>64.045624967231092</c:v>
                </c:pt>
                <c:pt idx="94">
                  <c:v>63.951629953646197</c:v>
                </c:pt>
                <c:pt idx="95">
                  <c:v>63.802682453448746</c:v>
                </c:pt>
                <c:pt idx="96">
                  <c:v>63.632715048627674</c:v>
                </c:pt>
                <c:pt idx="97">
                  <c:v>63.48912146229334</c:v>
                </c:pt>
                <c:pt idx="98">
                  <c:v>63.357755141045303</c:v>
                </c:pt>
                <c:pt idx="99">
                  <c:v>63.206481522146241</c:v>
                </c:pt>
                <c:pt idx="100">
                  <c:v>63.090873598181354</c:v>
                </c:pt>
                <c:pt idx="101">
                  <c:v>62.991509655741751</c:v>
                </c:pt>
                <c:pt idx="102">
                  <c:v>62.875264410189438</c:v>
                </c:pt>
                <c:pt idx="103">
                  <c:v>62.769026667848138</c:v>
                </c:pt>
                <c:pt idx="104">
                  <c:v>62.656103176042279</c:v>
                </c:pt>
                <c:pt idx="105">
                  <c:v>62.552150597028323</c:v>
                </c:pt>
                <c:pt idx="106">
                  <c:v>62.459885344106922</c:v>
                </c:pt>
                <c:pt idx="107">
                  <c:v>62.367624816753789</c:v>
                </c:pt>
                <c:pt idx="108">
                  <c:v>62.262178900299723</c:v>
                </c:pt>
                <c:pt idx="109">
                  <c:v>62.133948356904725</c:v>
                </c:pt>
                <c:pt idx="110">
                  <c:v>62.016818718562682</c:v>
                </c:pt>
                <c:pt idx="111">
                  <c:v>61.899242133670263</c:v>
                </c:pt>
                <c:pt idx="112">
                  <c:v>61.807001805220764</c:v>
                </c:pt>
                <c:pt idx="113">
                  <c:v>61.726897839435814</c:v>
                </c:pt>
                <c:pt idx="114">
                  <c:v>61.656555164116313</c:v>
                </c:pt>
                <c:pt idx="115">
                  <c:v>61.586090638730809</c:v>
                </c:pt>
                <c:pt idx="116">
                  <c:v>61.518146225833725</c:v>
                </c:pt>
                <c:pt idx="117">
                  <c:v>61.467593322610348</c:v>
                </c:pt>
                <c:pt idx="118">
                  <c:v>61.434137973805747</c:v>
                </c:pt>
                <c:pt idx="119">
                  <c:v>61.405615356435881</c:v>
                </c:pt>
                <c:pt idx="120">
                  <c:v>61.370215282374154</c:v>
                </c:pt>
                <c:pt idx="121">
                  <c:v>61.33557652822914</c:v>
                </c:pt>
                <c:pt idx="122">
                  <c:v>61.311614596808909</c:v>
                </c:pt>
                <c:pt idx="123">
                  <c:v>61.284862484840431</c:v>
                </c:pt>
                <c:pt idx="124">
                  <c:v>61.246479635036287</c:v>
                </c:pt>
                <c:pt idx="125">
                  <c:v>61.188694103223838</c:v>
                </c:pt>
                <c:pt idx="126">
                  <c:v>61.133725938876417</c:v>
                </c:pt>
                <c:pt idx="127">
                  <c:v>61.070124535499673</c:v>
                </c:pt>
                <c:pt idx="128">
                  <c:v>61.004570514499044</c:v>
                </c:pt>
                <c:pt idx="129">
                  <c:v>60.938937205379915</c:v>
                </c:pt>
                <c:pt idx="130">
                  <c:v>60.871903311364285</c:v>
                </c:pt>
                <c:pt idx="131">
                  <c:v>60.793302950503659</c:v>
                </c:pt>
                <c:pt idx="132">
                  <c:v>60.670735910827013</c:v>
                </c:pt>
                <c:pt idx="133">
                  <c:v>60.536061545623944</c:v>
                </c:pt>
                <c:pt idx="134">
                  <c:v>60.393616381440154</c:v>
                </c:pt>
                <c:pt idx="135">
                  <c:v>60.246372701879949</c:v>
                </c:pt>
                <c:pt idx="136">
                  <c:v>60.091689014215021</c:v>
                </c:pt>
                <c:pt idx="137">
                  <c:v>59.934098062606608</c:v>
                </c:pt>
                <c:pt idx="138">
                  <c:v>59.771773034694853</c:v>
                </c:pt>
                <c:pt idx="139">
                  <c:v>59.604239049865882</c:v>
                </c:pt>
                <c:pt idx="140">
                  <c:v>59.485408303600629</c:v>
                </c:pt>
                <c:pt idx="141">
                  <c:v>59.332056505485816</c:v>
                </c:pt>
                <c:pt idx="142">
                  <c:v>59.166861077086295</c:v>
                </c:pt>
                <c:pt idx="143">
                  <c:v>58.986787150639252</c:v>
                </c:pt>
                <c:pt idx="144">
                  <c:v>58.859650176393153</c:v>
                </c:pt>
                <c:pt idx="145">
                  <c:v>58.699219097706425</c:v>
                </c:pt>
                <c:pt idx="146">
                  <c:v>58.556922817494993</c:v>
                </c:pt>
                <c:pt idx="147">
                  <c:v>58.414205775402436</c:v>
                </c:pt>
                <c:pt idx="148">
                  <c:v>58.268927887026457</c:v>
                </c:pt>
                <c:pt idx="149">
                  <c:v>58.110886101278162</c:v>
                </c:pt>
                <c:pt idx="150">
                  <c:v>57.969868262507099</c:v>
                </c:pt>
                <c:pt idx="151">
                  <c:v>57.818115138054871</c:v>
                </c:pt>
                <c:pt idx="152">
                  <c:v>57.646450295748998</c:v>
                </c:pt>
                <c:pt idx="153">
                  <c:v>57.425938072680481</c:v>
                </c:pt>
                <c:pt idx="154">
                  <c:v>57.164386468829242</c:v>
                </c:pt>
                <c:pt idx="155">
                  <c:v>56.907979518558662</c:v>
                </c:pt>
                <c:pt idx="156">
                  <c:v>56.644783335348095</c:v>
                </c:pt>
                <c:pt idx="157">
                  <c:v>56.38891634885298</c:v>
                </c:pt>
                <c:pt idx="158">
                  <c:v>56.116967816391906</c:v>
                </c:pt>
                <c:pt idx="159">
                  <c:v>55.831972158273146</c:v>
                </c:pt>
                <c:pt idx="160">
                  <c:v>55.545088036354883</c:v>
                </c:pt>
                <c:pt idx="161">
                  <c:v>55.223390314614363</c:v>
                </c:pt>
                <c:pt idx="162">
                  <c:v>54.897977479379243</c:v>
                </c:pt>
                <c:pt idx="163">
                  <c:v>54.569710830594644</c:v>
                </c:pt>
                <c:pt idx="164">
                  <c:v>54.238607985861329</c:v>
                </c:pt>
                <c:pt idx="165">
                  <c:v>53.891823243458639</c:v>
                </c:pt>
                <c:pt idx="166">
                  <c:v>53.558754824219534</c:v>
                </c:pt>
                <c:pt idx="167">
                  <c:v>53.225407728105026</c:v>
                </c:pt>
                <c:pt idx="168">
                  <c:v>52.903777212894077</c:v>
                </c:pt>
                <c:pt idx="169">
                  <c:v>52.571924938552627</c:v>
                </c:pt>
                <c:pt idx="170">
                  <c:v>52.244623311092397</c:v>
                </c:pt>
                <c:pt idx="171">
                  <c:v>51.908271406400672</c:v>
                </c:pt>
                <c:pt idx="172">
                  <c:v>51.541678587235552</c:v>
                </c:pt>
                <c:pt idx="173">
                  <c:v>51.168517481633025</c:v>
                </c:pt>
                <c:pt idx="174">
                  <c:v>50.956620873612302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D0A-4D5E-80C3-5622E4C3A5CD}"/>
            </c:ext>
          </c:extLst>
        </c:ser>
        <c:ser>
          <c:idx val="11"/>
          <c:order val="11"/>
          <c:tx>
            <c:strRef>
              <c:f>data_ghg_incLUC!$O$2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data_ghg_incLUC!$O$3:$O$177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D0A-4D5E-80C3-5622E4C3A5CD}"/>
            </c:ext>
          </c:extLst>
        </c:ser>
        <c:ser>
          <c:idx val="12"/>
          <c:order val="12"/>
          <c:tx>
            <c:strRef>
              <c:f>data_ghg_incLUC!$P$2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data_ghg_incLUC!$P$3:$P$177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D0A-4D5E-80C3-5622E4C3A5CD}"/>
            </c:ext>
          </c:extLst>
        </c:ser>
        <c:ser>
          <c:idx val="13"/>
          <c:order val="13"/>
          <c:tx>
            <c:strRef>
              <c:f>data_ghg_incLUC!$R$2</c:f>
              <c:strCache>
                <c:ptCount val="1"/>
                <c:pt idx="0">
                  <c:v>Annex II GMST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data_ghg_incLUC!$R$3:$R$177</c:f>
              <c:numCache>
                <c:formatCode>0.0</c:formatCode>
                <c:ptCount val="175"/>
                <c:pt idx="1">
                  <c:v>39.591999999999999</c:v>
                </c:pt>
                <c:pt idx="2">
                  <c:v>39.462000000000003</c:v>
                </c:pt>
                <c:pt idx="3">
                  <c:v>39.752000000000002</c:v>
                </c:pt>
                <c:pt idx="4">
                  <c:v>40.186</c:v>
                </c:pt>
                <c:pt idx="5">
                  <c:v>40.423999999999999</c:v>
                </c:pt>
                <c:pt idx="6">
                  <c:v>40.637</c:v>
                </c:pt>
                <c:pt idx="7">
                  <c:v>40.802</c:v>
                </c:pt>
                <c:pt idx="8">
                  <c:v>40.972999999999999</c:v>
                </c:pt>
                <c:pt idx="9">
                  <c:v>41.18</c:v>
                </c:pt>
                <c:pt idx="10">
                  <c:v>41.52</c:v>
                </c:pt>
                <c:pt idx="11">
                  <c:v>41.801000000000002</c:v>
                </c:pt>
                <c:pt idx="12">
                  <c:v>42.097000000000001</c:v>
                </c:pt>
                <c:pt idx="13">
                  <c:v>42.405000000000001</c:v>
                </c:pt>
                <c:pt idx="14">
                  <c:v>42.661999999999999</c:v>
                </c:pt>
                <c:pt idx="15">
                  <c:v>42.926000000000002</c:v>
                </c:pt>
                <c:pt idx="16">
                  <c:v>43.156999999999996</c:v>
                </c:pt>
                <c:pt idx="17">
                  <c:v>43.427999999999997</c:v>
                </c:pt>
                <c:pt idx="18">
                  <c:v>43.673999999999999</c:v>
                </c:pt>
                <c:pt idx="19">
                  <c:v>43.9</c:v>
                </c:pt>
                <c:pt idx="20">
                  <c:v>44.192999999999998</c:v>
                </c:pt>
                <c:pt idx="21">
                  <c:v>44.552</c:v>
                </c:pt>
                <c:pt idx="22">
                  <c:v>44.906999999999996</c:v>
                </c:pt>
                <c:pt idx="23">
                  <c:v>45.293999999999997</c:v>
                </c:pt>
                <c:pt idx="24">
                  <c:v>45.593000000000004</c:v>
                </c:pt>
                <c:pt idx="25">
                  <c:v>45.917999999999999</c:v>
                </c:pt>
                <c:pt idx="26">
                  <c:v>46.207000000000001</c:v>
                </c:pt>
                <c:pt idx="27">
                  <c:v>46.48</c:v>
                </c:pt>
                <c:pt idx="28">
                  <c:v>46.731999999999999</c:v>
                </c:pt>
                <c:pt idx="29">
                  <c:v>46.991</c:v>
                </c:pt>
                <c:pt idx="30">
                  <c:v>47.192999999999998</c:v>
                </c:pt>
                <c:pt idx="31">
                  <c:v>47.337000000000003</c:v>
                </c:pt>
                <c:pt idx="32">
                  <c:v>47.470999999999997</c:v>
                </c:pt>
                <c:pt idx="33">
                  <c:v>47.606000000000002</c:v>
                </c:pt>
                <c:pt idx="34">
                  <c:v>47.706000000000003</c:v>
                </c:pt>
                <c:pt idx="35">
                  <c:v>47.771999999999998</c:v>
                </c:pt>
                <c:pt idx="36">
                  <c:v>47.826999999999998</c:v>
                </c:pt>
                <c:pt idx="37">
                  <c:v>47.89</c:v>
                </c:pt>
                <c:pt idx="38">
                  <c:v>47.978000000000002</c:v>
                </c:pt>
                <c:pt idx="39">
                  <c:v>48.024999999999999</c:v>
                </c:pt>
                <c:pt idx="40">
                  <c:v>48.076000000000001</c:v>
                </c:pt>
                <c:pt idx="41">
                  <c:v>48.127000000000002</c:v>
                </c:pt>
                <c:pt idx="42">
                  <c:v>48.167000000000002</c:v>
                </c:pt>
                <c:pt idx="43">
                  <c:v>48.189</c:v>
                </c:pt>
                <c:pt idx="44">
                  <c:v>48.213999999999999</c:v>
                </c:pt>
                <c:pt idx="45">
                  <c:v>48.25</c:v>
                </c:pt>
                <c:pt idx="46">
                  <c:v>48.295000000000002</c:v>
                </c:pt>
                <c:pt idx="47">
                  <c:v>48.34</c:v>
                </c:pt>
                <c:pt idx="48">
                  <c:v>48.4</c:v>
                </c:pt>
                <c:pt idx="49">
                  <c:v>48.485999999999997</c:v>
                </c:pt>
                <c:pt idx="50">
                  <c:v>48.567</c:v>
                </c:pt>
                <c:pt idx="51">
                  <c:v>48.616999999999997</c:v>
                </c:pt>
                <c:pt idx="52">
                  <c:v>48.668999999999997</c:v>
                </c:pt>
                <c:pt idx="53">
                  <c:v>48.747</c:v>
                </c:pt>
                <c:pt idx="54">
                  <c:v>48.813000000000002</c:v>
                </c:pt>
                <c:pt idx="55">
                  <c:v>48.905000000000001</c:v>
                </c:pt>
                <c:pt idx="56">
                  <c:v>48.991999999999997</c:v>
                </c:pt>
                <c:pt idx="57">
                  <c:v>49.128</c:v>
                </c:pt>
                <c:pt idx="58">
                  <c:v>49.213000000000001</c:v>
                </c:pt>
                <c:pt idx="59">
                  <c:v>49.308</c:v>
                </c:pt>
                <c:pt idx="60">
                  <c:v>49.43</c:v>
                </c:pt>
                <c:pt idx="61">
                  <c:v>49.545999999999999</c:v>
                </c:pt>
                <c:pt idx="62">
                  <c:v>49.668999999999997</c:v>
                </c:pt>
                <c:pt idx="63">
                  <c:v>49.828000000000003</c:v>
                </c:pt>
                <c:pt idx="64">
                  <c:v>49.929000000000002</c:v>
                </c:pt>
                <c:pt idx="65">
                  <c:v>50.015999999999998</c:v>
                </c:pt>
                <c:pt idx="66">
                  <c:v>50.122999999999998</c:v>
                </c:pt>
                <c:pt idx="67">
                  <c:v>50.25</c:v>
                </c:pt>
                <c:pt idx="68">
                  <c:v>50.393999999999998</c:v>
                </c:pt>
                <c:pt idx="69">
                  <c:v>50.476999999999997</c:v>
                </c:pt>
                <c:pt idx="70">
                  <c:v>50.561999999999998</c:v>
                </c:pt>
                <c:pt idx="71">
                  <c:v>50.552999999999997</c:v>
                </c:pt>
                <c:pt idx="72">
                  <c:v>50.557000000000002</c:v>
                </c:pt>
                <c:pt idx="73">
                  <c:v>50.593000000000004</c:v>
                </c:pt>
                <c:pt idx="74">
                  <c:v>50.622</c:v>
                </c:pt>
                <c:pt idx="75">
                  <c:v>50.631999999999998</c:v>
                </c:pt>
                <c:pt idx="76">
                  <c:v>50.610999999999997</c:v>
                </c:pt>
                <c:pt idx="77">
                  <c:v>50.603999999999999</c:v>
                </c:pt>
                <c:pt idx="78">
                  <c:v>50.582999999999998</c:v>
                </c:pt>
                <c:pt idx="79">
                  <c:v>50.573</c:v>
                </c:pt>
                <c:pt idx="80">
                  <c:v>50.488999999999997</c:v>
                </c:pt>
                <c:pt idx="81">
                  <c:v>50.338999999999999</c:v>
                </c:pt>
                <c:pt idx="82">
                  <c:v>50.13</c:v>
                </c:pt>
                <c:pt idx="83">
                  <c:v>49.923999999999999</c:v>
                </c:pt>
                <c:pt idx="84">
                  <c:v>49.737000000000002</c:v>
                </c:pt>
                <c:pt idx="85">
                  <c:v>49.552</c:v>
                </c:pt>
                <c:pt idx="86">
                  <c:v>49.372999999999998</c:v>
                </c:pt>
                <c:pt idx="87">
                  <c:v>49.204000000000001</c:v>
                </c:pt>
                <c:pt idx="88">
                  <c:v>48.993000000000002</c:v>
                </c:pt>
                <c:pt idx="89">
                  <c:v>48.81</c:v>
                </c:pt>
                <c:pt idx="90">
                  <c:v>48.606000000000002</c:v>
                </c:pt>
                <c:pt idx="91">
                  <c:v>48.442</c:v>
                </c:pt>
                <c:pt idx="92">
                  <c:v>48.311</c:v>
                </c:pt>
                <c:pt idx="93">
                  <c:v>48.17</c:v>
                </c:pt>
                <c:pt idx="94">
                  <c:v>48.027999999999999</c:v>
                </c:pt>
                <c:pt idx="95">
                  <c:v>47.85</c:v>
                </c:pt>
                <c:pt idx="96">
                  <c:v>47.680999999999997</c:v>
                </c:pt>
                <c:pt idx="97">
                  <c:v>47.545999999999999</c:v>
                </c:pt>
                <c:pt idx="98">
                  <c:v>47.444000000000003</c:v>
                </c:pt>
                <c:pt idx="99">
                  <c:v>47.304000000000002</c:v>
                </c:pt>
                <c:pt idx="100">
                  <c:v>47.158999999999999</c:v>
                </c:pt>
                <c:pt idx="101">
                  <c:v>47.012</c:v>
                </c:pt>
                <c:pt idx="102">
                  <c:v>46.866999999999997</c:v>
                </c:pt>
                <c:pt idx="103">
                  <c:v>46.716000000000001</c:v>
                </c:pt>
                <c:pt idx="104">
                  <c:v>46.533999999999999</c:v>
                </c:pt>
                <c:pt idx="105">
                  <c:v>46.353000000000002</c:v>
                </c:pt>
                <c:pt idx="106">
                  <c:v>46.176000000000002</c:v>
                </c:pt>
                <c:pt idx="107">
                  <c:v>45.976999999999997</c:v>
                </c:pt>
                <c:pt idx="108">
                  <c:v>45.762999999999998</c:v>
                </c:pt>
                <c:pt idx="109">
                  <c:v>45.5</c:v>
                </c:pt>
                <c:pt idx="110">
                  <c:v>45.292000000000002</c:v>
                </c:pt>
                <c:pt idx="111">
                  <c:v>45.094000000000001</c:v>
                </c:pt>
                <c:pt idx="112">
                  <c:v>44.933</c:v>
                </c:pt>
                <c:pt idx="113">
                  <c:v>44.783000000000001</c:v>
                </c:pt>
                <c:pt idx="114">
                  <c:v>44.655000000000001</c:v>
                </c:pt>
                <c:pt idx="115">
                  <c:v>44.539000000000001</c:v>
                </c:pt>
                <c:pt idx="116">
                  <c:v>44.427999999999997</c:v>
                </c:pt>
                <c:pt idx="117">
                  <c:v>44.347999999999999</c:v>
                </c:pt>
                <c:pt idx="118">
                  <c:v>44.280999999999999</c:v>
                </c:pt>
                <c:pt idx="119">
                  <c:v>44.182000000000002</c:v>
                </c:pt>
                <c:pt idx="120">
                  <c:v>44.058</c:v>
                </c:pt>
                <c:pt idx="121">
                  <c:v>43.945999999999998</c:v>
                </c:pt>
                <c:pt idx="122">
                  <c:v>43.823</c:v>
                </c:pt>
                <c:pt idx="123">
                  <c:v>43.697000000000003</c:v>
                </c:pt>
                <c:pt idx="124">
                  <c:v>43.564</c:v>
                </c:pt>
                <c:pt idx="125">
                  <c:v>43.414999999999999</c:v>
                </c:pt>
                <c:pt idx="126">
                  <c:v>43.271000000000001</c:v>
                </c:pt>
                <c:pt idx="127">
                  <c:v>43.113</c:v>
                </c:pt>
                <c:pt idx="128">
                  <c:v>42.948</c:v>
                </c:pt>
                <c:pt idx="129">
                  <c:v>42.814</c:v>
                </c:pt>
                <c:pt idx="130">
                  <c:v>42.68</c:v>
                </c:pt>
                <c:pt idx="131">
                  <c:v>42.552</c:v>
                </c:pt>
                <c:pt idx="132">
                  <c:v>42.402999999999999</c:v>
                </c:pt>
                <c:pt idx="133">
                  <c:v>42.237000000000002</c:v>
                </c:pt>
                <c:pt idx="134">
                  <c:v>42.055999999999997</c:v>
                </c:pt>
                <c:pt idx="135">
                  <c:v>41.863999999999997</c:v>
                </c:pt>
                <c:pt idx="136">
                  <c:v>41.664000000000001</c:v>
                </c:pt>
                <c:pt idx="137">
                  <c:v>41.463999999999999</c:v>
                </c:pt>
                <c:pt idx="138">
                  <c:v>41.264000000000003</c:v>
                </c:pt>
                <c:pt idx="139">
                  <c:v>41.07</c:v>
                </c:pt>
                <c:pt idx="140">
                  <c:v>40.906999999999996</c:v>
                </c:pt>
                <c:pt idx="141">
                  <c:v>40.744999999999997</c:v>
                </c:pt>
                <c:pt idx="142">
                  <c:v>40.600999999999999</c:v>
                </c:pt>
                <c:pt idx="143">
                  <c:v>40.472000000000001</c:v>
                </c:pt>
                <c:pt idx="144">
                  <c:v>40.33</c:v>
                </c:pt>
                <c:pt idx="145">
                  <c:v>40.192</c:v>
                </c:pt>
                <c:pt idx="146">
                  <c:v>40.052</c:v>
                </c:pt>
                <c:pt idx="147">
                  <c:v>39.898000000000003</c:v>
                </c:pt>
                <c:pt idx="148">
                  <c:v>39.780999999999999</c:v>
                </c:pt>
                <c:pt idx="149">
                  <c:v>39.667999999999999</c:v>
                </c:pt>
                <c:pt idx="150">
                  <c:v>39.552999999999997</c:v>
                </c:pt>
                <c:pt idx="151">
                  <c:v>39.432000000000002</c:v>
                </c:pt>
                <c:pt idx="152">
                  <c:v>39.299999999999997</c:v>
                </c:pt>
                <c:pt idx="153">
                  <c:v>39.134999999999998</c:v>
                </c:pt>
                <c:pt idx="154">
                  <c:v>38.975000000000001</c:v>
                </c:pt>
                <c:pt idx="155">
                  <c:v>38.802</c:v>
                </c:pt>
                <c:pt idx="156">
                  <c:v>38.606999999999999</c:v>
                </c:pt>
                <c:pt idx="157">
                  <c:v>38.421999999999997</c:v>
                </c:pt>
                <c:pt idx="158">
                  <c:v>38.225000000000001</c:v>
                </c:pt>
                <c:pt idx="159">
                  <c:v>38.002000000000002</c:v>
                </c:pt>
                <c:pt idx="160">
                  <c:v>37.774999999999999</c:v>
                </c:pt>
                <c:pt idx="161">
                  <c:v>37.518999999999998</c:v>
                </c:pt>
                <c:pt idx="162">
                  <c:v>37.252000000000002</c:v>
                </c:pt>
                <c:pt idx="163">
                  <c:v>36.991</c:v>
                </c:pt>
                <c:pt idx="164">
                  <c:v>36.732999999999997</c:v>
                </c:pt>
                <c:pt idx="165">
                  <c:v>36.479999999999997</c:v>
                </c:pt>
                <c:pt idx="166">
                  <c:v>36.241999999999997</c:v>
                </c:pt>
                <c:pt idx="167">
                  <c:v>36.003999999999998</c:v>
                </c:pt>
                <c:pt idx="168">
                  <c:v>35.768000000000001</c:v>
                </c:pt>
                <c:pt idx="169">
                  <c:v>35.524000000000001</c:v>
                </c:pt>
                <c:pt idx="170">
                  <c:v>35.279000000000003</c:v>
                </c:pt>
                <c:pt idx="171">
                  <c:v>35.036000000000001</c:v>
                </c:pt>
                <c:pt idx="172">
                  <c:v>34.784999999999997</c:v>
                </c:pt>
                <c:pt idx="173">
                  <c:v>34.536999999999999</c:v>
                </c:pt>
                <c:pt idx="174">
                  <c:v>34.289000000000001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D0A-4D5E-80C3-5622E4C3A5CD}"/>
            </c:ext>
          </c:extLst>
        </c:ser>
        <c:ser>
          <c:idx val="14"/>
          <c:order val="14"/>
          <c:tx>
            <c:strRef>
              <c:f>data_ghg_incLUC!$S$2</c:f>
              <c:strCache>
                <c:ptCount val="1"/>
                <c:pt idx="0">
                  <c:v>Annex I GMST</c:v>
                </c:pt>
              </c:strCache>
            </c:strRef>
          </c:tx>
          <c:spPr>
            <a:ln w="317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data_ghg_incLUC!$S$3:$S$177</c:f>
              <c:numCache>
                <c:formatCode>0.0</c:formatCode>
                <c:ptCount val="175"/>
                <c:pt idx="1">
                  <c:v>58.146000000000001</c:v>
                </c:pt>
                <c:pt idx="2">
                  <c:v>58.249000000000002</c:v>
                </c:pt>
                <c:pt idx="3">
                  <c:v>58.375999999999998</c:v>
                </c:pt>
                <c:pt idx="4">
                  <c:v>58.776000000000003</c:v>
                </c:pt>
                <c:pt idx="5">
                  <c:v>58.975000000000001</c:v>
                </c:pt>
                <c:pt idx="6">
                  <c:v>59.167999999999999</c:v>
                </c:pt>
                <c:pt idx="7">
                  <c:v>59.33</c:v>
                </c:pt>
                <c:pt idx="8">
                  <c:v>59.500999999999998</c:v>
                </c:pt>
                <c:pt idx="9">
                  <c:v>59.695</c:v>
                </c:pt>
                <c:pt idx="10">
                  <c:v>60.043999999999997</c:v>
                </c:pt>
                <c:pt idx="11">
                  <c:v>60.384999999999998</c:v>
                </c:pt>
                <c:pt idx="12">
                  <c:v>60.75</c:v>
                </c:pt>
                <c:pt idx="13">
                  <c:v>61.095999999999997</c:v>
                </c:pt>
                <c:pt idx="14">
                  <c:v>61.436</c:v>
                </c:pt>
                <c:pt idx="15">
                  <c:v>61.762999999999998</c:v>
                </c:pt>
                <c:pt idx="16">
                  <c:v>62.098999999999997</c:v>
                </c:pt>
                <c:pt idx="17">
                  <c:v>62.411000000000001</c:v>
                </c:pt>
                <c:pt idx="18">
                  <c:v>62.716000000000001</c:v>
                </c:pt>
                <c:pt idx="19">
                  <c:v>63.003</c:v>
                </c:pt>
                <c:pt idx="20">
                  <c:v>63.354999999999997</c:v>
                </c:pt>
                <c:pt idx="21">
                  <c:v>63.716000000000001</c:v>
                </c:pt>
                <c:pt idx="22">
                  <c:v>64.070999999999998</c:v>
                </c:pt>
                <c:pt idx="23">
                  <c:v>64.424999999999997</c:v>
                </c:pt>
                <c:pt idx="24">
                  <c:v>64.73</c:v>
                </c:pt>
                <c:pt idx="25">
                  <c:v>65.031999999999996</c:v>
                </c:pt>
                <c:pt idx="26">
                  <c:v>65.313000000000002</c:v>
                </c:pt>
                <c:pt idx="27">
                  <c:v>65.569000000000003</c:v>
                </c:pt>
                <c:pt idx="28">
                  <c:v>65.813000000000002</c:v>
                </c:pt>
                <c:pt idx="29">
                  <c:v>66.06</c:v>
                </c:pt>
                <c:pt idx="30">
                  <c:v>66.245999999999995</c:v>
                </c:pt>
                <c:pt idx="31">
                  <c:v>66.376999999999995</c:v>
                </c:pt>
                <c:pt idx="32">
                  <c:v>66.489999999999995</c:v>
                </c:pt>
                <c:pt idx="33">
                  <c:v>66.602999999999994</c:v>
                </c:pt>
                <c:pt idx="34">
                  <c:v>66.697000000000003</c:v>
                </c:pt>
                <c:pt idx="35">
                  <c:v>66.769000000000005</c:v>
                </c:pt>
                <c:pt idx="36">
                  <c:v>66.822000000000003</c:v>
                </c:pt>
                <c:pt idx="37">
                  <c:v>66.864000000000004</c:v>
                </c:pt>
                <c:pt idx="38">
                  <c:v>66.927999999999997</c:v>
                </c:pt>
                <c:pt idx="39">
                  <c:v>66.959999999999994</c:v>
                </c:pt>
                <c:pt idx="40">
                  <c:v>67.013000000000005</c:v>
                </c:pt>
                <c:pt idx="41">
                  <c:v>67.066999999999993</c:v>
                </c:pt>
                <c:pt idx="42">
                  <c:v>67.117999999999995</c:v>
                </c:pt>
                <c:pt idx="43">
                  <c:v>67.156000000000006</c:v>
                </c:pt>
                <c:pt idx="44">
                  <c:v>67.203000000000003</c:v>
                </c:pt>
                <c:pt idx="45">
                  <c:v>67.251000000000005</c:v>
                </c:pt>
                <c:pt idx="46">
                  <c:v>67.301000000000002</c:v>
                </c:pt>
                <c:pt idx="47">
                  <c:v>67.353999999999999</c:v>
                </c:pt>
                <c:pt idx="48">
                  <c:v>67.423000000000002</c:v>
                </c:pt>
                <c:pt idx="49">
                  <c:v>67.507999999999996</c:v>
                </c:pt>
                <c:pt idx="50">
                  <c:v>67.597999999999999</c:v>
                </c:pt>
                <c:pt idx="51">
                  <c:v>67.671000000000006</c:v>
                </c:pt>
                <c:pt idx="52">
                  <c:v>67.742999999999995</c:v>
                </c:pt>
                <c:pt idx="53">
                  <c:v>67.834999999999994</c:v>
                </c:pt>
                <c:pt idx="54">
                  <c:v>67.92</c:v>
                </c:pt>
                <c:pt idx="55">
                  <c:v>68.027000000000001</c:v>
                </c:pt>
                <c:pt idx="56">
                  <c:v>68.13</c:v>
                </c:pt>
                <c:pt idx="57">
                  <c:v>68.274000000000001</c:v>
                </c:pt>
                <c:pt idx="58">
                  <c:v>68.387</c:v>
                </c:pt>
                <c:pt idx="59">
                  <c:v>68.509</c:v>
                </c:pt>
                <c:pt idx="60">
                  <c:v>68.581999999999994</c:v>
                </c:pt>
                <c:pt idx="61">
                  <c:v>68.626000000000005</c:v>
                </c:pt>
                <c:pt idx="62">
                  <c:v>68.673000000000002</c:v>
                </c:pt>
                <c:pt idx="63">
                  <c:v>68.724999999999994</c:v>
                </c:pt>
                <c:pt idx="64">
                  <c:v>68.716999999999999</c:v>
                </c:pt>
                <c:pt idx="65">
                  <c:v>68.685000000000002</c:v>
                </c:pt>
                <c:pt idx="66">
                  <c:v>68.667000000000002</c:v>
                </c:pt>
                <c:pt idx="67">
                  <c:v>68.641999999999996</c:v>
                </c:pt>
                <c:pt idx="68">
                  <c:v>68.593999999999994</c:v>
                </c:pt>
                <c:pt idx="69">
                  <c:v>68.480999999999995</c:v>
                </c:pt>
                <c:pt idx="70">
                  <c:v>68.38</c:v>
                </c:pt>
                <c:pt idx="71">
                  <c:v>68.215999999999994</c:v>
                </c:pt>
                <c:pt idx="72">
                  <c:v>68.063000000000002</c:v>
                </c:pt>
                <c:pt idx="73">
                  <c:v>67.932000000000002</c:v>
                </c:pt>
                <c:pt idx="74">
                  <c:v>67.790000000000006</c:v>
                </c:pt>
                <c:pt idx="75">
                  <c:v>67.647999999999996</c:v>
                </c:pt>
                <c:pt idx="76">
                  <c:v>67.494</c:v>
                </c:pt>
                <c:pt idx="77">
                  <c:v>67.355000000000004</c:v>
                </c:pt>
                <c:pt idx="78">
                  <c:v>67.209999999999994</c:v>
                </c:pt>
                <c:pt idx="79">
                  <c:v>67.082999999999998</c:v>
                </c:pt>
                <c:pt idx="80">
                  <c:v>66.935000000000002</c:v>
                </c:pt>
                <c:pt idx="81">
                  <c:v>66.759</c:v>
                </c:pt>
                <c:pt idx="82">
                  <c:v>66.545000000000002</c:v>
                </c:pt>
                <c:pt idx="83">
                  <c:v>66.337999999999994</c:v>
                </c:pt>
                <c:pt idx="84">
                  <c:v>66.153999999999996</c:v>
                </c:pt>
                <c:pt idx="85">
                  <c:v>65.984999999999999</c:v>
                </c:pt>
                <c:pt idx="86">
                  <c:v>65.832999999999998</c:v>
                </c:pt>
                <c:pt idx="87">
                  <c:v>65.69</c:v>
                </c:pt>
                <c:pt idx="88">
                  <c:v>65.531000000000006</c:v>
                </c:pt>
                <c:pt idx="89">
                  <c:v>65.394999999999996</c:v>
                </c:pt>
                <c:pt idx="90">
                  <c:v>65.222999999999999</c:v>
                </c:pt>
                <c:pt idx="91">
                  <c:v>65.042000000000002</c:v>
                </c:pt>
                <c:pt idx="92">
                  <c:v>64.849000000000004</c:v>
                </c:pt>
                <c:pt idx="93">
                  <c:v>64.644000000000005</c:v>
                </c:pt>
                <c:pt idx="94">
                  <c:v>64.432000000000002</c:v>
                </c:pt>
                <c:pt idx="95">
                  <c:v>64.165000000000006</c:v>
                </c:pt>
                <c:pt idx="96">
                  <c:v>63.901000000000003</c:v>
                </c:pt>
                <c:pt idx="97">
                  <c:v>63.662999999999997</c:v>
                </c:pt>
                <c:pt idx="98">
                  <c:v>63.451000000000001</c:v>
                </c:pt>
                <c:pt idx="99">
                  <c:v>63.216000000000001</c:v>
                </c:pt>
                <c:pt idx="100">
                  <c:v>62.972999999999999</c:v>
                </c:pt>
                <c:pt idx="101">
                  <c:v>62.726999999999997</c:v>
                </c:pt>
                <c:pt idx="102">
                  <c:v>62.497</c:v>
                </c:pt>
                <c:pt idx="103">
                  <c:v>62.271999999999998</c:v>
                </c:pt>
                <c:pt idx="104">
                  <c:v>62.024999999999999</c:v>
                </c:pt>
                <c:pt idx="105">
                  <c:v>61.781999999999996</c:v>
                </c:pt>
                <c:pt idx="106">
                  <c:v>61.552999999999997</c:v>
                </c:pt>
                <c:pt idx="107">
                  <c:v>61.314999999999998</c:v>
                </c:pt>
                <c:pt idx="108">
                  <c:v>61.069000000000003</c:v>
                </c:pt>
                <c:pt idx="109">
                  <c:v>60.792999999999999</c:v>
                </c:pt>
                <c:pt idx="110">
                  <c:v>60.554000000000002</c:v>
                </c:pt>
                <c:pt idx="111">
                  <c:v>60.338000000000001</c:v>
                </c:pt>
                <c:pt idx="112">
                  <c:v>60.158999999999999</c:v>
                </c:pt>
                <c:pt idx="113">
                  <c:v>59.997</c:v>
                </c:pt>
                <c:pt idx="114">
                  <c:v>59.856000000000002</c:v>
                </c:pt>
                <c:pt idx="115">
                  <c:v>59.734000000000002</c:v>
                </c:pt>
                <c:pt idx="116">
                  <c:v>59.613999999999997</c:v>
                </c:pt>
                <c:pt idx="117">
                  <c:v>59.524999999999999</c:v>
                </c:pt>
                <c:pt idx="118">
                  <c:v>59.448999999999998</c:v>
                </c:pt>
                <c:pt idx="119">
                  <c:v>59.317999999999998</c:v>
                </c:pt>
                <c:pt idx="120">
                  <c:v>59.167999999999999</c:v>
                </c:pt>
                <c:pt idx="121">
                  <c:v>59.036999999999999</c:v>
                </c:pt>
                <c:pt idx="122">
                  <c:v>58.892000000000003</c:v>
                </c:pt>
                <c:pt idx="123">
                  <c:v>58.747999999999998</c:v>
                </c:pt>
                <c:pt idx="124">
                  <c:v>58.609000000000002</c:v>
                </c:pt>
                <c:pt idx="125">
                  <c:v>58.469000000000001</c:v>
                </c:pt>
                <c:pt idx="126">
                  <c:v>58.338000000000001</c:v>
                </c:pt>
                <c:pt idx="127">
                  <c:v>58.189</c:v>
                </c:pt>
                <c:pt idx="128">
                  <c:v>58.04</c:v>
                </c:pt>
                <c:pt idx="129">
                  <c:v>57.923000000000002</c:v>
                </c:pt>
                <c:pt idx="130">
                  <c:v>57.823</c:v>
                </c:pt>
                <c:pt idx="131">
                  <c:v>57.723999999999997</c:v>
                </c:pt>
                <c:pt idx="132">
                  <c:v>57.612000000000002</c:v>
                </c:pt>
                <c:pt idx="133">
                  <c:v>57.481999999999999</c:v>
                </c:pt>
                <c:pt idx="134">
                  <c:v>57.332999999999998</c:v>
                </c:pt>
                <c:pt idx="135">
                  <c:v>57.177</c:v>
                </c:pt>
                <c:pt idx="136">
                  <c:v>57.015000000000001</c:v>
                </c:pt>
                <c:pt idx="137">
                  <c:v>56.848999999999997</c:v>
                </c:pt>
                <c:pt idx="138">
                  <c:v>56.680999999999997</c:v>
                </c:pt>
                <c:pt idx="139">
                  <c:v>56.508000000000003</c:v>
                </c:pt>
                <c:pt idx="140">
                  <c:v>56.366</c:v>
                </c:pt>
                <c:pt idx="141">
                  <c:v>56.195999999999998</c:v>
                </c:pt>
                <c:pt idx="142">
                  <c:v>56.006999999999998</c:v>
                </c:pt>
                <c:pt idx="143">
                  <c:v>55.817</c:v>
                </c:pt>
                <c:pt idx="144">
                  <c:v>55.573999999999998</c:v>
                </c:pt>
                <c:pt idx="145">
                  <c:v>55.325000000000003</c:v>
                </c:pt>
                <c:pt idx="146">
                  <c:v>55.076999999999998</c:v>
                </c:pt>
                <c:pt idx="147">
                  <c:v>54.783999999999999</c:v>
                </c:pt>
                <c:pt idx="148">
                  <c:v>54.531999999999996</c:v>
                </c:pt>
                <c:pt idx="149">
                  <c:v>54.284999999999997</c:v>
                </c:pt>
                <c:pt idx="150">
                  <c:v>54.030999999999999</c:v>
                </c:pt>
                <c:pt idx="151">
                  <c:v>53.777999999999999</c:v>
                </c:pt>
                <c:pt idx="152">
                  <c:v>53.506</c:v>
                </c:pt>
                <c:pt idx="153">
                  <c:v>53.195999999999998</c:v>
                </c:pt>
                <c:pt idx="154">
                  <c:v>52.89</c:v>
                </c:pt>
                <c:pt idx="155">
                  <c:v>52.576000000000001</c:v>
                </c:pt>
                <c:pt idx="156">
                  <c:v>52.243000000000002</c:v>
                </c:pt>
                <c:pt idx="157">
                  <c:v>51.927999999999997</c:v>
                </c:pt>
                <c:pt idx="158">
                  <c:v>51.598999999999997</c:v>
                </c:pt>
                <c:pt idx="159">
                  <c:v>51.252000000000002</c:v>
                </c:pt>
                <c:pt idx="160">
                  <c:v>50.906999999999996</c:v>
                </c:pt>
                <c:pt idx="161">
                  <c:v>50.53</c:v>
                </c:pt>
                <c:pt idx="162">
                  <c:v>50.158999999999999</c:v>
                </c:pt>
                <c:pt idx="163">
                  <c:v>49.798999999999999</c:v>
                </c:pt>
                <c:pt idx="164">
                  <c:v>49.444000000000003</c:v>
                </c:pt>
                <c:pt idx="165">
                  <c:v>49.11</c:v>
                </c:pt>
                <c:pt idx="166">
                  <c:v>48.804000000000002</c:v>
                </c:pt>
                <c:pt idx="167">
                  <c:v>48.502000000000002</c:v>
                </c:pt>
                <c:pt idx="168">
                  <c:v>48.203000000000003</c:v>
                </c:pt>
                <c:pt idx="169">
                  <c:v>47.896999999999998</c:v>
                </c:pt>
                <c:pt idx="170">
                  <c:v>47.594999999999999</c:v>
                </c:pt>
                <c:pt idx="171">
                  <c:v>47.295000000000002</c:v>
                </c:pt>
                <c:pt idx="172">
                  <c:v>46.982999999999997</c:v>
                </c:pt>
                <c:pt idx="173">
                  <c:v>46.673000000000002</c:v>
                </c:pt>
                <c:pt idx="174">
                  <c:v>46.369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D0A-4D5E-80C3-5622E4C3A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US" sz="1400"/>
                  <a:t>Cumulative share of emissions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txPr>
        <a:bodyPr/>
        <a:lstStyle/>
        <a:p>
          <a:pPr>
            <a:defRPr sz="14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latin typeface="Sofia Pro"/>
                <a:ea typeface="Sofia Pro"/>
                <a:cs typeface="Sofia Pro"/>
              </a:defRPr>
            </a:pPr>
            <a:r>
              <a:rPr lang="en-US" sz="1600"/>
              <a:t>All GHGs, excluding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data_ghg_excLUC!$B$3:$B$177</c:f>
              <c:numCache>
                <c:formatCode>0.0</c:formatCode>
                <c:ptCount val="175"/>
                <c:pt idx="0">
                  <c:v>38.924011769220925</c:v>
                </c:pt>
                <c:pt idx="1">
                  <c:v>38.978507993348224</c:v>
                </c:pt>
                <c:pt idx="2">
                  <c:v>39.1339356076613</c:v>
                </c:pt>
                <c:pt idx="3">
                  <c:v>39.33865498962458</c:v>
                </c:pt>
                <c:pt idx="4">
                  <c:v>39.810694339382209</c:v>
                </c:pt>
                <c:pt idx="5">
                  <c:v>40.15611218208516</c:v>
                </c:pt>
                <c:pt idx="6">
                  <c:v>40.510650670848811</c:v>
                </c:pt>
                <c:pt idx="7">
                  <c:v>40.789132103291642</c:v>
                </c:pt>
                <c:pt idx="8">
                  <c:v>41.014921832404525</c:v>
                </c:pt>
                <c:pt idx="9">
                  <c:v>41.270398721526455</c:v>
                </c:pt>
                <c:pt idx="10">
                  <c:v>41.586275966331677</c:v>
                </c:pt>
                <c:pt idx="11">
                  <c:v>41.900178550576456</c:v>
                </c:pt>
                <c:pt idx="12">
                  <c:v>42.171697469897431</c:v>
                </c:pt>
                <c:pt idx="13">
                  <c:v>42.455431549052172</c:v>
                </c:pt>
                <c:pt idx="14">
                  <c:v>42.766701918732871</c:v>
                </c:pt>
                <c:pt idx="15">
                  <c:v>43.087725093152265</c:v>
                </c:pt>
                <c:pt idx="16">
                  <c:v>43.390046405267299</c:v>
                </c:pt>
                <c:pt idx="17">
                  <c:v>43.709969067303128</c:v>
                </c:pt>
                <c:pt idx="18">
                  <c:v>44.009474624971865</c:v>
                </c:pt>
                <c:pt idx="19">
                  <c:v>44.321297011774099</c:v>
                </c:pt>
                <c:pt idx="20">
                  <c:v>44.608735756308896</c:v>
                </c:pt>
                <c:pt idx="21">
                  <c:v>44.902368845218241</c:v>
                </c:pt>
                <c:pt idx="22">
                  <c:v>45.250397241774451</c:v>
                </c:pt>
                <c:pt idx="23">
                  <c:v>45.612376993680378</c:v>
                </c:pt>
                <c:pt idx="24">
                  <c:v>45.871303724091803</c:v>
                </c:pt>
                <c:pt idx="25">
                  <c:v>46.170572663744402</c:v>
                </c:pt>
                <c:pt idx="26">
                  <c:v>46.431829452695425</c:v>
                </c:pt>
                <c:pt idx="27">
                  <c:v>46.684187771138376</c:v>
                </c:pt>
                <c:pt idx="28">
                  <c:v>46.906254756760987</c:v>
                </c:pt>
                <c:pt idx="29">
                  <c:v>47.153803645871925</c:v>
                </c:pt>
                <c:pt idx="30">
                  <c:v>47.472078995042899</c:v>
                </c:pt>
                <c:pt idx="31">
                  <c:v>47.781822341478403</c:v>
                </c:pt>
                <c:pt idx="32">
                  <c:v>48.102729155073227</c:v>
                </c:pt>
                <c:pt idx="33">
                  <c:v>48.432983966709756</c:v>
                </c:pt>
                <c:pt idx="34">
                  <c:v>48.73646011529523</c:v>
                </c:pt>
                <c:pt idx="35">
                  <c:v>49.011977643404968</c:v>
                </c:pt>
                <c:pt idx="36">
                  <c:v>49.270042659552097</c:v>
                </c:pt>
                <c:pt idx="37">
                  <c:v>49.535854388596682</c:v>
                </c:pt>
                <c:pt idx="38">
                  <c:v>49.848005510277545</c:v>
                </c:pt>
                <c:pt idx="39">
                  <c:v>50.124148474324336</c:v>
                </c:pt>
                <c:pt idx="40">
                  <c:v>50.433788652669357</c:v>
                </c:pt>
                <c:pt idx="41">
                  <c:v>50.745005754902152</c:v>
                </c:pt>
                <c:pt idx="42">
                  <c:v>51.03585879095489</c:v>
                </c:pt>
                <c:pt idx="43">
                  <c:v>51.281535933819264</c:v>
                </c:pt>
                <c:pt idx="44">
                  <c:v>51.531925320078486</c:v>
                </c:pt>
                <c:pt idx="45">
                  <c:v>51.791266089281763</c:v>
                </c:pt>
                <c:pt idx="46">
                  <c:v>52.047222286395666</c:v>
                </c:pt>
                <c:pt idx="47">
                  <c:v>52.305870384805594</c:v>
                </c:pt>
                <c:pt idx="48">
                  <c:v>52.569014356439162</c:v>
                </c:pt>
                <c:pt idx="49">
                  <c:v>52.870053313896456</c:v>
                </c:pt>
                <c:pt idx="50">
                  <c:v>53.183072771588115</c:v>
                </c:pt>
                <c:pt idx="51">
                  <c:v>53.483358367517845</c:v>
                </c:pt>
                <c:pt idx="52">
                  <c:v>53.78193542230445</c:v>
                </c:pt>
                <c:pt idx="53">
                  <c:v>54.122788327678137</c:v>
                </c:pt>
                <c:pt idx="54">
                  <c:v>54.435352510482971</c:v>
                </c:pt>
                <c:pt idx="55">
                  <c:v>54.775980414616313</c:v>
                </c:pt>
                <c:pt idx="56">
                  <c:v>55.103241512419423</c:v>
                </c:pt>
                <c:pt idx="57">
                  <c:v>55.494399740604742</c:v>
                </c:pt>
                <c:pt idx="58">
                  <c:v>55.811041549521093</c:v>
                </c:pt>
                <c:pt idx="59">
                  <c:v>56.131421475130161</c:v>
                </c:pt>
                <c:pt idx="60">
                  <c:v>56.468931799841371</c:v>
                </c:pt>
                <c:pt idx="61">
                  <c:v>56.780373506035545</c:v>
                </c:pt>
                <c:pt idx="62">
                  <c:v>57.099144150728534</c:v>
                </c:pt>
                <c:pt idx="63">
                  <c:v>57.442435331697581</c:v>
                </c:pt>
                <c:pt idx="64">
                  <c:v>57.704213672104743</c:v>
                </c:pt>
                <c:pt idx="65">
                  <c:v>57.941440142077461</c:v>
                </c:pt>
                <c:pt idx="66">
                  <c:v>58.199838250484135</c:v>
                </c:pt>
                <c:pt idx="67">
                  <c:v>58.464504139122617</c:v>
                </c:pt>
                <c:pt idx="68">
                  <c:v>58.742339318332611</c:v>
                </c:pt>
                <c:pt idx="69">
                  <c:v>58.9506655888149</c:v>
                </c:pt>
                <c:pt idx="70">
                  <c:v>59.194793373944719</c:v>
                </c:pt>
                <c:pt idx="71">
                  <c:v>59.328953187102599</c:v>
                </c:pt>
                <c:pt idx="72">
                  <c:v>59.481656728674025</c:v>
                </c:pt>
                <c:pt idx="73">
                  <c:v>59.701247788848008</c:v>
                </c:pt>
                <c:pt idx="74">
                  <c:v>59.896179299918252</c:v>
                </c:pt>
                <c:pt idx="75">
                  <c:v>60.0872110961011</c:v>
                </c:pt>
                <c:pt idx="76">
                  <c:v>60.240950226138715</c:v>
                </c:pt>
                <c:pt idx="77">
                  <c:v>60.422328508344755</c:v>
                </c:pt>
                <c:pt idx="78">
                  <c:v>60.57375266200463</c:v>
                </c:pt>
                <c:pt idx="79">
                  <c:v>60.741673269147043</c:v>
                </c:pt>
                <c:pt idx="80">
                  <c:v>60.839760747836792</c:v>
                </c:pt>
                <c:pt idx="81">
                  <c:v>60.865251612580259</c:v>
                </c:pt>
                <c:pt idx="82">
                  <c:v>60.834782386301534</c:v>
                </c:pt>
                <c:pt idx="83">
                  <c:v>60.811239366985461</c:v>
                </c:pt>
                <c:pt idx="84">
                  <c:v>60.791244716431777</c:v>
                </c:pt>
                <c:pt idx="85">
                  <c:v>60.76613781541451</c:v>
                </c:pt>
                <c:pt idx="86">
                  <c:v>60.760029526995574</c:v>
                </c:pt>
                <c:pt idx="87">
                  <c:v>60.769388501507237</c:v>
                </c:pt>
                <c:pt idx="88">
                  <c:v>60.728254270554814</c:v>
                </c:pt>
                <c:pt idx="89">
                  <c:v>60.704969776737997</c:v>
                </c:pt>
                <c:pt idx="90">
                  <c:v>60.657039849741508</c:v>
                </c:pt>
                <c:pt idx="91">
                  <c:v>60.633707568515938</c:v>
                </c:pt>
                <c:pt idx="92">
                  <c:v>60.65025252976055</c:v>
                </c:pt>
                <c:pt idx="93">
                  <c:v>60.646778327165954</c:v>
                </c:pt>
                <c:pt idx="94">
                  <c:v>60.634857671176704</c:v>
                </c:pt>
                <c:pt idx="95">
                  <c:v>60.57735462215166</c:v>
                </c:pt>
                <c:pt idx="96">
                  <c:v>60.507607805790919</c:v>
                </c:pt>
                <c:pt idx="97">
                  <c:v>60.469074726295133</c:v>
                </c:pt>
                <c:pt idx="98">
                  <c:v>60.449655518334446</c:v>
                </c:pt>
                <c:pt idx="99">
                  <c:v>60.376575203168194</c:v>
                </c:pt>
                <c:pt idx="100">
                  <c:v>60.349673033601135</c:v>
                </c:pt>
                <c:pt idx="101">
                  <c:v>60.325475700713703</c:v>
                </c:pt>
                <c:pt idx="102">
                  <c:v>60.275971243729643</c:v>
                </c:pt>
                <c:pt idx="103">
                  <c:v>60.219825239146594</c:v>
                </c:pt>
                <c:pt idx="104">
                  <c:v>60.136429257815472</c:v>
                </c:pt>
                <c:pt idx="105">
                  <c:v>60.050284878082238</c:v>
                </c:pt>
                <c:pt idx="106">
                  <c:v>59.96218482818341</c:v>
                </c:pt>
                <c:pt idx="107">
                  <c:v>59.845828238200582</c:v>
                </c:pt>
                <c:pt idx="108">
                  <c:v>59.674742000276382</c:v>
                </c:pt>
                <c:pt idx="109">
                  <c:v>59.471020126301354</c:v>
                </c:pt>
                <c:pt idx="110">
                  <c:v>59.269146969135178</c:v>
                </c:pt>
                <c:pt idx="111">
                  <c:v>59.095755427571021</c:v>
                </c:pt>
                <c:pt idx="112">
                  <c:v>58.942652451623324</c:v>
                </c:pt>
                <c:pt idx="113">
                  <c:v>58.796487824932917</c:v>
                </c:pt>
                <c:pt idx="114">
                  <c:v>58.654173766341891</c:v>
                </c:pt>
                <c:pt idx="115">
                  <c:v>58.507109534659818</c:v>
                </c:pt>
                <c:pt idx="116">
                  <c:v>58.348096065131358</c:v>
                </c:pt>
                <c:pt idx="117">
                  <c:v>58.209010102673965</c:v>
                </c:pt>
                <c:pt idx="118">
                  <c:v>58.073632146699204</c:v>
                </c:pt>
                <c:pt idx="119">
                  <c:v>57.937981559582809</c:v>
                </c:pt>
                <c:pt idx="120">
                  <c:v>57.784590314925396</c:v>
                </c:pt>
                <c:pt idx="121">
                  <c:v>57.619557003913634</c:v>
                </c:pt>
                <c:pt idx="122">
                  <c:v>57.45814728839251</c:v>
                </c:pt>
                <c:pt idx="123">
                  <c:v>57.294732232714232</c:v>
                </c:pt>
                <c:pt idx="124">
                  <c:v>57.114006434524015</c:v>
                </c:pt>
                <c:pt idx="125">
                  <c:v>56.888049063045287</c:v>
                </c:pt>
                <c:pt idx="126">
                  <c:v>56.671252928954821</c:v>
                </c:pt>
                <c:pt idx="127">
                  <c:v>56.440528957882897</c:v>
                </c:pt>
                <c:pt idx="128">
                  <c:v>56.202921108123064</c:v>
                </c:pt>
                <c:pt idx="129">
                  <c:v>55.968641059786947</c:v>
                </c:pt>
                <c:pt idx="130">
                  <c:v>55.720708134624672</c:v>
                </c:pt>
                <c:pt idx="131">
                  <c:v>55.478089926388208</c:v>
                </c:pt>
                <c:pt idx="132">
                  <c:v>55.209151429327328</c:v>
                </c:pt>
                <c:pt idx="133">
                  <c:v>54.935626212654512</c:v>
                </c:pt>
                <c:pt idx="134">
                  <c:v>54.665136023042905</c:v>
                </c:pt>
                <c:pt idx="135">
                  <c:v>54.379279218607699</c:v>
                </c:pt>
                <c:pt idx="136">
                  <c:v>54.086674980870008</c:v>
                </c:pt>
                <c:pt idx="137">
                  <c:v>53.797135375048576</c:v>
                </c:pt>
                <c:pt idx="138">
                  <c:v>53.510592538153482</c:v>
                </c:pt>
                <c:pt idx="139">
                  <c:v>53.233945404666507</c:v>
                </c:pt>
                <c:pt idx="140">
                  <c:v>52.979603928045663</c:v>
                </c:pt>
                <c:pt idx="141">
                  <c:v>52.726337775103204</c:v>
                </c:pt>
                <c:pt idx="142">
                  <c:v>52.510141954619037</c:v>
                </c:pt>
                <c:pt idx="143">
                  <c:v>52.300208969501739</c:v>
                </c:pt>
                <c:pt idx="144">
                  <c:v>52.105197405294987</c:v>
                </c:pt>
                <c:pt idx="145">
                  <c:v>51.90443198923834</c:v>
                </c:pt>
                <c:pt idx="146">
                  <c:v>51.703320700794862</c:v>
                </c:pt>
                <c:pt idx="147">
                  <c:v>51.504618558812886</c:v>
                </c:pt>
                <c:pt idx="148">
                  <c:v>51.317765538042792</c:v>
                </c:pt>
                <c:pt idx="149">
                  <c:v>51.122275447727517</c:v>
                </c:pt>
                <c:pt idx="150">
                  <c:v>50.927334757140649</c:v>
                </c:pt>
                <c:pt idx="151">
                  <c:v>50.725906958197598</c:v>
                </c:pt>
                <c:pt idx="152">
                  <c:v>50.516082949741183</c:v>
                </c:pt>
                <c:pt idx="153">
                  <c:v>50.276696979038491</c:v>
                </c:pt>
                <c:pt idx="154">
                  <c:v>50.01830971322854</c:v>
                </c:pt>
                <c:pt idx="155">
                  <c:v>49.736507832062372</c:v>
                </c:pt>
                <c:pt idx="156">
                  <c:v>49.434427771527531</c:v>
                </c:pt>
                <c:pt idx="157">
                  <c:v>49.126821160482173</c:v>
                </c:pt>
                <c:pt idx="158">
                  <c:v>48.800866026273738</c:v>
                </c:pt>
                <c:pt idx="159">
                  <c:v>48.45851301102266</c:v>
                </c:pt>
                <c:pt idx="160">
                  <c:v>48.10588776252218</c:v>
                </c:pt>
                <c:pt idx="161">
                  <c:v>47.72478747351699</c:v>
                </c:pt>
                <c:pt idx="162">
                  <c:v>47.336384834787879</c:v>
                </c:pt>
                <c:pt idx="163">
                  <c:v>46.960266843321818</c:v>
                </c:pt>
                <c:pt idx="164">
                  <c:v>46.583376372241744</c:v>
                </c:pt>
                <c:pt idx="165">
                  <c:v>46.209110373643469</c:v>
                </c:pt>
                <c:pt idx="166">
                  <c:v>45.835159477353912</c:v>
                </c:pt>
                <c:pt idx="167">
                  <c:v>45.45656081019915</c:v>
                </c:pt>
                <c:pt idx="168">
                  <c:v>45.082065969852394</c:v>
                </c:pt>
                <c:pt idx="169">
                  <c:v>44.707221188279163</c:v>
                </c:pt>
                <c:pt idx="170">
                  <c:v>44.33262851814861</c:v>
                </c:pt>
                <c:pt idx="171">
                  <c:v>43.957789478575172</c:v>
                </c:pt>
                <c:pt idx="172">
                  <c:v>43.588283973560323</c:v>
                </c:pt>
                <c:pt idx="173">
                  <c:v>43.208301612178644</c:v>
                </c:pt>
                <c:pt idx="174">
                  <c:v>42.96309628573384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F-4933-BECA-8283129DD41C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data_ghg_excLUC!$F$3:$F$177</c:f>
              <c:numCache>
                <c:formatCode>0.0</c:formatCode>
                <c:ptCount val="175"/>
                <c:pt idx="0">
                  <c:v>12.605347319943711</c:v>
                </c:pt>
                <c:pt idx="1">
                  <c:v>12.657048633428211</c:v>
                </c:pt>
                <c:pt idx="2">
                  <c:v>12.691901444942317</c:v>
                </c:pt>
                <c:pt idx="3">
                  <c:v>12.709509654144924</c:v>
                </c:pt>
                <c:pt idx="4">
                  <c:v>12.671461044173199</c:v>
                </c:pt>
                <c:pt idx="5">
                  <c:v>12.662923656239677</c:v>
                </c:pt>
                <c:pt idx="6">
                  <c:v>12.651470803582313</c:v>
                </c:pt>
                <c:pt idx="7">
                  <c:v>12.653890936703696</c:v>
                </c:pt>
                <c:pt idx="8">
                  <c:v>12.66782765051061</c:v>
                </c:pt>
                <c:pt idx="9">
                  <c:v>12.668861733110205</c:v>
                </c:pt>
                <c:pt idx="10">
                  <c:v>12.657655470695062</c:v>
                </c:pt>
                <c:pt idx="11">
                  <c:v>12.64616445160452</c:v>
                </c:pt>
                <c:pt idx="12">
                  <c:v>12.646133577131643</c:v>
                </c:pt>
                <c:pt idx="13">
                  <c:v>12.643889132590068</c:v>
                </c:pt>
                <c:pt idx="14">
                  <c:v>12.636796139966449</c:v>
                </c:pt>
                <c:pt idx="15">
                  <c:v>12.62870577410019</c:v>
                </c:pt>
                <c:pt idx="16">
                  <c:v>12.62639025418202</c:v>
                </c:pt>
                <c:pt idx="17">
                  <c:v>12.621552191623103</c:v>
                </c:pt>
                <c:pt idx="18">
                  <c:v>12.62105802086505</c:v>
                </c:pt>
                <c:pt idx="19">
                  <c:v>12.617807326209658</c:v>
                </c:pt>
                <c:pt idx="20">
                  <c:v>12.618749956124326</c:v>
                </c:pt>
                <c:pt idx="21">
                  <c:v>12.623563920959903</c:v>
                </c:pt>
                <c:pt idx="22">
                  <c:v>12.6167975188527</c:v>
                </c:pt>
                <c:pt idx="23">
                  <c:v>12.606614194729616</c:v>
                </c:pt>
                <c:pt idx="24">
                  <c:v>12.62262049222096</c:v>
                </c:pt>
                <c:pt idx="25">
                  <c:v>12.627291139221029</c:v>
                </c:pt>
                <c:pt idx="26">
                  <c:v>12.652924900456398</c:v>
                </c:pt>
                <c:pt idx="27">
                  <c:v>12.675543461828298</c:v>
                </c:pt>
                <c:pt idx="28">
                  <c:v>12.707225218134106</c:v>
                </c:pt>
                <c:pt idx="29">
                  <c:v>12.733217500426079</c:v>
                </c:pt>
                <c:pt idx="30">
                  <c:v>12.741344743383145</c:v>
                </c:pt>
                <c:pt idx="31">
                  <c:v>12.748241565460958</c:v>
                </c:pt>
                <c:pt idx="32">
                  <c:v>12.749316349164182</c:v>
                </c:pt>
                <c:pt idx="33">
                  <c:v>12.750452938837441</c:v>
                </c:pt>
                <c:pt idx="34">
                  <c:v>12.755628845614041</c:v>
                </c:pt>
                <c:pt idx="35">
                  <c:v>12.767161531965257</c:v>
                </c:pt>
                <c:pt idx="36">
                  <c:v>12.779929958634547</c:v>
                </c:pt>
                <c:pt idx="37">
                  <c:v>12.788352067352321</c:v>
                </c:pt>
                <c:pt idx="38">
                  <c:v>12.786981022031298</c:v>
                </c:pt>
                <c:pt idx="39">
                  <c:v>12.795421800119101</c:v>
                </c:pt>
                <c:pt idx="40">
                  <c:v>12.796546330071223</c:v>
                </c:pt>
                <c:pt idx="41">
                  <c:v>12.79931072295566</c:v>
                </c:pt>
                <c:pt idx="42">
                  <c:v>12.801568056697967</c:v>
                </c:pt>
                <c:pt idx="43">
                  <c:v>12.817217132401275</c:v>
                </c:pt>
                <c:pt idx="44">
                  <c:v>12.828001079293443</c:v>
                </c:pt>
                <c:pt idx="45">
                  <c:v>12.839208562220421</c:v>
                </c:pt>
                <c:pt idx="46">
                  <c:v>12.850050025679266</c:v>
                </c:pt>
                <c:pt idx="47">
                  <c:v>12.863131516876102</c:v>
                </c:pt>
                <c:pt idx="48">
                  <c:v>12.87840610905284</c:v>
                </c:pt>
                <c:pt idx="49">
                  <c:v>12.885469680681602</c:v>
                </c:pt>
                <c:pt idx="50">
                  <c:v>12.891102421585543</c:v>
                </c:pt>
                <c:pt idx="51">
                  <c:v>12.898698460096007</c:v>
                </c:pt>
                <c:pt idx="52">
                  <c:v>12.898510856884947</c:v>
                </c:pt>
                <c:pt idx="53">
                  <c:v>12.881835425516741</c:v>
                </c:pt>
                <c:pt idx="54">
                  <c:v>12.873168421014739</c:v>
                </c:pt>
                <c:pt idx="55">
                  <c:v>12.850206179381317</c:v>
                </c:pt>
                <c:pt idx="56">
                  <c:v>12.831179053719119</c:v>
                </c:pt>
                <c:pt idx="57">
                  <c:v>12.79952047515355</c:v>
                </c:pt>
                <c:pt idx="58">
                  <c:v>12.785630738859055</c:v>
                </c:pt>
                <c:pt idx="59">
                  <c:v>12.770858316604993</c:v>
                </c:pt>
                <c:pt idx="60">
                  <c:v>12.744473266904834</c:v>
                </c:pt>
                <c:pt idx="61">
                  <c:v>12.720403155887837</c:v>
                </c:pt>
                <c:pt idx="62">
                  <c:v>12.701859344868765</c:v>
                </c:pt>
                <c:pt idx="63">
                  <c:v>12.674905878374247</c:v>
                </c:pt>
                <c:pt idx="64">
                  <c:v>12.651031939815667</c:v>
                </c:pt>
                <c:pt idx="65">
                  <c:v>12.624207131205118</c:v>
                </c:pt>
                <c:pt idx="66">
                  <c:v>12.592499484891221</c:v>
                </c:pt>
                <c:pt idx="67">
                  <c:v>12.551642251935711</c:v>
                </c:pt>
                <c:pt idx="68">
                  <c:v>12.471113749165127</c:v>
                </c:pt>
                <c:pt idx="69">
                  <c:v>12.36989455654404</c:v>
                </c:pt>
                <c:pt idx="70">
                  <c:v>12.276501817248601</c:v>
                </c:pt>
                <c:pt idx="71">
                  <c:v>12.214361941045681</c:v>
                </c:pt>
                <c:pt idx="72">
                  <c:v>12.147062988990925</c:v>
                </c:pt>
                <c:pt idx="73">
                  <c:v>12.055737411927794</c:v>
                </c:pt>
                <c:pt idx="74">
                  <c:v>11.975185516714411</c:v>
                </c:pt>
                <c:pt idx="75">
                  <c:v>11.895893937758345</c:v>
                </c:pt>
                <c:pt idx="76">
                  <c:v>11.835976953246167</c:v>
                </c:pt>
                <c:pt idx="77">
                  <c:v>11.778168378178883</c:v>
                </c:pt>
                <c:pt idx="78">
                  <c:v>11.730639220346355</c:v>
                </c:pt>
                <c:pt idx="79">
                  <c:v>11.683085510060195</c:v>
                </c:pt>
                <c:pt idx="80">
                  <c:v>11.660885263321873</c:v>
                </c:pt>
                <c:pt idx="81">
                  <c:v>11.66853239120983</c:v>
                </c:pt>
                <c:pt idx="82">
                  <c:v>11.691190162916904</c:v>
                </c:pt>
                <c:pt idx="83">
                  <c:v>11.712882445749003</c:v>
                </c:pt>
                <c:pt idx="84">
                  <c:v>11.740626955512397</c:v>
                </c:pt>
                <c:pt idx="85">
                  <c:v>11.772224498856076</c:v>
                </c:pt>
                <c:pt idx="86">
                  <c:v>11.804998060666868</c:v>
                </c:pt>
                <c:pt idx="87">
                  <c:v>11.830341353830903</c:v>
                </c:pt>
                <c:pt idx="88">
                  <c:v>11.873615041571114</c:v>
                </c:pt>
                <c:pt idx="89">
                  <c:v>11.905392367812624</c:v>
                </c:pt>
                <c:pt idx="90">
                  <c:v>11.980920096657925</c:v>
                </c:pt>
                <c:pt idx="91">
                  <c:v>12.030636591255011</c:v>
                </c:pt>
                <c:pt idx="92">
                  <c:v>12.048118157593265</c:v>
                </c:pt>
                <c:pt idx="93">
                  <c:v>12.08373735751811</c:v>
                </c:pt>
                <c:pt idx="94">
                  <c:v>12.107394444775977</c:v>
                </c:pt>
                <c:pt idx="95">
                  <c:v>12.110759562896419</c:v>
                </c:pt>
                <c:pt idx="96">
                  <c:v>12.125419263098415</c:v>
                </c:pt>
                <c:pt idx="97">
                  <c:v>12.141807959382334</c:v>
                </c:pt>
                <c:pt idx="98">
                  <c:v>12.15959016287119</c:v>
                </c:pt>
                <c:pt idx="99">
                  <c:v>12.204506933081198</c:v>
                </c:pt>
                <c:pt idx="100">
                  <c:v>12.252086193008395</c:v>
                </c:pt>
                <c:pt idx="101">
                  <c:v>12.302722427854384</c:v>
                </c:pt>
                <c:pt idx="102">
                  <c:v>12.365537295588908</c:v>
                </c:pt>
                <c:pt idx="103">
                  <c:v>12.436312320332043</c:v>
                </c:pt>
                <c:pt idx="104">
                  <c:v>12.520529512493361</c:v>
                </c:pt>
                <c:pt idx="105">
                  <c:v>12.479614456422695</c:v>
                </c:pt>
                <c:pt idx="106">
                  <c:v>12.327963757348058</c:v>
                </c:pt>
                <c:pt idx="107">
                  <c:v>12.16622188556434</c:v>
                </c:pt>
                <c:pt idx="108">
                  <c:v>11.985056657971199</c:v>
                </c:pt>
                <c:pt idx="109">
                  <c:v>11.783012556221394</c:v>
                </c:pt>
                <c:pt idx="110">
                  <c:v>11.579562745533238</c:v>
                </c:pt>
                <c:pt idx="111">
                  <c:v>11.397704275291446</c:v>
                </c:pt>
                <c:pt idx="112">
                  <c:v>11.226209083334545</c:v>
                </c:pt>
                <c:pt idx="113">
                  <c:v>11.048392641147593</c:v>
                </c:pt>
                <c:pt idx="114">
                  <c:v>10.869302079190355</c:v>
                </c:pt>
                <c:pt idx="115">
                  <c:v>10.683013353497998</c:v>
                </c:pt>
                <c:pt idx="116">
                  <c:v>10.496152379985077</c:v>
                </c:pt>
                <c:pt idx="117">
                  <c:v>10.315532416883094</c:v>
                </c:pt>
                <c:pt idx="118">
                  <c:v>10.140480825232821</c:v>
                </c:pt>
                <c:pt idx="119">
                  <c:v>9.9543290739492534</c:v>
                </c:pt>
                <c:pt idx="120">
                  <c:v>9.7610066753788374</c:v>
                </c:pt>
                <c:pt idx="121">
                  <c:v>9.5544029314092924</c:v>
                </c:pt>
                <c:pt idx="122">
                  <c:v>9.3467378221790369</c:v>
                </c:pt>
                <c:pt idx="123">
                  <c:v>9.1336605109418727</c:v>
                </c:pt>
                <c:pt idx="124">
                  <c:v>8.9224496986284265</c:v>
                </c:pt>
                <c:pt idx="125">
                  <c:v>8.7167955685202116</c:v>
                </c:pt>
                <c:pt idx="126">
                  <c:v>8.5073587609973558</c:v>
                </c:pt>
                <c:pt idx="127">
                  <c:v>8.3012026736086497</c:v>
                </c:pt>
                <c:pt idx="128">
                  <c:v>8.0949648084797019</c:v>
                </c:pt>
                <c:pt idx="129">
                  <c:v>7.8968511693563599</c:v>
                </c:pt>
                <c:pt idx="130">
                  <c:v>7.7127848843621152</c:v>
                </c:pt>
                <c:pt idx="131">
                  <c:v>7.5488791103590103</c:v>
                </c:pt>
                <c:pt idx="132">
                  <c:v>7.3891571969190082</c:v>
                </c:pt>
                <c:pt idx="133">
                  <c:v>7.233508684348017</c:v>
                </c:pt>
                <c:pt idx="134">
                  <c:v>7.0770093469794233</c:v>
                </c:pt>
                <c:pt idx="135">
                  <c:v>6.9158160580919983</c:v>
                </c:pt>
                <c:pt idx="136">
                  <c:v>6.7577917598057553</c:v>
                </c:pt>
                <c:pt idx="137">
                  <c:v>6.6070857900932793</c:v>
                </c:pt>
                <c:pt idx="138">
                  <c:v>6.4518861452141323</c:v>
                </c:pt>
                <c:pt idx="139">
                  <c:v>6.3094603886872136</c:v>
                </c:pt>
                <c:pt idx="140">
                  <c:v>6.1807590324486412</c:v>
                </c:pt>
                <c:pt idx="141">
                  <c:v>6.04451661354598</c:v>
                </c:pt>
                <c:pt idx="142">
                  <c:v>5.9329491639145573</c:v>
                </c:pt>
                <c:pt idx="143">
                  <c:v>5.8215252545141709</c:v>
                </c:pt>
                <c:pt idx="144">
                  <c:v>5.7114607696777497</c:v>
                </c:pt>
                <c:pt idx="145">
                  <c:v>5.6023579052706864</c:v>
                </c:pt>
                <c:pt idx="146">
                  <c:v>5.4953234144060659</c:v>
                </c:pt>
                <c:pt idx="147">
                  <c:v>5.3951638835284186</c:v>
                </c:pt>
                <c:pt idx="148">
                  <c:v>5.3097307346315716</c:v>
                </c:pt>
                <c:pt idx="149">
                  <c:v>5.2295552152537965</c:v>
                </c:pt>
                <c:pt idx="150">
                  <c:v>5.1497356805052448</c:v>
                </c:pt>
                <c:pt idx="151">
                  <c:v>5.0735891119550445</c:v>
                </c:pt>
                <c:pt idx="152">
                  <c:v>5.0023126062127332</c:v>
                </c:pt>
                <c:pt idx="153">
                  <c:v>4.9215278301883458</c:v>
                </c:pt>
                <c:pt idx="154">
                  <c:v>4.8430255377138707</c:v>
                </c:pt>
                <c:pt idx="155">
                  <c:v>4.7634687579436346</c:v>
                </c:pt>
                <c:pt idx="156">
                  <c:v>4.6754285395054893</c:v>
                </c:pt>
                <c:pt idx="157">
                  <c:v>4.5842926133348811</c:v>
                </c:pt>
                <c:pt idx="158">
                  <c:v>4.486493406554402</c:v>
                </c:pt>
                <c:pt idx="159">
                  <c:v>4.3883684168416863</c:v>
                </c:pt>
                <c:pt idx="160">
                  <c:v>4.2788593774485761</c:v>
                </c:pt>
                <c:pt idx="161">
                  <c:v>4.1638925081705125</c:v>
                </c:pt>
                <c:pt idx="162">
                  <c:v>4.0501225320114287</c:v>
                </c:pt>
                <c:pt idx="163">
                  <c:v>3.9430081685862177</c:v>
                </c:pt>
                <c:pt idx="164">
                  <c:v>3.8425090511290421</c:v>
                </c:pt>
                <c:pt idx="165">
                  <c:v>3.7531986127933266</c:v>
                </c:pt>
                <c:pt idx="166">
                  <c:v>3.6719539173387119</c:v>
                </c:pt>
                <c:pt idx="167">
                  <c:v>3.5948491652481138</c:v>
                </c:pt>
                <c:pt idx="168">
                  <c:v>3.5150052021301121</c:v>
                </c:pt>
                <c:pt idx="169">
                  <c:v>3.4304351390610677</c:v>
                </c:pt>
                <c:pt idx="170">
                  <c:v>3.3535062064522023</c:v>
                </c:pt>
                <c:pt idx="171">
                  <c:v>3.2778961497919639</c:v>
                </c:pt>
                <c:pt idx="172">
                  <c:v>3.1957240707559862</c:v>
                </c:pt>
                <c:pt idx="173">
                  <c:v>3.1127084993035083</c:v>
                </c:pt>
                <c:pt idx="174">
                  <c:v>2.8997722374218782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CF-4933-BECA-8283129DD41C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data_ghg_excLUC!$G$3:$G$177</c:f>
              <c:numCache>
                <c:formatCode>0.0</c:formatCode>
                <c:ptCount val="175"/>
                <c:pt idx="0">
                  <c:v>3.4773532644972676</c:v>
                </c:pt>
                <c:pt idx="1">
                  <c:v>3.3839640563743671</c:v>
                </c:pt>
                <c:pt idx="2">
                  <c:v>3.3752700326158944</c:v>
                </c:pt>
                <c:pt idx="3">
                  <c:v>3.4263344451556534</c:v>
                </c:pt>
                <c:pt idx="4">
                  <c:v>3.7031088560483951</c:v>
                </c:pt>
                <c:pt idx="5">
                  <c:v>3.8535587578031851</c:v>
                </c:pt>
                <c:pt idx="6">
                  <c:v>4.0052774990557367</c:v>
                </c:pt>
                <c:pt idx="7">
                  <c:v>4.0955797827864302</c:v>
                </c:pt>
                <c:pt idx="8">
                  <c:v>4.136357954389382</c:v>
                </c:pt>
                <c:pt idx="9">
                  <c:v>4.2172110471212036</c:v>
                </c:pt>
                <c:pt idx="10">
                  <c:v>4.3413428189962175</c:v>
                </c:pt>
                <c:pt idx="11">
                  <c:v>4.4568370869289637</c:v>
                </c:pt>
                <c:pt idx="12">
                  <c:v>4.5335542409588143</c:v>
                </c:pt>
                <c:pt idx="13">
                  <c:v>4.61142816182128</c:v>
                </c:pt>
                <c:pt idx="14">
                  <c:v>4.7019123665605775</c:v>
                </c:pt>
                <c:pt idx="15">
                  <c:v>4.7919608102545439</c:v>
                </c:pt>
                <c:pt idx="16">
                  <c:v>4.8614524093522746</c:v>
                </c:pt>
                <c:pt idx="17">
                  <c:v>4.9357719474070549</c:v>
                </c:pt>
                <c:pt idx="18">
                  <c:v>4.9921368435077795</c:v>
                </c:pt>
                <c:pt idx="19">
                  <c:v>5.0541188411447422</c:v>
                </c:pt>
                <c:pt idx="20">
                  <c:v>5.0954017581375339</c:v>
                </c:pt>
                <c:pt idx="21">
                  <c:v>5.1253847742624998</c:v>
                </c:pt>
                <c:pt idx="22">
                  <c:v>5.1789720591712936</c:v>
                </c:pt>
                <c:pt idx="23">
                  <c:v>5.2351228411393933</c:v>
                </c:pt>
                <c:pt idx="24">
                  <c:v>5.2262421064325366</c:v>
                </c:pt>
                <c:pt idx="25">
                  <c:v>5.2387089318625115</c:v>
                </c:pt>
                <c:pt idx="26">
                  <c:v>5.2060312438547811</c:v>
                </c:pt>
                <c:pt idx="27">
                  <c:v>5.1765656854668052</c:v>
                </c:pt>
                <c:pt idx="28">
                  <c:v>5.1220385213075375</c:v>
                </c:pt>
                <c:pt idx="29">
                  <c:v>5.0775140655421822</c:v>
                </c:pt>
                <c:pt idx="30">
                  <c:v>5.0630761060753002</c:v>
                </c:pt>
                <c:pt idx="31">
                  <c:v>5.0528748319189418</c:v>
                </c:pt>
                <c:pt idx="32">
                  <c:v>5.0501352790264491</c:v>
                </c:pt>
                <c:pt idx="33">
                  <c:v>5.0439476370001728</c:v>
                </c:pt>
                <c:pt idx="34">
                  <c:v>5.0260002919116005</c:v>
                </c:pt>
                <c:pt idx="35">
                  <c:v>4.9933457862753627</c:v>
                </c:pt>
                <c:pt idx="36">
                  <c:v>4.9581964104615395</c:v>
                </c:pt>
                <c:pt idx="37">
                  <c:v>4.9288084412996298</c:v>
                </c:pt>
                <c:pt idx="38">
                  <c:v>4.9116077221763987</c:v>
                </c:pt>
                <c:pt idx="39">
                  <c:v>4.8724287423223061</c:v>
                </c:pt>
                <c:pt idx="40">
                  <c:v>4.8447635699991238</c:v>
                </c:pt>
                <c:pt idx="41">
                  <c:v>4.8082928125002198</c:v>
                </c:pt>
                <c:pt idx="42">
                  <c:v>4.7695231467197843</c:v>
                </c:pt>
                <c:pt idx="43">
                  <c:v>4.703700731414088</c:v>
                </c:pt>
                <c:pt idx="44">
                  <c:v>4.6424407207216092</c:v>
                </c:pt>
                <c:pt idx="45">
                  <c:v>4.5753908222458506</c:v>
                </c:pt>
                <c:pt idx="46">
                  <c:v>4.5061941051931171</c:v>
                </c:pt>
                <c:pt idx="47">
                  <c:v>4.4291082014449614</c:v>
                </c:pt>
                <c:pt idx="48">
                  <c:v>4.3423893228162598</c:v>
                </c:pt>
                <c:pt idx="49">
                  <c:v>4.2622482947186739</c:v>
                </c:pt>
                <c:pt idx="50">
                  <c:v>4.1804107165130091</c:v>
                </c:pt>
                <c:pt idx="51">
                  <c:v>4.0936963090817642</c:v>
                </c:pt>
                <c:pt idx="52">
                  <c:v>4.0199053964124118</c:v>
                </c:pt>
                <c:pt idx="53">
                  <c:v>3.9655232040620234</c:v>
                </c:pt>
                <c:pt idx="54">
                  <c:v>3.8974649471103078</c:v>
                </c:pt>
                <c:pt idx="55">
                  <c:v>3.8475738632886589</c:v>
                </c:pt>
                <c:pt idx="56">
                  <c:v>3.7878098999482432</c:v>
                </c:pt>
                <c:pt idx="57">
                  <c:v>3.7150193383973971</c:v>
                </c:pt>
                <c:pt idx="58">
                  <c:v>3.6192780706874714</c:v>
                </c:pt>
                <c:pt idx="59">
                  <c:v>3.5243640349190173</c:v>
                </c:pt>
                <c:pt idx="60">
                  <c:v>3.4445969017394873</c:v>
                </c:pt>
                <c:pt idx="61">
                  <c:v>3.3616416611420021</c:v>
                </c:pt>
                <c:pt idx="62">
                  <c:v>3.2644073457518488</c:v>
                </c:pt>
                <c:pt idx="63">
                  <c:v>3.1658691412206537</c:v>
                </c:pt>
                <c:pt idx="64">
                  <c:v>3.0871945968608827</c:v>
                </c:pt>
                <c:pt idx="65">
                  <c:v>3.0230235113060218</c:v>
                </c:pt>
                <c:pt idx="66">
                  <c:v>2.9575188569119746</c:v>
                </c:pt>
                <c:pt idx="67">
                  <c:v>2.906143825385243</c:v>
                </c:pt>
                <c:pt idx="68">
                  <c:v>2.9205559052047079</c:v>
                </c:pt>
                <c:pt idx="69">
                  <c:v>2.98507917350517</c:v>
                </c:pt>
                <c:pt idx="70">
                  <c:v>3.0116448007342029</c:v>
                </c:pt>
                <c:pt idx="71">
                  <c:v>3.009894205992893</c:v>
                </c:pt>
                <c:pt idx="72">
                  <c:v>3.0143238854473253</c:v>
                </c:pt>
                <c:pt idx="73">
                  <c:v>3.0435858340560031</c:v>
                </c:pt>
                <c:pt idx="74">
                  <c:v>3.0584015529246642</c:v>
                </c:pt>
                <c:pt idx="75">
                  <c:v>3.0744374073286593</c:v>
                </c:pt>
                <c:pt idx="76">
                  <c:v>3.072856914051215</c:v>
                </c:pt>
                <c:pt idx="77">
                  <c:v>3.0603097844288953</c:v>
                </c:pt>
                <c:pt idx="78">
                  <c:v>3.0411997251388811</c:v>
                </c:pt>
                <c:pt idx="79">
                  <c:v>3.0160851528497119</c:v>
                </c:pt>
                <c:pt idx="80">
                  <c:v>2.9712311254701689</c:v>
                </c:pt>
                <c:pt idx="81">
                  <c:v>2.9002766904503119</c:v>
                </c:pt>
                <c:pt idx="82">
                  <c:v>2.8184127704797675</c:v>
                </c:pt>
                <c:pt idx="83">
                  <c:v>2.7325728662737703</c:v>
                </c:pt>
                <c:pt idx="84">
                  <c:v>2.6257608498224698</c:v>
                </c:pt>
                <c:pt idx="85">
                  <c:v>2.5063248554971125</c:v>
                </c:pt>
                <c:pt idx="86">
                  <c:v>2.376650037961852</c:v>
                </c:pt>
                <c:pt idx="87">
                  <c:v>2.2502862907544738</c:v>
                </c:pt>
                <c:pt idx="88">
                  <c:v>2.110209899764584</c:v>
                </c:pt>
                <c:pt idx="89">
                  <c:v>1.980885714956969</c:v>
                </c:pt>
                <c:pt idx="90">
                  <c:v>1.7793835583961055</c:v>
                </c:pt>
                <c:pt idx="91">
                  <c:v>1.6211795023892819</c:v>
                </c:pt>
                <c:pt idx="92">
                  <c:v>1.5307490126320005</c:v>
                </c:pt>
                <c:pt idx="93">
                  <c:v>1.439387576823961</c:v>
                </c:pt>
                <c:pt idx="94">
                  <c:v>1.3399791269603014</c:v>
                </c:pt>
                <c:pt idx="95">
                  <c:v>1.30089537958888</c:v>
                </c:pt>
                <c:pt idx="96">
                  <c:v>1.2395621302802056</c:v>
                </c:pt>
                <c:pt idx="97">
                  <c:v>1.1577209083298925</c:v>
                </c:pt>
                <c:pt idx="98">
                  <c:v>1.075484020866341</c:v>
                </c:pt>
                <c:pt idx="99">
                  <c:v>0.9664162087741488</c:v>
                </c:pt>
                <c:pt idx="100">
                  <c:v>0.82185291456814014</c:v>
                </c:pt>
                <c:pt idx="101">
                  <c:v>0.66637287757529862</c:v>
                </c:pt>
                <c:pt idx="102">
                  <c:v>0.49172354686641029</c:v>
                </c:pt>
                <c:pt idx="103">
                  <c:v>0.30842981123996083</c:v>
                </c:pt>
                <c:pt idx="104">
                  <c:v>0.1027499704535586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CF-4933-BECA-8283129DD41C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data_ghg_excLUC!$H$3:$H$177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0.13247256043842981</c:v>
                </c:pt>
                <c:pt idx="106">
                  <c:v>0.38393493022451253</c:v>
                </c:pt>
                <c:pt idx="107">
                  <c:v>0.66101937038109781</c:v>
                </c:pt>
                <c:pt idx="108">
                  <c:v>0.96450251114791286</c:v>
                </c:pt>
                <c:pt idx="109">
                  <c:v>1.2867133650941582</c:v>
                </c:pt>
                <c:pt idx="110">
                  <c:v>1.6067145456699734</c:v>
                </c:pt>
                <c:pt idx="111">
                  <c:v>1.9117089146093207</c:v>
                </c:pt>
                <c:pt idx="112">
                  <c:v>2.2120146351113021</c:v>
                </c:pt>
                <c:pt idx="113">
                  <c:v>2.5237716016700631</c:v>
                </c:pt>
                <c:pt idx="114">
                  <c:v>2.8399636313982626</c:v>
                </c:pt>
                <c:pt idx="115">
                  <c:v>3.1622803488635896</c:v>
                </c:pt>
                <c:pt idx="116">
                  <c:v>3.4840798879596235</c:v>
                </c:pt>
                <c:pt idx="117">
                  <c:v>3.8019956900949126</c:v>
                </c:pt>
                <c:pt idx="118">
                  <c:v>4.1052794084749706</c:v>
                </c:pt>
                <c:pt idx="119">
                  <c:v>4.4109713796073891</c:v>
                </c:pt>
                <c:pt idx="120">
                  <c:v>4.7161381616217852</c:v>
                </c:pt>
                <c:pt idx="121">
                  <c:v>5.0366513234468187</c:v>
                </c:pt>
                <c:pt idx="122">
                  <c:v>5.3605415170347328</c:v>
                </c:pt>
                <c:pt idx="123">
                  <c:v>5.6858387643858919</c:v>
                </c:pt>
                <c:pt idx="124">
                  <c:v>6.0170073058248903</c:v>
                </c:pt>
                <c:pt idx="125">
                  <c:v>6.3560622040463954</c:v>
                </c:pt>
                <c:pt idx="126">
                  <c:v>6.6954946402146902</c:v>
                </c:pt>
                <c:pt idx="127">
                  <c:v>7.0304545920595132</c:v>
                </c:pt>
                <c:pt idx="128">
                  <c:v>7.3632752584539816</c:v>
                </c:pt>
                <c:pt idx="129">
                  <c:v>7.6751847160107829</c:v>
                </c:pt>
                <c:pt idx="130">
                  <c:v>7.9825962830713237</c:v>
                </c:pt>
                <c:pt idx="131">
                  <c:v>8.2612417376353307</c:v>
                </c:pt>
                <c:pt idx="132">
                  <c:v>8.5406227136342636</c:v>
                </c:pt>
                <c:pt idx="133">
                  <c:v>8.8123850054356225</c:v>
                </c:pt>
                <c:pt idx="134">
                  <c:v>9.0753928787564035</c:v>
                </c:pt>
                <c:pt idx="135">
                  <c:v>9.3494454638831854</c:v>
                </c:pt>
                <c:pt idx="136">
                  <c:v>9.6156892686292892</c:v>
                </c:pt>
                <c:pt idx="137">
                  <c:v>9.8631982023189479</c:v>
                </c:pt>
                <c:pt idx="138">
                  <c:v>10.102244617703001</c:v>
                </c:pt>
                <c:pt idx="139">
                  <c:v>10.310213813621637</c:v>
                </c:pt>
                <c:pt idx="140">
                  <c:v>10.483719205212857</c:v>
                </c:pt>
                <c:pt idx="141">
                  <c:v>10.634214780645323</c:v>
                </c:pt>
                <c:pt idx="142">
                  <c:v>10.721917377782994</c:v>
                </c:pt>
                <c:pt idx="143">
                  <c:v>10.790336479588376</c:v>
                </c:pt>
                <c:pt idx="144">
                  <c:v>10.829418554345942</c:v>
                </c:pt>
                <c:pt idx="145">
                  <c:v>10.856908582332366</c:v>
                </c:pt>
                <c:pt idx="146">
                  <c:v>10.87297468224606</c:v>
                </c:pt>
                <c:pt idx="147">
                  <c:v>10.874404123495069</c:v>
                </c:pt>
                <c:pt idx="148">
                  <c:v>10.858234455845846</c:v>
                </c:pt>
                <c:pt idx="149">
                  <c:v>10.831758904638065</c:v>
                </c:pt>
                <c:pt idx="150">
                  <c:v>10.799990152809592</c:v>
                </c:pt>
                <c:pt idx="151">
                  <c:v>10.768990519681537</c:v>
                </c:pt>
                <c:pt idx="152">
                  <c:v>10.728476744496504</c:v>
                </c:pt>
                <c:pt idx="153">
                  <c:v>10.693119983934473</c:v>
                </c:pt>
                <c:pt idx="154">
                  <c:v>10.651030008469782</c:v>
                </c:pt>
                <c:pt idx="155">
                  <c:v>10.606659994713361</c:v>
                </c:pt>
                <c:pt idx="156">
                  <c:v>10.573869609008433</c:v>
                </c:pt>
                <c:pt idx="157">
                  <c:v>10.544518063344348</c:v>
                </c:pt>
                <c:pt idx="158">
                  <c:v>10.522659945750547</c:v>
                </c:pt>
                <c:pt idx="159">
                  <c:v>10.496659026537657</c:v>
                </c:pt>
                <c:pt idx="160">
                  <c:v>10.481459805188344</c:v>
                </c:pt>
                <c:pt idx="161">
                  <c:v>10.472326371337459</c:v>
                </c:pt>
                <c:pt idx="162">
                  <c:v>10.463293398368855</c:v>
                </c:pt>
                <c:pt idx="163">
                  <c:v>10.444706961400612</c:v>
                </c:pt>
                <c:pt idx="164">
                  <c:v>10.419492312057187</c:v>
                </c:pt>
                <c:pt idx="165">
                  <c:v>10.384924561962428</c:v>
                </c:pt>
                <c:pt idx="166">
                  <c:v>10.347776358540074</c:v>
                </c:pt>
                <c:pt idx="167">
                  <c:v>10.30896948887807</c:v>
                </c:pt>
                <c:pt idx="168">
                  <c:v>10.275979524699387</c:v>
                </c:pt>
                <c:pt idx="169">
                  <c:v>10.249015775525905</c:v>
                </c:pt>
                <c:pt idx="170">
                  <c:v>10.221976299307215</c:v>
                </c:pt>
                <c:pt idx="171">
                  <c:v>10.193452725255753</c:v>
                </c:pt>
                <c:pt idx="172">
                  <c:v>10.168359239198807</c:v>
                </c:pt>
                <c:pt idx="173">
                  <c:v>10.144226549393665</c:v>
                </c:pt>
                <c:pt idx="174">
                  <c:v>10.287659069900201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CF-4933-BECA-8283129DD41C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data_ghg_excLUC!$Q$3:$Q$177</c:f>
              <c:numCache>
                <c:formatCode>0.0</c:formatCode>
                <c:ptCount val="175"/>
                <c:pt idx="0">
                  <c:v>11.196293842807812</c:v>
                </c:pt>
                <c:pt idx="1">
                  <c:v>11.262922399801141</c:v>
                </c:pt>
                <c:pt idx="2">
                  <c:v>11.297459911497107</c:v>
                </c:pt>
                <c:pt idx="3">
                  <c:v>11.295563196970448</c:v>
                </c:pt>
                <c:pt idx="4">
                  <c:v>11.184885105342737</c:v>
                </c:pt>
                <c:pt idx="5">
                  <c:v>11.140957450519068</c:v>
                </c:pt>
                <c:pt idx="6">
                  <c:v>11.084565916651407</c:v>
                </c:pt>
                <c:pt idx="7">
                  <c:v>11.056068005340819</c:v>
                </c:pt>
                <c:pt idx="8">
                  <c:v>11.056819024872375</c:v>
                </c:pt>
                <c:pt idx="9">
                  <c:v>11.031504144209791</c:v>
                </c:pt>
                <c:pt idx="10">
                  <c:v>10.983729379171166</c:v>
                </c:pt>
                <c:pt idx="11">
                  <c:v>10.940665213854565</c:v>
                </c:pt>
                <c:pt idx="12">
                  <c:v>10.923158237937464</c:v>
                </c:pt>
                <c:pt idx="13">
                  <c:v>10.90464803567302</c:v>
                </c:pt>
                <c:pt idx="14">
                  <c:v>10.879415563945365</c:v>
                </c:pt>
                <c:pt idx="15">
                  <c:v>10.85502900415954</c:v>
                </c:pt>
                <c:pt idx="16">
                  <c:v>10.842517119146379</c:v>
                </c:pt>
                <c:pt idx="17">
                  <c:v>10.82907563185848</c:v>
                </c:pt>
                <c:pt idx="18">
                  <c:v>10.824720597906428</c:v>
                </c:pt>
                <c:pt idx="19">
                  <c:v>10.816539223437154</c:v>
                </c:pt>
                <c:pt idx="20">
                  <c:v>10.81690608146976</c:v>
                </c:pt>
                <c:pt idx="21">
                  <c:v>10.825706771088122</c:v>
                </c:pt>
                <c:pt idx="22">
                  <c:v>10.813628960716031</c:v>
                </c:pt>
                <c:pt idx="23">
                  <c:v>10.794363878802471</c:v>
                </c:pt>
                <c:pt idx="24">
                  <c:v>10.817779628564949</c:v>
                </c:pt>
                <c:pt idx="25">
                  <c:v>10.820939005019767</c:v>
                </c:pt>
                <c:pt idx="26">
                  <c:v>10.861284425264515</c:v>
                </c:pt>
                <c:pt idx="27">
                  <c:v>10.893659670055428</c:v>
                </c:pt>
                <c:pt idx="28">
                  <c:v>10.940036331569459</c:v>
                </c:pt>
                <c:pt idx="29">
                  <c:v>10.977148017473667</c:v>
                </c:pt>
                <c:pt idx="30">
                  <c:v>10.986170584313044</c:v>
                </c:pt>
                <c:pt idx="31">
                  <c:v>10.991902213983138</c:v>
                </c:pt>
                <c:pt idx="32">
                  <c:v>10.988921226130316</c:v>
                </c:pt>
                <c:pt idx="33">
                  <c:v>10.988458711394841</c:v>
                </c:pt>
                <c:pt idx="34">
                  <c:v>10.995105382790229</c:v>
                </c:pt>
                <c:pt idx="35">
                  <c:v>11.013137355940131</c:v>
                </c:pt>
                <c:pt idx="36">
                  <c:v>11.03285728676768</c:v>
                </c:pt>
                <c:pt idx="37">
                  <c:v>11.045873639591235</c:v>
                </c:pt>
                <c:pt idx="38">
                  <c:v>11.04487741917805</c:v>
                </c:pt>
                <c:pt idx="39">
                  <c:v>11.060875172354088</c:v>
                </c:pt>
                <c:pt idx="40">
                  <c:v>11.066674342360585</c:v>
                </c:pt>
                <c:pt idx="41">
                  <c:v>11.076739774433165</c:v>
                </c:pt>
                <c:pt idx="42">
                  <c:v>11.084966895067637</c:v>
                </c:pt>
                <c:pt idx="43">
                  <c:v>11.11593535073068</c:v>
                </c:pt>
                <c:pt idx="44">
                  <c:v>11.138687036249664</c:v>
                </c:pt>
                <c:pt idx="45">
                  <c:v>11.164044582885097</c:v>
                </c:pt>
                <c:pt idx="46">
                  <c:v>11.188967027059803</c:v>
                </c:pt>
                <c:pt idx="47">
                  <c:v>11.218923604052094</c:v>
                </c:pt>
                <c:pt idx="48">
                  <c:v>11.254213319417161</c:v>
                </c:pt>
                <c:pt idx="49">
                  <c:v>11.278273464773989</c:v>
                </c:pt>
                <c:pt idx="50">
                  <c:v>11.301947135872965</c:v>
                </c:pt>
                <c:pt idx="51">
                  <c:v>11.327434112997551</c:v>
                </c:pt>
                <c:pt idx="52">
                  <c:v>11.337567405258056</c:v>
                </c:pt>
                <c:pt idx="53">
                  <c:v>11.321513790389261</c:v>
                </c:pt>
                <c:pt idx="54">
                  <c:v>11.316856884638469</c:v>
                </c:pt>
                <c:pt idx="55">
                  <c:v>11.288853261391779</c:v>
                </c:pt>
                <c:pt idx="56">
                  <c:v>11.269951258152176</c:v>
                </c:pt>
                <c:pt idx="57">
                  <c:v>11.232300316505487</c:v>
                </c:pt>
                <c:pt idx="58">
                  <c:v>11.221350102548683</c:v>
                </c:pt>
                <c:pt idx="59">
                  <c:v>11.207575990078126</c:v>
                </c:pt>
                <c:pt idx="60">
                  <c:v>11.175651538992724</c:v>
                </c:pt>
                <c:pt idx="61">
                  <c:v>11.150540218721474</c:v>
                </c:pt>
                <c:pt idx="62">
                  <c:v>11.137087607515085</c:v>
                </c:pt>
                <c:pt idx="63">
                  <c:v>11.113905724501606</c:v>
                </c:pt>
                <c:pt idx="64">
                  <c:v>11.090044242090613</c:v>
                </c:pt>
                <c:pt idx="65">
                  <c:v>11.060881571690828</c:v>
                </c:pt>
                <c:pt idx="66">
                  <c:v>11.025724446486194</c:v>
                </c:pt>
                <c:pt idx="67">
                  <c:v>10.975660513285291</c:v>
                </c:pt>
                <c:pt idx="68">
                  <c:v>10.864406775362085</c:v>
                </c:pt>
                <c:pt idx="69">
                  <c:v>10.714842617948605</c:v>
                </c:pt>
                <c:pt idx="70">
                  <c:v>10.58493234401071</c:v>
                </c:pt>
                <c:pt idx="71">
                  <c:v>10.497493028012528</c:v>
                </c:pt>
                <c:pt idx="72">
                  <c:v>10.404743509385185</c:v>
                </c:pt>
                <c:pt idx="73">
                  <c:v>10.279590103880622</c:v>
                </c:pt>
                <c:pt idx="74">
                  <c:v>10.170612482374466</c:v>
                </c:pt>
                <c:pt idx="75">
                  <c:v>10.064949386497389</c:v>
                </c:pt>
                <c:pt idx="76">
                  <c:v>9.9876264729622477</c:v>
                </c:pt>
                <c:pt idx="77">
                  <c:v>9.916371947164194</c:v>
                </c:pt>
                <c:pt idx="78">
                  <c:v>9.8606099569448418</c:v>
                </c:pt>
                <c:pt idx="79">
                  <c:v>9.8084969262953052</c:v>
                </c:pt>
                <c:pt idx="80">
                  <c:v>9.7899426654940669</c:v>
                </c:pt>
                <c:pt idx="81">
                  <c:v>9.8102028897201166</c:v>
                </c:pt>
                <c:pt idx="82">
                  <c:v>9.8487145553089732</c:v>
                </c:pt>
                <c:pt idx="83">
                  <c:v>9.8875756576608325</c:v>
                </c:pt>
                <c:pt idx="84">
                  <c:v>9.9387355063203415</c:v>
                </c:pt>
                <c:pt idx="85">
                  <c:v>9.9976491363153315</c:v>
                </c:pt>
                <c:pt idx="86">
                  <c:v>10.062568529406491</c:v>
                </c:pt>
                <c:pt idx="87">
                  <c:v>10.119963296006148</c:v>
                </c:pt>
                <c:pt idx="88">
                  <c:v>10.201763724379418</c:v>
                </c:pt>
                <c:pt idx="89">
                  <c:v>10.269650587422603</c:v>
                </c:pt>
                <c:pt idx="90">
                  <c:v>10.402389267953581</c:v>
                </c:pt>
                <c:pt idx="91">
                  <c:v>10.497638074712569</c:v>
                </c:pt>
                <c:pt idx="92">
                  <c:v>10.527653702154907</c:v>
                </c:pt>
                <c:pt idx="93">
                  <c:v>10.567177254063253</c:v>
                </c:pt>
                <c:pt idx="94">
                  <c:v>10.627138703826631</c:v>
                </c:pt>
                <c:pt idx="95">
                  <c:v>10.653900846575425</c:v>
                </c:pt>
                <c:pt idx="96">
                  <c:v>10.703497077467475</c:v>
                </c:pt>
                <c:pt idx="97">
                  <c:v>10.757081440079176</c:v>
                </c:pt>
                <c:pt idx="98">
                  <c:v>10.81305757985092</c:v>
                </c:pt>
                <c:pt idx="99">
                  <c:v>10.907878331386783</c:v>
                </c:pt>
                <c:pt idx="100">
                  <c:v>10.999314598414941</c:v>
                </c:pt>
                <c:pt idx="101">
                  <c:v>11.095461420367144</c:v>
                </c:pt>
                <c:pt idx="102">
                  <c:v>11.206742559305539</c:v>
                </c:pt>
                <c:pt idx="103">
                  <c:v>11.328097772795985</c:v>
                </c:pt>
                <c:pt idx="104">
                  <c:v>11.466926560462838</c:v>
                </c:pt>
                <c:pt idx="105">
                  <c:v>11.481384482815912</c:v>
                </c:pt>
                <c:pt idx="106">
                  <c:v>11.387063814375068</c:v>
                </c:pt>
                <c:pt idx="107">
                  <c:v>11.28652462542982</c:v>
                </c:pt>
                <c:pt idx="108">
                  <c:v>11.166854661667358</c:v>
                </c:pt>
                <c:pt idx="109">
                  <c:v>11.02417701229605</c:v>
                </c:pt>
                <c:pt idx="110">
                  <c:v>10.876936671792606</c:v>
                </c:pt>
                <c:pt idx="111">
                  <c:v>10.751955576274909</c:v>
                </c:pt>
                <c:pt idx="112">
                  <c:v>10.637256253014499</c:v>
                </c:pt>
                <c:pt idx="113">
                  <c:v>10.516839201740126</c:v>
                </c:pt>
                <c:pt idx="114">
                  <c:v>10.395263667757874</c:v>
                </c:pt>
                <c:pt idx="115">
                  <c:v>10.262653818009326</c:v>
                </c:pt>
                <c:pt idx="116">
                  <c:v>10.123123426263518</c:v>
                </c:pt>
                <c:pt idx="117">
                  <c:v>9.9859861244141541</c:v>
                </c:pt>
                <c:pt idx="118">
                  <c:v>9.8514933381463692</c:v>
                </c:pt>
                <c:pt idx="119">
                  <c:v>9.7015436779935982</c:v>
                </c:pt>
                <c:pt idx="120">
                  <c:v>9.5405470735957465</c:v>
                </c:pt>
                <c:pt idx="121">
                  <c:v>9.3687097438952094</c:v>
                </c:pt>
                <c:pt idx="122">
                  <c:v>9.1919255709317582</c:v>
                </c:pt>
                <c:pt idx="123">
                  <c:v>9.0062178672224746</c:v>
                </c:pt>
                <c:pt idx="124">
                  <c:v>8.8272177706535047</c:v>
                </c:pt>
                <c:pt idx="125">
                  <c:v>8.6603432664626041</c:v>
                </c:pt>
                <c:pt idx="126">
                  <c:v>8.4871953477766624</c:v>
                </c:pt>
                <c:pt idx="127">
                  <c:v>8.3171968968820096</c:v>
                </c:pt>
                <c:pt idx="128">
                  <c:v>8.1451092908576328</c:v>
                </c:pt>
                <c:pt idx="129">
                  <c:v>7.9764999261014395</c:v>
                </c:pt>
                <c:pt idx="130">
                  <c:v>7.8251750561431521</c:v>
                </c:pt>
                <c:pt idx="131">
                  <c:v>7.6918079335219431</c:v>
                </c:pt>
                <c:pt idx="132">
                  <c:v>7.5628960330373047</c:v>
                </c:pt>
                <c:pt idx="133">
                  <c:v>7.436492759812225</c:v>
                </c:pt>
                <c:pt idx="134">
                  <c:v>7.3048153035670538</c:v>
                </c:pt>
                <c:pt idx="135">
                  <c:v>7.1712333427983594</c:v>
                </c:pt>
                <c:pt idx="136">
                  <c:v>7.0361008774590488</c:v>
                </c:pt>
                <c:pt idx="137">
                  <c:v>6.904946031365256</c:v>
                </c:pt>
                <c:pt idx="138">
                  <c:v>6.7647964665337099</c:v>
                </c:pt>
                <c:pt idx="139">
                  <c:v>6.6327549366607172</c:v>
                </c:pt>
                <c:pt idx="140">
                  <c:v>6.52812004592748</c:v>
                </c:pt>
                <c:pt idx="141">
                  <c:v>6.4042737969396342</c:v>
                </c:pt>
                <c:pt idx="142">
                  <c:v>6.2971312698047512</c:v>
                </c:pt>
                <c:pt idx="143">
                  <c:v>6.1850029861278557</c:v>
                </c:pt>
                <c:pt idx="144">
                  <c:v>6.0663898775214875</c:v>
                </c:pt>
                <c:pt idx="145">
                  <c:v>5.9503949456422163</c:v>
                </c:pt>
                <c:pt idx="146">
                  <c:v>5.8362496832052528</c:v>
                </c:pt>
                <c:pt idx="147">
                  <c:v>5.7284360876978724</c:v>
                </c:pt>
                <c:pt idx="148">
                  <c:v>5.6384666646583952</c:v>
                </c:pt>
                <c:pt idx="149">
                  <c:v>5.5538096835982316</c:v>
                </c:pt>
                <c:pt idx="150">
                  <c:v>5.4695731068354263</c:v>
                </c:pt>
                <c:pt idx="151">
                  <c:v>5.3922832337965758</c:v>
                </c:pt>
                <c:pt idx="152">
                  <c:v>5.3219905050654859</c:v>
                </c:pt>
                <c:pt idx="153">
                  <c:v>5.2408126192224955</c:v>
                </c:pt>
                <c:pt idx="154">
                  <c:v>5.1629140773280966</c:v>
                </c:pt>
                <c:pt idx="155">
                  <c:v>5.085004156510621</c:v>
                </c:pt>
                <c:pt idx="156">
                  <c:v>4.9989137723078869</c:v>
                </c:pt>
                <c:pt idx="157">
                  <c:v>4.9098279457577405</c:v>
                </c:pt>
                <c:pt idx="158">
                  <c:v>4.8128278762729053</c:v>
                </c:pt>
                <c:pt idx="159">
                  <c:v>4.7162934316704508</c:v>
                </c:pt>
                <c:pt idx="160">
                  <c:v>4.6064423314044305</c:v>
                </c:pt>
                <c:pt idx="161">
                  <c:v>4.4912145489910671</c:v>
                </c:pt>
                <c:pt idx="162">
                  <c:v>4.3773690099881364</c:v>
                </c:pt>
                <c:pt idx="163">
                  <c:v>4.2700809530262234</c:v>
                </c:pt>
                <c:pt idx="164">
                  <c:v>4.1704901374276773</c:v>
                </c:pt>
                <c:pt idx="165">
                  <c:v>4.0857793819494574</c:v>
                </c:pt>
                <c:pt idx="166">
                  <c:v>4.0115168510101569</c:v>
                </c:pt>
                <c:pt idx="167">
                  <c:v>3.9430158715807977</c:v>
                </c:pt>
                <c:pt idx="168">
                  <c:v>3.8704213012114579</c:v>
                </c:pt>
                <c:pt idx="169">
                  <c:v>3.790621492029409</c:v>
                </c:pt>
                <c:pt idx="170">
                  <c:v>3.7201976017317193</c:v>
                </c:pt>
                <c:pt idx="171">
                  <c:v>3.6508314995027504</c:v>
                </c:pt>
                <c:pt idx="172">
                  <c:v>3.5717147339783111</c:v>
                </c:pt>
                <c:pt idx="173">
                  <c:v>3.4933300927650706</c:v>
                </c:pt>
                <c:pt idx="174">
                  <c:v>3.2515724106195307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CF-4933-BECA-8283129DD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data_ghg_excLUC!$I$2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data_ghg_excLUC!$I$3:$I$177</c:f>
              <c:numCache>
                <c:formatCode>0.0</c:formatCode>
                <c:ptCount val="175"/>
                <c:pt idx="0">
                  <c:v>55.006712353661904</c:v>
                </c:pt>
                <c:pt idx="1">
                  <c:v>55.019520683150802</c:v>
                </c:pt>
                <c:pt idx="2">
                  <c:v>55.201107085219512</c:v>
                </c:pt>
                <c:pt idx="3">
                  <c:v>55.474499088925157</c:v>
                </c:pt>
                <c:pt idx="4">
                  <c:v>56.185264239603804</c:v>
                </c:pt>
                <c:pt idx="5">
                  <c:v>56.672594596128022</c:v>
                </c:pt>
                <c:pt idx="6">
                  <c:v>57.167398973486861</c:v>
                </c:pt>
                <c:pt idx="7">
                  <c:v>57.538602822781769</c:v>
                </c:pt>
                <c:pt idx="8">
                  <c:v>57.819107437304517</c:v>
                </c:pt>
                <c:pt idx="9">
                  <c:v>58.156471501757864</c:v>
                </c:pt>
                <c:pt idx="10">
                  <c:v>58.585274256022956</c:v>
                </c:pt>
                <c:pt idx="11">
                  <c:v>59.003180089109939</c:v>
                </c:pt>
                <c:pt idx="12">
                  <c:v>59.351385287987888</c:v>
                </c:pt>
                <c:pt idx="13">
                  <c:v>59.71074884346352</c:v>
                </c:pt>
                <c:pt idx="14">
                  <c:v>60.105410425259898</c:v>
                </c:pt>
                <c:pt idx="15">
                  <c:v>60.508391677506999</c:v>
                </c:pt>
                <c:pt idx="16">
                  <c:v>60.877889068801593</c:v>
                </c:pt>
                <c:pt idx="17">
                  <c:v>61.267293206333285</c:v>
                </c:pt>
                <c:pt idx="18">
                  <c:v>61.622669489344695</c:v>
                </c:pt>
                <c:pt idx="19">
                  <c:v>61.993223179128499</c:v>
                </c:pt>
                <c:pt idx="20">
                  <c:v>62.322887470570755</c:v>
                </c:pt>
                <c:pt idx="21">
                  <c:v>62.651317540440644</c:v>
                </c:pt>
                <c:pt idx="22">
                  <c:v>63.046166819798444</c:v>
                </c:pt>
                <c:pt idx="23">
                  <c:v>63.454114029549388</c:v>
                </c:pt>
                <c:pt idx="24">
                  <c:v>63.7201663227453</c:v>
                </c:pt>
                <c:pt idx="25">
                  <c:v>64.036572734827942</c:v>
                </c:pt>
                <c:pt idx="26">
                  <c:v>64.290785597006604</c:v>
                </c:pt>
                <c:pt idx="27">
                  <c:v>64.536296918433479</c:v>
                </c:pt>
                <c:pt idx="28">
                  <c:v>64.73551849620263</c:v>
                </c:pt>
                <c:pt idx="29">
                  <c:v>64.964535211840186</c:v>
                </c:pt>
                <c:pt idx="30">
                  <c:v>65.276499844501345</c:v>
                </c:pt>
                <c:pt idx="31">
                  <c:v>65.582938738858303</c:v>
                </c:pt>
                <c:pt idx="32">
                  <c:v>65.902180783263859</c:v>
                </c:pt>
                <c:pt idx="33">
                  <c:v>66.22738454254737</c:v>
                </c:pt>
                <c:pt idx="34">
                  <c:v>66.518089252820872</c:v>
                </c:pt>
                <c:pt idx="35">
                  <c:v>66.772484961645588</c:v>
                </c:pt>
                <c:pt idx="36">
                  <c:v>67.008169028648183</c:v>
                </c:pt>
                <c:pt idx="37">
                  <c:v>67.253014897248633</c:v>
                </c:pt>
                <c:pt idx="38">
                  <c:v>67.546594254485242</c:v>
                </c:pt>
                <c:pt idx="39">
                  <c:v>67.791999016765743</c:v>
                </c:pt>
                <c:pt idx="40">
                  <c:v>68.075098552739703</c:v>
                </c:pt>
                <c:pt idx="41">
                  <c:v>68.352609290358032</c:v>
                </c:pt>
                <c:pt idx="42">
                  <c:v>68.606949994372641</c:v>
                </c:pt>
                <c:pt idx="43">
                  <c:v>68.802453797634627</c:v>
                </c:pt>
                <c:pt idx="44">
                  <c:v>69.002367120093538</c:v>
                </c:pt>
                <c:pt idx="45">
                  <c:v>69.205865473748034</c:v>
                </c:pt>
                <c:pt idx="46">
                  <c:v>69.403466417268049</c:v>
                </c:pt>
                <c:pt idx="47">
                  <c:v>69.598110103126658</c:v>
                </c:pt>
                <c:pt idx="48">
                  <c:v>69.789809788308261</c:v>
                </c:pt>
                <c:pt idx="49">
                  <c:v>70.017771289296732</c:v>
                </c:pt>
                <c:pt idx="50">
                  <c:v>70.254585909686668</c:v>
                </c:pt>
                <c:pt idx="51">
                  <c:v>70.475753136695616</c:v>
                </c:pt>
                <c:pt idx="52">
                  <c:v>70.700351675601809</c:v>
                </c:pt>
                <c:pt idx="53">
                  <c:v>70.970146957256901</c:v>
                </c:pt>
                <c:pt idx="54">
                  <c:v>71.205985878608018</c:v>
                </c:pt>
                <c:pt idx="55">
                  <c:v>71.473760457286289</c:v>
                </c:pt>
                <c:pt idx="56">
                  <c:v>71.722230466086785</c:v>
                </c:pt>
                <c:pt idx="57">
                  <c:v>72.008939554155688</c:v>
                </c:pt>
                <c:pt idx="58">
                  <c:v>72.21595035906762</c:v>
                </c:pt>
                <c:pt idx="59">
                  <c:v>72.426643826654171</c:v>
                </c:pt>
                <c:pt idx="60">
                  <c:v>72.658001968485692</c:v>
                </c:pt>
                <c:pt idx="61">
                  <c:v>72.862418323065384</c:v>
                </c:pt>
                <c:pt idx="62">
                  <c:v>73.065410841349149</c:v>
                </c:pt>
                <c:pt idx="63">
                  <c:v>73.283210351292482</c:v>
                </c:pt>
                <c:pt idx="64">
                  <c:v>73.442440208781292</c:v>
                </c:pt>
                <c:pt idx="65">
                  <c:v>73.588670784588601</c:v>
                </c:pt>
                <c:pt idx="66">
                  <c:v>73.74985659228733</c:v>
                </c:pt>
                <c:pt idx="67">
                  <c:v>73.922290216443571</c:v>
                </c:pt>
                <c:pt idx="68">
                  <c:v>74.134008972702446</c:v>
                </c:pt>
                <c:pt idx="69">
                  <c:v>74.30563931886411</c:v>
                </c:pt>
                <c:pt idx="70">
                  <c:v>74.482939991927523</c:v>
                </c:pt>
                <c:pt idx="71">
                  <c:v>74.553209334141172</c:v>
                </c:pt>
                <c:pt idx="72">
                  <c:v>74.643043603112275</c:v>
                </c:pt>
                <c:pt idx="73">
                  <c:v>74.800571034831805</c:v>
                </c:pt>
                <c:pt idx="74">
                  <c:v>74.929766369557328</c:v>
                </c:pt>
                <c:pt idx="75">
                  <c:v>75.057542441188104</c:v>
                </c:pt>
                <c:pt idx="76">
                  <c:v>75.149784093436097</c:v>
                </c:pt>
                <c:pt idx="77">
                  <c:v>75.260806670952533</c:v>
                </c:pt>
                <c:pt idx="78">
                  <c:v>75.345591607489865</c:v>
                </c:pt>
                <c:pt idx="79">
                  <c:v>75.44084393205695</c:v>
                </c:pt>
                <c:pt idx="80">
                  <c:v>75.471877136628834</c:v>
                </c:pt>
                <c:pt idx="81">
                  <c:v>75.434060694240401</c:v>
                </c:pt>
                <c:pt idx="82">
                  <c:v>75.344385319698205</c:v>
                </c:pt>
                <c:pt idx="83">
                  <c:v>75.256694679008234</c:v>
                </c:pt>
                <c:pt idx="84">
                  <c:v>75.157632521766644</c:v>
                </c:pt>
                <c:pt idx="85">
                  <c:v>75.044687169767698</c:v>
                </c:pt>
                <c:pt idx="86">
                  <c:v>74.941677625624294</c:v>
                </c:pt>
                <c:pt idx="87">
                  <c:v>74.850016146092614</c:v>
                </c:pt>
                <c:pt idx="88">
                  <c:v>74.712079211890511</c:v>
                </c:pt>
                <c:pt idx="89">
                  <c:v>74.59124785950759</c:v>
                </c:pt>
                <c:pt idx="90">
                  <c:v>74.417343504795539</c:v>
                </c:pt>
                <c:pt idx="91">
                  <c:v>74.28552366216023</c:v>
                </c:pt>
                <c:pt idx="92">
                  <c:v>74.229119699985816</c:v>
                </c:pt>
                <c:pt idx="93">
                  <c:v>74.169903261508026</c:v>
                </c:pt>
                <c:pt idx="94">
                  <c:v>74.082231242912982</c:v>
                </c:pt>
                <c:pt idx="95">
                  <c:v>73.989009564636959</c:v>
                </c:pt>
                <c:pt idx="96">
                  <c:v>73.872589199169539</c:v>
                </c:pt>
                <c:pt idx="97">
                  <c:v>73.768603594007359</c:v>
                </c:pt>
                <c:pt idx="98">
                  <c:v>73.684729702071976</c:v>
                </c:pt>
                <c:pt idx="99">
                  <c:v>73.547498345023541</c:v>
                </c:pt>
                <c:pt idx="100">
                  <c:v>73.423612141177671</c:v>
                </c:pt>
                <c:pt idx="101">
                  <c:v>73.294571006143386</c:v>
                </c:pt>
                <c:pt idx="102">
                  <c:v>73.133232086184961</c:v>
                </c:pt>
                <c:pt idx="103">
                  <c:v>72.964567370718598</c:v>
                </c:pt>
                <c:pt idx="104">
                  <c:v>72.759708740762392</c:v>
                </c:pt>
                <c:pt idx="105">
                  <c:v>72.529899334504933</c:v>
                </c:pt>
                <c:pt idx="106">
                  <c:v>72.290148585531469</c:v>
                </c:pt>
                <c:pt idx="107">
                  <c:v>72.012050123764922</c:v>
                </c:pt>
                <c:pt idx="108">
                  <c:v>71.659798658247581</c:v>
                </c:pt>
                <c:pt idx="109">
                  <c:v>71.254032682522748</c:v>
                </c:pt>
                <c:pt idx="110">
                  <c:v>70.848709714668416</c:v>
                </c:pt>
                <c:pt idx="111">
                  <c:v>70.493459702862467</c:v>
                </c:pt>
                <c:pt idx="112">
                  <c:v>70.16886153495787</c:v>
                </c:pt>
                <c:pt idx="113">
                  <c:v>69.844880466080511</c:v>
                </c:pt>
                <c:pt idx="114">
                  <c:v>69.523475845532246</c:v>
                </c:pt>
                <c:pt idx="115">
                  <c:v>69.190122888157816</c:v>
                </c:pt>
                <c:pt idx="116">
                  <c:v>68.844248445116435</c:v>
                </c:pt>
                <c:pt idx="117">
                  <c:v>68.524542519557059</c:v>
                </c:pt>
                <c:pt idx="118">
                  <c:v>68.214112971932025</c:v>
                </c:pt>
                <c:pt idx="119">
                  <c:v>67.892310633532063</c:v>
                </c:pt>
                <c:pt idx="120">
                  <c:v>67.545596990304233</c:v>
                </c:pt>
                <c:pt idx="121">
                  <c:v>67.173959935322927</c:v>
                </c:pt>
                <c:pt idx="122">
                  <c:v>66.804885110571547</c:v>
                </c:pt>
                <c:pt idx="123">
                  <c:v>66.428392743656104</c:v>
                </c:pt>
                <c:pt idx="124">
                  <c:v>66.036456133152441</c:v>
                </c:pt>
                <c:pt idx="125">
                  <c:v>65.604844631565499</c:v>
                </c:pt>
                <c:pt idx="126">
                  <c:v>65.178611689952177</c:v>
                </c:pt>
                <c:pt idx="127">
                  <c:v>64.741731631491547</c:v>
                </c:pt>
                <c:pt idx="128">
                  <c:v>64.297885916602766</c:v>
                </c:pt>
                <c:pt idx="129">
                  <c:v>63.865492229143307</c:v>
                </c:pt>
                <c:pt idx="130">
                  <c:v>63.433493018986788</c:v>
                </c:pt>
                <c:pt idx="131">
                  <c:v>63.026969036747218</c:v>
                </c:pt>
                <c:pt idx="132">
                  <c:v>62.598308626246336</c:v>
                </c:pt>
                <c:pt idx="133">
                  <c:v>62.169134897002529</c:v>
                </c:pt>
                <c:pt idx="134">
                  <c:v>61.742145370022328</c:v>
                </c:pt>
                <c:pt idx="135">
                  <c:v>61.295095276699698</c:v>
                </c:pt>
                <c:pt idx="136">
                  <c:v>60.844466740675763</c:v>
                </c:pt>
                <c:pt idx="137">
                  <c:v>60.404221165141855</c:v>
                </c:pt>
                <c:pt idx="138">
                  <c:v>59.962478683367614</c:v>
                </c:pt>
                <c:pt idx="139">
                  <c:v>59.54340579335372</c:v>
                </c:pt>
                <c:pt idx="140">
                  <c:v>59.160362960494304</c:v>
                </c:pt>
                <c:pt idx="141">
                  <c:v>58.770854388649184</c:v>
                </c:pt>
                <c:pt idx="142">
                  <c:v>58.443091118533594</c:v>
                </c:pt>
                <c:pt idx="143">
                  <c:v>58.12173422401591</c:v>
                </c:pt>
                <c:pt idx="144">
                  <c:v>57.816658174972737</c:v>
                </c:pt>
                <c:pt idx="145">
                  <c:v>57.506789894509026</c:v>
                </c:pt>
                <c:pt idx="146">
                  <c:v>57.198644115200928</c:v>
                </c:pt>
                <c:pt idx="147">
                  <c:v>56.899782442341305</c:v>
                </c:pt>
                <c:pt idx="148">
                  <c:v>56.627496272674364</c:v>
                </c:pt>
                <c:pt idx="149">
                  <c:v>56.351830662981314</c:v>
                </c:pt>
                <c:pt idx="150">
                  <c:v>56.077070437645894</c:v>
                </c:pt>
                <c:pt idx="151">
                  <c:v>55.799496070152642</c:v>
                </c:pt>
                <c:pt idx="152">
                  <c:v>55.518395555953916</c:v>
                </c:pt>
                <c:pt idx="153">
                  <c:v>55.198224809226836</c:v>
                </c:pt>
                <c:pt idx="154">
                  <c:v>54.86133525094241</c:v>
                </c:pt>
                <c:pt idx="155">
                  <c:v>54.499976590006007</c:v>
                </c:pt>
                <c:pt idx="156">
                  <c:v>54.10985631103302</c:v>
                </c:pt>
                <c:pt idx="157">
                  <c:v>53.711113773817054</c:v>
                </c:pt>
                <c:pt idx="158">
                  <c:v>53.28735943282814</c:v>
                </c:pt>
                <c:pt idx="159">
                  <c:v>52.846881427864346</c:v>
                </c:pt>
                <c:pt idx="160">
                  <c:v>52.384747139970756</c:v>
                </c:pt>
                <c:pt idx="161">
                  <c:v>51.888679981687503</c:v>
                </c:pt>
                <c:pt idx="162">
                  <c:v>51.386507366799307</c:v>
                </c:pt>
                <c:pt idx="163">
                  <c:v>50.903275011908036</c:v>
                </c:pt>
                <c:pt idx="164">
                  <c:v>50.425885423370786</c:v>
                </c:pt>
                <c:pt idx="165">
                  <c:v>49.962308986436796</c:v>
                </c:pt>
                <c:pt idx="166">
                  <c:v>49.507113394692624</c:v>
                </c:pt>
                <c:pt idx="167">
                  <c:v>49.051409975447264</c:v>
                </c:pt>
                <c:pt idx="168">
                  <c:v>48.597071171982506</c:v>
                </c:pt>
                <c:pt idx="169">
                  <c:v>48.137656327340231</c:v>
                </c:pt>
                <c:pt idx="170">
                  <c:v>47.686134724600812</c:v>
                </c:pt>
                <c:pt idx="171">
                  <c:v>47.235685628367136</c:v>
                </c:pt>
                <c:pt idx="172">
                  <c:v>46.784008044316309</c:v>
                </c:pt>
                <c:pt idx="173">
                  <c:v>46.321010111482153</c:v>
                </c:pt>
                <c:pt idx="174">
                  <c:v>45.862868523155718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CF-4933-BECA-8283129DD41C}"/>
            </c:ext>
          </c:extLst>
        </c:ser>
        <c:ser>
          <c:idx val="6"/>
          <c:order val="6"/>
          <c:tx>
            <c:strRef>
              <c:f>data_ghg_excLUC!$J$2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data_ghg_excLUC!$J$3:$J$177</c:f>
              <c:numCache>
                <c:formatCode>0.0</c:formatCode>
                <c:ptCount val="175"/>
                <c:pt idx="0">
                  <c:v>38.924011769220925</c:v>
                </c:pt>
                <c:pt idx="1">
                  <c:v>38.978507993348224</c:v>
                </c:pt>
                <c:pt idx="2">
                  <c:v>39.1339356076613</c:v>
                </c:pt>
                <c:pt idx="3">
                  <c:v>39.33865498962458</c:v>
                </c:pt>
                <c:pt idx="4">
                  <c:v>39.810694339382209</c:v>
                </c:pt>
                <c:pt idx="5">
                  <c:v>40.15611218208516</c:v>
                </c:pt>
                <c:pt idx="6">
                  <c:v>40.510650670848811</c:v>
                </c:pt>
                <c:pt idx="7">
                  <c:v>40.789132103291642</c:v>
                </c:pt>
                <c:pt idx="8">
                  <c:v>41.014921832404525</c:v>
                </c:pt>
                <c:pt idx="9">
                  <c:v>41.270398721526455</c:v>
                </c:pt>
                <c:pt idx="10">
                  <c:v>41.586275966331677</c:v>
                </c:pt>
                <c:pt idx="11">
                  <c:v>41.900178550576456</c:v>
                </c:pt>
                <c:pt idx="12">
                  <c:v>42.171697469897431</c:v>
                </c:pt>
                <c:pt idx="13">
                  <c:v>42.455431549052172</c:v>
                </c:pt>
                <c:pt idx="14">
                  <c:v>42.766701918732871</c:v>
                </c:pt>
                <c:pt idx="15">
                  <c:v>43.087725093152265</c:v>
                </c:pt>
                <c:pt idx="16">
                  <c:v>43.390046405267299</c:v>
                </c:pt>
                <c:pt idx="17">
                  <c:v>43.709969067303128</c:v>
                </c:pt>
                <c:pt idx="18">
                  <c:v>44.009474624971865</c:v>
                </c:pt>
                <c:pt idx="19">
                  <c:v>44.321297011774099</c:v>
                </c:pt>
                <c:pt idx="20">
                  <c:v>44.608735756308896</c:v>
                </c:pt>
                <c:pt idx="21">
                  <c:v>44.902368845218241</c:v>
                </c:pt>
                <c:pt idx="22">
                  <c:v>45.250397241774451</c:v>
                </c:pt>
                <c:pt idx="23">
                  <c:v>45.612376993680378</c:v>
                </c:pt>
                <c:pt idx="24">
                  <c:v>45.871303724091803</c:v>
                </c:pt>
                <c:pt idx="25">
                  <c:v>46.170572663744402</c:v>
                </c:pt>
                <c:pt idx="26">
                  <c:v>46.431829452695425</c:v>
                </c:pt>
                <c:pt idx="27">
                  <c:v>46.684187771138376</c:v>
                </c:pt>
                <c:pt idx="28">
                  <c:v>46.906254756760987</c:v>
                </c:pt>
                <c:pt idx="29">
                  <c:v>47.153803645871925</c:v>
                </c:pt>
                <c:pt idx="30">
                  <c:v>47.472078995042899</c:v>
                </c:pt>
                <c:pt idx="31">
                  <c:v>47.781822341478403</c:v>
                </c:pt>
                <c:pt idx="32">
                  <c:v>48.102729155073227</c:v>
                </c:pt>
                <c:pt idx="33">
                  <c:v>48.432983966709756</c:v>
                </c:pt>
                <c:pt idx="34">
                  <c:v>48.73646011529523</c:v>
                </c:pt>
                <c:pt idx="35">
                  <c:v>49.011977643404968</c:v>
                </c:pt>
                <c:pt idx="36">
                  <c:v>49.270042659552097</c:v>
                </c:pt>
                <c:pt idx="37">
                  <c:v>49.535854388596682</c:v>
                </c:pt>
                <c:pt idx="38">
                  <c:v>49.848005510277545</c:v>
                </c:pt>
                <c:pt idx="39">
                  <c:v>50.124148474324336</c:v>
                </c:pt>
                <c:pt idx="40">
                  <c:v>50.433788652669357</c:v>
                </c:pt>
                <c:pt idx="41">
                  <c:v>50.745005754902152</c:v>
                </c:pt>
                <c:pt idx="42">
                  <c:v>51.03585879095489</c:v>
                </c:pt>
                <c:pt idx="43">
                  <c:v>51.281535933819264</c:v>
                </c:pt>
                <c:pt idx="44">
                  <c:v>51.531925320078486</c:v>
                </c:pt>
                <c:pt idx="45">
                  <c:v>51.791266089281763</c:v>
                </c:pt>
                <c:pt idx="46">
                  <c:v>52.047222286395666</c:v>
                </c:pt>
                <c:pt idx="47">
                  <c:v>52.305870384805594</c:v>
                </c:pt>
                <c:pt idx="48">
                  <c:v>52.569014356439162</c:v>
                </c:pt>
                <c:pt idx="49">
                  <c:v>52.870053313896456</c:v>
                </c:pt>
                <c:pt idx="50">
                  <c:v>53.183072771588115</c:v>
                </c:pt>
                <c:pt idx="51">
                  <c:v>53.483358367517845</c:v>
                </c:pt>
                <c:pt idx="52">
                  <c:v>53.78193542230445</c:v>
                </c:pt>
                <c:pt idx="53">
                  <c:v>54.122788327678137</c:v>
                </c:pt>
                <c:pt idx="54">
                  <c:v>54.435352510482971</c:v>
                </c:pt>
                <c:pt idx="55">
                  <c:v>54.775980414616313</c:v>
                </c:pt>
                <c:pt idx="56">
                  <c:v>55.103241512419423</c:v>
                </c:pt>
                <c:pt idx="57">
                  <c:v>55.494399740604742</c:v>
                </c:pt>
                <c:pt idx="58">
                  <c:v>55.811041549521093</c:v>
                </c:pt>
                <c:pt idx="59">
                  <c:v>56.131421475130161</c:v>
                </c:pt>
                <c:pt idx="60">
                  <c:v>56.468931799841371</c:v>
                </c:pt>
                <c:pt idx="61">
                  <c:v>56.780373506035545</c:v>
                </c:pt>
                <c:pt idx="62">
                  <c:v>57.099144150728534</c:v>
                </c:pt>
                <c:pt idx="63">
                  <c:v>57.442435331697581</c:v>
                </c:pt>
                <c:pt idx="64">
                  <c:v>57.704213672104743</c:v>
                </c:pt>
                <c:pt idx="65">
                  <c:v>57.941440142077461</c:v>
                </c:pt>
                <c:pt idx="66">
                  <c:v>58.199838250484135</c:v>
                </c:pt>
                <c:pt idx="67">
                  <c:v>58.464504139122617</c:v>
                </c:pt>
                <c:pt idx="68">
                  <c:v>58.742339318332611</c:v>
                </c:pt>
                <c:pt idx="69">
                  <c:v>58.9506655888149</c:v>
                </c:pt>
                <c:pt idx="70">
                  <c:v>59.194793373944719</c:v>
                </c:pt>
                <c:pt idx="71">
                  <c:v>59.328953187102599</c:v>
                </c:pt>
                <c:pt idx="72">
                  <c:v>59.481656728674025</c:v>
                </c:pt>
                <c:pt idx="73">
                  <c:v>59.701247788848008</c:v>
                </c:pt>
                <c:pt idx="74">
                  <c:v>59.896179299918252</c:v>
                </c:pt>
                <c:pt idx="75">
                  <c:v>60.0872110961011</c:v>
                </c:pt>
                <c:pt idx="76">
                  <c:v>60.240950226138715</c:v>
                </c:pt>
                <c:pt idx="77">
                  <c:v>60.422328508344755</c:v>
                </c:pt>
                <c:pt idx="78">
                  <c:v>60.57375266200463</c:v>
                </c:pt>
                <c:pt idx="79">
                  <c:v>60.741673269147043</c:v>
                </c:pt>
                <c:pt idx="80">
                  <c:v>60.839760747836792</c:v>
                </c:pt>
                <c:pt idx="81">
                  <c:v>60.865251612580259</c:v>
                </c:pt>
                <c:pt idx="82">
                  <c:v>60.834782386301534</c:v>
                </c:pt>
                <c:pt idx="83">
                  <c:v>60.811239366985461</c:v>
                </c:pt>
                <c:pt idx="84">
                  <c:v>60.791244716431777</c:v>
                </c:pt>
                <c:pt idx="85">
                  <c:v>60.76613781541451</c:v>
                </c:pt>
                <c:pt idx="86">
                  <c:v>60.760029526995574</c:v>
                </c:pt>
                <c:pt idx="87">
                  <c:v>60.769388501507237</c:v>
                </c:pt>
                <c:pt idx="88">
                  <c:v>60.728254270554814</c:v>
                </c:pt>
                <c:pt idx="89">
                  <c:v>60.704969776737997</c:v>
                </c:pt>
                <c:pt idx="90">
                  <c:v>60.657039849741508</c:v>
                </c:pt>
                <c:pt idx="91">
                  <c:v>60.633707568515938</c:v>
                </c:pt>
                <c:pt idx="92">
                  <c:v>60.65025252976055</c:v>
                </c:pt>
                <c:pt idx="93">
                  <c:v>60.646778327165954</c:v>
                </c:pt>
                <c:pt idx="94">
                  <c:v>60.634857671176704</c:v>
                </c:pt>
                <c:pt idx="95">
                  <c:v>60.57735462215166</c:v>
                </c:pt>
                <c:pt idx="96">
                  <c:v>60.507607805790919</c:v>
                </c:pt>
                <c:pt idx="97">
                  <c:v>60.469074726295133</c:v>
                </c:pt>
                <c:pt idx="98">
                  <c:v>60.449655518334446</c:v>
                </c:pt>
                <c:pt idx="99">
                  <c:v>60.376575203168194</c:v>
                </c:pt>
                <c:pt idx="100">
                  <c:v>60.349673033601135</c:v>
                </c:pt>
                <c:pt idx="101">
                  <c:v>60.325475700713703</c:v>
                </c:pt>
                <c:pt idx="102">
                  <c:v>60.275971243729643</c:v>
                </c:pt>
                <c:pt idx="103">
                  <c:v>60.219825239146594</c:v>
                </c:pt>
                <c:pt idx="104">
                  <c:v>60.136429257815472</c:v>
                </c:pt>
                <c:pt idx="105">
                  <c:v>60.050284878082238</c:v>
                </c:pt>
                <c:pt idx="106">
                  <c:v>59.96218482818341</c:v>
                </c:pt>
                <c:pt idx="107">
                  <c:v>59.845828238200582</c:v>
                </c:pt>
                <c:pt idx="108">
                  <c:v>59.674742000276382</c:v>
                </c:pt>
                <c:pt idx="109">
                  <c:v>59.471020126301354</c:v>
                </c:pt>
                <c:pt idx="110">
                  <c:v>59.269146969135178</c:v>
                </c:pt>
                <c:pt idx="111">
                  <c:v>59.095755427571021</c:v>
                </c:pt>
                <c:pt idx="112">
                  <c:v>58.942652451623324</c:v>
                </c:pt>
                <c:pt idx="113">
                  <c:v>58.796487824932917</c:v>
                </c:pt>
                <c:pt idx="114">
                  <c:v>58.654173766341891</c:v>
                </c:pt>
                <c:pt idx="115">
                  <c:v>58.507109534659818</c:v>
                </c:pt>
                <c:pt idx="116">
                  <c:v>58.348096065131358</c:v>
                </c:pt>
                <c:pt idx="117">
                  <c:v>58.209010102673965</c:v>
                </c:pt>
                <c:pt idx="118">
                  <c:v>58.073632146699204</c:v>
                </c:pt>
                <c:pt idx="119">
                  <c:v>57.937981559582809</c:v>
                </c:pt>
                <c:pt idx="120">
                  <c:v>57.784590314925396</c:v>
                </c:pt>
                <c:pt idx="121">
                  <c:v>57.619557003913634</c:v>
                </c:pt>
                <c:pt idx="122">
                  <c:v>57.45814728839251</c:v>
                </c:pt>
                <c:pt idx="123">
                  <c:v>57.294732232714232</c:v>
                </c:pt>
                <c:pt idx="124">
                  <c:v>57.114006434524015</c:v>
                </c:pt>
                <c:pt idx="125">
                  <c:v>56.888049063045287</c:v>
                </c:pt>
                <c:pt idx="126">
                  <c:v>56.671252928954821</c:v>
                </c:pt>
                <c:pt idx="127">
                  <c:v>56.440528957882897</c:v>
                </c:pt>
                <c:pt idx="128">
                  <c:v>56.202921108123064</c:v>
                </c:pt>
                <c:pt idx="129">
                  <c:v>55.968641059786947</c:v>
                </c:pt>
                <c:pt idx="130">
                  <c:v>55.720708134624672</c:v>
                </c:pt>
                <c:pt idx="131">
                  <c:v>55.478089926388208</c:v>
                </c:pt>
                <c:pt idx="132">
                  <c:v>55.209151429327328</c:v>
                </c:pt>
                <c:pt idx="133">
                  <c:v>54.935626212654512</c:v>
                </c:pt>
                <c:pt idx="134">
                  <c:v>54.665136023042905</c:v>
                </c:pt>
                <c:pt idx="135">
                  <c:v>54.379279218607699</c:v>
                </c:pt>
                <c:pt idx="136">
                  <c:v>54.086674980870008</c:v>
                </c:pt>
                <c:pt idx="137">
                  <c:v>53.797135375048576</c:v>
                </c:pt>
                <c:pt idx="138">
                  <c:v>53.510592538153482</c:v>
                </c:pt>
                <c:pt idx="139">
                  <c:v>53.233945404666507</c:v>
                </c:pt>
                <c:pt idx="140">
                  <c:v>52.979603928045663</c:v>
                </c:pt>
                <c:pt idx="141">
                  <c:v>52.726337775103204</c:v>
                </c:pt>
                <c:pt idx="142">
                  <c:v>52.510141954619037</c:v>
                </c:pt>
                <c:pt idx="143">
                  <c:v>52.300208969501739</c:v>
                </c:pt>
                <c:pt idx="144">
                  <c:v>52.105197405294987</c:v>
                </c:pt>
                <c:pt idx="145">
                  <c:v>51.90443198923834</c:v>
                </c:pt>
                <c:pt idx="146">
                  <c:v>51.703320700794862</c:v>
                </c:pt>
                <c:pt idx="147">
                  <c:v>51.504618558812886</c:v>
                </c:pt>
                <c:pt idx="148">
                  <c:v>51.317765538042792</c:v>
                </c:pt>
                <c:pt idx="149">
                  <c:v>51.122275447727517</c:v>
                </c:pt>
                <c:pt idx="150">
                  <c:v>50.927334757140649</c:v>
                </c:pt>
                <c:pt idx="151">
                  <c:v>50.725906958197598</c:v>
                </c:pt>
                <c:pt idx="152">
                  <c:v>50.516082949741183</c:v>
                </c:pt>
                <c:pt idx="153">
                  <c:v>50.276696979038491</c:v>
                </c:pt>
                <c:pt idx="154">
                  <c:v>50.01830971322854</c:v>
                </c:pt>
                <c:pt idx="155">
                  <c:v>49.736507832062372</c:v>
                </c:pt>
                <c:pt idx="156">
                  <c:v>49.434427771527531</c:v>
                </c:pt>
                <c:pt idx="157">
                  <c:v>49.126821160482173</c:v>
                </c:pt>
                <c:pt idx="158">
                  <c:v>48.800866026273738</c:v>
                </c:pt>
                <c:pt idx="159">
                  <c:v>48.45851301102266</c:v>
                </c:pt>
                <c:pt idx="160">
                  <c:v>48.10588776252218</c:v>
                </c:pt>
                <c:pt idx="161">
                  <c:v>47.72478747351699</c:v>
                </c:pt>
                <c:pt idx="162">
                  <c:v>47.336384834787879</c:v>
                </c:pt>
                <c:pt idx="163">
                  <c:v>46.960266843321818</c:v>
                </c:pt>
                <c:pt idx="164">
                  <c:v>46.583376372241744</c:v>
                </c:pt>
                <c:pt idx="165">
                  <c:v>46.209110373643469</c:v>
                </c:pt>
                <c:pt idx="166">
                  <c:v>45.835159477353912</c:v>
                </c:pt>
                <c:pt idx="167">
                  <c:v>45.45656081019915</c:v>
                </c:pt>
                <c:pt idx="168">
                  <c:v>45.082065969852394</c:v>
                </c:pt>
                <c:pt idx="169">
                  <c:v>44.707221188279163</c:v>
                </c:pt>
                <c:pt idx="170">
                  <c:v>44.33262851814861</c:v>
                </c:pt>
                <c:pt idx="171">
                  <c:v>43.957789478575172</c:v>
                </c:pt>
                <c:pt idx="172">
                  <c:v>43.588283973560323</c:v>
                </c:pt>
                <c:pt idx="173">
                  <c:v>43.208301612178644</c:v>
                </c:pt>
                <c:pt idx="174">
                  <c:v>42.96309628573384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CF-4933-BECA-8283129DD41C}"/>
            </c:ext>
          </c:extLst>
        </c:ser>
        <c:ser>
          <c:idx val="7"/>
          <c:order val="7"/>
          <c:tx>
            <c:strRef>
              <c:f>data_ghg_excLUC!$K$2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data_ghg_excLUC!$K$3:$K$177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6CF-4933-BECA-8283129DD41C}"/>
            </c:ext>
          </c:extLst>
        </c:ser>
        <c:ser>
          <c:idx val="8"/>
          <c:order val="8"/>
          <c:tx>
            <c:strRef>
              <c:f>data_ghg_excLUC!$L$2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data_ghg_excLUC!$L$3:$L$177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CF-4933-BECA-8283129DD41C}"/>
            </c:ext>
          </c:extLst>
        </c:ser>
        <c:ser>
          <c:idx val="9"/>
          <c:order val="9"/>
          <c:tx>
            <c:strRef>
              <c:f>data_ghg_excLUC!$M$2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data_ghg_excLUC!$M$3:$M$177</c:f>
              <c:numCache>
                <c:formatCode>0.0</c:formatCode>
                <c:ptCount val="175"/>
                <c:pt idx="0">
                  <c:v>66.203006196469715</c:v>
                </c:pt>
                <c:pt idx="1">
                  <c:v>66.282443082951943</c:v>
                </c:pt>
                <c:pt idx="2">
                  <c:v>66.498566996716619</c:v>
                </c:pt>
                <c:pt idx="3">
                  <c:v>66.770062285895605</c:v>
                </c:pt>
                <c:pt idx="4">
                  <c:v>67.37014934494654</c:v>
                </c:pt>
                <c:pt idx="5">
                  <c:v>67.813552046647089</c:v>
                </c:pt>
                <c:pt idx="6">
                  <c:v>68.251964890138268</c:v>
                </c:pt>
                <c:pt idx="7">
                  <c:v>68.594670828122588</c:v>
                </c:pt>
                <c:pt idx="8">
                  <c:v>68.875926462176892</c:v>
                </c:pt>
                <c:pt idx="9">
                  <c:v>69.187975645967654</c:v>
                </c:pt>
                <c:pt idx="10">
                  <c:v>69.569003635194122</c:v>
                </c:pt>
                <c:pt idx="11">
                  <c:v>69.943845302964505</c:v>
                </c:pt>
                <c:pt idx="12">
                  <c:v>70.274543525925353</c:v>
                </c:pt>
                <c:pt idx="13">
                  <c:v>70.61539687913654</c:v>
                </c:pt>
                <c:pt idx="14">
                  <c:v>70.984825989205262</c:v>
                </c:pt>
                <c:pt idx="15">
                  <c:v>71.36342068166654</c:v>
                </c:pt>
                <c:pt idx="16">
                  <c:v>71.720406187947972</c:v>
                </c:pt>
                <c:pt idx="17">
                  <c:v>72.096368838191765</c:v>
                </c:pt>
                <c:pt idx="18">
                  <c:v>72.447390087251122</c:v>
                </c:pt>
                <c:pt idx="19">
                  <c:v>72.809762402565653</c:v>
                </c:pt>
                <c:pt idx="20">
                  <c:v>73.139793552040516</c:v>
                </c:pt>
                <c:pt idx="21">
                  <c:v>73.477024311528766</c:v>
                </c:pt>
                <c:pt idx="22">
                  <c:v>73.859795780514474</c:v>
                </c:pt>
                <c:pt idx="23">
                  <c:v>74.248477908351859</c:v>
                </c:pt>
                <c:pt idx="24">
                  <c:v>74.537945951310249</c:v>
                </c:pt>
                <c:pt idx="25">
                  <c:v>74.857511739847709</c:v>
                </c:pt>
                <c:pt idx="26">
                  <c:v>75.152070022271118</c:v>
                </c:pt>
                <c:pt idx="27">
                  <c:v>75.429956588488906</c:v>
                </c:pt>
                <c:pt idx="28">
                  <c:v>75.675554827772089</c:v>
                </c:pt>
                <c:pt idx="29">
                  <c:v>75.941683229313853</c:v>
                </c:pt>
                <c:pt idx="30">
                  <c:v>76.262670428814388</c:v>
                </c:pt>
                <c:pt idx="31">
                  <c:v>76.574840952841441</c:v>
                </c:pt>
                <c:pt idx="32">
                  <c:v>76.891102009394174</c:v>
                </c:pt>
                <c:pt idx="33">
                  <c:v>77.215843253942211</c:v>
                </c:pt>
                <c:pt idx="34">
                  <c:v>77.5131946356111</c:v>
                </c:pt>
                <c:pt idx="35">
                  <c:v>77.78562231758572</c:v>
                </c:pt>
                <c:pt idx="36">
                  <c:v>78.041026315415863</c:v>
                </c:pt>
                <c:pt idx="37">
                  <c:v>78.298888536839868</c:v>
                </c:pt>
                <c:pt idx="38">
                  <c:v>78.591471673663293</c:v>
                </c:pt>
                <c:pt idx="39">
                  <c:v>78.852874189119831</c:v>
                </c:pt>
                <c:pt idx="40">
                  <c:v>79.141772895100289</c:v>
                </c:pt>
                <c:pt idx="41">
                  <c:v>79.429349064791197</c:v>
                </c:pt>
                <c:pt idx="42">
                  <c:v>79.691916889440279</c:v>
                </c:pt>
                <c:pt idx="43">
                  <c:v>79.918389148365307</c:v>
                </c:pt>
                <c:pt idx="44">
                  <c:v>80.141054156343202</c:v>
                </c:pt>
                <c:pt idx="45">
                  <c:v>80.369910056633131</c:v>
                </c:pt>
                <c:pt idx="46">
                  <c:v>80.592433444327852</c:v>
                </c:pt>
                <c:pt idx="47">
                  <c:v>80.817033707178751</c:v>
                </c:pt>
                <c:pt idx="48">
                  <c:v>81.044023107725423</c:v>
                </c:pt>
                <c:pt idx="49">
                  <c:v>81.296044754070721</c:v>
                </c:pt>
                <c:pt idx="50">
                  <c:v>81.556533045559632</c:v>
                </c:pt>
                <c:pt idx="51">
                  <c:v>81.803187249693167</c:v>
                </c:pt>
                <c:pt idx="52">
                  <c:v>82.037919080859865</c:v>
                </c:pt>
                <c:pt idx="53">
                  <c:v>82.291660747646162</c:v>
                </c:pt>
                <c:pt idx="54">
                  <c:v>82.522842763246487</c:v>
                </c:pt>
                <c:pt idx="55">
                  <c:v>82.762613718678068</c:v>
                </c:pt>
                <c:pt idx="56">
                  <c:v>82.992181724238961</c:v>
                </c:pt>
                <c:pt idx="57">
                  <c:v>83.241239870661175</c:v>
                </c:pt>
                <c:pt idx="58">
                  <c:v>83.437300461616303</c:v>
                </c:pt>
                <c:pt idx="59">
                  <c:v>83.634219816732298</c:v>
                </c:pt>
                <c:pt idx="60">
                  <c:v>83.833653507478417</c:v>
                </c:pt>
                <c:pt idx="61">
                  <c:v>84.012958541786858</c:v>
                </c:pt>
                <c:pt idx="62">
                  <c:v>84.202498448864233</c:v>
                </c:pt>
                <c:pt idx="63">
                  <c:v>84.397116075794088</c:v>
                </c:pt>
                <c:pt idx="64">
                  <c:v>84.532484450871905</c:v>
                </c:pt>
                <c:pt idx="65">
                  <c:v>84.649552356279429</c:v>
                </c:pt>
                <c:pt idx="66">
                  <c:v>84.775581038773524</c:v>
                </c:pt>
                <c:pt idx="67">
                  <c:v>84.897950729728862</c:v>
                </c:pt>
                <c:pt idx="68">
                  <c:v>84.998415748064531</c:v>
                </c:pt>
                <c:pt idx="69">
                  <c:v>85.020481936812715</c:v>
                </c:pt>
                <c:pt idx="70">
                  <c:v>85.067872335938233</c:v>
                </c:pt>
                <c:pt idx="71">
                  <c:v>85.0507023621537</c:v>
                </c:pt>
                <c:pt idx="72">
                  <c:v>85.04778711249746</c:v>
                </c:pt>
                <c:pt idx="73">
                  <c:v>85.080161138712427</c:v>
                </c:pt>
                <c:pt idx="74">
                  <c:v>85.100378851931794</c:v>
                </c:pt>
                <c:pt idx="75">
                  <c:v>85.122491827685494</c:v>
                </c:pt>
                <c:pt idx="76">
                  <c:v>85.137410566398344</c:v>
                </c:pt>
                <c:pt idx="77">
                  <c:v>85.177178618116727</c:v>
                </c:pt>
                <c:pt idx="78">
                  <c:v>85.206201564434707</c:v>
                </c:pt>
                <c:pt idx="79">
                  <c:v>85.249340858352255</c:v>
                </c:pt>
                <c:pt idx="80">
                  <c:v>85.261819802122901</c:v>
                </c:pt>
                <c:pt idx="81">
                  <c:v>85.244263583960517</c:v>
                </c:pt>
                <c:pt idx="82">
                  <c:v>85.193099875007178</c:v>
                </c:pt>
                <c:pt idx="83">
                  <c:v>85.144270336669067</c:v>
                </c:pt>
                <c:pt idx="84">
                  <c:v>85.096368028086985</c:v>
                </c:pt>
                <c:pt idx="85">
                  <c:v>85.04233630608303</c:v>
                </c:pt>
                <c:pt idx="86">
                  <c:v>85.004246155030785</c:v>
                </c:pt>
                <c:pt idx="87">
                  <c:v>84.969979442098762</c:v>
                </c:pt>
                <c:pt idx="88">
                  <c:v>84.91384293626993</c:v>
                </c:pt>
                <c:pt idx="89">
                  <c:v>84.860898446930193</c:v>
                </c:pt>
                <c:pt idx="90">
                  <c:v>84.81973277274912</c:v>
                </c:pt>
                <c:pt idx="91">
                  <c:v>84.783161736872799</c:v>
                </c:pt>
                <c:pt idx="92">
                  <c:v>84.756773402140723</c:v>
                </c:pt>
                <c:pt idx="93">
                  <c:v>84.737080515571279</c:v>
                </c:pt>
                <c:pt idx="94">
                  <c:v>84.709369946739614</c:v>
                </c:pt>
                <c:pt idx="95">
                  <c:v>84.642910411212384</c:v>
                </c:pt>
                <c:pt idx="96">
                  <c:v>84.576086276637014</c:v>
                </c:pt>
                <c:pt idx="97">
                  <c:v>84.525685034086536</c:v>
                </c:pt>
                <c:pt idx="98">
                  <c:v>84.497787281922896</c:v>
                </c:pt>
                <c:pt idx="99">
                  <c:v>84.455376676410324</c:v>
                </c:pt>
                <c:pt idx="100">
                  <c:v>84.422926739592612</c:v>
                </c:pt>
                <c:pt idx="101">
                  <c:v>84.39003242651053</c:v>
                </c:pt>
                <c:pt idx="102">
                  <c:v>84.3399746454905</c:v>
                </c:pt>
                <c:pt idx="103">
                  <c:v>84.292665143514583</c:v>
                </c:pt>
                <c:pt idx="104">
                  <c:v>84.22663530122523</c:v>
                </c:pt>
                <c:pt idx="105">
                  <c:v>84.143756377759274</c:v>
                </c:pt>
                <c:pt idx="106">
                  <c:v>84.06114733013105</c:v>
                </c:pt>
                <c:pt idx="107">
                  <c:v>83.95959411957584</c:v>
                </c:pt>
                <c:pt idx="108">
                  <c:v>83.791155831062852</c:v>
                </c:pt>
                <c:pt idx="109">
                  <c:v>83.564923059912957</c:v>
                </c:pt>
                <c:pt idx="110">
                  <c:v>83.332360932130996</c:v>
                </c:pt>
                <c:pt idx="111">
                  <c:v>83.157124193746697</c:v>
                </c:pt>
                <c:pt idx="112">
                  <c:v>83.018132423083671</c:v>
                </c:pt>
                <c:pt idx="113">
                  <c:v>82.8854912694907</c:v>
                </c:pt>
                <c:pt idx="114">
                  <c:v>82.758703144688383</c:v>
                </c:pt>
                <c:pt idx="115">
                  <c:v>82.615057055030732</c:v>
                </c:pt>
                <c:pt idx="116">
                  <c:v>82.451451759339577</c:v>
                </c:pt>
                <c:pt idx="117">
                  <c:v>82.312524334066126</c:v>
                </c:pt>
                <c:pt idx="118">
                  <c:v>82.170885718553365</c:v>
                </c:pt>
                <c:pt idx="119">
                  <c:v>82.00482569113305</c:v>
                </c:pt>
                <c:pt idx="120">
                  <c:v>81.802282225521765</c:v>
                </c:pt>
                <c:pt idx="121">
                  <c:v>81.579321002664955</c:v>
                </c:pt>
                <c:pt idx="122">
                  <c:v>81.357352198538038</c:v>
                </c:pt>
                <c:pt idx="123">
                  <c:v>81.120449375264471</c:v>
                </c:pt>
                <c:pt idx="124">
                  <c:v>80.880681209630836</c:v>
                </c:pt>
                <c:pt idx="125">
                  <c:v>80.621250102074498</c:v>
                </c:pt>
                <c:pt idx="126">
                  <c:v>80.36130167794353</c:v>
                </c:pt>
                <c:pt idx="127">
                  <c:v>80.08938312043307</c:v>
                </c:pt>
                <c:pt idx="128">
                  <c:v>79.80627046591438</c:v>
                </c:pt>
                <c:pt idx="129">
                  <c:v>79.517176871255529</c:v>
                </c:pt>
                <c:pt idx="130">
                  <c:v>79.241264358201263</c:v>
                </c:pt>
                <c:pt idx="131">
                  <c:v>78.980018707904492</c:v>
                </c:pt>
                <c:pt idx="132">
                  <c:v>78.701827372917904</c:v>
                </c:pt>
                <c:pt idx="133">
                  <c:v>78.418012662250376</c:v>
                </c:pt>
                <c:pt idx="134">
                  <c:v>78.122353552345785</c:v>
                </c:pt>
                <c:pt idx="135">
                  <c:v>77.815774083381243</c:v>
                </c:pt>
                <c:pt idx="136">
                  <c:v>77.496256886764101</c:v>
                </c:pt>
                <c:pt idx="137">
                  <c:v>77.172365398826059</c:v>
                </c:pt>
                <c:pt idx="138">
                  <c:v>76.829519767604324</c:v>
                </c:pt>
                <c:pt idx="139">
                  <c:v>76.486374543636074</c:v>
                </c:pt>
                <c:pt idx="140">
                  <c:v>76.172202211634641</c:v>
                </c:pt>
                <c:pt idx="141">
                  <c:v>75.809342966234141</c:v>
                </c:pt>
                <c:pt idx="142">
                  <c:v>75.462139766121339</c:v>
                </c:pt>
                <c:pt idx="143">
                  <c:v>75.097073689732142</c:v>
                </c:pt>
                <c:pt idx="144">
                  <c:v>74.712466606840167</c:v>
                </c:pt>
                <c:pt idx="145">
                  <c:v>74.314093422483609</c:v>
                </c:pt>
                <c:pt idx="146">
                  <c:v>73.90786848065224</c:v>
                </c:pt>
                <c:pt idx="147">
                  <c:v>73.502622653534246</c:v>
                </c:pt>
                <c:pt idx="148">
                  <c:v>73.124197393178605</c:v>
                </c:pt>
                <c:pt idx="149">
                  <c:v>72.73739925121761</c:v>
                </c:pt>
                <c:pt idx="150">
                  <c:v>72.346633697290912</c:v>
                </c:pt>
                <c:pt idx="151">
                  <c:v>71.960769823630756</c:v>
                </c:pt>
                <c:pt idx="152">
                  <c:v>71.568862805515906</c:v>
                </c:pt>
                <c:pt idx="153">
                  <c:v>71.132157412383805</c:v>
                </c:pt>
                <c:pt idx="154">
                  <c:v>70.675279336740289</c:v>
                </c:pt>
                <c:pt idx="155">
                  <c:v>70.191640741229989</c:v>
                </c:pt>
                <c:pt idx="156">
                  <c:v>69.682639692349341</c:v>
                </c:pt>
                <c:pt idx="157">
                  <c:v>69.165459782919143</c:v>
                </c:pt>
                <c:pt idx="158">
                  <c:v>68.622847254851592</c:v>
                </c:pt>
                <c:pt idx="159">
                  <c:v>68.059833886072454</c:v>
                </c:pt>
                <c:pt idx="160">
                  <c:v>67.47264927656353</c:v>
                </c:pt>
                <c:pt idx="161">
                  <c:v>66.852220902016029</c:v>
                </c:pt>
                <c:pt idx="162">
                  <c:v>66.227169775156298</c:v>
                </c:pt>
                <c:pt idx="163">
                  <c:v>65.618062926334872</c:v>
                </c:pt>
                <c:pt idx="164">
                  <c:v>65.015867872855651</c:v>
                </c:pt>
                <c:pt idx="165">
                  <c:v>64.433012930348681</c:v>
                </c:pt>
                <c:pt idx="166">
                  <c:v>63.866406604242854</c:v>
                </c:pt>
                <c:pt idx="167">
                  <c:v>63.303395335906131</c:v>
                </c:pt>
                <c:pt idx="168">
                  <c:v>62.743471997893351</c:v>
                </c:pt>
                <c:pt idx="169">
                  <c:v>62.177293594895545</c:v>
                </c:pt>
                <c:pt idx="170">
                  <c:v>61.628308625639747</c:v>
                </c:pt>
                <c:pt idx="171">
                  <c:v>61.07996985312564</c:v>
                </c:pt>
                <c:pt idx="172">
                  <c:v>60.524082017493427</c:v>
                </c:pt>
                <c:pt idx="173">
                  <c:v>59.958566753640888</c:v>
                </c:pt>
                <c:pt idx="174">
                  <c:v>59.40210000367545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6CF-4933-BECA-8283129DD41C}"/>
            </c:ext>
          </c:extLst>
        </c:ser>
        <c:ser>
          <c:idx val="10"/>
          <c:order val="10"/>
          <c:tx>
            <c:strRef>
              <c:f>data_ghg_excLUC!$N$2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data_ghg_excLUC!$N$3:$N$177</c:f>
              <c:numCache>
                <c:formatCode>0.0</c:formatCode>
                <c:ptCount val="175"/>
                <c:pt idx="0">
                  <c:v>51.529359089164636</c:v>
                </c:pt>
                <c:pt idx="1">
                  <c:v>51.635556626776435</c:v>
                </c:pt>
                <c:pt idx="2">
                  <c:v>51.825837052603617</c:v>
                </c:pt>
                <c:pt idx="3">
                  <c:v>52.048164643769503</c:v>
                </c:pt>
                <c:pt idx="4">
                  <c:v>52.482155383555408</c:v>
                </c:pt>
                <c:pt idx="5">
                  <c:v>52.819035838324837</c:v>
                </c:pt>
                <c:pt idx="6">
                  <c:v>53.162121474431125</c:v>
                </c:pt>
                <c:pt idx="7">
                  <c:v>53.443023039995339</c:v>
                </c:pt>
                <c:pt idx="8">
                  <c:v>53.682749482915135</c:v>
                </c:pt>
                <c:pt idx="9">
                  <c:v>53.93926045463666</c:v>
                </c:pt>
                <c:pt idx="10">
                  <c:v>54.243931437026738</c:v>
                </c:pt>
                <c:pt idx="11">
                  <c:v>54.546343002180976</c:v>
                </c:pt>
                <c:pt idx="12">
                  <c:v>54.817831047029074</c:v>
                </c:pt>
                <c:pt idx="13">
                  <c:v>55.09932068164224</c:v>
                </c:pt>
                <c:pt idx="14">
                  <c:v>55.40349805869932</c:v>
                </c:pt>
                <c:pt idx="15">
                  <c:v>55.716430867252456</c:v>
                </c:pt>
                <c:pt idx="16">
                  <c:v>56.016436659449319</c:v>
                </c:pt>
                <c:pt idx="17">
                  <c:v>56.33152125892623</c:v>
                </c:pt>
                <c:pt idx="18">
                  <c:v>56.630532645836915</c:v>
                </c:pt>
                <c:pt idx="19">
                  <c:v>56.939104337983757</c:v>
                </c:pt>
                <c:pt idx="20">
                  <c:v>57.227485712433221</c:v>
                </c:pt>
                <c:pt idx="21">
                  <c:v>57.525932766178144</c:v>
                </c:pt>
                <c:pt idx="22">
                  <c:v>57.86719476062715</c:v>
                </c:pt>
                <c:pt idx="23">
                  <c:v>58.218991188409994</c:v>
                </c:pt>
                <c:pt idx="24">
                  <c:v>58.493924216312763</c:v>
                </c:pt>
                <c:pt idx="25">
                  <c:v>58.797863802965431</c:v>
                </c:pt>
                <c:pt idx="26">
                  <c:v>59.084754353151823</c:v>
                </c:pt>
                <c:pt idx="27">
                  <c:v>59.359731232966674</c:v>
                </c:pt>
                <c:pt idx="28">
                  <c:v>59.613479974895093</c:v>
                </c:pt>
                <c:pt idx="29">
                  <c:v>59.887021146298004</c:v>
                </c:pt>
                <c:pt idx="30">
                  <c:v>60.213423738426044</c:v>
                </c:pt>
                <c:pt idx="31">
                  <c:v>60.530063906939361</c:v>
                </c:pt>
                <c:pt idx="32">
                  <c:v>60.85204550423741</c:v>
                </c:pt>
                <c:pt idx="33">
                  <c:v>61.183436905547197</c:v>
                </c:pt>
                <c:pt idx="34">
                  <c:v>61.492088960909271</c:v>
                </c:pt>
                <c:pt idx="35">
                  <c:v>61.779139175370226</c:v>
                </c:pt>
                <c:pt idx="36">
                  <c:v>62.049972618186644</c:v>
                </c:pt>
                <c:pt idx="37">
                  <c:v>62.324206455949003</c:v>
                </c:pt>
                <c:pt idx="38">
                  <c:v>62.634986532308844</c:v>
                </c:pt>
                <c:pt idx="39">
                  <c:v>62.919570274443437</c:v>
                </c:pt>
                <c:pt idx="40">
                  <c:v>63.23033498274058</c:v>
                </c:pt>
                <c:pt idx="41">
                  <c:v>63.544316477857812</c:v>
                </c:pt>
                <c:pt idx="42">
                  <c:v>63.837426847652857</c:v>
                </c:pt>
                <c:pt idx="43">
                  <c:v>64.098753066220539</c:v>
                </c:pt>
                <c:pt idx="44">
                  <c:v>64.359926399371929</c:v>
                </c:pt>
                <c:pt idx="45">
                  <c:v>64.630474651502183</c:v>
                </c:pt>
                <c:pt idx="46">
                  <c:v>64.897272312074932</c:v>
                </c:pt>
                <c:pt idx="47">
                  <c:v>65.169001901681696</c:v>
                </c:pt>
                <c:pt idx="48">
                  <c:v>65.447420465492002</c:v>
                </c:pt>
                <c:pt idx="49">
                  <c:v>65.755522994578058</c:v>
                </c:pt>
                <c:pt idx="50">
                  <c:v>66.074175193173659</c:v>
                </c:pt>
                <c:pt idx="51">
                  <c:v>66.382056827613852</c:v>
                </c:pt>
                <c:pt idx="52">
                  <c:v>66.680446279189397</c:v>
                </c:pt>
                <c:pt idx="53">
                  <c:v>67.004623753194878</c:v>
                </c:pt>
                <c:pt idx="54">
                  <c:v>67.308520931497711</c:v>
                </c:pt>
                <c:pt idx="55">
                  <c:v>67.62618659399763</c:v>
                </c:pt>
                <c:pt idx="56">
                  <c:v>67.934420566138542</c:v>
                </c:pt>
                <c:pt idx="57">
                  <c:v>68.293920215758291</c:v>
                </c:pt>
                <c:pt idx="58">
                  <c:v>68.596672288380148</c:v>
                </c:pt>
                <c:pt idx="59">
                  <c:v>68.902279791735154</c:v>
                </c:pt>
                <c:pt idx="60">
                  <c:v>69.213405066746205</c:v>
                </c:pt>
                <c:pt idx="61">
                  <c:v>69.500776661923382</c:v>
                </c:pt>
                <c:pt idx="62">
                  <c:v>69.8010034955973</c:v>
                </c:pt>
                <c:pt idx="63">
                  <c:v>70.117341210071828</c:v>
                </c:pt>
                <c:pt idx="64">
                  <c:v>70.355245611920409</c:v>
                </c:pt>
                <c:pt idx="65">
                  <c:v>70.565647273282579</c:v>
                </c:pt>
                <c:pt idx="66">
                  <c:v>70.792337735375355</c:v>
                </c:pt>
                <c:pt idx="67">
                  <c:v>71.016146391058328</c:v>
                </c:pt>
                <c:pt idx="68">
                  <c:v>71.213453067497738</c:v>
                </c:pt>
                <c:pt idx="69">
                  <c:v>71.32056014535894</c:v>
                </c:pt>
                <c:pt idx="70">
                  <c:v>71.47129519119332</c:v>
                </c:pt>
                <c:pt idx="71">
                  <c:v>71.543315128148279</c:v>
                </c:pt>
                <c:pt idx="72">
                  <c:v>71.62871971766495</c:v>
                </c:pt>
                <c:pt idx="73">
                  <c:v>71.756985200775802</c:v>
                </c:pt>
                <c:pt idx="74">
                  <c:v>71.871364816632664</c:v>
                </c:pt>
                <c:pt idx="75">
                  <c:v>71.983105033859445</c:v>
                </c:pt>
                <c:pt idx="76">
                  <c:v>72.076927179384882</c:v>
                </c:pt>
                <c:pt idx="77">
                  <c:v>72.200496886523638</c:v>
                </c:pt>
                <c:pt idx="78">
                  <c:v>72.304391882350984</c:v>
                </c:pt>
                <c:pt idx="79">
                  <c:v>72.424758779207238</c:v>
                </c:pt>
                <c:pt idx="80">
                  <c:v>72.500646011158665</c:v>
                </c:pt>
                <c:pt idx="81">
                  <c:v>72.533784003790089</c:v>
                </c:pt>
                <c:pt idx="82">
                  <c:v>72.525972549218437</c:v>
                </c:pt>
                <c:pt idx="83">
                  <c:v>72.524121812734464</c:v>
                </c:pt>
                <c:pt idx="84">
                  <c:v>72.531871671944174</c:v>
                </c:pt>
                <c:pt idx="85">
                  <c:v>72.538362314270586</c:v>
                </c:pt>
                <c:pt idx="86">
                  <c:v>72.565027587662442</c:v>
                </c:pt>
                <c:pt idx="87">
                  <c:v>72.59972985533814</c:v>
                </c:pt>
                <c:pt idx="88">
                  <c:v>72.601869312125928</c:v>
                </c:pt>
                <c:pt idx="89">
                  <c:v>72.610362144550621</c:v>
                </c:pt>
                <c:pt idx="90">
                  <c:v>72.637959946399434</c:v>
                </c:pt>
                <c:pt idx="91">
                  <c:v>72.664344159770948</c:v>
                </c:pt>
                <c:pt idx="92">
                  <c:v>72.698370687353815</c:v>
                </c:pt>
                <c:pt idx="93">
                  <c:v>72.730515684684065</c:v>
                </c:pt>
                <c:pt idx="94">
                  <c:v>72.742252115952681</c:v>
                </c:pt>
                <c:pt idx="95">
                  <c:v>72.688114185048079</c:v>
                </c:pt>
                <c:pt idx="96">
                  <c:v>72.633027068889334</c:v>
                </c:pt>
                <c:pt idx="97">
                  <c:v>72.610882685677467</c:v>
                </c:pt>
                <c:pt idx="98">
                  <c:v>72.609245681205635</c:v>
                </c:pt>
                <c:pt idx="99">
                  <c:v>72.581082136249393</c:v>
                </c:pt>
                <c:pt idx="100">
                  <c:v>72.601759226609531</c:v>
                </c:pt>
                <c:pt idx="101">
                  <c:v>72.628198128568087</c:v>
                </c:pt>
                <c:pt idx="102">
                  <c:v>72.641508539318551</c:v>
                </c:pt>
                <c:pt idx="103">
                  <c:v>72.656137559478637</c:v>
                </c:pt>
                <c:pt idx="104">
                  <c:v>72.656958770308833</c:v>
                </c:pt>
                <c:pt idx="105">
                  <c:v>72.662371894943362</c:v>
                </c:pt>
                <c:pt idx="106">
                  <c:v>72.674083515755981</c:v>
                </c:pt>
                <c:pt idx="107">
                  <c:v>72.67306949414602</c:v>
                </c:pt>
                <c:pt idx="108">
                  <c:v>72.624301169395494</c:v>
                </c:pt>
                <c:pt idx="109">
                  <c:v>72.540746047616906</c:v>
                </c:pt>
                <c:pt idx="110">
                  <c:v>72.45542426033839</c:v>
                </c:pt>
                <c:pt idx="111">
                  <c:v>72.405168617471787</c:v>
                </c:pt>
                <c:pt idx="112">
                  <c:v>72.380876170069172</c:v>
                </c:pt>
                <c:pt idx="113">
                  <c:v>72.368652067750574</c:v>
                </c:pt>
                <c:pt idx="114">
                  <c:v>72.363439476930509</c:v>
                </c:pt>
                <c:pt idx="115">
                  <c:v>72.352403237021406</c:v>
                </c:pt>
                <c:pt idx="116">
                  <c:v>72.328328333076058</c:v>
                </c:pt>
                <c:pt idx="117">
                  <c:v>72.326538209651972</c:v>
                </c:pt>
                <c:pt idx="118">
                  <c:v>72.319392380406995</c:v>
                </c:pt>
                <c:pt idx="119">
                  <c:v>72.303282013139452</c:v>
                </c:pt>
                <c:pt idx="120">
                  <c:v>72.261735151926018</c:v>
                </c:pt>
                <c:pt idx="121">
                  <c:v>72.210611258769745</c:v>
                </c:pt>
                <c:pt idx="122">
                  <c:v>72.16542662760628</c:v>
                </c:pt>
                <c:pt idx="123">
                  <c:v>72.114231508041996</c:v>
                </c:pt>
                <c:pt idx="124">
                  <c:v>72.053463438977332</c:v>
                </c:pt>
                <c:pt idx="125">
                  <c:v>71.960906835611894</c:v>
                </c:pt>
                <c:pt idx="126">
                  <c:v>71.874106330166867</c:v>
                </c:pt>
                <c:pt idx="127">
                  <c:v>71.77218622355106</c:v>
                </c:pt>
                <c:pt idx="128">
                  <c:v>71.661161175056748</c:v>
                </c:pt>
                <c:pt idx="129">
                  <c:v>71.54067694515409</c:v>
                </c:pt>
                <c:pt idx="130">
                  <c:v>71.416089302058111</c:v>
                </c:pt>
                <c:pt idx="131">
                  <c:v>71.288210774382549</c:v>
                </c:pt>
                <c:pt idx="132">
                  <c:v>71.1389313398806</c:v>
                </c:pt>
                <c:pt idx="133">
                  <c:v>70.981519902438151</c:v>
                </c:pt>
                <c:pt idx="134">
                  <c:v>70.817538248778732</c:v>
                </c:pt>
                <c:pt idx="135">
                  <c:v>70.644540740582883</c:v>
                </c:pt>
                <c:pt idx="136">
                  <c:v>70.460156009305052</c:v>
                </c:pt>
                <c:pt idx="137">
                  <c:v>70.267419367460803</c:v>
                </c:pt>
                <c:pt idx="138">
                  <c:v>70.064723301070615</c:v>
                </c:pt>
                <c:pt idx="139">
                  <c:v>69.853619606975357</c:v>
                </c:pt>
                <c:pt idx="140">
                  <c:v>69.644082165707161</c:v>
                </c:pt>
                <c:pt idx="141">
                  <c:v>69.405069169294507</c:v>
                </c:pt>
                <c:pt idx="142">
                  <c:v>69.165008496316588</c:v>
                </c:pt>
                <c:pt idx="143">
                  <c:v>68.912070703604286</c:v>
                </c:pt>
                <c:pt idx="144">
                  <c:v>68.646076729318679</c:v>
                </c:pt>
                <c:pt idx="145">
                  <c:v>68.363698476841392</c:v>
                </c:pt>
                <c:pt idx="146">
                  <c:v>68.071618797446988</c:v>
                </c:pt>
                <c:pt idx="147">
                  <c:v>67.774186565836374</c:v>
                </c:pt>
                <c:pt idx="148">
                  <c:v>67.48573072852021</c:v>
                </c:pt>
                <c:pt idx="149">
                  <c:v>67.183589567619379</c:v>
                </c:pt>
                <c:pt idx="150">
                  <c:v>66.877060590455486</c:v>
                </c:pt>
                <c:pt idx="151">
                  <c:v>66.56848658983418</c:v>
                </c:pt>
                <c:pt idx="152">
                  <c:v>66.24687230045042</c:v>
                </c:pt>
                <c:pt idx="153">
                  <c:v>65.891344793161309</c:v>
                </c:pt>
                <c:pt idx="154">
                  <c:v>65.512365259412192</c:v>
                </c:pt>
                <c:pt idx="155">
                  <c:v>65.106636584719368</c:v>
                </c:pt>
                <c:pt idx="156">
                  <c:v>64.683725920041454</c:v>
                </c:pt>
                <c:pt idx="157">
                  <c:v>64.255631837161403</c:v>
                </c:pt>
                <c:pt idx="158">
                  <c:v>63.810019378578687</c:v>
                </c:pt>
                <c:pt idx="159">
                  <c:v>63.343540454402003</c:v>
                </c:pt>
                <c:pt idx="160">
                  <c:v>62.866206945159099</c:v>
                </c:pt>
                <c:pt idx="161">
                  <c:v>62.361006353024962</c:v>
                </c:pt>
                <c:pt idx="162">
                  <c:v>61.849800765168162</c:v>
                </c:pt>
                <c:pt idx="163">
                  <c:v>61.347981973308649</c:v>
                </c:pt>
                <c:pt idx="164">
                  <c:v>60.845377735427974</c:v>
                </c:pt>
                <c:pt idx="165">
                  <c:v>60.347233548399224</c:v>
                </c:pt>
                <c:pt idx="166">
                  <c:v>59.854889753232698</c:v>
                </c:pt>
                <c:pt idx="167">
                  <c:v>59.360379464325334</c:v>
                </c:pt>
                <c:pt idx="168">
                  <c:v>58.873050696681894</c:v>
                </c:pt>
                <c:pt idx="169">
                  <c:v>58.386672102866136</c:v>
                </c:pt>
                <c:pt idx="170">
                  <c:v>57.908111023908027</c:v>
                </c:pt>
                <c:pt idx="171">
                  <c:v>57.429138353622889</c:v>
                </c:pt>
                <c:pt idx="172">
                  <c:v>56.952367283515116</c:v>
                </c:pt>
                <c:pt idx="173">
                  <c:v>56.465236660875817</c:v>
                </c:pt>
                <c:pt idx="174">
                  <c:v>56.150527593055919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6CF-4933-BECA-8283129DD41C}"/>
            </c:ext>
          </c:extLst>
        </c:ser>
        <c:ser>
          <c:idx val="11"/>
          <c:order val="11"/>
          <c:tx>
            <c:strRef>
              <c:f>data_ghg_excLUC!$O$2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data_ghg_excLUC!$O$3:$O$177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6CF-4933-BECA-8283129DD41C}"/>
            </c:ext>
          </c:extLst>
        </c:ser>
        <c:ser>
          <c:idx val="12"/>
          <c:order val="12"/>
          <c:tx>
            <c:strRef>
              <c:f>data_ghg_excLUC!$P$2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data_ghg_excLUC!$P$3:$P$177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6CF-4933-BECA-8283129DD41C}"/>
            </c:ext>
          </c:extLst>
        </c:ser>
        <c:ser>
          <c:idx val="13"/>
          <c:order val="13"/>
          <c:tx>
            <c:strRef>
              <c:f>data_ghg_excLUC!$R$2</c:f>
              <c:strCache>
                <c:ptCount val="1"/>
                <c:pt idx="0">
                  <c:v>Annex II GMST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data_ghg_excLUC!$R$3:$R$177</c:f>
              <c:numCache>
                <c:formatCode>0.0</c:formatCode>
                <c:ptCount val="175"/>
                <c:pt idx="1">
                  <c:v>68.613</c:v>
                </c:pt>
                <c:pt idx="2">
                  <c:v>68.953000000000003</c:v>
                </c:pt>
                <c:pt idx="3">
                  <c:v>69.393000000000001</c:v>
                </c:pt>
                <c:pt idx="4">
                  <c:v>70.388999999999996</c:v>
                </c:pt>
                <c:pt idx="5">
                  <c:v>71.013999999999996</c:v>
                </c:pt>
                <c:pt idx="6">
                  <c:v>71.563000000000002</c:v>
                </c:pt>
                <c:pt idx="7">
                  <c:v>71.978999999999999</c:v>
                </c:pt>
                <c:pt idx="8">
                  <c:v>72.269000000000005</c:v>
                </c:pt>
                <c:pt idx="9">
                  <c:v>72.650000000000006</c:v>
                </c:pt>
                <c:pt idx="10">
                  <c:v>73.131</c:v>
                </c:pt>
                <c:pt idx="11">
                  <c:v>73.561999999999998</c:v>
                </c:pt>
                <c:pt idx="12">
                  <c:v>73.882000000000005</c:v>
                </c:pt>
                <c:pt idx="13">
                  <c:v>74.149000000000001</c:v>
                </c:pt>
                <c:pt idx="14">
                  <c:v>74.441000000000003</c:v>
                </c:pt>
                <c:pt idx="15">
                  <c:v>74.721000000000004</c:v>
                </c:pt>
                <c:pt idx="16">
                  <c:v>74.980999999999995</c:v>
                </c:pt>
                <c:pt idx="17">
                  <c:v>75.23</c:v>
                </c:pt>
                <c:pt idx="18">
                  <c:v>75.447999999999993</c:v>
                </c:pt>
                <c:pt idx="19">
                  <c:v>75.674999999999997</c:v>
                </c:pt>
                <c:pt idx="20">
                  <c:v>75.823999999999998</c:v>
                </c:pt>
                <c:pt idx="21">
                  <c:v>75.95</c:v>
                </c:pt>
                <c:pt idx="22">
                  <c:v>76.135999999999996</c:v>
                </c:pt>
                <c:pt idx="23">
                  <c:v>76.319999999999993</c:v>
                </c:pt>
                <c:pt idx="24">
                  <c:v>76.33</c:v>
                </c:pt>
                <c:pt idx="25">
                  <c:v>76.388000000000005</c:v>
                </c:pt>
                <c:pt idx="26">
                  <c:v>76.356999999999999</c:v>
                </c:pt>
                <c:pt idx="27">
                  <c:v>76.325000000000003</c:v>
                </c:pt>
                <c:pt idx="28">
                  <c:v>76.245000000000005</c:v>
                </c:pt>
                <c:pt idx="29">
                  <c:v>76.183999999999997</c:v>
                </c:pt>
                <c:pt idx="30">
                  <c:v>76.191000000000003</c:v>
                </c:pt>
                <c:pt idx="31">
                  <c:v>76.198999999999998</c:v>
                </c:pt>
                <c:pt idx="32">
                  <c:v>76.228999999999999</c:v>
                </c:pt>
                <c:pt idx="33">
                  <c:v>76.275000000000006</c:v>
                </c:pt>
                <c:pt idx="34">
                  <c:v>76.278000000000006</c:v>
                </c:pt>
                <c:pt idx="35">
                  <c:v>76.239000000000004</c:v>
                </c:pt>
                <c:pt idx="36">
                  <c:v>76.183000000000007</c:v>
                </c:pt>
                <c:pt idx="37">
                  <c:v>76.141000000000005</c:v>
                </c:pt>
                <c:pt idx="38">
                  <c:v>76.153999999999996</c:v>
                </c:pt>
                <c:pt idx="39">
                  <c:v>76.119</c:v>
                </c:pt>
                <c:pt idx="40">
                  <c:v>76.138999999999996</c:v>
                </c:pt>
                <c:pt idx="41">
                  <c:v>76.16</c:v>
                </c:pt>
                <c:pt idx="42">
                  <c:v>76.155000000000001</c:v>
                </c:pt>
                <c:pt idx="43">
                  <c:v>76.081999999999994</c:v>
                </c:pt>
                <c:pt idx="44">
                  <c:v>76.05</c:v>
                </c:pt>
                <c:pt idx="45">
                  <c:v>76.012</c:v>
                </c:pt>
                <c:pt idx="46">
                  <c:v>75.988</c:v>
                </c:pt>
                <c:pt idx="47">
                  <c:v>75.963999999999999</c:v>
                </c:pt>
                <c:pt idx="48">
                  <c:v>75.942999999999998</c:v>
                </c:pt>
                <c:pt idx="49">
                  <c:v>75.962999999999994</c:v>
                </c:pt>
                <c:pt idx="50">
                  <c:v>75.981999999999999</c:v>
                </c:pt>
                <c:pt idx="51">
                  <c:v>75.983999999999995</c:v>
                </c:pt>
                <c:pt idx="52">
                  <c:v>76.003</c:v>
                </c:pt>
                <c:pt idx="53">
                  <c:v>76.084999999999994</c:v>
                </c:pt>
                <c:pt idx="54">
                  <c:v>76.14</c:v>
                </c:pt>
                <c:pt idx="55">
                  <c:v>76.257999999999996</c:v>
                </c:pt>
                <c:pt idx="56">
                  <c:v>76.349000000000004</c:v>
                </c:pt>
                <c:pt idx="57">
                  <c:v>76.483999999999995</c:v>
                </c:pt>
                <c:pt idx="58">
                  <c:v>76.525000000000006</c:v>
                </c:pt>
                <c:pt idx="59">
                  <c:v>76.584000000000003</c:v>
                </c:pt>
                <c:pt idx="60">
                  <c:v>76.671000000000006</c:v>
                </c:pt>
                <c:pt idx="61">
                  <c:v>76.733999999999995</c:v>
                </c:pt>
                <c:pt idx="62">
                  <c:v>76.802999999999997</c:v>
                </c:pt>
                <c:pt idx="63">
                  <c:v>76.905000000000001</c:v>
                </c:pt>
                <c:pt idx="64">
                  <c:v>76.938999999999993</c:v>
                </c:pt>
                <c:pt idx="65">
                  <c:v>76.968000000000004</c:v>
                </c:pt>
                <c:pt idx="66">
                  <c:v>77.015000000000001</c:v>
                </c:pt>
                <c:pt idx="67">
                  <c:v>77.09</c:v>
                </c:pt>
                <c:pt idx="68">
                  <c:v>77.239000000000004</c:v>
                </c:pt>
                <c:pt idx="69">
                  <c:v>77.347999999999999</c:v>
                </c:pt>
                <c:pt idx="70">
                  <c:v>77.47</c:v>
                </c:pt>
                <c:pt idx="71">
                  <c:v>77.471000000000004</c:v>
                </c:pt>
                <c:pt idx="72">
                  <c:v>77.491</c:v>
                </c:pt>
                <c:pt idx="73">
                  <c:v>77.575999999999993</c:v>
                </c:pt>
                <c:pt idx="74">
                  <c:v>77.629000000000005</c:v>
                </c:pt>
                <c:pt idx="75">
                  <c:v>77.662999999999997</c:v>
                </c:pt>
                <c:pt idx="76">
                  <c:v>77.653999999999996</c:v>
                </c:pt>
                <c:pt idx="77">
                  <c:v>77.652000000000001</c:v>
                </c:pt>
                <c:pt idx="78">
                  <c:v>77.63</c:v>
                </c:pt>
                <c:pt idx="79">
                  <c:v>77.613</c:v>
                </c:pt>
                <c:pt idx="80">
                  <c:v>77.501000000000005</c:v>
                </c:pt>
                <c:pt idx="81">
                  <c:v>77.302999999999997</c:v>
                </c:pt>
                <c:pt idx="82">
                  <c:v>77.03</c:v>
                </c:pt>
                <c:pt idx="83">
                  <c:v>76.748999999999995</c:v>
                </c:pt>
                <c:pt idx="84">
                  <c:v>76.454999999999998</c:v>
                </c:pt>
                <c:pt idx="85">
                  <c:v>76.135000000000005</c:v>
                </c:pt>
                <c:pt idx="86">
                  <c:v>75.817999999999998</c:v>
                </c:pt>
                <c:pt idx="87">
                  <c:v>75.509</c:v>
                </c:pt>
                <c:pt idx="88">
                  <c:v>75.12</c:v>
                </c:pt>
                <c:pt idx="89">
                  <c:v>74.766999999999996</c:v>
                </c:pt>
                <c:pt idx="90">
                  <c:v>74.338999999999999</c:v>
                </c:pt>
                <c:pt idx="91">
                  <c:v>74.004999999999995</c:v>
                </c:pt>
                <c:pt idx="92">
                  <c:v>73.777000000000001</c:v>
                </c:pt>
                <c:pt idx="93">
                  <c:v>73.528999999999996</c:v>
                </c:pt>
                <c:pt idx="94">
                  <c:v>73.260999999999996</c:v>
                </c:pt>
                <c:pt idx="95">
                  <c:v>73.004999999999995</c:v>
                </c:pt>
                <c:pt idx="96">
                  <c:v>72.712999999999994</c:v>
                </c:pt>
                <c:pt idx="97">
                  <c:v>72.456999999999994</c:v>
                </c:pt>
                <c:pt idx="98">
                  <c:v>72.260999999999996</c:v>
                </c:pt>
                <c:pt idx="99">
                  <c:v>71.994</c:v>
                </c:pt>
                <c:pt idx="100">
                  <c:v>71.783000000000001</c:v>
                </c:pt>
                <c:pt idx="101">
                  <c:v>71.594999999999999</c:v>
                </c:pt>
                <c:pt idx="102">
                  <c:v>71.394000000000005</c:v>
                </c:pt>
                <c:pt idx="103">
                  <c:v>71.186999999999998</c:v>
                </c:pt>
                <c:pt idx="104">
                  <c:v>70.941999999999993</c:v>
                </c:pt>
                <c:pt idx="105">
                  <c:v>70.653000000000006</c:v>
                </c:pt>
                <c:pt idx="106">
                  <c:v>70.358000000000004</c:v>
                </c:pt>
                <c:pt idx="107">
                  <c:v>70.007000000000005</c:v>
                </c:pt>
                <c:pt idx="108">
                  <c:v>69.597999999999999</c:v>
                </c:pt>
                <c:pt idx="109">
                  <c:v>69.085999999999999</c:v>
                </c:pt>
                <c:pt idx="110">
                  <c:v>68.591999999999999</c:v>
                </c:pt>
                <c:pt idx="111">
                  <c:v>68.153999999999996</c:v>
                </c:pt>
                <c:pt idx="112">
                  <c:v>67.748999999999995</c:v>
                </c:pt>
                <c:pt idx="113">
                  <c:v>67.347999999999999</c:v>
                </c:pt>
                <c:pt idx="114">
                  <c:v>66.97</c:v>
                </c:pt>
                <c:pt idx="115">
                  <c:v>66.569000000000003</c:v>
                </c:pt>
                <c:pt idx="116">
                  <c:v>66.152000000000001</c:v>
                </c:pt>
                <c:pt idx="117">
                  <c:v>65.772000000000006</c:v>
                </c:pt>
                <c:pt idx="118">
                  <c:v>65.405000000000001</c:v>
                </c:pt>
                <c:pt idx="119">
                  <c:v>65.025999999999996</c:v>
                </c:pt>
                <c:pt idx="120">
                  <c:v>64.59</c:v>
                </c:pt>
                <c:pt idx="121">
                  <c:v>64.14</c:v>
                </c:pt>
                <c:pt idx="122">
                  <c:v>63.69</c:v>
                </c:pt>
                <c:pt idx="123">
                  <c:v>63.216000000000001</c:v>
                </c:pt>
                <c:pt idx="124">
                  <c:v>62.746000000000002</c:v>
                </c:pt>
                <c:pt idx="125">
                  <c:v>62.262999999999998</c:v>
                </c:pt>
                <c:pt idx="126">
                  <c:v>61.781999999999996</c:v>
                </c:pt>
                <c:pt idx="127">
                  <c:v>61.301000000000002</c:v>
                </c:pt>
                <c:pt idx="128">
                  <c:v>60.822000000000003</c:v>
                </c:pt>
                <c:pt idx="129">
                  <c:v>60.383000000000003</c:v>
                </c:pt>
                <c:pt idx="130">
                  <c:v>59.975000000000001</c:v>
                </c:pt>
                <c:pt idx="131">
                  <c:v>59.615000000000002</c:v>
                </c:pt>
                <c:pt idx="132">
                  <c:v>59.218000000000004</c:v>
                </c:pt>
                <c:pt idx="133">
                  <c:v>58.816000000000003</c:v>
                </c:pt>
                <c:pt idx="134">
                  <c:v>58.396999999999998</c:v>
                </c:pt>
                <c:pt idx="135">
                  <c:v>57.966999999999999</c:v>
                </c:pt>
                <c:pt idx="136">
                  <c:v>57.543999999999997</c:v>
                </c:pt>
                <c:pt idx="137">
                  <c:v>57.110999999999997</c:v>
                </c:pt>
                <c:pt idx="138">
                  <c:v>56.654000000000003</c:v>
                </c:pt>
                <c:pt idx="139">
                  <c:v>56.219000000000001</c:v>
                </c:pt>
                <c:pt idx="140">
                  <c:v>55.841999999999999</c:v>
                </c:pt>
                <c:pt idx="141">
                  <c:v>55.475000000000001</c:v>
                </c:pt>
                <c:pt idx="142">
                  <c:v>55.171999999999997</c:v>
                </c:pt>
                <c:pt idx="143">
                  <c:v>54.890999999999998</c:v>
                </c:pt>
                <c:pt idx="144">
                  <c:v>54.62</c:v>
                </c:pt>
                <c:pt idx="145">
                  <c:v>54.337000000000003</c:v>
                </c:pt>
                <c:pt idx="146">
                  <c:v>54.051000000000002</c:v>
                </c:pt>
                <c:pt idx="147">
                  <c:v>53.78</c:v>
                </c:pt>
                <c:pt idx="148">
                  <c:v>53.542999999999999</c:v>
                </c:pt>
                <c:pt idx="149">
                  <c:v>53.307000000000002</c:v>
                </c:pt>
                <c:pt idx="150">
                  <c:v>53.039000000000001</c:v>
                </c:pt>
                <c:pt idx="151">
                  <c:v>52.741999999999997</c:v>
                </c:pt>
                <c:pt idx="152">
                  <c:v>52.451999999999998</c:v>
                </c:pt>
                <c:pt idx="153">
                  <c:v>52.115000000000002</c:v>
                </c:pt>
                <c:pt idx="154">
                  <c:v>51.768000000000001</c:v>
                </c:pt>
                <c:pt idx="155">
                  <c:v>51.393000000000001</c:v>
                </c:pt>
                <c:pt idx="156">
                  <c:v>50.994999999999997</c:v>
                </c:pt>
                <c:pt idx="157">
                  <c:v>50.597000000000001</c:v>
                </c:pt>
                <c:pt idx="158">
                  <c:v>50.186</c:v>
                </c:pt>
                <c:pt idx="159">
                  <c:v>49.764000000000003</c:v>
                </c:pt>
                <c:pt idx="160">
                  <c:v>49.31</c:v>
                </c:pt>
                <c:pt idx="161">
                  <c:v>48.804000000000002</c:v>
                </c:pt>
                <c:pt idx="162">
                  <c:v>48.287999999999997</c:v>
                </c:pt>
                <c:pt idx="163">
                  <c:v>47.793999999999997</c:v>
                </c:pt>
                <c:pt idx="164">
                  <c:v>47.311999999999998</c:v>
                </c:pt>
                <c:pt idx="165">
                  <c:v>46.85</c:v>
                </c:pt>
                <c:pt idx="166">
                  <c:v>46.4</c:v>
                </c:pt>
                <c:pt idx="167">
                  <c:v>45.948</c:v>
                </c:pt>
                <c:pt idx="168">
                  <c:v>45.491</c:v>
                </c:pt>
                <c:pt idx="169">
                  <c:v>45.029000000000003</c:v>
                </c:pt>
                <c:pt idx="170">
                  <c:v>44.585999999999999</c:v>
                </c:pt>
                <c:pt idx="171">
                  <c:v>44.145000000000003</c:v>
                </c:pt>
                <c:pt idx="172">
                  <c:v>43.692999999999998</c:v>
                </c:pt>
                <c:pt idx="173">
                  <c:v>43.241</c:v>
                </c:pt>
                <c:pt idx="174">
                  <c:v>42.798000000000002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6CF-4933-BECA-8283129DD41C}"/>
            </c:ext>
          </c:extLst>
        </c:ser>
        <c:ser>
          <c:idx val="14"/>
          <c:order val="14"/>
          <c:tx>
            <c:strRef>
              <c:f>data_ghg_excLUC!$S$2</c:f>
              <c:strCache>
                <c:ptCount val="1"/>
                <c:pt idx="0">
                  <c:v>Annex I GMST</c:v>
                </c:pt>
              </c:strCache>
            </c:strRef>
          </c:tx>
          <c:spPr>
            <a:ln w="317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data_ghg_excLUC!$S$3:$S$177</c:f>
              <c:numCache>
                <c:formatCode>0.0</c:formatCode>
                <c:ptCount val="175"/>
                <c:pt idx="1">
                  <c:v>80.697999999999993</c:v>
                </c:pt>
                <c:pt idx="2">
                  <c:v>81.052000000000007</c:v>
                </c:pt>
                <c:pt idx="3">
                  <c:v>81.445999999999998</c:v>
                </c:pt>
                <c:pt idx="4">
                  <c:v>82.179000000000002</c:v>
                </c:pt>
                <c:pt idx="5">
                  <c:v>82.697999999999993</c:v>
                </c:pt>
                <c:pt idx="6">
                  <c:v>83.153000000000006</c:v>
                </c:pt>
                <c:pt idx="7">
                  <c:v>83.522000000000006</c:v>
                </c:pt>
                <c:pt idx="8">
                  <c:v>83.820999999999998</c:v>
                </c:pt>
                <c:pt idx="9">
                  <c:v>84.156000000000006</c:v>
                </c:pt>
                <c:pt idx="10">
                  <c:v>84.549000000000007</c:v>
                </c:pt>
                <c:pt idx="11">
                  <c:v>84.918999999999997</c:v>
                </c:pt>
                <c:pt idx="12">
                  <c:v>85.233000000000004</c:v>
                </c:pt>
                <c:pt idx="13">
                  <c:v>85.492000000000004</c:v>
                </c:pt>
                <c:pt idx="14">
                  <c:v>85.772000000000006</c:v>
                </c:pt>
                <c:pt idx="15">
                  <c:v>86.051000000000002</c:v>
                </c:pt>
                <c:pt idx="16">
                  <c:v>86.325999999999993</c:v>
                </c:pt>
                <c:pt idx="17">
                  <c:v>86.602999999999994</c:v>
                </c:pt>
                <c:pt idx="18">
                  <c:v>86.861000000000004</c:v>
                </c:pt>
                <c:pt idx="19">
                  <c:v>87.123999999999995</c:v>
                </c:pt>
                <c:pt idx="20">
                  <c:v>87.328000000000003</c:v>
                </c:pt>
                <c:pt idx="21">
                  <c:v>87.504999999999995</c:v>
                </c:pt>
                <c:pt idx="22">
                  <c:v>87.697000000000003</c:v>
                </c:pt>
                <c:pt idx="23">
                  <c:v>87.870999999999995</c:v>
                </c:pt>
                <c:pt idx="24">
                  <c:v>87.947000000000003</c:v>
                </c:pt>
                <c:pt idx="25">
                  <c:v>88.033000000000001</c:v>
                </c:pt>
                <c:pt idx="26">
                  <c:v>88.087999999999994</c:v>
                </c:pt>
                <c:pt idx="27">
                  <c:v>88.126000000000005</c:v>
                </c:pt>
                <c:pt idx="28">
                  <c:v>88.13</c:v>
                </c:pt>
                <c:pt idx="29">
                  <c:v>88.141999999999996</c:v>
                </c:pt>
                <c:pt idx="30">
                  <c:v>88.183000000000007</c:v>
                </c:pt>
                <c:pt idx="31">
                  <c:v>88.215999999999994</c:v>
                </c:pt>
                <c:pt idx="32">
                  <c:v>88.253</c:v>
                </c:pt>
                <c:pt idx="33">
                  <c:v>88.31</c:v>
                </c:pt>
                <c:pt idx="34">
                  <c:v>88.338999999999999</c:v>
                </c:pt>
                <c:pt idx="35">
                  <c:v>88.347999999999999</c:v>
                </c:pt>
                <c:pt idx="36">
                  <c:v>88.34</c:v>
                </c:pt>
                <c:pt idx="37">
                  <c:v>88.332999999999998</c:v>
                </c:pt>
                <c:pt idx="38">
                  <c:v>88.355000000000004</c:v>
                </c:pt>
                <c:pt idx="39">
                  <c:v>88.352000000000004</c:v>
                </c:pt>
                <c:pt idx="40">
                  <c:v>88.385999999999996</c:v>
                </c:pt>
                <c:pt idx="41">
                  <c:v>88.427000000000007</c:v>
                </c:pt>
                <c:pt idx="42">
                  <c:v>88.447000000000003</c:v>
                </c:pt>
                <c:pt idx="43">
                  <c:v>88.438999999999993</c:v>
                </c:pt>
                <c:pt idx="44">
                  <c:v>88.444000000000003</c:v>
                </c:pt>
                <c:pt idx="45">
                  <c:v>88.453999999999994</c:v>
                </c:pt>
                <c:pt idx="46">
                  <c:v>88.465000000000003</c:v>
                </c:pt>
                <c:pt idx="47">
                  <c:v>88.483000000000004</c:v>
                </c:pt>
                <c:pt idx="48">
                  <c:v>88.512</c:v>
                </c:pt>
                <c:pt idx="49">
                  <c:v>88.564999999999998</c:v>
                </c:pt>
                <c:pt idx="50">
                  <c:v>88.626000000000005</c:v>
                </c:pt>
                <c:pt idx="51">
                  <c:v>88.676000000000002</c:v>
                </c:pt>
                <c:pt idx="52">
                  <c:v>88.721000000000004</c:v>
                </c:pt>
                <c:pt idx="53">
                  <c:v>88.781999999999996</c:v>
                </c:pt>
                <c:pt idx="54">
                  <c:v>88.831000000000003</c:v>
                </c:pt>
                <c:pt idx="55">
                  <c:v>88.894000000000005</c:v>
                </c:pt>
                <c:pt idx="56">
                  <c:v>88.942999999999998</c:v>
                </c:pt>
                <c:pt idx="57">
                  <c:v>89.01</c:v>
                </c:pt>
                <c:pt idx="58">
                  <c:v>89.025000000000006</c:v>
                </c:pt>
                <c:pt idx="59">
                  <c:v>89.052999999999997</c:v>
                </c:pt>
                <c:pt idx="60">
                  <c:v>89.085999999999999</c:v>
                </c:pt>
                <c:pt idx="61">
                  <c:v>89.096000000000004</c:v>
                </c:pt>
                <c:pt idx="62">
                  <c:v>89.126999999999995</c:v>
                </c:pt>
                <c:pt idx="63">
                  <c:v>89.165999999999997</c:v>
                </c:pt>
                <c:pt idx="64">
                  <c:v>89.144999999999996</c:v>
                </c:pt>
                <c:pt idx="65">
                  <c:v>89.102999999999994</c:v>
                </c:pt>
                <c:pt idx="66">
                  <c:v>89.063000000000002</c:v>
                </c:pt>
                <c:pt idx="67">
                  <c:v>89.016000000000005</c:v>
                </c:pt>
                <c:pt idx="68">
                  <c:v>88.942999999999998</c:v>
                </c:pt>
                <c:pt idx="69">
                  <c:v>88.789000000000001</c:v>
                </c:pt>
                <c:pt idx="70">
                  <c:v>88.658000000000001</c:v>
                </c:pt>
                <c:pt idx="71">
                  <c:v>88.462999999999994</c:v>
                </c:pt>
                <c:pt idx="72">
                  <c:v>88.284000000000006</c:v>
                </c:pt>
                <c:pt idx="73">
                  <c:v>88.135999999999996</c:v>
                </c:pt>
                <c:pt idx="74">
                  <c:v>87.977999999999994</c:v>
                </c:pt>
                <c:pt idx="75">
                  <c:v>87.819000000000003</c:v>
                </c:pt>
                <c:pt idx="76">
                  <c:v>87.656999999999996</c:v>
                </c:pt>
                <c:pt idx="77">
                  <c:v>87.515000000000001</c:v>
                </c:pt>
                <c:pt idx="78">
                  <c:v>87.369</c:v>
                </c:pt>
                <c:pt idx="79">
                  <c:v>87.234999999999999</c:v>
                </c:pt>
                <c:pt idx="80">
                  <c:v>87.072000000000003</c:v>
                </c:pt>
                <c:pt idx="81">
                  <c:v>86.884</c:v>
                </c:pt>
                <c:pt idx="82">
                  <c:v>86.638999999999996</c:v>
                </c:pt>
                <c:pt idx="83">
                  <c:v>86.393000000000001</c:v>
                </c:pt>
                <c:pt idx="84">
                  <c:v>86.159000000000006</c:v>
                </c:pt>
                <c:pt idx="85">
                  <c:v>85.92</c:v>
                </c:pt>
                <c:pt idx="86">
                  <c:v>85.701999999999998</c:v>
                </c:pt>
                <c:pt idx="87">
                  <c:v>85.495000000000005</c:v>
                </c:pt>
                <c:pt idx="88">
                  <c:v>85.271000000000001</c:v>
                </c:pt>
                <c:pt idx="89">
                  <c:v>85.072999999999993</c:v>
                </c:pt>
                <c:pt idx="90">
                  <c:v>84.887</c:v>
                </c:pt>
                <c:pt idx="91">
                  <c:v>84.724999999999994</c:v>
                </c:pt>
                <c:pt idx="92">
                  <c:v>84.58</c:v>
                </c:pt>
                <c:pt idx="93">
                  <c:v>84.436999999999998</c:v>
                </c:pt>
                <c:pt idx="94">
                  <c:v>84.287999999999997</c:v>
                </c:pt>
                <c:pt idx="95">
                  <c:v>84.087999999999994</c:v>
                </c:pt>
                <c:pt idx="96">
                  <c:v>83.864999999999995</c:v>
                </c:pt>
                <c:pt idx="97">
                  <c:v>83.686000000000007</c:v>
                </c:pt>
                <c:pt idx="98">
                  <c:v>83.567999999999998</c:v>
                </c:pt>
                <c:pt idx="99">
                  <c:v>83.426000000000002</c:v>
                </c:pt>
                <c:pt idx="100">
                  <c:v>83.316999999999993</c:v>
                </c:pt>
                <c:pt idx="101">
                  <c:v>83.218000000000004</c:v>
                </c:pt>
                <c:pt idx="102">
                  <c:v>83.122</c:v>
                </c:pt>
                <c:pt idx="103">
                  <c:v>83.034000000000006</c:v>
                </c:pt>
                <c:pt idx="104">
                  <c:v>82.92</c:v>
                </c:pt>
                <c:pt idx="105">
                  <c:v>82.766999999999996</c:v>
                </c:pt>
                <c:pt idx="106">
                  <c:v>82.617000000000004</c:v>
                </c:pt>
                <c:pt idx="107">
                  <c:v>82.438000000000002</c:v>
                </c:pt>
                <c:pt idx="108">
                  <c:v>82.203999999999994</c:v>
                </c:pt>
                <c:pt idx="109">
                  <c:v>81.855000000000004</c:v>
                </c:pt>
                <c:pt idx="110">
                  <c:v>81.497</c:v>
                </c:pt>
                <c:pt idx="111">
                  <c:v>81.218000000000004</c:v>
                </c:pt>
                <c:pt idx="112">
                  <c:v>80.998000000000005</c:v>
                </c:pt>
                <c:pt idx="113">
                  <c:v>80.778000000000006</c:v>
                </c:pt>
                <c:pt idx="114">
                  <c:v>80.581000000000003</c:v>
                </c:pt>
                <c:pt idx="115">
                  <c:v>80.364999999999995</c:v>
                </c:pt>
                <c:pt idx="116">
                  <c:v>80.106999999999999</c:v>
                </c:pt>
                <c:pt idx="117">
                  <c:v>79.876999999999995</c:v>
                </c:pt>
                <c:pt idx="118">
                  <c:v>79.638999999999996</c:v>
                </c:pt>
                <c:pt idx="119">
                  <c:v>79.350999999999999</c:v>
                </c:pt>
                <c:pt idx="120">
                  <c:v>78.995999999999995</c:v>
                </c:pt>
                <c:pt idx="121">
                  <c:v>78.634</c:v>
                </c:pt>
                <c:pt idx="122">
                  <c:v>78.27</c:v>
                </c:pt>
                <c:pt idx="123">
                  <c:v>77.873000000000005</c:v>
                </c:pt>
                <c:pt idx="124">
                  <c:v>77.495999999999995</c:v>
                </c:pt>
                <c:pt idx="125">
                  <c:v>77.134</c:v>
                </c:pt>
                <c:pt idx="126">
                  <c:v>76.77</c:v>
                </c:pt>
                <c:pt idx="127">
                  <c:v>76.403999999999996</c:v>
                </c:pt>
                <c:pt idx="128">
                  <c:v>76.040999999999997</c:v>
                </c:pt>
                <c:pt idx="129">
                  <c:v>75.706999999999994</c:v>
                </c:pt>
                <c:pt idx="130">
                  <c:v>75.423000000000002</c:v>
                </c:pt>
                <c:pt idx="131">
                  <c:v>75.182000000000002</c:v>
                </c:pt>
                <c:pt idx="132">
                  <c:v>74.912000000000006</c:v>
                </c:pt>
                <c:pt idx="133">
                  <c:v>74.64</c:v>
                </c:pt>
                <c:pt idx="134">
                  <c:v>74.335999999999999</c:v>
                </c:pt>
                <c:pt idx="135">
                  <c:v>74.034000000000006</c:v>
                </c:pt>
                <c:pt idx="136">
                  <c:v>73.742000000000004</c:v>
                </c:pt>
                <c:pt idx="137">
                  <c:v>73.429000000000002</c:v>
                </c:pt>
                <c:pt idx="138">
                  <c:v>73.078000000000003</c:v>
                </c:pt>
                <c:pt idx="139">
                  <c:v>72.730999999999995</c:v>
                </c:pt>
                <c:pt idx="140">
                  <c:v>72.438999999999993</c:v>
                </c:pt>
                <c:pt idx="141">
                  <c:v>72.108000000000004</c:v>
                </c:pt>
                <c:pt idx="142">
                  <c:v>71.790999999999997</c:v>
                </c:pt>
                <c:pt idx="143">
                  <c:v>71.47</c:v>
                </c:pt>
                <c:pt idx="144">
                  <c:v>71.11</c:v>
                </c:pt>
                <c:pt idx="145">
                  <c:v>70.722999999999999</c:v>
                </c:pt>
                <c:pt idx="146">
                  <c:v>70.316999999999993</c:v>
                </c:pt>
                <c:pt idx="147">
                  <c:v>69.915999999999997</c:v>
                </c:pt>
                <c:pt idx="148">
                  <c:v>69.549000000000007</c:v>
                </c:pt>
                <c:pt idx="149">
                  <c:v>69.185000000000002</c:v>
                </c:pt>
                <c:pt idx="150">
                  <c:v>68.777000000000001</c:v>
                </c:pt>
                <c:pt idx="151">
                  <c:v>68.349999999999994</c:v>
                </c:pt>
                <c:pt idx="152">
                  <c:v>67.927000000000007</c:v>
                </c:pt>
                <c:pt idx="153">
                  <c:v>67.445999999999998</c:v>
                </c:pt>
                <c:pt idx="154">
                  <c:v>66.953999999999994</c:v>
                </c:pt>
                <c:pt idx="155">
                  <c:v>66.436000000000007</c:v>
                </c:pt>
                <c:pt idx="156">
                  <c:v>65.899000000000001</c:v>
                </c:pt>
                <c:pt idx="157">
                  <c:v>65.366</c:v>
                </c:pt>
                <c:pt idx="158">
                  <c:v>64.822000000000003</c:v>
                </c:pt>
                <c:pt idx="159">
                  <c:v>64.27</c:v>
                </c:pt>
                <c:pt idx="160">
                  <c:v>63.686</c:v>
                </c:pt>
                <c:pt idx="161">
                  <c:v>63.055</c:v>
                </c:pt>
                <c:pt idx="162">
                  <c:v>62.423000000000002</c:v>
                </c:pt>
                <c:pt idx="163">
                  <c:v>61.817</c:v>
                </c:pt>
                <c:pt idx="164">
                  <c:v>61.228999999999999</c:v>
                </c:pt>
                <c:pt idx="165">
                  <c:v>60.667999999999999</c:v>
                </c:pt>
                <c:pt idx="166">
                  <c:v>60.133000000000003</c:v>
                </c:pt>
                <c:pt idx="167">
                  <c:v>59.6</c:v>
                </c:pt>
                <c:pt idx="168">
                  <c:v>59.061999999999998</c:v>
                </c:pt>
                <c:pt idx="169">
                  <c:v>58.518000000000001</c:v>
                </c:pt>
                <c:pt idx="170">
                  <c:v>58.003999999999998</c:v>
                </c:pt>
                <c:pt idx="171">
                  <c:v>57.488</c:v>
                </c:pt>
                <c:pt idx="172">
                  <c:v>56.948999999999998</c:v>
                </c:pt>
                <c:pt idx="173">
                  <c:v>56.412999999999997</c:v>
                </c:pt>
                <c:pt idx="174">
                  <c:v>55.890999999999998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6CF-4933-BECA-8283129DD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US" sz="1400"/>
                  <a:t>Cumulative share of emissions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txPr>
        <a:bodyPr/>
        <a:lstStyle/>
        <a:p>
          <a:pPr>
            <a:defRPr sz="14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latin typeface="Sofia Pro"/>
                <a:ea typeface="Sofia Pro"/>
                <a:cs typeface="Sofia Pro"/>
              </a:defRPr>
            </a:pPr>
            <a:r>
              <a:rPr lang="en-US" sz="1600"/>
              <a:t>CO</a:t>
            </a:r>
            <a:r>
              <a:rPr lang="en-US" sz="1600" baseline="-25000"/>
              <a:t>2</a:t>
            </a:r>
            <a:r>
              <a:rPr lang="en-US" sz="1600"/>
              <a:t>, including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data_co2_incLUC!$B$3:$B$177</c:f>
              <c:numCache>
                <c:formatCode>0.0</c:formatCode>
                <c:ptCount val="175"/>
                <c:pt idx="0">
                  <c:v>35.536122428699187</c:v>
                </c:pt>
                <c:pt idx="1">
                  <c:v>35.578173636135404</c:v>
                </c:pt>
                <c:pt idx="2">
                  <c:v>35.469586519427857</c:v>
                </c:pt>
                <c:pt idx="3">
                  <c:v>35.633305224691149</c:v>
                </c:pt>
                <c:pt idx="4">
                  <c:v>35.907145970261958</c:v>
                </c:pt>
                <c:pt idx="5">
                  <c:v>36.057852872522126</c:v>
                </c:pt>
                <c:pt idx="6">
                  <c:v>36.210062838698974</c:v>
                </c:pt>
                <c:pt idx="7">
                  <c:v>36.341745820230805</c:v>
                </c:pt>
                <c:pt idx="8">
                  <c:v>36.49349506568025</c:v>
                </c:pt>
                <c:pt idx="9">
                  <c:v>36.667462047469378</c:v>
                </c:pt>
                <c:pt idx="10">
                  <c:v>36.996694444046291</c:v>
                </c:pt>
                <c:pt idx="11">
                  <c:v>37.280384966178254</c:v>
                </c:pt>
                <c:pt idx="12">
                  <c:v>37.607254409438937</c:v>
                </c:pt>
                <c:pt idx="13">
                  <c:v>37.95183898895808</c:v>
                </c:pt>
                <c:pt idx="14">
                  <c:v>38.239032026224372</c:v>
                </c:pt>
                <c:pt idx="15">
                  <c:v>38.53259500988176</c:v>
                </c:pt>
                <c:pt idx="16">
                  <c:v>38.782643910240509</c:v>
                </c:pt>
                <c:pt idx="17">
                  <c:v>39.081099920355236</c:v>
                </c:pt>
                <c:pt idx="18">
                  <c:v>39.35175528862726</c:v>
                </c:pt>
                <c:pt idx="19">
                  <c:v>39.596567276293193</c:v>
                </c:pt>
                <c:pt idx="20">
                  <c:v>39.996445305145059</c:v>
                </c:pt>
                <c:pt idx="21">
                  <c:v>40.47852443942179</c:v>
                </c:pt>
                <c:pt idx="22">
                  <c:v>40.951878246103469</c:v>
                </c:pt>
                <c:pt idx="23">
                  <c:v>41.461620924315973</c:v>
                </c:pt>
                <c:pt idx="24">
                  <c:v>41.914510539755483</c:v>
                </c:pt>
                <c:pt idx="25">
                  <c:v>42.388638024228712</c:v>
                </c:pt>
                <c:pt idx="26">
                  <c:v>42.837699451806337</c:v>
                </c:pt>
                <c:pt idx="27">
                  <c:v>43.266364495480957</c:v>
                </c:pt>
                <c:pt idx="28">
                  <c:v>43.675416950406742</c:v>
                </c:pt>
                <c:pt idx="29">
                  <c:v>44.092425704211308</c:v>
                </c:pt>
                <c:pt idx="30">
                  <c:v>44.394836049534824</c:v>
                </c:pt>
                <c:pt idx="31">
                  <c:v>44.62200940115833</c:v>
                </c:pt>
                <c:pt idx="32">
                  <c:v>44.826681760053759</c:v>
                </c:pt>
                <c:pt idx="33">
                  <c:v>45.026694402449763</c:v>
                </c:pt>
                <c:pt idx="34">
                  <c:v>45.19574444332433</c:v>
                </c:pt>
                <c:pt idx="35">
                  <c:v>45.335556344743033</c:v>
                </c:pt>
                <c:pt idx="36">
                  <c:v>45.468177048469819</c:v>
                </c:pt>
                <c:pt idx="37">
                  <c:v>45.608739360196907</c:v>
                </c:pt>
                <c:pt idx="38">
                  <c:v>45.767144468930688</c:v>
                </c:pt>
                <c:pt idx="39">
                  <c:v>45.887833131069279</c:v>
                </c:pt>
                <c:pt idx="40">
                  <c:v>46.004251688044235</c:v>
                </c:pt>
                <c:pt idx="41">
                  <c:v>46.119197631033238</c:v>
                </c:pt>
                <c:pt idx="42">
                  <c:v>46.231757519699222</c:v>
                </c:pt>
                <c:pt idx="43">
                  <c:v>46.339460097746603</c:v>
                </c:pt>
                <c:pt idx="44">
                  <c:v>46.437107192550187</c:v>
                </c:pt>
                <c:pt idx="45">
                  <c:v>46.547072046908227</c:v>
                </c:pt>
                <c:pt idx="46">
                  <c:v>46.664332471437405</c:v>
                </c:pt>
                <c:pt idx="47">
                  <c:v>46.779001502492278</c:v>
                </c:pt>
                <c:pt idx="48">
                  <c:v>46.905715093095992</c:v>
                </c:pt>
                <c:pt idx="49">
                  <c:v>47.056465176406256</c:v>
                </c:pt>
                <c:pt idx="50">
                  <c:v>47.192873760258593</c:v>
                </c:pt>
                <c:pt idx="51">
                  <c:v>47.289011977423726</c:v>
                </c:pt>
                <c:pt idx="52">
                  <c:v>47.380935946291878</c:v>
                </c:pt>
                <c:pt idx="53">
                  <c:v>47.487775255270151</c:v>
                </c:pt>
                <c:pt idx="54">
                  <c:v>47.581528974856028</c:v>
                </c:pt>
                <c:pt idx="55">
                  <c:v>47.687663880889509</c:v>
                </c:pt>
                <c:pt idx="56">
                  <c:v>47.784733796533587</c:v>
                </c:pt>
                <c:pt idx="57">
                  <c:v>47.922811190775008</c:v>
                </c:pt>
                <c:pt idx="58">
                  <c:v>48.026100913961734</c:v>
                </c:pt>
                <c:pt idx="59">
                  <c:v>48.132541871372467</c:v>
                </c:pt>
                <c:pt idx="60">
                  <c:v>48.278254456710535</c:v>
                </c:pt>
                <c:pt idx="61">
                  <c:v>48.423927504450653</c:v>
                </c:pt>
                <c:pt idx="62">
                  <c:v>48.577721883743827</c:v>
                </c:pt>
                <c:pt idx="63">
                  <c:v>48.760207742884035</c:v>
                </c:pt>
                <c:pt idx="64">
                  <c:v>48.905352187430481</c:v>
                </c:pt>
                <c:pt idx="65">
                  <c:v>49.043331403171671</c:v>
                </c:pt>
                <c:pt idx="66">
                  <c:v>49.200891906889403</c:v>
                </c:pt>
                <c:pt idx="67">
                  <c:v>49.377195648175423</c:v>
                </c:pt>
                <c:pt idx="68">
                  <c:v>49.571007347705738</c:v>
                </c:pt>
                <c:pt idx="69">
                  <c:v>49.719813765551017</c:v>
                </c:pt>
                <c:pt idx="70">
                  <c:v>49.830096445821653</c:v>
                </c:pt>
                <c:pt idx="71">
                  <c:v>49.855679532468301</c:v>
                </c:pt>
                <c:pt idx="72">
                  <c:v>49.88461779044917</c:v>
                </c:pt>
                <c:pt idx="73">
                  <c:v>49.934812212870241</c:v>
                </c:pt>
                <c:pt idx="74">
                  <c:v>49.976774235027762</c:v>
                </c:pt>
                <c:pt idx="75">
                  <c:v>50.006884671252315</c:v>
                </c:pt>
                <c:pt idx="76">
                  <c:v>50.014449146726669</c:v>
                </c:pt>
                <c:pt idx="77">
                  <c:v>50.037980358974096</c:v>
                </c:pt>
                <c:pt idx="78">
                  <c:v>50.044396849236108</c:v>
                </c:pt>
                <c:pt idx="79">
                  <c:v>50.060489223187986</c:v>
                </c:pt>
                <c:pt idx="80">
                  <c:v>50.003019204546561</c:v>
                </c:pt>
                <c:pt idx="81">
                  <c:v>49.886255627195922</c:v>
                </c:pt>
                <c:pt idx="82">
                  <c:v>49.723103052999242</c:v>
                </c:pt>
                <c:pt idx="83">
                  <c:v>49.569377461235582</c:v>
                </c:pt>
                <c:pt idx="84">
                  <c:v>49.422290420838124</c:v>
                </c:pt>
                <c:pt idx="85">
                  <c:v>49.279200419834289</c:v>
                </c:pt>
                <c:pt idx="86">
                  <c:v>49.146002797107982</c:v>
                </c:pt>
                <c:pt idx="87">
                  <c:v>49.025663962107622</c:v>
                </c:pt>
                <c:pt idx="88">
                  <c:v>48.876064281382099</c:v>
                </c:pt>
                <c:pt idx="89">
                  <c:v>48.743338795216758</c:v>
                </c:pt>
                <c:pt idx="90">
                  <c:v>48.601982168927414</c:v>
                </c:pt>
                <c:pt idx="91">
                  <c:v>48.472984067043498</c:v>
                </c:pt>
                <c:pt idx="92">
                  <c:v>48.374591721033575</c:v>
                </c:pt>
                <c:pt idx="93">
                  <c:v>48.282200502476854</c:v>
                </c:pt>
                <c:pt idx="94">
                  <c:v>48.19162874780514</c:v>
                </c:pt>
                <c:pt idx="95">
                  <c:v>48.06561073374516</c:v>
                </c:pt>
                <c:pt idx="96">
                  <c:v>47.953286535953865</c:v>
                </c:pt>
                <c:pt idx="97">
                  <c:v>47.870798578018977</c:v>
                </c:pt>
                <c:pt idx="98">
                  <c:v>47.809340669769298</c:v>
                </c:pt>
                <c:pt idx="99">
                  <c:v>47.720090894323356</c:v>
                </c:pt>
                <c:pt idx="100">
                  <c:v>47.575735947934703</c:v>
                </c:pt>
                <c:pt idx="101">
                  <c:v>47.39881704231437</c:v>
                </c:pt>
                <c:pt idx="102">
                  <c:v>47.215741058119647</c:v>
                </c:pt>
                <c:pt idx="103">
                  <c:v>47.028168751061109</c:v>
                </c:pt>
                <c:pt idx="104">
                  <c:v>46.801057179944557</c:v>
                </c:pt>
                <c:pt idx="105">
                  <c:v>46.583054966781553</c:v>
                </c:pt>
                <c:pt idx="106">
                  <c:v>46.374554521205695</c:v>
                </c:pt>
                <c:pt idx="107">
                  <c:v>46.150994390723469</c:v>
                </c:pt>
                <c:pt idx="108">
                  <c:v>45.908887333059589</c:v>
                </c:pt>
                <c:pt idx="109">
                  <c:v>45.62550682468062</c:v>
                </c:pt>
                <c:pt idx="110">
                  <c:v>45.433597880546671</c:v>
                </c:pt>
                <c:pt idx="111">
                  <c:v>45.243381966893473</c:v>
                </c:pt>
                <c:pt idx="112">
                  <c:v>45.104732516349529</c:v>
                </c:pt>
                <c:pt idx="113">
                  <c:v>44.980460786752957</c:v>
                </c:pt>
                <c:pt idx="114">
                  <c:v>44.887558269425718</c:v>
                </c:pt>
                <c:pt idx="115">
                  <c:v>44.813518860831387</c:v>
                </c:pt>
                <c:pt idx="116">
                  <c:v>44.761083071495328</c:v>
                </c:pt>
                <c:pt idx="117">
                  <c:v>44.761697256791535</c:v>
                </c:pt>
                <c:pt idx="118">
                  <c:v>44.781992545581041</c:v>
                </c:pt>
                <c:pt idx="119">
                  <c:v>44.734120620711273</c:v>
                </c:pt>
                <c:pt idx="120">
                  <c:v>44.694729212131804</c:v>
                </c:pt>
                <c:pt idx="121">
                  <c:v>44.6643934597003</c:v>
                </c:pt>
                <c:pt idx="122">
                  <c:v>44.604085759864077</c:v>
                </c:pt>
                <c:pt idx="123">
                  <c:v>44.561987978215441</c:v>
                </c:pt>
                <c:pt idx="124">
                  <c:v>44.503458877680671</c:v>
                </c:pt>
                <c:pt idx="125">
                  <c:v>44.429314265172927</c:v>
                </c:pt>
                <c:pt idx="126">
                  <c:v>44.371054721484448</c:v>
                </c:pt>
                <c:pt idx="127">
                  <c:v>44.294855751160625</c:v>
                </c:pt>
                <c:pt idx="128">
                  <c:v>44.208906761969871</c:v>
                </c:pt>
                <c:pt idx="129">
                  <c:v>44.161049540100308</c:v>
                </c:pt>
                <c:pt idx="130">
                  <c:v>44.092329216428041</c:v>
                </c:pt>
                <c:pt idx="131">
                  <c:v>44.019243868241794</c:v>
                </c:pt>
                <c:pt idx="132">
                  <c:v>43.932231430758641</c:v>
                </c:pt>
                <c:pt idx="133">
                  <c:v>43.835509197282207</c:v>
                </c:pt>
                <c:pt idx="134">
                  <c:v>43.71413216981243</c:v>
                </c:pt>
                <c:pt idx="135">
                  <c:v>43.567403642560251</c:v>
                </c:pt>
                <c:pt idx="136">
                  <c:v>43.403846724643799</c:v>
                </c:pt>
                <c:pt idx="137">
                  <c:v>43.265091505383268</c:v>
                </c:pt>
                <c:pt idx="138">
                  <c:v>43.140848729575787</c:v>
                </c:pt>
                <c:pt idx="139">
                  <c:v>43.033449510440747</c:v>
                </c:pt>
                <c:pt idx="140">
                  <c:v>42.953740165937894</c:v>
                </c:pt>
                <c:pt idx="141">
                  <c:v>42.864035572807666</c:v>
                </c:pt>
                <c:pt idx="142">
                  <c:v>42.790013963853809</c:v>
                </c:pt>
                <c:pt idx="143">
                  <c:v>42.723517746322969</c:v>
                </c:pt>
                <c:pt idx="144">
                  <c:v>42.633648217955276</c:v>
                </c:pt>
                <c:pt idx="145">
                  <c:v>42.559051148476847</c:v>
                </c:pt>
                <c:pt idx="146">
                  <c:v>42.482560995883176</c:v>
                </c:pt>
                <c:pt idx="147">
                  <c:v>42.369108755906929</c:v>
                </c:pt>
                <c:pt idx="148">
                  <c:v>42.295265541306577</c:v>
                </c:pt>
                <c:pt idx="149">
                  <c:v>42.225178623798762</c:v>
                </c:pt>
                <c:pt idx="150">
                  <c:v>42.172115806783843</c:v>
                </c:pt>
                <c:pt idx="151">
                  <c:v>42.122201942389935</c:v>
                </c:pt>
                <c:pt idx="152">
                  <c:v>42.050091189823696</c:v>
                </c:pt>
                <c:pt idx="153">
                  <c:v>41.942971969303507</c:v>
                </c:pt>
                <c:pt idx="154">
                  <c:v>41.844089621522485</c:v>
                </c:pt>
                <c:pt idx="155">
                  <c:v>41.743359048967136</c:v>
                </c:pt>
                <c:pt idx="156">
                  <c:v>41.600150850714726</c:v>
                </c:pt>
                <c:pt idx="157">
                  <c:v>41.462194838989284</c:v>
                </c:pt>
                <c:pt idx="158">
                  <c:v>41.306955475419848</c:v>
                </c:pt>
                <c:pt idx="159">
                  <c:v>41.105160569490614</c:v>
                </c:pt>
                <c:pt idx="160">
                  <c:v>40.915408209286412</c:v>
                </c:pt>
                <c:pt idx="161">
                  <c:v>40.691041237945626</c:v>
                </c:pt>
                <c:pt idx="162">
                  <c:v>40.450673473046209</c:v>
                </c:pt>
                <c:pt idx="163">
                  <c:v>40.218926834152384</c:v>
                </c:pt>
                <c:pt idx="164">
                  <c:v>39.983677094550437</c:v>
                </c:pt>
                <c:pt idx="165">
                  <c:v>39.74771948423566</c:v>
                </c:pt>
                <c:pt idx="166">
                  <c:v>39.533517781302088</c:v>
                </c:pt>
                <c:pt idx="167">
                  <c:v>39.318423738474635</c:v>
                </c:pt>
                <c:pt idx="168">
                  <c:v>39.106640419427244</c:v>
                </c:pt>
                <c:pt idx="169">
                  <c:v>38.883711368808605</c:v>
                </c:pt>
                <c:pt idx="170">
                  <c:v>38.660595990502081</c:v>
                </c:pt>
                <c:pt idx="171">
                  <c:v>38.440054146678165</c:v>
                </c:pt>
                <c:pt idx="172">
                  <c:v>38.212651425648566</c:v>
                </c:pt>
                <c:pt idx="173">
                  <c:v>37.973549020282945</c:v>
                </c:pt>
                <c:pt idx="174">
                  <c:v>37.734536444647119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D-4A87-9821-4A46C377DDEE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data_co2_incLUC!$F$3:$F$177</c:f>
              <c:numCache>
                <c:formatCode>0.0</c:formatCode>
                <c:ptCount val="175"/>
                <c:pt idx="0">
                  <c:v>9.3868884839526814</c:v>
                </c:pt>
                <c:pt idx="1">
                  <c:v>9.4824378233706739</c:v>
                </c:pt>
                <c:pt idx="2">
                  <c:v>11.408487848009457</c:v>
                </c:pt>
                <c:pt idx="3">
                  <c:v>12.906273162361764</c:v>
                </c:pt>
                <c:pt idx="4">
                  <c:v>14.078252228303562</c:v>
                </c:pt>
                <c:pt idx="5">
                  <c:v>15.130751886602297</c:v>
                </c:pt>
                <c:pt idx="6">
                  <c:v>15.975468706385435</c:v>
                </c:pt>
                <c:pt idx="7">
                  <c:v>16.663394693988643</c:v>
                </c:pt>
                <c:pt idx="8">
                  <c:v>17.208055418052659</c:v>
                </c:pt>
                <c:pt idx="9">
                  <c:v>17.672528524294627</c:v>
                </c:pt>
                <c:pt idx="10">
                  <c:v>17.957469172502002</c:v>
                </c:pt>
                <c:pt idx="11">
                  <c:v>18.194085913736643</c:v>
                </c:pt>
                <c:pt idx="12">
                  <c:v>18.075726363016436</c:v>
                </c:pt>
                <c:pt idx="13">
                  <c:v>17.934247147925134</c:v>
                </c:pt>
                <c:pt idx="14">
                  <c:v>17.851646654666176</c:v>
                </c:pt>
                <c:pt idx="15">
                  <c:v>17.757577462894055</c:v>
                </c:pt>
                <c:pt idx="16">
                  <c:v>17.693473584701451</c:v>
                </c:pt>
                <c:pt idx="17">
                  <c:v>17.584101648022362</c:v>
                </c:pt>
                <c:pt idx="18">
                  <c:v>17.487600604845895</c:v>
                </c:pt>
                <c:pt idx="19">
                  <c:v>17.420417243830919</c:v>
                </c:pt>
                <c:pt idx="20">
                  <c:v>17.183527724931352</c:v>
                </c:pt>
                <c:pt idx="21">
                  <c:v>16.793483295437021</c:v>
                </c:pt>
                <c:pt idx="22">
                  <c:v>16.664986524690818</c:v>
                </c:pt>
                <c:pt idx="23">
                  <c:v>16.494755391361473</c:v>
                </c:pt>
                <c:pt idx="24">
                  <c:v>16.320836016978767</c:v>
                </c:pt>
                <c:pt idx="25">
                  <c:v>16.141345048691164</c:v>
                </c:pt>
                <c:pt idx="26">
                  <c:v>15.957944833110865</c:v>
                </c:pt>
                <c:pt idx="27">
                  <c:v>15.78849999420239</c:v>
                </c:pt>
                <c:pt idx="28">
                  <c:v>15.618839001512967</c:v>
                </c:pt>
                <c:pt idx="29">
                  <c:v>15.45139716597734</c:v>
                </c:pt>
                <c:pt idx="30">
                  <c:v>15.43377609987354</c:v>
                </c:pt>
                <c:pt idx="31">
                  <c:v>15.400827912281841</c:v>
                </c:pt>
                <c:pt idx="32">
                  <c:v>15.279764756317824</c:v>
                </c:pt>
                <c:pt idx="33">
                  <c:v>15.156073641546911</c:v>
                </c:pt>
                <c:pt idx="34">
                  <c:v>15.042461121823507</c:v>
                </c:pt>
                <c:pt idx="35">
                  <c:v>14.939236719669822</c:v>
                </c:pt>
                <c:pt idx="36">
                  <c:v>14.834645546396196</c:v>
                </c:pt>
                <c:pt idx="37">
                  <c:v>14.72603231553552</c:v>
                </c:pt>
                <c:pt idx="38">
                  <c:v>14.62630385987584</c:v>
                </c:pt>
                <c:pt idx="39">
                  <c:v>14.545195794272992</c:v>
                </c:pt>
                <c:pt idx="40">
                  <c:v>14.489505169297217</c:v>
                </c:pt>
                <c:pt idx="41">
                  <c:v>14.441538817392043</c:v>
                </c:pt>
                <c:pt idx="42">
                  <c:v>14.407316416572748</c:v>
                </c:pt>
                <c:pt idx="43">
                  <c:v>14.359235637838303</c:v>
                </c:pt>
                <c:pt idx="44">
                  <c:v>14.305091248439354</c:v>
                </c:pt>
                <c:pt idx="45">
                  <c:v>14.24884394596527</c:v>
                </c:pt>
                <c:pt idx="46">
                  <c:v>14.18702496310226</c:v>
                </c:pt>
                <c:pt idx="47">
                  <c:v>14.133357791382018</c:v>
                </c:pt>
                <c:pt idx="48">
                  <c:v>14.072270824462002</c:v>
                </c:pt>
                <c:pt idx="49">
                  <c:v>14.012786514307642</c:v>
                </c:pt>
                <c:pt idx="50">
                  <c:v>13.97903906453007</c:v>
                </c:pt>
                <c:pt idx="51">
                  <c:v>13.89391391971607</c:v>
                </c:pt>
                <c:pt idx="52">
                  <c:v>13.749289856546376</c:v>
                </c:pt>
                <c:pt idx="53">
                  <c:v>13.582847904938006</c:v>
                </c:pt>
                <c:pt idx="54">
                  <c:v>13.383585169447528</c:v>
                </c:pt>
                <c:pt idx="55">
                  <c:v>13.166331243614302</c:v>
                </c:pt>
                <c:pt idx="56">
                  <c:v>12.924915084852124</c:v>
                </c:pt>
                <c:pt idx="57">
                  <c:v>12.689012304453414</c:v>
                </c:pt>
                <c:pt idx="58">
                  <c:v>12.448122294157201</c:v>
                </c:pt>
                <c:pt idx="59">
                  <c:v>12.217417400107358</c:v>
                </c:pt>
                <c:pt idx="60">
                  <c:v>11.971941668064346</c:v>
                </c:pt>
                <c:pt idx="61">
                  <c:v>11.784212910157194</c:v>
                </c:pt>
                <c:pt idx="62">
                  <c:v>11.610269285873358</c:v>
                </c:pt>
                <c:pt idx="63">
                  <c:v>11.463996697061447</c:v>
                </c:pt>
                <c:pt idx="64">
                  <c:v>11.321799489155133</c:v>
                </c:pt>
                <c:pt idx="65">
                  <c:v>11.189768643494453</c:v>
                </c:pt>
                <c:pt idx="66">
                  <c:v>11.059031322492658</c:v>
                </c:pt>
                <c:pt idx="67">
                  <c:v>10.918283065030153</c:v>
                </c:pt>
                <c:pt idx="68">
                  <c:v>10.775402150020057</c:v>
                </c:pt>
                <c:pt idx="69">
                  <c:v>10.632407741816294</c:v>
                </c:pt>
                <c:pt idx="70">
                  <c:v>10.553695562317117</c:v>
                </c:pt>
                <c:pt idx="71">
                  <c:v>10.445861571482752</c:v>
                </c:pt>
                <c:pt idx="72">
                  <c:v>10.332876599264075</c:v>
                </c:pt>
                <c:pt idx="73">
                  <c:v>10.246753183903422</c:v>
                </c:pt>
                <c:pt idx="74">
                  <c:v>10.149450863905244</c:v>
                </c:pt>
                <c:pt idx="75">
                  <c:v>10.061837576149038</c:v>
                </c:pt>
                <c:pt idx="76">
                  <c:v>9.972057995993076</c:v>
                </c:pt>
                <c:pt idx="77">
                  <c:v>9.9118592926441593</c:v>
                </c:pt>
                <c:pt idx="78">
                  <c:v>9.8532041592058164</c:v>
                </c:pt>
                <c:pt idx="79">
                  <c:v>9.8166714292802553</c:v>
                </c:pt>
                <c:pt idx="80">
                  <c:v>9.8362134972338566</c:v>
                </c:pt>
                <c:pt idx="81">
                  <c:v>9.8535859170902782</c:v>
                </c:pt>
                <c:pt idx="82">
                  <c:v>9.835584899966122</c:v>
                </c:pt>
                <c:pt idx="83">
                  <c:v>9.8161757352912602</c:v>
                </c:pt>
                <c:pt idx="84">
                  <c:v>9.8026855630073584</c:v>
                </c:pt>
                <c:pt idx="85">
                  <c:v>9.7885999569268378</c:v>
                </c:pt>
                <c:pt idx="86">
                  <c:v>9.7767096825465245</c:v>
                </c:pt>
                <c:pt idx="87">
                  <c:v>9.760843968995097</c:v>
                </c:pt>
                <c:pt idx="88">
                  <c:v>9.7389750460880791</c:v>
                </c:pt>
                <c:pt idx="89">
                  <c:v>9.720264900793957</c:v>
                </c:pt>
                <c:pt idx="90">
                  <c:v>9.694499202626254</c:v>
                </c:pt>
                <c:pt idx="91">
                  <c:v>9.689870465546818</c:v>
                </c:pt>
                <c:pt idx="92">
                  <c:v>9.6930800934626262</c:v>
                </c:pt>
                <c:pt idx="93">
                  <c:v>9.6731182476388966</c:v>
                </c:pt>
                <c:pt idx="94">
                  <c:v>9.6471525485015874</c:v>
                </c:pt>
                <c:pt idx="95">
                  <c:v>9.6103651771532128</c:v>
                </c:pt>
                <c:pt idx="96">
                  <c:v>9.5237345520643473</c:v>
                </c:pt>
                <c:pt idx="97">
                  <c:v>9.4369147376244413</c:v>
                </c:pt>
                <c:pt idx="98">
                  <c:v>9.3416809685025584</c:v>
                </c:pt>
                <c:pt idx="99">
                  <c:v>9.2280480396326041</c:v>
                </c:pt>
                <c:pt idx="100">
                  <c:v>9.2133710421822528</c:v>
                </c:pt>
                <c:pt idx="101">
                  <c:v>9.1886774109579648</c:v>
                </c:pt>
                <c:pt idx="102">
                  <c:v>9.1253127147734858</c:v>
                </c:pt>
                <c:pt idx="103">
                  <c:v>9.0633367426811589</c:v>
                </c:pt>
                <c:pt idx="104">
                  <c:v>9.0132034930285485</c:v>
                </c:pt>
                <c:pt idx="105">
                  <c:v>8.9512247127597107</c:v>
                </c:pt>
                <c:pt idx="106">
                  <c:v>8.8788878063782093</c:v>
                </c:pt>
                <c:pt idx="107">
                  <c:v>8.8011129989883301</c:v>
                </c:pt>
                <c:pt idx="108">
                  <c:v>8.7104051982025226</c:v>
                </c:pt>
                <c:pt idx="109">
                  <c:v>8.6695707200372851</c:v>
                </c:pt>
                <c:pt idx="110">
                  <c:v>8.553653664806383</c:v>
                </c:pt>
                <c:pt idx="111">
                  <c:v>8.4351747147591709</c:v>
                </c:pt>
                <c:pt idx="112">
                  <c:v>8.2947905105749697</c:v>
                </c:pt>
                <c:pt idx="113">
                  <c:v>8.1523302112378602</c:v>
                </c:pt>
                <c:pt idx="114">
                  <c:v>7.9885339693360891</c:v>
                </c:pt>
                <c:pt idx="115">
                  <c:v>7.8082264362676241</c:v>
                </c:pt>
                <c:pt idx="116">
                  <c:v>7.6215590811537695</c:v>
                </c:pt>
                <c:pt idx="117">
                  <c:v>7.4040744083319154</c:v>
                </c:pt>
                <c:pt idx="118">
                  <c:v>7.1987787956862661</c:v>
                </c:pt>
                <c:pt idx="119">
                  <c:v>7.0875370491222043</c:v>
                </c:pt>
                <c:pt idx="120">
                  <c:v>6.9889010885052372</c:v>
                </c:pt>
                <c:pt idx="121">
                  <c:v>6.8961476681260194</c:v>
                </c:pt>
                <c:pt idx="122">
                  <c:v>6.8367470889269555</c:v>
                </c:pt>
                <c:pt idx="123">
                  <c:v>6.7613054629643301</c:v>
                </c:pt>
                <c:pt idx="124">
                  <c:v>6.679726921347779</c:v>
                </c:pt>
                <c:pt idx="125">
                  <c:v>6.5850671122605249</c:v>
                </c:pt>
                <c:pt idx="126">
                  <c:v>6.4804744175379412</c:v>
                </c:pt>
                <c:pt idx="127">
                  <c:v>6.3839790253620734</c:v>
                </c:pt>
                <c:pt idx="128">
                  <c:v>6.2894897493027173</c:v>
                </c:pt>
                <c:pt idx="129">
                  <c:v>6.1777981234168209</c:v>
                </c:pt>
                <c:pt idx="130">
                  <c:v>6.0738919408903058</c:v>
                </c:pt>
                <c:pt idx="131">
                  <c:v>5.9734721244267988</c:v>
                </c:pt>
                <c:pt idx="132">
                  <c:v>5.865656247627399</c:v>
                </c:pt>
                <c:pt idx="133">
                  <c:v>5.7564291991464245</c:v>
                </c:pt>
                <c:pt idx="134">
                  <c:v>5.6655234544043509</c:v>
                </c:pt>
                <c:pt idx="135">
                  <c:v>5.5707121127642765</c:v>
                </c:pt>
                <c:pt idx="136">
                  <c:v>5.4836203241056864</c:v>
                </c:pt>
                <c:pt idx="137">
                  <c:v>5.385662559809191</c:v>
                </c:pt>
                <c:pt idx="138">
                  <c:v>5.2809003175075944</c:v>
                </c:pt>
                <c:pt idx="139">
                  <c:v>5.176587595888968</c:v>
                </c:pt>
                <c:pt idx="140">
                  <c:v>5.0715935843623328</c:v>
                </c:pt>
                <c:pt idx="141">
                  <c:v>4.9846723532074151</c:v>
                </c:pt>
                <c:pt idx="142">
                  <c:v>4.8979704837752394</c:v>
                </c:pt>
                <c:pt idx="143">
                  <c:v>4.8052825324324289</c:v>
                </c:pt>
                <c:pt idx="144">
                  <c:v>4.7340658936918487</c:v>
                </c:pt>
                <c:pt idx="145">
                  <c:v>4.6467434771976244</c:v>
                </c:pt>
                <c:pt idx="146">
                  <c:v>4.6014616452861716</c:v>
                </c:pt>
                <c:pt idx="147">
                  <c:v>4.7121531076657348</c:v>
                </c:pt>
                <c:pt idx="148">
                  <c:v>4.7714315933028999</c:v>
                </c:pt>
                <c:pt idx="149">
                  <c:v>4.8379980139279084</c:v>
                </c:pt>
                <c:pt idx="150">
                  <c:v>4.904881034456217</c:v>
                </c:pt>
                <c:pt idx="151">
                  <c:v>4.9545789436722814</c:v>
                </c:pt>
                <c:pt idx="152">
                  <c:v>5.0021939526147392</c:v>
                </c:pt>
                <c:pt idx="153">
                  <c:v>5.0232977553223321</c:v>
                </c:pt>
                <c:pt idx="154">
                  <c:v>5.0106118447701249</c:v>
                </c:pt>
                <c:pt idx="155">
                  <c:v>4.9998870992450222</c:v>
                </c:pt>
                <c:pt idx="156">
                  <c:v>5.0196739440037064</c:v>
                </c:pt>
                <c:pt idx="157">
                  <c:v>5.0376942447979687</c:v>
                </c:pt>
                <c:pt idx="158">
                  <c:v>5.0447329956555649</c:v>
                </c:pt>
                <c:pt idx="159">
                  <c:v>5.0883310222506708</c:v>
                </c:pt>
                <c:pt idx="160">
                  <c:v>5.1147744682258889</c:v>
                </c:pt>
                <c:pt idx="161">
                  <c:v>5.1101629600255549</c:v>
                </c:pt>
                <c:pt idx="162">
                  <c:v>5.0969039150986077</c:v>
                </c:pt>
                <c:pt idx="163">
                  <c:v>5.0945123675147101</c:v>
                </c:pt>
                <c:pt idx="164">
                  <c:v>5.0834030119663751</c:v>
                </c:pt>
                <c:pt idx="165">
                  <c:v>5.0514171700530355</c:v>
                </c:pt>
                <c:pt idx="166">
                  <c:v>5.0052175189568828</c:v>
                </c:pt>
                <c:pt idx="167">
                  <c:v>4.9622312813561678</c:v>
                </c:pt>
                <c:pt idx="168">
                  <c:v>4.9197867630644723</c:v>
                </c:pt>
                <c:pt idx="169">
                  <c:v>4.8710256968748027</c:v>
                </c:pt>
                <c:pt idx="170">
                  <c:v>4.8307549219024253</c:v>
                </c:pt>
                <c:pt idx="171">
                  <c:v>4.7636013851069379</c:v>
                </c:pt>
                <c:pt idx="172">
                  <c:v>4.6896371435837594</c:v>
                </c:pt>
                <c:pt idx="173">
                  <c:v>4.6153408333947681</c:v>
                </c:pt>
                <c:pt idx="174">
                  <c:v>4.5659000153019704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4D-4A87-9821-4A46C377DDEE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4D-4A87-9821-4A46C377DDEE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data_co2_incLUC!$H$3:$H$177</c:f>
              <c:numCache>
                <c:formatCode>0.0</c:formatCode>
                <c:ptCount val="175"/>
                <c:pt idx="0">
                  <c:v>12.743661351254495</c:v>
                </c:pt>
                <c:pt idx="1">
                  <c:v>12.276119439836783</c:v>
                </c:pt>
                <c:pt idx="2">
                  <c:v>10.337062283991294</c:v>
                </c:pt>
                <c:pt idx="3">
                  <c:v>8.597093012026761</c:v>
                </c:pt>
                <c:pt idx="4">
                  <c:v>7.3244796106425696</c:v>
                </c:pt>
                <c:pt idx="5">
                  <c:v>6.1616962843969105</c:v>
                </c:pt>
                <c:pt idx="6">
                  <c:v>5.2291869503265431</c:v>
                </c:pt>
                <c:pt idx="7">
                  <c:v>4.4769435010937002</c:v>
                </c:pt>
                <c:pt idx="8">
                  <c:v>3.8703447023721864</c:v>
                </c:pt>
                <c:pt idx="9">
                  <c:v>3.3384379667068345</c:v>
                </c:pt>
                <c:pt idx="10">
                  <c:v>3.0860562505258571</c:v>
                </c:pt>
                <c:pt idx="11">
                  <c:v>2.9499262673460649</c:v>
                </c:pt>
                <c:pt idx="12">
                  <c:v>3.1819867913382822</c:v>
                </c:pt>
                <c:pt idx="13">
                  <c:v>3.4094103212160007</c:v>
                </c:pt>
                <c:pt idx="14">
                  <c:v>3.6166438803414422</c:v>
                </c:pt>
                <c:pt idx="15">
                  <c:v>3.8145631702545586</c:v>
                </c:pt>
                <c:pt idx="16">
                  <c:v>4.0227060192410491</c:v>
                </c:pt>
                <c:pt idx="17">
                  <c:v>4.2004129640125001</c:v>
                </c:pt>
                <c:pt idx="18">
                  <c:v>4.3830535631560039</c:v>
                </c:pt>
                <c:pt idx="19">
                  <c:v>4.5322335419225368</c:v>
                </c:pt>
                <c:pt idx="20">
                  <c:v>4.8218699288072884</c:v>
                </c:pt>
                <c:pt idx="21">
                  <c:v>5.205358418776953</c:v>
                </c:pt>
                <c:pt idx="22">
                  <c:v>5.323875227312314</c:v>
                </c:pt>
                <c:pt idx="23">
                  <c:v>5.4493148637271105</c:v>
                </c:pt>
                <c:pt idx="24">
                  <c:v>5.6091147886153152</c:v>
                </c:pt>
                <c:pt idx="25">
                  <c:v>5.7490224247168271</c:v>
                </c:pt>
                <c:pt idx="26">
                  <c:v>5.9038056008860877</c:v>
                </c:pt>
                <c:pt idx="27">
                  <c:v>6.0367678598633958</c:v>
                </c:pt>
                <c:pt idx="28">
                  <c:v>6.0988091252781942</c:v>
                </c:pt>
                <c:pt idx="29">
                  <c:v>6.1361084538532538</c:v>
                </c:pt>
                <c:pt idx="30">
                  <c:v>6.1144466409285698</c:v>
                </c:pt>
                <c:pt idx="31">
                  <c:v>6.1078905583801273</c:v>
                </c:pt>
                <c:pt idx="32">
                  <c:v>6.2015915634776846</c:v>
                </c:pt>
                <c:pt idx="33">
                  <c:v>6.3029609446828943</c:v>
                </c:pt>
                <c:pt idx="34">
                  <c:v>6.4167840624059522</c:v>
                </c:pt>
                <c:pt idx="35">
                  <c:v>6.5346445760642311</c:v>
                </c:pt>
                <c:pt idx="36">
                  <c:v>6.6389219673846469</c:v>
                </c:pt>
                <c:pt idx="37">
                  <c:v>6.7305785513065786</c:v>
                </c:pt>
                <c:pt idx="38">
                  <c:v>6.8131054453643998</c:v>
                </c:pt>
                <c:pt idx="39">
                  <c:v>6.8827112730894839</c:v>
                </c:pt>
                <c:pt idx="40">
                  <c:v>6.9459216545949829</c:v>
                </c:pt>
                <c:pt idx="41">
                  <c:v>7.0062379330898139</c:v>
                </c:pt>
                <c:pt idx="42">
                  <c:v>7.0620697890463049</c:v>
                </c:pt>
                <c:pt idx="43">
                  <c:v>7.1159048882299913</c:v>
                </c:pt>
                <c:pt idx="44">
                  <c:v>7.1920779275235276</c:v>
                </c:pt>
                <c:pt idx="45">
                  <c:v>7.2544272613574279</c:v>
                </c:pt>
                <c:pt idx="46">
                  <c:v>7.3144707738174901</c:v>
                </c:pt>
                <c:pt idx="47">
                  <c:v>7.3676139802102298</c:v>
                </c:pt>
                <c:pt idx="48">
                  <c:v>7.4283911764837072</c:v>
                </c:pt>
                <c:pt idx="49">
                  <c:v>7.4763233061776475</c:v>
                </c:pt>
                <c:pt idx="50">
                  <c:v>7.5168915164455541</c:v>
                </c:pt>
                <c:pt idx="51">
                  <c:v>7.6245309588718584</c:v>
                </c:pt>
                <c:pt idx="52">
                  <c:v>7.7908710592248553</c:v>
                </c:pt>
                <c:pt idx="53">
                  <c:v>7.9743534565700145</c:v>
                </c:pt>
                <c:pt idx="54">
                  <c:v>8.1755215933696519</c:v>
                </c:pt>
                <c:pt idx="55">
                  <c:v>8.4090327317354649</c:v>
                </c:pt>
                <c:pt idx="56">
                  <c:v>8.6614271542055477</c:v>
                </c:pt>
                <c:pt idx="57">
                  <c:v>8.9078600718459597</c:v>
                </c:pt>
                <c:pt idx="58">
                  <c:v>9.1588001580851355</c:v>
                </c:pt>
                <c:pt idx="59">
                  <c:v>9.3912137090222743</c:v>
                </c:pt>
                <c:pt idx="60">
                  <c:v>9.5626046992546989</c:v>
                </c:pt>
                <c:pt idx="61">
                  <c:v>9.6500755588719258</c:v>
                </c:pt>
                <c:pt idx="62">
                  <c:v>9.7271490132497078</c:v>
                </c:pt>
                <c:pt idx="63">
                  <c:v>9.7445373490041902</c:v>
                </c:pt>
                <c:pt idx="64">
                  <c:v>9.7485052906655838</c:v>
                </c:pt>
                <c:pt idx="65">
                  <c:v>9.7288109802021694</c:v>
                </c:pt>
                <c:pt idx="66">
                  <c:v>9.7056645614658166</c:v>
                </c:pt>
                <c:pt idx="67">
                  <c:v>9.6609501990574316</c:v>
                </c:pt>
                <c:pt idx="68">
                  <c:v>9.594850679772911</c:v>
                </c:pt>
                <c:pt idx="69">
                  <c:v>9.5137248702985246</c:v>
                </c:pt>
                <c:pt idx="70">
                  <c:v>9.4330559573995885</c:v>
                </c:pt>
                <c:pt idx="71">
                  <c:v>9.4107877836914042</c:v>
                </c:pt>
                <c:pt idx="72">
                  <c:v>9.4058934993041348</c:v>
                </c:pt>
                <c:pt idx="73">
                  <c:v>9.3761330011314641</c:v>
                </c:pt>
                <c:pt idx="74">
                  <c:v>9.3532160416305317</c:v>
                </c:pt>
                <c:pt idx="75">
                  <c:v>9.3368482577919139</c:v>
                </c:pt>
                <c:pt idx="76">
                  <c:v>9.3421469278795826</c:v>
                </c:pt>
                <c:pt idx="77">
                  <c:v>9.3230330264566632</c:v>
                </c:pt>
                <c:pt idx="78">
                  <c:v>9.2683611671721735</c:v>
                </c:pt>
                <c:pt idx="79">
                  <c:v>9.1860772757003062</c:v>
                </c:pt>
                <c:pt idx="80">
                  <c:v>9.1087398828013875</c:v>
                </c:pt>
                <c:pt idx="81">
                  <c:v>9.0698575139929218</c:v>
                </c:pt>
                <c:pt idx="82">
                  <c:v>9.0911441507905764</c:v>
                </c:pt>
                <c:pt idx="83">
                  <c:v>9.113918860495076</c:v>
                </c:pt>
                <c:pt idx="84">
                  <c:v>9.1344198395729563</c:v>
                </c:pt>
                <c:pt idx="85">
                  <c:v>9.1668944098300926</c:v>
                </c:pt>
                <c:pt idx="86">
                  <c:v>9.2020573802588927</c:v>
                </c:pt>
                <c:pt idx="87">
                  <c:v>9.2372648902123728</c:v>
                </c:pt>
                <c:pt idx="88">
                  <c:v>9.2965820536526493</c:v>
                </c:pt>
                <c:pt idx="89">
                  <c:v>9.346323517055545</c:v>
                </c:pt>
                <c:pt idx="90">
                  <c:v>9.3456657866941981</c:v>
                </c:pt>
                <c:pt idx="91">
                  <c:v>9.2776152621893431</c:v>
                </c:pt>
                <c:pt idx="92">
                  <c:v>9.1550716653177986</c:v>
                </c:pt>
                <c:pt idx="93">
                  <c:v>9.0427286689970714</c:v>
                </c:pt>
                <c:pt idx="94">
                  <c:v>8.9281581892837707</c:v>
                </c:pt>
                <c:pt idx="95">
                  <c:v>8.8193911594449901</c:v>
                </c:pt>
                <c:pt idx="96">
                  <c:v>8.7562201597522957</c:v>
                </c:pt>
                <c:pt idx="97">
                  <c:v>8.6805298687058254</c:v>
                </c:pt>
                <c:pt idx="98">
                  <c:v>8.6056477021783166</c:v>
                </c:pt>
                <c:pt idx="99">
                  <c:v>8.5600668654303433</c:v>
                </c:pt>
                <c:pt idx="100">
                  <c:v>8.4224248519251645</c:v>
                </c:pt>
                <c:pt idx="101">
                  <c:v>8.3047056223026985</c:v>
                </c:pt>
                <c:pt idx="102">
                  <c:v>8.2460569234286396</c:v>
                </c:pt>
                <c:pt idx="103">
                  <c:v>8.2029217558861305</c:v>
                </c:pt>
                <c:pt idx="104">
                  <c:v>8.1584693024193342</c:v>
                </c:pt>
                <c:pt idx="105">
                  <c:v>8.136220587193435</c:v>
                </c:pt>
                <c:pt idx="106">
                  <c:v>8.1357002505725831</c:v>
                </c:pt>
                <c:pt idx="107">
                  <c:v>8.1533257422166159</c:v>
                </c:pt>
                <c:pt idx="108">
                  <c:v>8.1974119801498802</c:v>
                </c:pt>
                <c:pt idx="109">
                  <c:v>8.2381874237493662</c:v>
                </c:pt>
                <c:pt idx="110">
                  <c:v>8.3333241150451016</c:v>
                </c:pt>
                <c:pt idx="111">
                  <c:v>8.439888730851365</c:v>
                </c:pt>
                <c:pt idx="112">
                  <c:v>8.547545191036555</c:v>
                </c:pt>
                <c:pt idx="113">
                  <c:v>8.6614887798434097</c:v>
                </c:pt>
                <c:pt idx="114">
                  <c:v>8.8010281919446172</c:v>
                </c:pt>
                <c:pt idx="115">
                  <c:v>8.9598764977072634</c:v>
                </c:pt>
                <c:pt idx="116">
                  <c:v>9.1297066883992741</c:v>
                </c:pt>
                <c:pt idx="117">
                  <c:v>9.3308314228642715</c:v>
                </c:pt>
                <c:pt idx="118">
                  <c:v>9.5291453569084723</c:v>
                </c:pt>
                <c:pt idx="119">
                  <c:v>9.6126338422056605</c:v>
                </c:pt>
                <c:pt idx="120">
                  <c:v>9.7015668236380819</c:v>
                </c:pt>
                <c:pt idx="121">
                  <c:v>9.7834664442184121</c:v>
                </c:pt>
                <c:pt idx="122">
                  <c:v>9.8219431472953858</c:v>
                </c:pt>
                <c:pt idx="123">
                  <c:v>9.8848803918087711</c:v>
                </c:pt>
                <c:pt idx="124">
                  <c:v>9.962731875560614</c:v>
                </c:pt>
                <c:pt idx="125">
                  <c:v>10.070040693664779</c:v>
                </c:pt>
                <c:pt idx="126">
                  <c:v>10.191538279704723</c:v>
                </c:pt>
                <c:pt idx="127">
                  <c:v>10.293709638720834</c:v>
                </c:pt>
                <c:pt idx="128">
                  <c:v>10.398995555032876</c:v>
                </c:pt>
                <c:pt idx="129">
                  <c:v>10.524159723221373</c:v>
                </c:pt>
                <c:pt idx="130">
                  <c:v>10.660659607218633</c:v>
                </c:pt>
                <c:pt idx="131">
                  <c:v>10.780364199564218</c:v>
                </c:pt>
                <c:pt idx="132">
                  <c:v>10.920121756724377</c:v>
                </c:pt>
                <c:pt idx="133">
                  <c:v>11.058123259312438</c:v>
                </c:pt>
                <c:pt idx="134">
                  <c:v>11.165602797598467</c:v>
                </c:pt>
                <c:pt idx="135">
                  <c:v>11.284927654244505</c:v>
                </c:pt>
                <c:pt idx="136">
                  <c:v>11.392996063502665</c:v>
                </c:pt>
                <c:pt idx="137">
                  <c:v>11.509412065065696</c:v>
                </c:pt>
                <c:pt idx="138">
                  <c:v>11.630575526704135</c:v>
                </c:pt>
                <c:pt idx="139">
                  <c:v>11.741103444170747</c:v>
                </c:pt>
                <c:pt idx="140">
                  <c:v>11.85354938885007</c:v>
                </c:pt>
                <c:pt idx="141">
                  <c:v>11.927422873255253</c:v>
                </c:pt>
                <c:pt idx="142">
                  <c:v>11.96378501817702</c:v>
                </c:pt>
                <c:pt idx="143">
                  <c:v>11.99403517940712</c:v>
                </c:pt>
                <c:pt idx="144">
                  <c:v>11.968579574552969</c:v>
                </c:pt>
                <c:pt idx="145">
                  <c:v>11.952776871445437</c:v>
                </c:pt>
                <c:pt idx="146">
                  <c:v>11.91169970378288</c:v>
                </c:pt>
                <c:pt idx="147">
                  <c:v>11.673346619557513</c:v>
                </c:pt>
                <c:pt idx="148">
                  <c:v>11.49859259231161</c:v>
                </c:pt>
                <c:pt idx="149">
                  <c:v>11.317006885823844</c:v>
                </c:pt>
                <c:pt idx="150">
                  <c:v>11.12918347178384</c:v>
                </c:pt>
                <c:pt idx="151">
                  <c:v>10.968418328604891</c:v>
                </c:pt>
                <c:pt idx="152">
                  <c:v>10.798804017007463</c:v>
                </c:pt>
                <c:pt idx="153">
                  <c:v>10.64614402392759</c:v>
                </c:pt>
                <c:pt idx="154">
                  <c:v>10.531963451870901</c:v>
                </c:pt>
                <c:pt idx="155">
                  <c:v>10.420256756693149</c:v>
                </c:pt>
                <c:pt idx="156">
                  <c:v>10.28086785589533</c:v>
                </c:pt>
                <c:pt idx="157">
                  <c:v>10.150915773437148</c:v>
                </c:pt>
                <c:pt idx="158">
                  <c:v>10.025790174663264</c:v>
                </c:pt>
                <c:pt idx="159">
                  <c:v>9.8689839047322536</c:v>
                </c:pt>
                <c:pt idx="160">
                  <c:v>9.7327922432388405</c:v>
                </c:pt>
                <c:pt idx="161">
                  <c:v>9.6173570155893557</c:v>
                </c:pt>
                <c:pt idx="162">
                  <c:v>9.522298249187358</c:v>
                </c:pt>
                <c:pt idx="163">
                  <c:v>9.4095795257158485</c:v>
                </c:pt>
                <c:pt idx="164">
                  <c:v>9.3004820145034586</c:v>
                </c:pt>
                <c:pt idx="165">
                  <c:v>9.2290928421374545</c:v>
                </c:pt>
                <c:pt idx="166">
                  <c:v>9.1826733291989768</c:v>
                </c:pt>
                <c:pt idx="167">
                  <c:v>9.134852539311936</c:v>
                </c:pt>
                <c:pt idx="168">
                  <c:v>9.0864251113810965</c:v>
                </c:pt>
                <c:pt idx="169">
                  <c:v>9.0402836274172529</c:v>
                </c:pt>
                <c:pt idx="170">
                  <c:v>8.9923145716175412</c:v>
                </c:pt>
                <c:pt idx="171">
                  <c:v>8.9717573984471244</c:v>
                </c:pt>
                <c:pt idx="172">
                  <c:v>8.9572978289151663</c:v>
                </c:pt>
                <c:pt idx="173">
                  <c:v>8.9449145651599196</c:v>
                </c:pt>
                <c:pt idx="174">
                  <c:v>8.9108249421008523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4D-4A87-9821-4A46C377DDEE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data_co2_incLUC!$Q$3:$Q$177</c:f>
              <c:numCache>
                <c:formatCode>0.0</c:formatCode>
                <c:ptCount val="175"/>
                <c:pt idx="0">
                  <c:v>2.0044980504049619</c:v>
                </c:pt>
                <c:pt idx="1">
                  <c:v>2.782190126294104</c:v>
                </c:pt>
                <c:pt idx="2">
                  <c:v>5.0054724158179908</c:v>
                </c:pt>
                <c:pt idx="3">
                  <c:v>6.5283553542510262</c:v>
                </c:pt>
                <c:pt idx="4">
                  <c:v>7.6459661572438478</c:v>
                </c:pt>
                <c:pt idx="5">
                  <c:v>8.7294545095773017</c:v>
                </c:pt>
                <c:pt idx="6">
                  <c:v>9.581483194638281</c:v>
                </c:pt>
                <c:pt idx="7">
                  <c:v>10.264275882216026</c:v>
                </c:pt>
                <c:pt idx="8">
                  <c:v>10.810829617200127</c:v>
                </c:pt>
                <c:pt idx="9">
                  <c:v>11.275533794342849</c:v>
                </c:pt>
                <c:pt idx="10">
                  <c:v>11.453899472376612</c:v>
                </c:pt>
                <c:pt idx="11">
                  <c:v>11.554484149462212</c:v>
                </c:pt>
                <c:pt idx="12">
                  <c:v>11.312081263350166</c:v>
                </c:pt>
                <c:pt idx="13">
                  <c:v>11.078947156635259</c:v>
                </c:pt>
                <c:pt idx="14">
                  <c:v>10.863076773376719</c:v>
                </c:pt>
                <c:pt idx="15">
                  <c:v>10.655471562225806</c:v>
                </c:pt>
                <c:pt idx="16">
                  <c:v>10.441308242229844</c:v>
                </c:pt>
                <c:pt idx="17">
                  <c:v>10.255954248138707</c:v>
                </c:pt>
                <c:pt idx="18">
                  <c:v>10.070013204419219</c:v>
                </c:pt>
                <c:pt idx="19">
                  <c:v>9.9163664407505081</c:v>
                </c:pt>
                <c:pt idx="20">
                  <c:v>9.6259241885522755</c:v>
                </c:pt>
                <c:pt idx="21">
                  <c:v>9.2022940943923217</c:v>
                </c:pt>
                <c:pt idx="22">
                  <c:v>8.9511885014431343</c:v>
                </c:pt>
                <c:pt idx="23">
                  <c:v>8.6906405940333684</c:v>
                </c:pt>
                <c:pt idx="24">
                  <c:v>8.4198374754083076</c:v>
                </c:pt>
                <c:pt idx="25">
                  <c:v>8.1630575724534111</c:v>
                </c:pt>
                <c:pt idx="26">
                  <c:v>7.9117470478242495</c:v>
                </c:pt>
                <c:pt idx="27">
                  <c:v>7.6825051451125006</c:v>
                </c:pt>
                <c:pt idx="28">
                  <c:v>7.5329449330018008</c:v>
                </c:pt>
                <c:pt idx="29">
                  <c:v>7.4060479558346657</c:v>
                </c:pt>
                <c:pt idx="30">
                  <c:v>7.3274997500906949</c:v>
                </c:pt>
                <c:pt idx="31">
                  <c:v>7.2188781454261459</c:v>
                </c:pt>
                <c:pt idx="32">
                  <c:v>7.0401459242154516</c:v>
                </c:pt>
                <c:pt idx="33">
                  <c:v>6.8560367810438123</c:v>
                </c:pt>
                <c:pt idx="34">
                  <c:v>6.6644757630282783</c:v>
                </c:pt>
                <c:pt idx="35">
                  <c:v>6.4758468044370971</c:v>
                </c:pt>
                <c:pt idx="36">
                  <c:v>6.3060334898530215</c:v>
                </c:pt>
                <c:pt idx="37">
                  <c:v>6.1509220629884283</c:v>
                </c:pt>
                <c:pt idx="38">
                  <c:v>6.0032369695871637</c:v>
                </c:pt>
                <c:pt idx="39">
                  <c:v>5.8806040070313372</c:v>
                </c:pt>
                <c:pt idx="40">
                  <c:v>5.7634594976009907</c:v>
                </c:pt>
                <c:pt idx="41">
                  <c:v>5.6552216289209696</c:v>
                </c:pt>
                <c:pt idx="42">
                  <c:v>5.5492351382386715</c:v>
                </c:pt>
                <c:pt idx="43">
                  <c:v>5.4571453964867374</c:v>
                </c:pt>
                <c:pt idx="44">
                  <c:v>5.3369605447174564</c:v>
                </c:pt>
                <c:pt idx="45">
                  <c:v>5.2319519164762767</c:v>
                </c:pt>
                <c:pt idx="46">
                  <c:v>5.1318185906362714</c:v>
                </c:pt>
                <c:pt idx="47">
                  <c:v>5.041749465061983</c:v>
                </c:pt>
                <c:pt idx="48">
                  <c:v>4.9475916372743995</c:v>
                </c:pt>
                <c:pt idx="49">
                  <c:v>4.8625654728274554</c:v>
                </c:pt>
                <c:pt idx="50">
                  <c:v>4.7855759287701574</c:v>
                </c:pt>
                <c:pt idx="51">
                  <c:v>4.6298655078740012</c:v>
                </c:pt>
                <c:pt idx="52">
                  <c:v>4.4124263300252125</c:v>
                </c:pt>
                <c:pt idx="53">
                  <c:v>4.1626419195944777</c:v>
                </c:pt>
                <c:pt idx="54">
                  <c:v>3.8971957317764634</c:v>
                </c:pt>
                <c:pt idx="55">
                  <c:v>3.5877530108721487</c:v>
                </c:pt>
                <c:pt idx="56">
                  <c:v>3.2586312366139225</c:v>
                </c:pt>
                <c:pt idx="57">
                  <c:v>2.9286594434610578</c:v>
                </c:pt>
                <c:pt idx="58">
                  <c:v>2.6080472818852201</c:v>
                </c:pt>
                <c:pt idx="59">
                  <c:v>2.307143386250587</c:v>
                </c:pt>
                <c:pt idx="60">
                  <c:v>2.0608624550430363</c:v>
                </c:pt>
                <c:pt idx="61">
                  <c:v>1.9163720805051554</c:v>
                </c:pt>
                <c:pt idx="62">
                  <c:v>1.7966001129175453</c:v>
                </c:pt>
                <c:pt idx="63">
                  <c:v>1.7467470855082183</c:v>
                </c:pt>
                <c:pt idx="64">
                  <c:v>1.7162699762126721</c:v>
                </c:pt>
                <c:pt idx="65">
                  <c:v>1.7122919391424034</c:v>
                </c:pt>
                <c:pt idx="66">
                  <c:v>1.7121208875000633</c:v>
                </c:pt>
                <c:pt idx="67">
                  <c:v>1.730385720293981</c:v>
                </c:pt>
                <c:pt idx="68">
                  <c:v>1.7433398781078608</c:v>
                </c:pt>
                <c:pt idx="69">
                  <c:v>1.7537787481480507</c:v>
                </c:pt>
                <c:pt idx="70">
                  <c:v>1.7743880740962794</c:v>
                </c:pt>
                <c:pt idx="71">
                  <c:v>1.7527996796074206</c:v>
                </c:pt>
                <c:pt idx="72">
                  <c:v>1.7129503196970148</c:v>
                </c:pt>
                <c:pt idx="73">
                  <c:v>1.6804131401899269</c:v>
                </c:pt>
                <c:pt idx="74">
                  <c:v>1.6490836332152128</c:v>
                </c:pt>
                <c:pt idx="75">
                  <c:v>1.6122320895058238</c:v>
                </c:pt>
                <c:pt idx="76">
                  <c:v>1.5740295303044292</c:v>
                </c:pt>
                <c:pt idx="77">
                  <c:v>1.5594684524876357</c:v>
                </c:pt>
                <c:pt idx="78">
                  <c:v>1.5884722632454782</c:v>
                </c:pt>
                <c:pt idx="79">
                  <c:v>1.641920363169163</c:v>
                </c:pt>
                <c:pt idx="80">
                  <c:v>1.6980938846273972</c:v>
                </c:pt>
                <c:pt idx="81">
                  <c:v>1.7362461944062346</c:v>
                </c:pt>
                <c:pt idx="82">
                  <c:v>1.7366294946988319</c:v>
                </c:pt>
                <c:pt idx="83">
                  <c:v>1.735569255222174</c:v>
                </c:pt>
                <c:pt idx="84">
                  <c:v>1.7407016819742012</c:v>
                </c:pt>
                <c:pt idx="85">
                  <c:v>1.73530092549899</c:v>
                </c:pt>
                <c:pt idx="86">
                  <c:v>1.7260241464428816</c:v>
                </c:pt>
                <c:pt idx="87">
                  <c:v>1.7123308099162244</c:v>
                </c:pt>
                <c:pt idx="88">
                  <c:v>1.6862580033028536</c:v>
                </c:pt>
                <c:pt idx="89">
                  <c:v>1.6597118466280847</c:v>
                </c:pt>
                <c:pt idx="90">
                  <c:v>1.7181565070355589</c:v>
                </c:pt>
                <c:pt idx="91">
                  <c:v>1.8144756647186853</c:v>
                </c:pt>
                <c:pt idx="92">
                  <c:v>1.9353423656027218</c:v>
                </c:pt>
                <c:pt idx="93">
                  <c:v>2.0587527319663508</c:v>
                </c:pt>
                <c:pt idx="94">
                  <c:v>2.1697876221920183</c:v>
                </c:pt>
                <c:pt idx="95">
                  <c:v>2.2568147971633863</c:v>
                </c:pt>
                <c:pt idx="96">
                  <c:v>2.3004668079197046</c:v>
                </c:pt>
                <c:pt idx="97">
                  <c:v>2.3554510877125807</c:v>
                </c:pt>
                <c:pt idx="98">
                  <c:v>2.4100576089347925</c:v>
                </c:pt>
                <c:pt idx="99">
                  <c:v>2.4565966026896859</c:v>
                </c:pt>
                <c:pt idx="100">
                  <c:v>2.5988655226342416</c:v>
                </c:pt>
                <c:pt idx="101">
                  <c:v>2.778020478965388</c:v>
                </c:pt>
                <c:pt idx="102">
                  <c:v>2.9190140346585025</c:v>
                </c:pt>
                <c:pt idx="103">
                  <c:v>3.0633085656070875</c:v>
                </c:pt>
                <c:pt idx="104">
                  <c:v>3.2268089637363602</c:v>
                </c:pt>
                <c:pt idx="105">
                  <c:v>3.3822277505367353</c:v>
                </c:pt>
                <c:pt idx="106">
                  <c:v>3.5295232655077555</c:v>
                </c:pt>
                <c:pt idx="107">
                  <c:v>3.6797732280510829</c:v>
                </c:pt>
                <c:pt idx="108">
                  <c:v>3.8145594852024161</c:v>
                </c:pt>
                <c:pt idx="109">
                  <c:v>3.9205287047639317</c:v>
                </c:pt>
                <c:pt idx="110">
                  <c:v>3.9711064215092122</c:v>
                </c:pt>
                <c:pt idx="111">
                  <c:v>4.0056706804412627</c:v>
                </c:pt>
                <c:pt idx="112">
                  <c:v>4.0408080341045789</c:v>
                </c:pt>
                <c:pt idx="113">
                  <c:v>4.0716374481295006</c:v>
                </c:pt>
                <c:pt idx="114">
                  <c:v>4.0790997014889712</c:v>
                </c:pt>
                <c:pt idx="115">
                  <c:v>4.0648344786761115</c:v>
                </c:pt>
                <c:pt idx="116">
                  <c:v>4.0327998849312863</c:v>
                </c:pt>
                <c:pt idx="117">
                  <c:v>3.96593339041479</c:v>
                </c:pt>
                <c:pt idx="118">
                  <c:v>3.8958256027865659</c:v>
                </c:pt>
                <c:pt idx="119">
                  <c:v>3.9233441642995928</c:v>
                </c:pt>
                <c:pt idx="120">
                  <c:v>3.9216284361672251</c:v>
                </c:pt>
                <c:pt idx="121">
                  <c:v>3.9092289706469643</c:v>
                </c:pt>
                <c:pt idx="122">
                  <c:v>3.9517220440829135</c:v>
                </c:pt>
                <c:pt idx="123">
                  <c:v>3.9644856324652054</c:v>
                </c:pt>
                <c:pt idx="124">
                  <c:v>3.9660636052453739</c:v>
                </c:pt>
                <c:pt idx="125">
                  <c:v>3.9464176926249337</c:v>
                </c:pt>
                <c:pt idx="126">
                  <c:v>3.9066483802340528</c:v>
                </c:pt>
                <c:pt idx="127">
                  <c:v>3.8891518017083513</c:v>
                </c:pt>
                <c:pt idx="128">
                  <c:v>3.8747312870715618</c:v>
                </c:pt>
                <c:pt idx="129">
                  <c:v>3.8239781799866392</c:v>
                </c:pt>
                <c:pt idx="130">
                  <c:v>3.7745108618822911</c:v>
                </c:pt>
                <c:pt idx="131">
                  <c:v>3.7231236046767719</c:v>
                </c:pt>
                <c:pt idx="132">
                  <c:v>3.6138944974956217</c:v>
                </c:pt>
                <c:pt idx="133">
                  <c:v>3.5034785409536937</c:v>
                </c:pt>
                <c:pt idx="134">
                  <c:v>3.4179715661315058</c:v>
                </c:pt>
                <c:pt idx="135">
                  <c:v>3.3437092618982973</c:v>
                </c:pt>
                <c:pt idx="136">
                  <c:v>3.2828336304443795</c:v>
                </c:pt>
                <c:pt idx="137">
                  <c:v>3.2005862192918428</c:v>
                </c:pt>
                <c:pt idx="138">
                  <c:v>3.1009517248187706</c:v>
                </c:pt>
                <c:pt idx="139">
                  <c:v>2.9913621594443711</c:v>
                </c:pt>
                <c:pt idx="140">
                  <c:v>2.9426752226332198</c:v>
                </c:pt>
                <c:pt idx="141">
                  <c:v>2.8762619960015599</c:v>
                </c:pt>
                <c:pt idx="142">
                  <c:v>2.8188643342636155</c:v>
                </c:pt>
                <c:pt idx="143">
                  <c:v>2.7464049684533691</c:v>
                </c:pt>
                <c:pt idx="144">
                  <c:v>2.8151906597160448</c:v>
                </c:pt>
                <c:pt idx="145">
                  <c:v>2.8337683852823972</c:v>
                </c:pt>
                <c:pt idx="146">
                  <c:v>2.8657560758784228</c:v>
                </c:pt>
                <c:pt idx="147">
                  <c:v>2.9779333584242451</c:v>
                </c:pt>
                <c:pt idx="148">
                  <c:v>3.0390878051907322</c:v>
                </c:pt>
                <c:pt idx="149">
                  <c:v>3.0820771621972582</c:v>
                </c:pt>
                <c:pt idx="150">
                  <c:v>3.1409108120267888</c:v>
                </c:pt>
                <c:pt idx="151">
                  <c:v>3.1720261660631834</c:v>
                </c:pt>
                <c:pt idx="152">
                  <c:v>3.2075612963949283</c:v>
                </c:pt>
                <c:pt idx="153">
                  <c:v>3.221914214375218</c:v>
                </c:pt>
                <c:pt idx="154">
                  <c:v>3.1687609798978755</c:v>
                </c:pt>
                <c:pt idx="155">
                  <c:v>3.1228153475580172</c:v>
                </c:pt>
                <c:pt idx="156">
                  <c:v>3.1125515570782767</c:v>
                </c:pt>
                <c:pt idx="157">
                  <c:v>3.095863834582282</c:v>
                </c:pt>
                <c:pt idx="158">
                  <c:v>3.0813795163027322</c:v>
                </c:pt>
                <c:pt idx="159">
                  <c:v>3.0955863071276326</c:v>
                </c:pt>
                <c:pt idx="160">
                  <c:v>3.0934045609116296</c:v>
                </c:pt>
                <c:pt idx="161">
                  <c:v>3.0853757870817304</c:v>
                </c:pt>
                <c:pt idx="162">
                  <c:v>3.0757431706585194</c:v>
                </c:pt>
                <c:pt idx="163">
                  <c:v>3.0589813311547758</c:v>
                </c:pt>
                <c:pt idx="164">
                  <c:v>3.047828709944973</c:v>
                </c:pt>
                <c:pt idx="165">
                  <c:v>2.9983061730619269</c:v>
                </c:pt>
                <c:pt idx="166">
                  <c:v>2.9388888384405405</c:v>
                </c:pt>
                <c:pt idx="167">
                  <c:v>2.8805704568183614</c:v>
                </c:pt>
                <c:pt idx="168">
                  <c:v>2.8320924501078508</c:v>
                </c:pt>
                <c:pt idx="169">
                  <c:v>2.7839713632342225</c:v>
                </c:pt>
                <c:pt idx="170">
                  <c:v>2.7384229175925441</c:v>
                </c:pt>
                <c:pt idx="171">
                  <c:v>2.6760608540460851</c:v>
                </c:pt>
                <c:pt idx="172">
                  <c:v>2.5785276372824129</c:v>
                </c:pt>
                <c:pt idx="173">
                  <c:v>2.4811542820521595</c:v>
                </c:pt>
                <c:pt idx="174">
                  <c:v>2.4596245255517744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4D-4A87-9821-4A46C377D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data_co2_incLUC!$I$2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data_co2_incLUC!$I$3:$I$177</c:f>
              <c:numCache>
                <c:formatCode>0.0</c:formatCode>
                <c:ptCount val="175"/>
                <c:pt idx="0">
                  <c:v>35.536122428699187</c:v>
                </c:pt>
                <c:pt idx="1">
                  <c:v>35.578173636135404</c:v>
                </c:pt>
                <c:pt idx="2">
                  <c:v>35.469586519427857</c:v>
                </c:pt>
                <c:pt idx="3">
                  <c:v>35.633305224691149</c:v>
                </c:pt>
                <c:pt idx="4">
                  <c:v>35.907145970261958</c:v>
                </c:pt>
                <c:pt idx="5">
                  <c:v>36.057852872522126</c:v>
                </c:pt>
                <c:pt idx="6">
                  <c:v>36.210066453608711</c:v>
                </c:pt>
                <c:pt idx="7">
                  <c:v>36.341748956370964</c:v>
                </c:pt>
                <c:pt idx="8">
                  <c:v>36.493497832795406</c:v>
                </c:pt>
                <c:pt idx="9">
                  <c:v>36.667464519387337</c:v>
                </c:pt>
                <c:pt idx="10">
                  <c:v>36.996697531549358</c:v>
                </c:pt>
                <c:pt idx="11">
                  <c:v>37.280387819216251</c:v>
                </c:pt>
                <c:pt idx="12">
                  <c:v>37.607257068553821</c:v>
                </c:pt>
                <c:pt idx="13">
                  <c:v>37.951841481436333</c:v>
                </c:pt>
                <c:pt idx="14">
                  <c:v>38.239034369897929</c:v>
                </c:pt>
                <c:pt idx="15">
                  <c:v>38.532597224663419</c:v>
                </c:pt>
                <c:pt idx="16">
                  <c:v>38.782646008914831</c:v>
                </c:pt>
                <c:pt idx="17">
                  <c:v>39.081101916297747</c:v>
                </c:pt>
                <c:pt idx="18">
                  <c:v>39.351757191692208</c:v>
                </c:pt>
                <c:pt idx="19">
                  <c:v>39.596569094348425</c:v>
                </c:pt>
                <c:pt idx="20">
                  <c:v>39.996447036926277</c:v>
                </c:pt>
                <c:pt idx="21">
                  <c:v>40.478526091049602</c:v>
                </c:pt>
                <c:pt idx="22">
                  <c:v>40.951879820612277</c:v>
                </c:pt>
                <c:pt idx="23">
                  <c:v>41.461622868215201</c:v>
                </c:pt>
                <c:pt idx="24">
                  <c:v>41.914512401176367</c:v>
                </c:pt>
                <c:pt idx="25">
                  <c:v>42.388639809596143</c:v>
                </c:pt>
                <c:pt idx="26">
                  <c:v>42.837701166219439</c:v>
                </c:pt>
                <c:pt idx="27">
                  <c:v>43.266366142977688</c:v>
                </c:pt>
                <c:pt idx="28">
                  <c:v>43.675418535328681</c:v>
                </c:pt>
                <c:pt idx="29">
                  <c:v>44.092427230463741</c:v>
                </c:pt>
                <c:pt idx="30">
                  <c:v>44.394837518554091</c:v>
                </c:pt>
                <c:pt idx="31">
                  <c:v>44.622010816178246</c:v>
                </c:pt>
                <c:pt idx="32">
                  <c:v>44.826683123466196</c:v>
                </c:pt>
                <c:pt idx="33">
                  <c:v>45.026695716965861</c:v>
                </c:pt>
                <c:pt idx="34">
                  <c:v>45.195746378300946</c:v>
                </c:pt>
                <c:pt idx="35">
                  <c:v>45.335558213042901</c:v>
                </c:pt>
                <c:pt idx="36">
                  <c:v>45.468178854439721</c:v>
                </c:pt>
                <c:pt idx="37">
                  <c:v>45.608741106922388</c:v>
                </c:pt>
                <c:pt idx="38">
                  <c:v>45.767146159491681</c:v>
                </c:pt>
                <c:pt idx="39">
                  <c:v>45.887834768303073</c:v>
                </c:pt>
                <c:pt idx="40">
                  <c:v>46.004253271708038</c:v>
                </c:pt>
                <c:pt idx="41">
                  <c:v>46.119199163401305</c:v>
                </c:pt>
                <c:pt idx="42">
                  <c:v>46.231759004168872</c:v>
                </c:pt>
                <c:pt idx="43">
                  <c:v>46.339461537141254</c:v>
                </c:pt>
                <c:pt idx="44">
                  <c:v>46.43710858859933</c:v>
                </c:pt>
                <c:pt idx="45">
                  <c:v>46.547073401867962</c:v>
                </c:pt>
                <c:pt idx="46">
                  <c:v>46.664333129443811</c:v>
                </c:pt>
                <c:pt idx="47">
                  <c:v>46.779002141724035</c:v>
                </c:pt>
                <c:pt idx="48">
                  <c:v>46.905715714410761</c:v>
                </c:pt>
                <c:pt idx="49">
                  <c:v>47.056465973723654</c:v>
                </c:pt>
                <c:pt idx="50">
                  <c:v>47.19287453570707</c:v>
                </c:pt>
                <c:pt idx="51">
                  <c:v>47.289012548010277</c:v>
                </c:pt>
                <c:pt idx="52">
                  <c:v>47.380936322617124</c:v>
                </c:pt>
                <c:pt idx="53">
                  <c:v>47.487775620815064</c:v>
                </c:pt>
                <c:pt idx="54">
                  <c:v>47.581529330040517</c:v>
                </c:pt>
                <c:pt idx="55">
                  <c:v>47.687664226056789</c:v>
                </c:pt>
                <c:pt idx="56">
                  <c:v>47.784734132026948</c:v>
                </c:pt>
                <c:pt idx="57">
                  <c:v>47.922811516731841</c:v>
                </c:pt>
                <c:pt idx="58">
                  <c:v>48.026101230979563</c:v>
                </c:pt>
                <c:pt idx="59">
                  <c:v>48.132542179741158</c:v>
                </c:pt>
                <c:pt idx="60">
                  <c:v>48.278254757060083</c:v>
                </c:pt>
                <c:pt idx="61">
                  <c:v>48.423927655447052</c:v>
                </c:pt>
                <c:pt idx="62">
                  <c:v>48.577722030573725</c:v>
                </c:pt>
                <c:pt idx="63">
                  <c:v>48.76020788559071</c:v>
                </c:pt>
                <c:pt idx="64">
                  <c:v>48.905352187430481</c:v>
                </c:pt>
                <c:pt idx="65">
                  <c:v>49.043331403171671</c:v>
                </c:pt>
                <c:pt idx="66">
                  <c:v>49.200891906889403</c:v>
                </c:pt>
                <c:pt idx="67">
                  <c:v>49.377195648175423</c:v>
                </c:pt>
                <c:pt idx="68">
                  <c:v>49.571007347705738</c:v>
                </c:pt>
                <c:pt idx="69">
                  <c:v>49.719813765551017</c:v>
                </c:pt>
                <c:pt idx="70">
                  <c:v>49.830096445821653</c:v>
                </c:pt>
                <c:pt idx="71">
                  <c:v>49.855679532468301</c:v>
                </c:pt>
                <c:pt idx="72">
                  <c:v>49.88461779044917</c:v>
                </c:pt>
                <c:pt idx="73">
                  <c:v>49.934812212870241</c:v>
                </c:pt>
                <c:pt idx="74">
                  <c:v>49.976774235027762</c:v>
                </c:pt>
                <c:pt idx="75">
                  <c:v>50.006884671252315</c:v>
                </c:pt>
                <c:pt idx="76">
                  <c:v>50.014449146726669</c:v>
                </c:pt>
                <c:pt idx="77">
                  <c:v>50.037980358974096</c:v>
                </c:pt>
                <c:pt idx="78">
                  <c:v>50.044396849236108</c:v>
                </c:pt>
                <c:pt idx="79">
                  <c:v>50.060489223187986</c:v>
                </c:pt>
                <c:pt idx="80">
                  <c:v>50.003019204546561</c:v>
                </c:pt>
                <c:pt idx="81">
                  <c:v>49.886255627195922</c:v>
                </c:pt>
                <c:pt idx="82">
                  <c:v>49.723103052999242</c:v>
                </c:pt>
                <c:pt idx="83">
                  <c:v>49.569377461235582</c:v>
                </c:pt>
                <c:pt idx="84">
                  <c:v>49.422290420838124</c:v>
                </c:pt>
                <c:pt idx="85">
                  <c:v>49.279200419834289</c:v>
                </c:pt>
                <c:pt idx="86">
                  <c:v>49.146002797107982</c:v>
                </c:pt>
                <c:pt idx="87">
                  <c:v>49.025663962107622</c:v>
                </c:pt>
                <c:pt idx="88">
                  <c:v>48.876064281382099</c:v>
                </c:pt>
                <c:pt idx="89">
                  <c:v>48.743338795216758</c:v>
                </c:pt>
                <c:pt idx="90">
                  <c:v>48.601982328904711</c:v>
                </c:pt>
                <c:pt idx="91">
                  <c:v>48.472984224011448</c:v>
                </c:pt>
                <c:pt idx="92">
                  <c:v>48.374591875103647</c:v>
                </c:pt>
                <c:pt idx="93">
                  <c:v>48.282200653730079</c:v>
                </c:pt>
                <c:pt idx="94">
                  <c:v>48.191628896340887</c:v>
                </c:pt>
                <c:pt idx="95">
                  <c:v>48.065610879841564</c:v>
                </c:pt>
                <c:pt idx="96">
                  <c:v>47.953286679634829</c:v>
                </c:pt>
                <c:pt idx="97">
                  <c:v>47.870798719267604</c:v>
                </c:pt>
                <c:pt idx="98">
                  <c:v>47.809340875010022</c:v>
                </c:pt>
                <c:pt idx="99">
                  <c:v>47.720090959510578</c:v>
                </c:pt>
                <c:pt idx="100">
                  <c:v>47.575736011725169</c:v>
                </c:pt>
                <c:pt idx="101">
                  <c:v>47.39881710462442</c:v>
                </c:pt>
                <c:pt idx="102">
                  <c:v>47.215741118984106</c:v>
                </c:pt>
                <c:pt idx="103">
                  <c:v>47.028168810501732</c:v>
                </c:pt>
                <c:pt idx="104">
                  <c:v>46.801057237913682</c:v>
                </c:pt>
                <c:pt idx="105">
                  <c:v>46.583054966781553</c:v>
                </c:pt>
                <c:pt idx="106">
                  <c:v>46.374554521205695</c:v>
                </c:pt>
                <c:pt idx="107">
                  <c:v>46.150994390723469</c:v>
                </c:pt>
                <c:pt idx="108">
                  <c:v>45.908887333059589</c:v>
                </c:pt>
                <c:pt idx="109">
                  <c:v>45.62550682468062</c:v>
                </c:pt>
                <c:pt idx="110">
                  <c:v>45.433597880546671</c:v>
                </c:pt>
                <c:pt idx="111">
                  <c:v>45.243381966893473</c:v>
                </c:pt>
                <c:pt idx="112">
                  <c:v>45.104732516349529</c:v>
                </c:pt>
                <c:pt idx="113">
                  <c:v>44.980460786752957</c:v>
                </c:pt>
                <c:pt idx="114">
                  <c:v>44.887558269425718</c:v>
                </c:pt>
                <c:pt idx="115">
                  <c:v>44.813518860831387</c:v>
                </c:pt>
                <c:pt idx="116">
                  <c:v>44.761083071495328</c:v>
                </c:pt>
                <c:pt idx="117">
                  <c:v>44.761697256791535</c:v>
                </c:pt>
                <c:pt idx="118">
                  <c:v>44.781992545581041</c:v>
                </c:pt>
                <c:pt idx="119">
                  <c:v>44.734120620711273</c:v>
                </c:pt>
                <c:pt idx="120">
                  <c:v>44.694729212131804</c:v>
                </c:pt>
                <c:pt idx="121">
                  <c:v>44.6643934597003</c:v>
                </c:pt>
                <c:pt idx="122">
                  <c:v>44.604085759864077</c:v>
                </c:pt>
                <c:pt idx="123">
                  <c:v>44.561987978215441</c:v>
                </c:pt>
                <c:pt idx="124">
                  <c:v>44.503458877680671</c:v>
                </c:pt>
                <c:pt idx="125">
                  <c:v>44.429314265172927</c:v>
                </c:pt>
                <c:pt idx="126">
                  <c:v>44.371054721484448</c:v>
                </c:pt>
                <c:pt idx="127">
                  <c:v>44.294855751160625</c:v>
                </c:pt>
                <c:pt idx="128">
                  <c:v>44.208906761969871</c:v>
                </c:pt>
                <c:pt idx="129">
                  <c:v>44.161049540100308</c:v>
                </c:pt>
                <c:pt idx="130">
                  <c:v>44.092329216428041</c:v>
                </c:pt>
                <c:pt idx="131">
                  <c:v>44.019243868241794</c:v>
                </c:pt>
                <c:pt idx="132">
                  <c:v>43.932231430758641</c:v>
                </c:pt>
                <c:pt idx="133">
                  <c:v>43.835509197282207</c:v>
                </c:pt>
                <c:pt idx="134">
                  <c:v>43.71413216981243</c:v>
                </c:pt>
                <c:pt idx="135">
                  <c:v>43.567403642560251</c:v>
                </c:pt>
                <c:pt idx="136">
                  <c:v>43.403846724643799</c:v>
                </c:pt>
                <c:pt idx="137">
                  <c:v>43.265091505383268</c:v>
                </c:pt>
                <c:pt idx="138">
                  <c:v>43.140848729575787</c:v>
                </c:pt>
                <c:pt idx="139">
                  <c:v>43.033449510440747</c:v>
                </c:pt>
                <c:pt idx="140">
                  <c:v>42.953740165937894</c:v>
                </c:pt>
                <c:pt idx="141">
                  <c:v>42.864035572807666</c:v>
                </c:pt>
                <c:pt idx="142">
                  <c:v>42.790013963853809</c:v>
                </c:pt>
                <c:pt idx="143">
                  <c:v>42.723517746322969</c:v>
                </c:pt>
                <c:pt idx="144">
                  <c:v>42.633648217955276</c:v>
                </c:pt>
                <c:pt idx="145">
                  <c:v>42.559051148476847</c:v>
                </c:pt>
                <c:pt idx="146">
                  <c:v>42.482560995883176</c:v>
                </c:pt>
                <c:pt idx="147">
                  <c:v>42.369108755906929</c:v>
                </c:pt>
                <c:pt idx="148">
                  <c:v>42.295265541306577</c:v>
                </c:pt>
                <c:pt idx="149">
                  <c:v>42.225178623798762</c:v>
                </c:pt>
                <c:pt idx="150">
                  <c:v>42.172115806783843</c:v>
                </c:pt>
                <c:pt idx="151">
                  <c:v>42.122201942389935</c:v>
                </c:pt>
                <c:pt idx="152">
                  <c:v>42.050091189823696</c:v>
                </c:pt>
                <c:pt idx="153">
                  <c:v>41.942971969303507</c:v>
                </c:pt>
                <c:pt idx="154">
                  <c:v>41.844089621522485</c:v>
                </c:pt>
                <c:pt idx="155">
                  <c:v>41.743359048967136</c:v>
                </c:pt>
                <c:pt idx="156">
                  <c:v>41.600150850714726</c:v>
                </c:pt>
                <c:pt idx="157">
                  <c:v>41.462194838989284</c:v>
                </c:pt>
                <c:pt idx="158">
                  <c:v>41.306955475419848</c:v>
                </c:pt>
                <c:pt idx="159">
                  <c:v>41.105160569490614</c:v>
                </c:pt>
                <c:pt idx="160">
                  <c:v>40.915408209286412</c:v>
                </c:pt>
                <c:pt idx="161">
                  <c:v>40.691041237945626</c:v>
                </c:pt>
                <c:pt idx="162">
                  <c:v>40.450673473046209</c:v>
                </c:pt>
                <c:pt idx="163">
                  <c:v>40.218926834152384</c:v>
                </c:pt>
                <c:pt idx="164">
                  <c:v>39.983677094550437</c:v>
                </c:pt>
                <c:pt idx="165">
                  <c:v>39.74771948423566</c:v>
                </c:pt>
                <c:pt idx="166">
                  <c:v>39.533517781302088</c:v>
                </c:pt>
                <c:pt idx="167">
                  <c:v>39.318423738474635</c:v>
                </c:pt>
                <c:pt idx="168">
                  <c:v>39.106640419427244</c:v>
                </c:pt>
                <c:pt idx="169">
                  <c:v>38.883711368808605</c:v>
                </c:pt>
                <c:pt idx="170">
                  <c:v>38.660595990502081</c:v>
                </c:pt>
                <c:pt idx="171">
                  <c:v>38.440054146678165</c:v>
                </c:pt>
                <c:pt idx="172">
                  <c:v>38.212651425648566</c:v>
                </c:pt>
                <c:pt idx="173">
                  <c:v>37.973549020282945</c:v>
                </c:pt>
                <c:pt idx="174">
                  <c:v>37.734536444647119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4D-4A87-9821-4A46C377DDEE}"/>
            </c:ext>
          </c:extLst>
        </c:ser>
        <c:ser>
          <c:idx val="6"/>
          <c:order val="6"/>
          <c:tx>
            <c:strRef>
              <c:f>data_co2_incLUC!$J$2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data_co2_incLUC!$J$3:$J$177</c:f>
              <c:numCache>
                <c:formatCode>0.0</c:formatCode>
                <c:ptCount val="175"/>
                <c:pt idx="0">
                  <c:v>43.831164044616941</c:v>
                </c:pt>
                <c:pt idx="1">
                  <c:v>44.302088289612563</c:v>
                </c:pt>
                <c:pt idx="2">
                  <c:v>46.878074367437314</c:v>
                </c:pt>
                <c:pt idx="3">
                  <c:v>48.539578387052913</c:v>
                </c:pt>
                <c:pt idx="4">
                  <c:v>49.98539819856552</c:v>
                </c:pt>
                <c:pt idx="5">
                  <c:v>51.188604759124424</c:v>
                </c:pt>
                <c:pt idx="6">
                  <c:v>52.185531545084409</c:v>
                </c:pt>
                <c:pt idx="7">
                  <c:v>53.005140514219448</c:v>
                </c:pt>
                <c:pt idx="8">
                  <c:v>53.701550483732909</c:v>
                </c:pt>
                <c:pt idx="9">
                  <c:v>54.339990571764005</c:v>
                </c:pt>
                <c:pt idx="10">
                  <c:v>54.954163616548293</c:v>
                </c:pt>
                <c:pt idx="11">
                  <c:v>55.474470879914897</c:v>
                </c:pt>
                <c:pt idx="12">
                  <c:v>55.682980772455373</c:v>
                </c:pt>
                <c:pt idx="13">
                  <c:v>55.886086136883215</c:v>
                </c:pt>
                <c:pt idx="14">
                  <c:v>56.090678680890548</c:v>
                </c:pt>
                <c:pt idx="15">
                  <c:v>56.290172472775815</c:v>
                </c:pt>
                <c:pt idx="16">
                  <c:v>56.47611749494196</c:v>
                </c:pt>
                <c:pt idx="17">
                  <c:v>56.665201568377597</c:v>
                </c:pt>
                <c:pt idx="18">
                  <c:v>56.839355893473154</c:v>
                </c:pt>
                <c:pt idx="19">
                  <c:v>57.016984520124112</c:v>
                </c:pt>
                <c:pt idx="20">
                  <c:v>57.179973030076411</c:v>
                </c:pt>
                <c:pt idx="21">
                  <c:v>57.272007734858811</c:v>
                </c:pt>
                <c:pt idx="22">
                  <c:v>57.616864770794287</c:v>
                </c:pt>
                <c:pt idx="23">
                  <c:v>57.956376315677446</c:v>
                </c:pt>
                <c:pt idx="24">
                  <c:v>58.23534655673425</c:v>
                </c:pt>
                <c:pt idx="25">
                  <c:v>58.529983072919876</c:v>
                </c:pt>
                <c:pt idx="26">
                  <c:v>58.795644284917202</c:v>
                </c:pt>
                <c:pt idx="27">
                  <c:v>59.054864489683347</c:v>
                </c:pt>
                <c:pt idx="28">
                  <c:v>59.294255951919709</c:v>
                </c:pt>
                <c:pt idx="29">
                  <c:v>59.543822870188649</c:v>
                </c:pt>
                <c:pt idx="30">
                  <c:v>59.828612149408364</c:v>
                </c:pt>
                <c:pt idx="31">
                  <c:v>60.022837313440171</c:v>
                </c:pt>
                <c:pt idx="32">
                  <c:v>60.106446516371584</c:v>
                </c:pt>
                <c:pt idx="33">
                  <c:v>60.182768043996674</c:v>
                </c:pt>
                <c:pt idx="34">
                  <c:v>60.238205565147837</c:v>
                </c:pt>
                <c:pt idx="35">
                  <c:v>60.274793064412854</c:v>
                </c:pt>
                <c:pt idx="36">
                  <c:v>60.302822594866015</c:v>
                </c:pt>
                <c:pt idx="37">
                  <c:v>60.334771675732426</c:v>
                </c:pt>
                <c:pt idx="38">
                  <c:v>60.393448328806528</c:v>
                </c:pt>
                <c:pt idx="39">
                  <c:v>60.433028925342271</c:v>
                </c:pt>
                <c:pt idx="40">
                  <c:v>60.493756857341452</c:v>
                </c:pt>
                <c:pt idx="41">
                  <c:v>60.560736448425281</c:v>
                </c:pt>
                <c:pt idx="42">
                  <c:v>60.63907393627197</c:v>
                </c:pt>
                <c:pt idx="43">
                  <c:v>60.698695735584906</c:v>
                </c:pt>
                <c:pt idx="44">
                  <c:v>60.74219844098954</c:v>
                </c:pt>
                <c:pt idx="45">
                  <c:v>60.795915992873496</c:v>
                </c:pt>
                <c:pt idx="46">
                  <c:v>60.851357434539665</c:v>
                </c:pt>
                <c:pt idx="47">
                  <c:v>60.912359293874296</c:v>
                </c:pt>
                <c:pt idx="48">
                  <c:v>60.977985917557994</c:v>
                </c:pt>
                <c:pt idx="49">
                  <c:v>61.069251690713898</c:v>
                </c:pt>
                <c:pt idx="50">
                  <c:v>61.171912824788663</c:v>
                </c:pt>
                <c:pt idx="51">
                  <c:v>61.182925897139796</c:v>
                </c:pt>
                <c:pt idx="52">
                  <c:v>61.130225802838254</c:v>
                </c:pt>
                <c:pt idx="53">
                  <c:v>61.070623160208157</c:v>
                </c:pt>
                <c:pt idx="54">
                  <c:v>60.965114144303556</c:v>
                </c:pt>
                <c:pt idx="55">
                  <c:v>60.853995124503811</c:v>
                </c:pt>
                <c:pt idx="56">
                  <c:v>60.709648881385711</c:v>
                </c:pt>
                <c:pt idx="57">
                  <c:v>60.611823495228421</c:v>
                </c:pt>
                <c:pt idx="58">
                  <c:v>60.474223208118936</c:v>
                </c:pt>
                <c:pt idx="59">
                  <c:v>60.349959271479825</c:v>
                </c:pt>
                <c:pt idx="60">
                  <c:v>60.250196124774881</c:v>
                </c:pt>
                <c:pt idx="61">
                  <c:v>60.208140414607847</c:v>
                </c:pt>
                <c:pt idx="62">
                  <c:v>60.187991169617185</c:v>
                </c:pt>
                <c:pt idx="63">
                  <c:v>60.224204439945481</c:v>
                </c:pt>
                <c:pt idx="64">
                  <c:v>60.227151676585613</c:v>
                </c:pt>
                <c:pt idx="65">
                  <c:v>60.233100046666124</c:v>
                </c:pt>
                <c:pt idx="66">
                  <c:v>60.259923229382061</c:v>
                </c:pt>
                <c:pt idx="67">
                  <c:v>60.295478713205576</c:v>
                </c:pt>
                <c:pt idx="68">
                  <c:v>60.346409497725794</c:v>
                </c:pt>
                <c:pt idx="69">
                  <c:v>60.352221507367311</c:v>
                </c:pt>
                <c:pt idx="70">
                  <c:v>60.383792008138769</c:v>
                </c:pt>
                <c:pt idx="71">
                  <c:v>60.301541103951052</c:v>
                </c:pt>
                <c:pt idx="72">
                  <c:v>60.217494389713245</c:v>
                </c:pt>
                <c:pt idx="73">
                  <c:v>60.181565396773664</c:v>
                </c:pt>
                <c:pt idx="74">
                  <c:v>60.126225098933006</c:v>
                </c:pt>
                <c:pt idx="75">
                  <c:v>60.068722247401354</c:v>
                </c:pt>
                <c:pt idx="76">
                  <c:v>59.986507142719745</c:v>
                </c:pt>
                <c:pt idx="77">
                  <c:v>59.949839651618255</c:v>
                </c:pt>
                <c:pt idx="78">
                  <c:v>59.897601008441924</c:v>
                </c:pt>
                <c:pt idx="79">
                  <c:v>59.877160652468241</c:v>
                </c:pt>
                <c:pt idx="80">
                  <c:v>59.839232701780418</c:v>
                </c:pt>
                <c:pt idx="81">
                  <c:v>59.7398415442862</c:v>
                </c:pt>
                <c:pt idx="82">
                  <c:v>59.558687952965364</c:v>
                </c:pt>
                <c:pt idx="83">
                  <c:v>59.385553196526843</c:v>
                </c:pt>
                <c:pt idx="84">
                  <c:v>59.224975983845482</c:v>
                </c:pt>
                <c:pt idx="85">
                  <c:v>59.067800376761127</c:v>
                </c:pt>
                <c:pt idx="86">
                  <c:v>58.922712479654507</c:v>
                </c:pt>
                <c:pt idx="87">
                  <c:v>58.786507931102719</c:v>
                </c:pt>
                <c:pt idx="88">
                  <c:v>58.615039327470178</c:v>
                </c:pt>
                <c:pt idx="89">
                  <c:v>58.463603696010715</c:v>
                </c:pt>
                <c:pt idx="90">
                  <c:v>58.296481371553668</c:v>
                </c:pt>
                <c:pt idx="91">
                  <c:v>58.162854532590316</c:v>
                </c:pt>
                <c:pt idx="92">
                  <c:v>58.067671814496201</c:v>
                </c:pt>
                <c:pt idx="93">
                  <c:v>57.955318750115751</c:v>
                </c:pt>
                <c:pt idx="94">
                  <c:v>57.838781296306728</c:v>
                </c:pt>
                <c:pt idx="95">
                  <c:v>57.675975910898373</c:v>
                </c:pt>
                <c:pt idx="96">
                  <c:v>57.477021088018212</c:v>
                </c:pt>
                <c:pt idx="97">
                  <c:v>57.307713315643419</c:v>
                </c:pt>
                <c:pt idx="98">
                  <c:v>57.151021638271857</c:v>
                </c:pt>
                <c:pt idx="99">
                  <c:v>56.94813893395596</c:v>
                </c:pt>
                <c:pt idx="100">
                  <c:v>56.789106990116956</c:v>
                </c:pt>
                <c:pt idx="101">
                  <c:v>56.587494453272335</c:v>
                </c:pt>
                <c:pt idx="102">
                  <c:v>56.341053772893133</c:v>
                </c:pt>
                <c:pt idx="103">
                  <c:v>56.091505493742268</c:v>
                </c:pt>
                <c:pt idx="104">
                  <c:v>55.814260672973106</c:v>
                </c:pt>
                <c:pt idx="105">
                  <c:v>55.534279679541264</c:v>
                </c:pt>
                <c:pt idx="106">
                  <c:v>55.253442327583905</c:v>
                </c:pt>
                <c:pt idx="107">
                  <c:v>54.952107389711799</c:v>
                </c:pt>
                <c:pt idx="108">
                  <c:v>54.619292531262111</c:v>
                </c:pt>
                <c:pt idx="109">
                  <c:v>54.295077544717905</c:v>
                </c:pt>
                <c:pt idx="110">
                  <c:v>53.987251545353054</c:v>
                </c:pt>
                <c:pt idx="111">
                  <c:v>53.678556681652644</c:v>
                </c:pt>
                <c:pt idx="112">
                  <c:v>53.399523026924498</c:v>
                </c:pt>
                <c:pt idx="113">
                  <c:v>53.132790997990817</c:v>
                </c:pt>
                <c:pt idx="114">
                  <c:v>52.876092238761807</c:v>
                </c:pt>
                <c:pt idx="115">
                  <c:v>52.621745297099011</c:v>
                </c:pt>
                <c:pt idx="116">
                  <c:v>52.382642152649098</c:v>
                </c:pt>
                <c:pt idx="117">
                  <c:v>52.165771665123451</c:v>
                </c:pt>
                <c:pt idx="118">
                  <c:v>51.980771341267307</c:v>
                </c:pt>
                <c:pt idx="119">
                  <c:v>51.812720803444122</c:v>
                </c:pt>
                <c:pt idx="120">
                  <c:v>51.658774196993264</c:v>
                </c:pt>
                <c:pt idx="121">
                  <c:v>51.498364704237552</c:v>
                </c:pt>
                <c:pt idx="122">
                  <c:v>51.354609381456982</c:v>
                </c:pt>
                <c:pt idx="123">
                  <c:v>51.214888418427954</c:v>
                </c:pt>
                <c:pt idx="124">
                  <c:v>51.053003423786038</c:v>
                </c:pt>
                <c:pt idx="125">
                  <c:v>50.858344604669313</c:v>
                </c:pt>
                <c:pt idx="126">
                  <c:v>50.670407830007157</c:v>
                </c:pt>
                <c:pt idx="127">
                  <c:v>50.477130921130865</c:v>
                </c:pt>
                <c:pt idx="128">
                  <c:v>50.28544089870762</c:v>
                </c:pt>
                <c:pt idx="129">
                  <c:v>50.107675095343531</c:v>
                </c:pt>
                <c:pt idx="130">
                  <c:v>49.918655152319786</c:v>
                </c:pt>
                <c:pt idx="131">
                  <c:v>49.722008945912862</c:v>
                </c:pt>
                <c:pt idx="132">
                  <c:v>49.471302901553635</c:v>
                </c:pt>
                <c:pt idx="133">
                  <c:v>49.211250730509839</c:v>
                </c:pt>
                <c:pt idx="134">
                  <c:v>48.949018887945819</c:v>
                </c:pt>
                <c:pt idx="135">
                  <c:v>48.672198233885645</c:v>
                </c:pt>
                <c:pt idx="136">
                  <c:v>48.392646685900282</c:v>
                </c:pt>
                <c:pt idx="137">
                  <c:v>48.123339998412149</c:v>
                </c:pt>
                <c:pt idx="138">
                  <c:v>47.862008491107552</c:v>
                </c:pt>
                <c:pt idx="139">
                  <c:v>47.614730893156739</c:v>
                </c:pt>
                <c:pt idx="140">
                  <c:v>47.492553363649328</c:v>
                </c:pt>
                <c:pt idx="141">
                  <c:v>47.360895283810635</c:v>
                </c:pt>
                <c:pt idx="142">
                  <c:v>47.253615593820342</c:v>
                </c:pt>
                <c:pt idx="143">
                  <c:v>47.149995990114299</c:v>
                </c:pt>
                <c:pt idx="144">
                  <c:v>47.14021789986603</c:v>
                </c:pt>
                <c:pt idx="145">
                  <c:v>47.106564823382541</c:v>
                </c:pt>
                <c:pt idx="146">
                  <c:v>47.084022641169348</c:v>
                </c:pt>
                <c:pt idx="147">
                  <c:v>47.081261863572664</c:v>
                </c:pt>
                <c:pt idx="148">
                  <c:v>47.066697134609477</c:v>
                </c:pt>
                <c:pt idx="149">
                  <c:v>47.06317663772667</c:v>
                </c:pt>
                <c:pt idx="150">
                  <c:v>47.07699684124006</c:v>
                </c:pt>
                <c:pt idx="151">
                  <c:v>47.076780886062217</c:v>
                </c:pt>
                <c:pt idx="152">
                  <c:v>47.052285142438436</c:v>
                </c:pt>
                <c:pt idx="153">
                  <c:v>46.966269724625839</c:v>
                </c:pt>
                <c:pt idx="154">
                  <c:v>46.85470146629261</c:v>
                </c:pt>
                <c:pt idx="155">
                  <c:v>46.743246148212158</c:v>
                </c:pt>
                <c:pt idx="156">
                  <c:v>46.619824794718433</c:v>
                </c:pt>
                <c:pt idx="157">
                  <c:v>46.499889083787252</c:v>
                </c:pt>
                <c:pt idx="158">
                  <c:v>46.351688471075413</c:v>
                </c:pt>
                <c:pt idx="159">
                  <c:v>46.193491591741285</c:v>
                </c:pt>
                <c:pt idx="160">
                  <c:v>46.0301826775123</c:v>
                </c:pt>
                <c:pt idx="161">
                  <c:v>45.801204197971181</c:v>
                </c:pt>
                <c:pt idx="162">
                  <c:v>45.547577388144816</c:v>
                </c:pt>
                <c:pt idx="163">
                  <c:v>45.313439201667094</c:v>
                </c:pt>
                <c:pt idx="164">
                  <c:v>45.067080106516812</c:v>
                </c:pt>
                <c:pt idx="165">
                  <c:v>44.799136654288695</c:v>
                </c:pt>
                <c:pt idx="166">
                  <c:v>44.538735300258971</c:v>
                </c:pt>
                <c:pt idx="167">
                  <c:v>44.280655019830803</c:v>
                </c:pt>
                <c:pt idx="168">
                  <c:v>44.026427182491716</c:v>
                </c:pt>
                <c:pt idx="169">
                  <c:v>43.754737065683408</c:v>
                </c:pt>
                <c:pt idx="170">
                  <c:v>43.491350912404506</c:v>
                </c:pt>
                <c:pt idx="171">
                  <c:v>43.203655531785103</c:v>
                </c:pt>
                <c:pt idx="172">
                  <c:v>42.902288569232326</c:v>
                </c:pt>
                <c:pt idx="173">
                  <c:v>42.588889853677713</c:v>
                </c:pt>
                <c:pt idx="174">
                  <c:v>42.30043645994909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4D-4A87-9821-4A46C377DDEE}"/>
            </c:ext>
          </c:extLst>
        </c:ser>
        <c:ser>
          <c:idx val="7"/>
          <c:order val="7"/>
          <c:tx>
            <c:strRef>
              <c:f>data_co2_incLUC!$K$2</c:f>
              <c:strCache>
                <c:ptCount val="1"/>
                <c:pt idx="0">
                  <c:v>pct_annex2_GCP_BLUE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data_co2_incLUC!$K$3:$K$177</c:f>
              <c:numCache>
                <c:formatCode>0.0</c:formatCode>
                <c:ptCount val="175"/>
                <c:pt idx="0">
                  <c:v>35.536122428699187</c:v>
                </c:pt>
                <c:pt idx="1">
                  <c:v>35.578173636135404</c:v>
                </c:pt>
                <c:pt idx="2">
                  <c:v>35.469586519427857</c:v>
                </c:pt>
                <c:pt idx="3">
                  <c:v>35.633305224691149</c:v>
                </c:pt>
                <c:pt idx="4">
                  <c:v>35.907145970261958</c:v>
                </c:pt>
                <c:pt idx="5">
                  <c:v>36.057852872522126</c:v>
                </c:pt>
                <c:pt idx="6">
                  <c:v>36.210062838698974</c:v>
                </c:pt>
                <c:pt idx="7">
                  <c:v>36.341745820230805</c:v>
                </c:pt>
                <c:pt idx="8">
                  <c:v>36.49349506568025</c:v>
                </c:pt>
                <c:pt idx="9">
                  <c:v>36.667462047469378</c:v>
                </c:pt>
                <c:pt idx="10">
                  <c:v>36.996694444046291</c:v>
                </c:pt>
                <c:pt idx="11">
                  <c:v>37.280384966178254</c:v>
                </c:pt>
                <c:pt idx="12">
                  <c:v>37.607254409438937</c:v>
                </c:pt>
                <c:pt idx="13">
                  <c:v>37.95183898895808</c:v>
                </c:pt>
                <c:pt idx="14">
                  <c:v>38.239032026224372</c:v>
                </c:pt>
                <c:pt idx="15">
                  <c:v>38.53259500988176</c:v>
                </c:pt>
                <c:pt idx="16">
                  <c:v>38.782643910240509</c:v>
                </c:pt>
                <c:pt idx="17">
                  <c:v>39.081099920355236</c:v>
                </c:pt>
                <c:pt idx="18">
                  <c:v>39.35175528862726</c:v>
                </c:pt>
                <c:pt idx="19">
                  <c:v>39.596567276293193</c:v>
                </c:pt>
                <c:pt idx="20">
                  <c:v>39.996445305145059</c:v>
                </c:pt>
                <c:pt idx="21">
                  <c:v>40.47852443942179</c:v>
                </c:pt>
                <c:pt idx="22">
                  <c:v>40.951878246103469</c:v>
                </c:pt>
                <c:pt idx="23">
                  <c:v>41.461620924315973</c:v>
                </c:pt>
                <c:pt idx="24">
                  <c:v>41.914510539755483</c:v>
                </c:pt>
                <c:pt idx="25">
                  <c:v>42.388638024228712</c:v>
                </c:pt>
                <c:pt idx="26">
                  <c:v>42.837699451806337</c:v>
                </c:pt>
                <c:pt idx="27">
                  <c:v>43.266364495480957</c:v>
                </c:pt>
                <c:pt idx="28">
                  <c:v>43.675416950406742</c:v>
                </c:pt>
                <c:pt idx="29">
                  <c:v>44.092425704211308</c:v>
                </c:pt>
                <c:pt idx="30">
                  <c:v>44.394836049534824</c:v>
                </c:pt>
                <c:pt idx="31">
                  <c:v>44.62200940115833</c:v>
                </c:pt>
                <c:pt idx="32">
                  <c:v>44.826681760053759</c:v>
                </c:pt>
                <c:pt idx="33">
                  <c:v>45.026694402449763</c:v>
                </c:pt>
                <c:pt idx="34">
                  <c:v>45.19574444332433</c:v>
                </c:pt>
                <c:pt idx="35">
                  <c:v>45.335556344743033</c:v>
                </c:pt>
                <c:pt idx="36">
                  <c:v>45.468177048469819</c:v>
                </c:pt>
                <c:pt idx="37">
                  <c:v>45.608739360196907</c:v>
                </c:pt>
                <c:pt idx="38">
                  <c:v>45.767144468930688</c:v>
                </c:pt>
                <c:pt idx="39">
                  <c:v>45.887833131069279</c:v>
                </c:pt>
                <c:pt idx="40">
                  <c:v>46.004251688044235</c:v>
                </c:pt>
                <c:pt idx="41">
                  <c:v>46.119197631033238</c:v>
                </c:pt>
                <c:pt idx="42">
                  <c:v>46.231757519699222</c:v>
                </c:pt>
                <c:pt idx="43">
                  <c:v>46.339460097746603</c:v>
                </c:pt>
                <c:pt idx="44">
                  <c:v>46.437107192550187</c:v>
                </c:pt>
                <c:pt idx="45">
                  <c:v>46.547072046908227</c:v>
                </c:pt>
                <c:pt idx="46">
                  <c:v>46.664332471437405</c:v>
                </c:pt>
                <c:pt idx="47">
                  <c:v>46.779001502492278</c:v>
                </c:pt>
                <c:pt idx="48">
                  <c:v>46.905715093095992</c:v>
                </c:pt>
                <c:pt idx="49">
                  <c:v>47.056465176406256</c:v>
                </c:pt>
                <c:pt idx="50">
                  <c:v>47.192873760258593</c:v>
                </c:pt>
                <c:pt idx="51">
                  <c:v>47.289011977423726</c:v>
                </c:pt>
                <c:pt idx="52">
                  <c:v>47.380935946291878</c:v>
                </c:pt>
                <c:pt idx="53">
                  <c:v>47.487775255270151</c:v>
                </c:pt>
                <c:pt idx="54">
                  <c:v>47.581528974856028</c:v>
                </c:pt>
                <c:pt idx="55">
                  <c:v>47.687663880889509</c:v>
                </c:pt>
                <c:pt idx="56">
                  <c:v>47.784733796533587</c:v>
                </c:pt>
                <c:pt idx="57">
                  <c:v>47.922811190775008</c:v>
                </c:pt>
                <c:pt idx="58">
                  <c:v>48.026100913961734</c:v>
                </c:pt>
                <c:pt idx="59">
                  <c:v>48.132541871372467</c:v>
                </c:pt>
                <c:pt idx="60">
                  <c:v>48.278254456710535</c:v>
                </c:pt>
                <c:pt idx="61">
                  <c:v>48.423927504450653</c:v>
                </c:pt>
                <c:pt idx="62">
                  <c:v>48.577721883743827</c:v>
                </c:pt>
                <c:pt idx="63">
                  <c:v>48.760207742884035</c:v>
                </c:pt>
                <c:pt idx="64">
                  <c:v>48.905352320485115</c:v>
                </c:pt>
                <c:pt idx="65">
                  <c:v>49.043331664098254</c:v>
                </c:pt>
                <c:pt idx="66">
                  <c:v>49.20089216281216</c:v>
                </c:pt>
                <c:pt idx="67">
                  <c:v>49.377195899377988</c:v>
                </c:pt>
                <c:pt idx="68">
                  <c:v>49.571007594539566</c:v>
                </c:pt>
                <c:pt idx="69">
                  <c:v>49.719814008285347</c:v>
                </c:pt>
                <c:pt idx="70">
                  <c:v>49.830096803575159</c:v>
                </c:pt>
                <c:pt idx="71">
                  <c:v>49.855679766221812</c:v>
                </c:pt>
                <c:pt idx="72">
                  <c:v>49.884618019249338</c:v>
                </c:pt>
                <c:pt idx="73">
                  <c:v>49.934812436620284</c:v>
                </c:pt>
                <c:pt idx="74">
                  <c:v>49.97677445394978</c:v>
                </c:pt>
                <c:pt idx="75">
                  <c:v>50.006884885471123</c:v>
                </c:pt>
                <c:pt idx="76">
                  <c:v>50.014449356452232</c:v>
                </c:pt>
                <c:pt idx="77">
                  <c:v>50.037980564245046</c:v>
                </c:pt>
                <c:pt idx="78">
                  <c:v>50.044397050217313</c:v>
                </c:pt>
                <c:pt idx="79">
                  <c:v>50.060489419918497</c:v>
                </c:pt>
                <c:pt idx="80">
                  <c:v>50.003019397306872</c:v>
                </c:pt>
                <c:pt idx="81">
                  <c:v>49.886255816266171</c:v>
                </c:pt>
                <c:pt idx="82">
                  <c:v>49.723103238626507</c:v>
                </c:pt>
                <c:pt idx="83">
                  <c:v>49.569377643506115</c:v>
                </c:pt>
                <c:pt idx="84">
                  <c:v>49.422290599759897</c:v>
                </c:pt>
                <c:pt idx="85">
                  <c:v>49.279200595494224</c:v>
                </c:pt>
                <c:pt idx="86">
                  <c:v>49.146002797107982</c:v>
                </c:pt>
                <c:pt idx="87">
                  <c:v>49.025663962107622</c:v>
                </c:pt>
                <c:pt idx="88">
                  <c:v>48.876064281382099</c:v>
                </c:pt>
                <c:pt idx="89">
                  <c:v>48.743338795216765</c:v>
                </c:pt>
                <c:pt idx="90">
                  <c:v>48.601982168927414</c:v>
                </c:pt>
                <c:pt idx="91">
                  <c:v>48.472984067043498</c:v>
                </c:pt>
                <c:pt idx="92">
                  <c:v>48.374591721033575</c:v>
                </c:pt>
                <c:pt idx="93">
                  <c:v>48.282200502476854</c:v>
                </c:pt>
                <c:pt idx="94">
                  <c:v>48.19162874780514</c:v>
                </c:pt>
                <c:pt idx="95">
                  <c:v>48.06561073374516</c:v>
                </c:pt>
                <c:pt idx="96">
                  <c:v>47.953286535953865</c:v>
                </c:pt>
                <c:pt idx="97">
                  <c:v>47.870798578018977</c:v>
                </c:pt>
                <c:pt idx="98">
                  <c:v>47.809340669769298</c:v>
                </c:pt>
                <c:pt idx="99">
                  <c:v>47.720090894323356</c:v>
                </c:pt>
                <c:pt idx="100">
                  <c:v>47.575735947934703</c:v>
                </c:pt>
                <c:pt idx="101">
                  <c:v>47.39881704231437</c:v>
                </c:pt>
                <c:pt idx="102">
                  <c:v>47.215741058119647</c:v>
                </c:pt>
                <c:pt idx="103">
                  <c:v>47.028168751061109</c:v>
                </c:pt>
                <c:pt idx="104">
                  <c:v>46.801057179944557</c:v>
                </c:pt>
                <c:pt idx="105">
                  <c:v>46.583055531867949</c:v>
                </c:pt>
                <c:pt idx="106">
                  <c:v>46.374555677949211</c:v>
                </c:pt>
                <c:pt idx="107">
                  <c:v>46.150996322674828</c:v>
                </c:pt>
                <c:pt idx="108">
                  <c:v>45.908889946879199</c:v>
                </c:pt>
                <c:pt idx="109">
                  <c:v>45.625510078262558</c:v>
                </c:pt>
                <c:pt idx="110">
                  <c:v>45.433601800714172</c:v>
                </c:pt>
                <c:pt idx="111">
                  <c:v>45.24338826555617</c:v>
                </c:pt>
                <c:pt idx="112">
                  <c:v>45.104741094592235</c:v>
                </c:pt>
                <c:pt idx="113">
                  <c:v>44.980471731830846</c:v>
                </c:pt>
                <c:pt idx="114">
                  <c:v>44.887571624861891</c:v>
                </c:pt>
                <c:pt idx="115">
                  <c:v>44.813534888929269</c:v>
                </c:pt>
                <c:pt idx="116">
                  <c:v>44.761101633312691</c:v>
                </c:pt>
                <c:pt idx="117">
                  <c:v>44.761718650496377</c:v>
                </c:pt>
                <c:pt idx="118">
                  <c:v>44.782016790671442</c:v>
                </c:pt>
                <c:pt idx="119">
                  <c:v>44.734149802553816</c:v>
                </c:pt>
                <c:pt idx="120">
                  <c:v>44.6947660612677</c:v>
                </c:pt>
                <c:pt idx="121">
                  <c:v>44.66443949896243</c:v>
                </c:pt>
                <c:pt idx="122">
                  <c:v>44.604140670961776</c:v>
                </c:pt>
                <c:pt idx="123">
                  <c:v>44.562051003921546</c:v>
                </c:pt>
                <c:pt idx="124">
                  <c:v>44.503532399891462</c:v>
                </c:pt>
                <c:pt idx="125">
                  <c:v>44.429398232546156</c:v>
                </c:pt>
                <c:pt idx="126">
                  <c:v>44.371145410758679</c:v>
                </c:pt>
                <c:pt idx="127">
                  <c:v>44.294954022464083</c:v>
                </c:pt>
                <c:pt idx="128">
                  <c:v>44.209009809812628</c:v>
                </c:pt>
                <c:pt idx="129">
                  <c:v>44.161157943164874</c:v>
                </c:pt>
                <c:pt idx="130">
                  <c:v>44.09244376766884</c:v>
                </c:pt>
                <c:pt idx="131">
                  <c:v>44.019364380176434</c:v>
                </c:pt>
                <c:pt idx="132">
                  <c:v>43.932356837467587</c:v>
                </c:pt>
                <c:pt idx="133">
                  <c:v>43.835639353429798</c:v>
                </c:pt>
                <c:pt idx="134">
                  <c:v>43.714264347388095</c:v>
                </c:pt>
                <c:pt idx="135">
                  <c:v>43.567537702688959</c:v>
                </c:pt>
                <c:pt idx="136">
                  <c:v>43.403982429618637</c:v>
                </c:pt>
                <c:pt idx="137">
                  <c:v>43.265228963211285</c:v>
                </c:pt>
                <c:pt idx="138">
                  <c:v>43.140988552640522</c:v>
                </c:pt>
                <c:pt idx="139">
                  <c:v>43.033592857970078</c:v>
                </c:pt>
                <c:pt idx="140">
                  <c:v>42.953887220572149</c:v>
                </c:pt>
                <c:pt idx="141">
                  <c:v>42.876601499666464</c:v>
                </c:pt>
                <c:pt idx="142">
                  <c:v>42.802345868059007</c:v>
                </c:pt>
                <c:pt idx="143">
                  <c:v>42.735626385586464</c:v>
                </c:pt>
                <c:pt idx="144">
                  <c:v>42.645524424652692</c:v>
                </c:pt>
                <c:pt idx="145">
                  <c:v>42.570706347924435</c:v>
                </c:pt>
                <c:pt idx="146">
                  <c:v>42.493996374081924</c:v>
                </c:pt>
                <c:pt idx="147">
                  <c:v>42.38031221086522</c:v>
                </c:pt>
                <c:pt idx="148">
                  <c:v>42.30626193506702</c:v>
                </c:pt>
                <c:pt idx="149">
                  <c:v>42.23597489304953</c:v>
                </c:pt>
                <c:pt idx="150">
                  <c:v>42.182721489011996</c:v>
                </c:pt>
                <c:pt idx="151">
                  <c:v>42.132627903692047</c:v>
                </c:pt>
                <c:pt idx="152">
                  <c:v>42.060331011136149</c:v>
                </c:pt>
                <c:pt idx="153">
                  <c:v>41.953008709059098</c:v>
                </c:pt>
                <c:pt idx="154">
                  <c:v>41.853933126495122</c:v>
                </c:pt>
                <c:pt idx="155">
                  <c:v>41.753013752473024</c:v>
                </c:pt>
                <c:pt idx="156">
                  <c:v>41.60960929419916</c:v>
                </c:pt>
                <c:pt idx="157">
                  <c:v>41.471462989760624</c:v>
                </c:pt>
                <c:pt idx="158">
                  <c:v>41.316031654799694</c:v>
                </c:pt>
                <c:pt idx="159">
                  <c:v>41.114040154708817</c:v>
                </c:pt>
                <c:pt idx="160">
                  <c:v>40.924093773127979</c:v>
                </c:pt>
                <c:pt idx="161">
                  <c:v>40.69952922211526</c:v>
                </c:pt>
                <c:pt idx="162">
                  <c:v>40.458964282898656</c:v>
                </c:pt>
                <c:pt idx="163">
                  <c:v>40.227028694268938</c:v>
                </c:pt>
                <c:pt idx="164">
                  <c:v>39.991594761040233</c:v>
                </c:pt>
                <c:pt idx="165">
                  <c:v>39.755458930650775</c:v>
                </c:pt>
                <c:pt idx="166">
                  <c:v>39.541092382850458</c:v>
                </c:pt>
                <c:pt idx="167">
                  <c:v>39.32583681993794</c:v>
                </c:pt>
                <c:pt idx="168">
                  <c:v>39.113897112914138</c:v>
                </c:pt>
                <c:pt idx="169">
                  <c:v>38.890813808618823</c:v>
                </c:pt>
                <c:pt idx="170">
                  <c:v>38.667553778508882</c:v>
                </c:pt>
                <c:pt idx="171">
                  <c:v>38.446867870340725</c:v>
                </c:pt>
                <c:pt idx="172">
                  <c:v>38.219322421167526</c:v>
                </c:pt>
                <c:pt idx="173">
                  <c:v>37.98007861823482</c:v>
                </c:pt>
                <c:pt idx="174">
                  <c:v>37.740928293666151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84D-4A87-9821-4A46C377DDEE}"/>
            </c:ext>
          </c:extLst>
        </c:ser>
        <c:ser>
          <c:idx val="8"/>
          <c:order val="8"/>
          <c:tx>
            <c:strRef>
              <c:f>data_co2_incLUC!$L$2</c:f>
              <c:strCache>
                <c:ptCount val="1"/>
                <c:pt idx="0">
                  <c:v>pct_annex2_GCP_OSCAR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data_co2_incLUC!$L$3:$L$177</c:f>
              <c:numCache>
                <c:formatCode>0.0</c:formatCode>
                <c:ptCount val="175"/>
                <c:pt idx="0">
                  <c:v>44.923010912651868</c:v>
                </c:pt>
                <c:pt idx="1">
                  <c:v>45.060611459506077</c:v>
                </c:pt>
                <c:pt idx="2">
                  <c:v>44.88660453377004</c:v>
                </c:pt>
                <c:pt idx="3">
                  <c:v>45.186173546892256</c:v>
                </c:pt>
                <c:pt idx="4">
                  <c:v>45.520476964041841</c:v>
                </c:pt>
                <c:pt idx="5">
                  <c:v>45.736640563809338</c:v>
                </c:pt>
                <c:pt idx="6">
                  <c:v>45.914904681347387</c:v>
                </c:pt>
                <c:pt idx="7">
                  <c:v>46.035955546551108</c:v>
                </c:pt>
                <c:pt idx="8">
                  <c:v>46.214936818150605</c:v>
                </c:pt>
                <c:pt idx="9">
                  <c:v>46.428018300500248</c:v>
                </c:pt>
                <c:pt idx="10">
                  <c:v>46.746525412578038</c:v>
                </c:pt>
                <c:pt idx="11">
                  <c:v>46.991831909542427</c:v>
                </c:pt>
                <c:pt idx="12">
                  <c:v>47.263796257146005</c:v>
                </c:pt>
                <c:pt idx="13">
                  <c:v>47.568862312345075</c:v>
                </c:pt>
                <c:pt idx="14">
                  <c:v>47.80528957970148</c:v>
                </c:pt>
                <c:pt idx="15">
                  <c:v>48.068687096586842</c:v>
                </c:pt>
                <c:pt idx="16">
                  <c:v>48.276395586990688</c:v>
                </c:pt>
                <c:pt idx="17">
                  <c:v>48.571816981819858</c:v>
                </c:pt>
                <c:pt idx="18">
                  <c:v>48.841045983711567</c:v>
                </c:pt>
                <c:pt idx="19">
                  <c:v>49.080305932176941</c:v>
                </c:pt>
                <c:pt idx="20">
                  <c:v>49.340071400558813</c:v>
                </c:pt>
                <c:pt idx="21">
                  <c:v>49.700041949427977</c:v>
                </c:pt>
                <c:pt idx="22">
                  <c:v>50.040908199425914</c:v>
                </c:pt>
                <c:pt idx="23">
                  <c:v>50.438518896004915</c:v>
                </c:pt>
                <c:pt idx="24">
                  <c:v>50.762857619934245</c:v>
                </c:pt>
                <c:pt idx="25">
                  <c:v>51.123667865096131</c:v>
                </c:pt>
                <c:pt idx="26">
                  <c:v>51.453172527079452</c:v>
                </c:pt>
                <c:pt idx="27">
                  <c:v>51.768932010736279</c:v>
                </c:pt>
                <c:pt idx="28">
                  <c:v>52.065423384012647</c:v>
                </c:pt>
                <c:pt idx="29">
                  <c:v>52.375487276241806</c:v>
                </c:pt>
                <c:pt idx="30">
                  <c:v>52.66931542353548</c:v>
                </c:pt>
                <c:pt idx="31">
                  <c:v>52.889627851632767</c:v>
                </c:pt>
                <c:pt idx="32">
                  <c:v>53.101719350006228</c:v>
                </c:pt>
                <c:pt idx="33">
                  <c:v>53.316823349482554</c:v>
                </c:pt>
                <c:pt idx="34">
                  <c:v>53.504949040131436</c:v>
                </c:pt>
                <c:pt idx="35">
                  <c:v>53.666308540779383</c:v>
                </c:pt>
                <c:pt idx="36">
                  <c:v>53.823239034654712</c:v>
                </c:pt>
                <c:pt idx="37">
                  <c:v>53.993801938962662</c:v>
                </c:pt>
                <c:pt idx="38">
                  <c:v>54.178874164015468</c:v>
                </c:pt>
                <c:pt idx="39">
                  <c:v>54.318369203372519</c:v>
                </c:pt>
                <c:pt idx="40">
                  <c:v>54.435214584694421</c:v>
                </c:pt>
                <c:pt idx="41">
                  <c:v>54.556167711112813</c:v>
                </c:pt>
                <c:pt idx="42">
                  <c:v>54.676568720361438</c:v>
                </c:pt>
                <c:pt idx="43">
                  <c:v>54.781035869568527</c:v>
                </c:pt>
                <c:pt idx="44">
                  <c:v>54.870452108568117</c:v>
                </c:pt>
                <c:pt idx="45">
                  <c:v>54.974611980044152</c:v>
                </c:pt>
                <c:pt idx="46">
                  <c:v>55.082832181519429</c:v>
                </c:pt>
                <c:pt idx="47">
                  <c:v>55.184739896249766</c:v>
                </c:pt>
                <c:pt idx="48">
                  <c:v>55.293387728232112</c:v>
                </c:pt>
                <c:pt idx="49">
                  <c:v>55.426402560240447</c:v>
                </c:pt>
                <c:pt idx="50">
                  <c:v>55.578136677211845</c:v>
                </c:pt>
                <c:pt idx="51">
                  <c:v>55.692875337053025</c:v>
                </c:pt>
                <c:pt idx="52">
                  <c:v>55.810578540293896</c:v>
                </c:pt>
                <c:pt idx="53">
                  <c:v>55.944320989937069</c:v>
                </c:pt>
                <c:pt idx="54">
                  <c:v>56.050025070424923</c:v>
                </c:pt>
                <c:pt idx="55">
                  <c:v>56.177010970797994</c:v>
                </c:pt>
                <c:pt idx="56">
                  <c:v>56.290544562340209</c:v>
                </c:pt>
                <c:pt idx="57">
                  <c:v>56.44567865705887</c:v>
                </c:pt>
                <c:pt idx="58">
                  <c:v>56.552498771907402</c:v>
                </c:pt>
                <c:pt idx="59">
                  <c:v>56.652871984660855</c:v>
                </c:pt>
                <c:pt idx="60">
                  <c:v>56.780342885912447</c:v>
                </c:pt>
                <c:pt idx="61">
                  <c:v>56.889964353122856</c:v>
                </c:pt>
                <c:pt idx="62">
                  <c:v>56.995263929160309</c:v>
                </c:pt>
                <c:pt idx="63">
                  <c:v>57.118131382194633</c:v>
                </c:pt>
                <c:pt idx="64">
                  <c:v>57.196600431835918</c:v>
                </c:pt>
                <c:pt idx="65">
                  <c:v>57.25575040295562</c:v>
                </c:pt>
                <c:pt idx="66">
                  <c:v>57.319338607958706</c:v>
                </c:pt>
                <c:pt idx="67">
                  <c:v>57.390196838164123</c:v>
                </c:pt>
                <c:pt idx="68">
                  <c:v>57.48795553170585</c:v>
                </c:pt>
                <c:pt idx="69">
                  <c:v>57.534092653234005</c:v>
                </c:pt>
                <c:pt idx="70">
                  <c:v>57.58206735141075</c:v>
                </c:pt>
                <c:pt idx="71">
                  <c:v>57.549864847829156</c:v>
                </c:pt>
                <c:pt idx="72">
                  <c:v>57.535613775196595</c:v>
                </c:pt>
                <c:pt idx="73">
                  <c:v>57.552608178151587</c:v>
                </c:pt>
                <c:pt idx="74">
                  <c:v>57.57022056659833</c:v>
                </c:pt>
                <c:pt idx="75">
                  <c:v>57.576442600729727</c:v>
                </c:pt>
                <c:pt idx="76">
                  <c:v>57.56551220383956</c:v>
                </c:pt>
                <c:pt idx="77">
                  <c:v>57.574065846834301</c:v>
                </c:pt>
                <c:pt idx="78">
                  <c:v>57.56702869662481</c:v>
                </c:pt>
                <c:pt idx="79">
                  <c:v>57.569087627602819</c:v>
                </c:pt>
                <c:pt idx="80">
                  <c:v>57.523208332393473</c:v>
                </c:pt>
                <c:pt idx="81">
                  <c:v>57.42763083808341</c:v>
                </c:pt>
                <c:pt idx="82">
                  <c:v>57.285420741762685</c:v>
                </c:pt>
                <c:pt idx="83">
                  <c:v>57.159894916684038</c:v>
                </c:pt>
                <c:pt idx="84">
                  <c:v>57.043899696579395</c:v>
                </c:pt>
                <c:pt idx="85">
                  <c:v>56.935763511420255</c:v>
                </c:pt>
                <c:pt idx="86">
                  <c:v>56.83614361065321</c:v>
                </c:pt>
                <c:pt idx="87">
                  <c:v>56.752785177627338</c:v>
                </c:pt>
                <c:pt idx="88">
                  <c:v>56.636426365641491</c:v>
                </c:pt>
                <c:pt idx="89">
                  <c:v>56.539880859362299</c:v>
                </c:pt>
                <c:pt idx="90">
                  <c:v>56.431991538157902</c:v>
                </c:pt>
                <c:pt idx="91">
                  <c:v>56.331053222736131</c:v>
                </c:pt>
                <c:pt idx="92">
                  <c:v>56.263738942073061</c:v>
                </c:pt>
                <c:pt idx="93">
                  <c:v>56.19653450760287</c:v>
                </c:pt>
                <c:pt idx="94">
                  <c:v>56.120428868232416</c:v>
                </c:pt>
                <c:pt idx="95">
                  <c:v>56.001941382265805</c:v>
                </c:pt>
                <c:pt idx="96">
                  <c:v>55.889088515026522</c:v>
                </c:pt>
                <c:pt idx="97">
                  <c:v>55.798892585244076</c:v>
                </c:pt>
                <c:pt idx="98">
                  <c:v>55.726329404476338</c:v>
                </c:pt>
                <c:pt idx="99">
                  <c:v>55.619403453069708</c:v>
                </c:pt>
                <c:pt idx="100">
                  <c:v>55.484555104811484</c:v>
                </c:pt>
                <c:pt idx="101">
                  <c:v>55.318135831520301</c:v>
                </c:pt>
                <c:pt idx="102">
                  <c:v>55.138310705243207</c:v>
                </c:pt>
                <c:pt idx="103">
                  <c:v>54.957643639694943</c:v>
                </c:pt>
                <c:pt idx="104">
                  <c:v>54.747590072258888</c:v>
                </c:pt>
                <c:pt idx="105">
                  <c:v>54.535458784667853</c:v>
                </c:pt>
                <c:pt idx="106">
                  <c:v>54.325483201189485</c:v>
                </c:pt>
                <c:pt idx="107">
                  <c:v>54.0975816199429</c:v>
                </c:pt>
                <c:pt idx="108">
                  <c:v>53.831046583164756</c:v>
                </c:pt>
                <c:pt idx="109">
                  <c:v>53.536505874815923</c:v>
                </c:pt>
                <c:pt idx="110">
                  <c:v>53.267850316554643</c:v>
                </c:pt>
                <c:pt idx="111">
                  <c:v>53.02387422512075</c:v>
                </c:pt>
                <c:pt idx="112">
                  <c:v>52.823546654886243</c:v>
                </c:pt>
                <c:pt idx="113">
                  <c:v>52.631013211961353</c:v>
                </c:pt>
                <c:pt idx="114">
                  <c:v>52.454139090228082</c:v>
                </c:pt>
                <c:pt idx="115">
                  <c:v>52.294779837225803</c:v>
                </c:pt>
                <c:pt idx="116">
                  <c:v>52.153636134808757</c:v>
                </c:pt>
                <c:pt idx="117">
                  <c:v>52.040627037676281</c:v>
                </c:pt>
                <c:pt idx="118">
                  <c:v>51.940029670662909</c:v>
                </c:pt>
                <c:pt idx="119">
                  <c:v>51.821657669833478</c:v>
                </c:pt>
                <c:pt idx="120">
                  <c:v>51.683630300637041</c:v>
                </c:pt>
                <c:pt idx="121">
                  <c:v>51.560541127826319</c:v>
                </c:pt>
                <c:pt idx="122">
                  <c:v>51.440832848791032</c:v>
                </c:pt>
                <c:pt idx="123">
                  <c:v>51.323293441179771</c:v>
                </c:pt>
                <c:pt idx="124">
                  <c:v>51.18318579902845</c:v>
                </c:pt>
                <c:pt idx="125">
                  <c:v>51.014381377433452</c:v>
                </c:pt>
                <c:pt idx="126">
                  <c:v>50.851529139022389</c:v>
                </c:pt>
                <c:pt idx="127">
                  <c:v>50.678834776522699</c:v>
                </c:pt>
                <c:pt idx="128">
                  <c:v>50.498396511272588</c:v>
                </c:pt>
                <c:pt idx="129">
                  <c:v>50.338847663517129</c:v>
                </c:pt>
                <c:pt idx="130">
                  <c:v>50.166221157318347</c:v>
                </c:pt>
                <c:pt idx="131">
                  <c:v>49.992715992668593</c:v>
                </c:pt>
                <c:pt idx="132">
                  <c:v>49.79788767838604</c:v>
                </c:pt>
                <c:pt idx="133">
                  <c:v>49.591938396428631</c:v>
                </c:pt>
                <c:pt idx="134">
                  <c:v>49.379655624216781</c:v>
                </c:pt>
                <c:pt idx="135">
                  <c:v>49.138115755324527</c:v>
                </c:pt>
                <c:pt idx="136">
                  <c:v>48.887467048749485</c:v>
                </c:pt>
                <c:pt idx="137">
                  <c:v>48.650754065192459</c:v>
                </c:pt>
                <c:pt idx="138">
                  <c:v>48.421749047083381</c:v>
                </c:pt>
                <c:pt idx="139">
                  <c:v>48.210037106329715</c:v>
                </c:pt>
                <c:pt idx="140">
                  <c:v>48.025333750300227</c:v>
                </c:pt>
                <c:pt idx="141">
                  <c:v>47.848707926015081</c:v>
                </c:pt>
                <c:pt idx="142">
                  <c:v>47.687984447629049</c:v>
                </c:pt>
                <c:pt idx="143">
                  <c:v>47.528800278755398</c:v>
                </c:pt>
                <c:pt idx="144">
                  <c:v>47.367714111647125</c:v>
                </c:pt>
                <c:pt idx="145">
                  <c:v>47.205794625674471</c:v>
                </c:pt>
                <c:pt idx="146">
                  <c:v>47.040333148011307</c:v>
                </c:pt>
                <c:pt idx="147">
                  <c:v>46.830637447172123</c:v>
                </c:pt>
                <c:pt idx="148">
                  <c:v>46.684576853656004</c:v>
                </c:pt>
                <c:pt idx="149">
                  <c:v>46.532610570270357</c:v>
                </c:pt>
                <c:pt idx="150">
                  <c:v>46.398589450628499</c:v>
                </c:pt>
                <c:pt idx="151">
                  <c:v>46.268101342533569</c:v>
                </c:pt>
                <c:pt idx="152">
                  <c:v>46.122694897116808</c:v>
                </c:pt>
                <c:pt idx="153">
                  <c:v>45.95375044872722</c:v>
                </c:pt>
                <c:pt idx="154">
                  <c:v>45.779021685361656</c:v>
                </c:pt>
                <c:pt idx="155">
                  <c:v>45.599589593073901</c:v>
                </c:pt>
                <c:pt idx="156">
                  <c:v>45.384296982632549</c:v>
                </c:pt>
                <c:pt idx="157">
                  <c:v>45.172369605375735</c:v>
                </c:pt>
                <c:pt idx="158">
                  <c:v>44.934820984412191</c:v>
                </c:pt>
                <c:pt idx="159">
                  <c:v>44.661042206529331</c:v>
                </c:pt>
                <c:pt idx="160">
                  <c:v>44.376100665721566</c:v>
                </c:pt>
                <c:pt idx="161">
                  <c:v>44.067365614755438</c:v>
                </c:pt>
                <c:pt idx="162">
                  <c:v>43.75023440623638</c:v>
                </c:pt>
                <c:pt idx="163">
                  <c:v>43.444376302931119</c:v>
                </c:pt>
                <c:pt idx="164">
                  <c:v>43.135543063544532</c:v>
                </c:pt>
                <c:pt idx="165">
                  <c:v>42.824363632274881</c:v>
                </c:pt>
                <c:pt idx="166">
                  <c:v>42.538828076308164</c:v>
                </c:pt>
                <c:pt idx="167">
                  <c:v>42.253942300625965</c:v>
                </c:pt>
                <c:pt idx="168">
                  <c:v>41.969351680179493</c:v>
                </c:pt>
                <c:pt idx="169">
                  <c:v>41.675771022486515</c:v>
                </c:pt>
                <c:pt idx="170">
                  <c:v>41.385897942046775</c:v>
                </c:pt>
                <c:pt idx="171">
                  <c:v>41.096778019934646</c:v>
                </c:pt>
                <c:pt idx="172">
                  <c:v>40.802779899386799</c:v>
                </c:pt>
                <c:pt idx="173">
                  <c:v>40.49701569258756</c:v>
                </c:pt>
                <c:pt idx="174">
                  <c:v>40.194727015845629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4D-4A87-9821-4A46C377DDEE}"/>
            </c:ext>
          </c:extLst>
        </c:ser>
        <c:ser>
          <c:idx val="9"/>
          <c:order val="9"/>
          <c:tx>
            <c:strRef>
              <c:f>data_co2_incLUC!$M$2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data_co2_incLUC!$M$3:$M$177</c:f>
              <c:numCache>
                <c:formatCode>0.0</c:formatCode>
                <c:ptCount val="175"/>
                <c:pt idx="0">
                  <c:v>57.666672263906364</c:v>
                </c:pt>
                <c:pt idx="1">
                  <c:v>57.336730899342861</c:v>
                </c:pt>
                <c:pt idx="2">
                  <c:v>57.215136651428608</c:v>
                </c:pt>
                <c:pt idx="3">
                  <c:v>57.136671399079674</c:v>
                </c:pt>
                <c:pt idx="4">
                  <c:v>57.309877809208089</c:v>
                </c:pt>
                <c:pt idx="5">
                  <c:v>57.350301043521334</c:v>
                </c:pt>
                <c:pt idx="6">
                  <c:v>57.414718495410952</c:v>
                </c:pt>
                <c:pt idx="7">
                  <c:v>57.482084015313148</c:v>
                </c:pt>
                <c:pt idx="8">
                  <c:v>57.571895186105095</c:v>
                </c:pt>
                <c:pt idx="9">
                  <c:v>57.67842853847084</c:v>
                </c:pt>
                <c:pt idx="10">
                  <c:v>58.04021986707415</c:v>
                </c:pt>
                <c:pt idx="11">
                  <c:v>58.424397147260962</c:v>
                </c:pt>
                <c:pt idx="12">
                  <c:v>58.864967563793655</c:v>
                </c:pt>
                <c:pt idx="13">
                  <c:v>59.295496458099215</c:v>
                </c:pt>
                <c:pt idx="14">
                  <c:v>59.70732256123199</c:v>
                </c:pt>
                <c:pt idx="15">
                  <c:v>60.104735643030374</c:v>
                </c:pt>
                <c:pt idx="16">
                  <c:v>60.498823514183009</c:v>
                </c:pt>
                <c:pt idx="17">
                  <c:v>60.865614532390097</c:v>
                </c:pt>
                <c:pt idx="18">
                  <c:v>61.222409456629158</c:v>
                </c:pt>
                <c:pt idx="19">
                  <c:v>61.549218062046648</c:v>
                </c:pt>
                <c:pt idx="20">
                  <c:v>62.001842958883699</c:v>
                </c:pt>
                <c:pt idx="21">
                  <c:v>62.477366153635764</c:v>
                </c:pt>
                <c:pt idx="22">
                  <c:v>62.940739998106601</c:v>
                </c:pt>
                <c:pt idx="23">
                  <c:v>63.405691464325287</c:v>
                </c:pt>
                <c:pt idx="24">
                  <c:v>63.844461625722815</c:v>
                </c:pt>
                <c:pt idx="25">
                  <c:v>64.279005773571839</c:v>
                </c:pt>
                <c:pt idx="26">
                  <c:v>64.699450157254773</c:v>
                </c:pt>
                <c:pt idx="27">
                  <c:v>65.091632616131761</c:v>
                </c:pt>
                <c:pt idx="28">
                  <c:v>65.472814200830555</c:v>
                </c:pt>
                <c:pt idx="29">
                  <c:v>65.858512050765327</c:v>
                </c:pt>
                <c:pt idx="30">
                  <c:v>66.136481736255391</c:v>
                </c:pt>
                <c:pt idx="31">
                  <c:v>66.347478184731941</c:v>
                </c:pt>
                <c:pt idx="32">
                  <c:v>66.531369762856571</c:v>
                </c:pt>
                <c:pt idx="33">
                  <c:v>66.708235666863402</c:v>
                </c:pt>
                <c:pt idx="34">
                  <c:v>66.871365961277945</c:v>
                </c:pt>
                <c:pt idx="35">
                  <c:v>67.016909042085501</c:v>
                </c:pt>
                <c:pt idx="36">
                  <c:v>67.146154969366194</c:v>
                </c:pt>
                <c:pt idx="37">
                  <c:v>67.264001727043137</c:v>
                </c:pt>
                <c:pt idx="38">
                  <c:v>67.400433450607352</c:v>
                </c:pt>
                <c:pt idx="39">
                  <c:v>67.507633832326533</c:v>
                </c:pt>
                <c:pt idx="40">
                  <c:v>67.637810993905688</c:v>
                </c:pt>
                <c:pt idx="41">
                  <c:v>67.764613046756267</c:v>
                </c:pt>
                <c:pt idx="42">
                  <c:v>67.897713180330584</c:v>
                </c:pt>
                <c:pt idx="43">
                  <c:v>68.025178482790409</c:v>
                </c:pt>
                <c:pt idx="44">
                  <c:v>68.152951320385498</c:v>
                </c:pt>
                <c:pt idx="45">
                  <c:v>68.278566239969862</c:v>
                </c:pt>
                <c:pt idx="46">
                  <c:v>68.408184607760077</c:v>
                </c:pt>
                <c:pt idx="47">
                  <c:v>68.533981539707852</c:v>
                </c:pt>
                <c:pt idx="48">
                  <c:v>68.674599471846321</c:v>
                </c:pt>
                <c:pt idx="49">
                  <c:v>68.825511293778405</c:v>
                </c:pt>
                <c:pt idx="50">
                  <c:v>68.979364529067311</c:v>
                </c:pt>
                <c:pt idx="51">
                  <c:v>69.107887622634166</c:v>
                </c:pt>
                <c:pt idx="52">
                  <c:v>69.228905233998304</c:v>
                </c:pt>
                <c:pt idx="53">
                  <c:v>69.365784592303314</c:v>
                </c:pt>
                <c:pt idx="54">
                  <c:v>69.494318738973476</c:v>
                </c:pt>
                <c:pt idx="55">
                  <c:v>69.638656845493472</c:v>
                </c:pt>
                <c:pt idx="56">
                  <c:v>69.773745858791528</c:v>
                </c:pt>
                <c:pt idx="57">
                  <c:v>69.941193767967292</c:v>
                </c:pt>
                <c:pt idx="58">
                  <c:v>70.090483099079464</c:v>
                </c:pt>
                <c:pt idx="59">
                  <c:v>70.242428702930638</c:v>
                </c:pt>
                <c:pt idx="60">
                  <c:v>70.315223912317506</c:v>
                </c:pt>
                <c:pt idx="61">
                  <c:v>70.356698780535083</c:v>
                </c:pt>
                <c:pt idx="62">
                  <c:v>70.396474306004393</c:v>
                </c:pt>
                <c:pt idx="63">
                  <c:v>70.432583009557192</c:v>
                </c:pt>
                <c:pt idx="64">
                  <c:v>70.425128061333879</c:v>
                </c:pt>
                <c:pt idx="65">
                  <c:v>70.401082848413395</c:v>
                </c:pt>
                <c:pt idx="66">
                  <c:v>70.393988256630209</c:v>
                </c:pt>
                <c:pt idx="67">
                  <c:v>70.384782345941417</c:v>
                </c:pt>
                <c:pt idx="68">
                  <c:v>70.36373000983545</c:v>
                </c:pt>
                <c:pt idx="69">
                  <c:v>70.296109411114259</c:v>
                </c:pt>
                <c:pt idx="70">
                  <c:v>70.206246921771026</c:v>
                </c:pt>
                <c:pt idx="71">
                  <c:v>70.064214449469802</c:v>
                </c:pt>
                <c:pt idx="72">
                  <c:v>69.92515120482291</c:v>
                </c:pt>
                <c:pt idx="73">
                  <c:v>69.800272694926207</c:v>
                </c:pt>
                <c:pt idx="74">
                  <c:v>69.66534549638655</c:v>
                </c:pt>
                <c:pt idx="75">
                  <c:v>69.536976729879711</c:v>
                </c:pt>
                <c:pt idx="76">
                  <c:v>69.403901448512087</c:v>
                </c:pt>
                <c:pt idx="77">
                  <c:v>69.288930510446491</c:v>
                </c:pt>
                <c:pt idx="78">
                  <c:v>69.165962175614098</c:v>
                </c:pt>
                <c:pt idx="79">
                  <c:v>69.063237928168547</c:v>
                </c:pt>
                <c:pt idx="80">
                  <c:v>68.947972584581805</c:v>
                </c:pt>
                <c:pt idx="81">
                  <c:v>68.809699058279122</c:v>
                </c:pt>
                <c:pt idx="82">
                  <c:v>68.649832103755941</c:v>
                </c:pt>
                <c:pt idx="83">
                  <c:v>68.499472057021919</c:v>
                </c:pt>
                <c:pt idx="84">
                  <c:v>68.359395823418438</c:v>
                </c:pt>
                <c:pt idx="85">
                  <c:v>68.23469478659122</c:v>
                </c:pt>
                <c:pt idx="86">
                  <c:v>68.1247698599134</c:v>
                </c:pt>
                <c:pt idx="87">
                  <c:v>68.023772821315092</c:v>
                </c:pt>
                <c:pt idx="88">
                  <c:v>67.911621381122828</c:v>
                </c:pt>
                <c:pt idx="89">
                  <c:v>67.80992721306626</c:v>
                </c:pt>
                <c:pt idx="90">
                  <c:v>67.642147158247866</c:v>
                </c:pt>
                <c:pt idx="91">
                  <c:v>67.440469794779659</c:v>
                </c:pt>
                <c:pt idx="92">
                  <c:v>67.222743479814</c:v>
                </c:pt>
                <c:pt idx="93">
                  <c:v>66.998047419112822</c:v>
                </c:pt>
                <c:pt idx="94">
                  <c:v>66.766939485590498</c:v>
                </c:pt>
                <c:pt idx="95">
                  <c:v>66.495367070343363</c:v>
                </c:pt>
                <c:pt idx="96">
                  <c:v>66.233241247770508</c:v>
                </c:pt>
                <c:pt idx="97">
                  <c:v>65.988243184349244</c:v>
                </c:pt>
                <c:pt idx="98">
                  <c:v>65.756669340450173</c:v>
                </c:pt>
                <c:pt idx="99">
                  <c:v>65.508205799386303</c:v>
                </c:pt>
                <c:pt idx="100">
                  <c:v>65.21153184204212</c:v>
                </c:pt>
                <c:pt idx="101">
                  <c:v>64.892200075575033</c:v>
                </c:pt>
                <c:pt idx="102">
                  <c:v>64.587110696321773</c:v>
                </c:pt>
                <c:pt idx="103">
                  <c:v>64.294427249628399</c:v>
                </c:pt>
                <c:pt idx="104">
                  <c:v>63.97272997539244</c:v>
                </c:pt>
                <c:pt idx="105">
                  <c:v>63.670500266734699</c:v>
                </c:pt>
                <c:pt idx="106">
                  <c:v>63.389142578156488</c:v>
                </c:pt>
                <c:pt idx="107">
                  <c:v>63.105433131928415</c:v>
                </c:pt>
                <c:pt idx="108">
                  <c:v>62.816704511411992</c:v>
                </c:pt>
                <c:pt idx="109">
                  <c:v>62.533264968467272</c:v>
                </c:pt>
                <c:pt idx="110">
                  <c:v>62.320575660398156</c:v>
                </c:pt>
                <c:pt idx="111">
                  <c:v>62.118445412504009</c:v>
                </c:pt>
                <c:pt idx="112">
                  <c:v>61.947068217961053</c:v>
                </c:pt>
                <c:pt idx="113">
                  <c:v>61.794279777834227</c:v>
                </c:pt>
                <c:pt idx="114">
                  <c:v>61.677120430706424</c:v>
                </c:pt>
                <c:pt idx="115">
                  <c:v>61.581621794806274</c:v>
                </c:pt>
                <c:pt idx="116">
                  <c:v>61.512348841048372</c:v>
                </c:pt>
                <c:pt idx="117">
                  <c:v>61.496603087987722</c:v>
                </c:pt>
                <c:pt idx="118">
                  <c:v>61.509916698175779</c:v>
                </c:pt>
                <c:pt idx="119">
                  <c:v>61.434291512039138</c:v>
                </c:pt>
                <c:pt idx="120">
                  <c:v>61.385197124275123</c:v>
                </c:pt>
                <c:pt idx="121">
                  <c:v>61.344007572044731</c:v>
                </c:pt>
                <c:pt idx="122">
                  <c:v>61.262775996086418</c:v>
                </c:pt>
                <c:pt idx="123">
                  <c:v>61.208173832988543</c:v>
                </c:pt>
                <c:pt idx="124">
                  <c:v>61.145917674589064</c:v>
                </c:pt>
                <c:pt idx="125">
                  <c:v>61.084422071098231</c:v>
                </c:pt>
                <c:pt idx="126">
                  <c:v>61.043067418727112</c:v>
                </c:pt>
                <c:pt idx="127">
                  <c:v>60.972544415243533</c:v>
                </c:pt>
                <c:pt idx="128">
                  <c:v>60.897392066305464</c:v>
                </c:pt>
                <c:pt idx="129">
                  <c:v>60.863007386738502</c:v>
                </c:pt>
                <c:pt idx="130">
                  <c:v>60.82688076453698</c:v>
                </c:pt>
                <c:pt idx="131">
                  <c:v>60.773080192232811</c:v>
                </c:pt>
                <c:pt idx="132">
                  <c:v>60.718009435110417</c:v>
                </c:pt>
                <c:pt idx="133">
                  <c:v>60.650061655741069</c:v>
                </c:pt>
                <c:pt idx="134">
                  <c:v>60.545258421815248</c:v>
                </c:pt>
                <c:pt idx="135">
                  <c:v>60.423043409569033</c:v>
                </c:pt>
                <c:pt idx="136">
                  <c:v>60.28046311225215</c:v>
                </c:pt>
                <c:pt idx="137">
                  <c:v>60.160166130258155</c:v>
                </c:pt>
                <c:pt idx="138">
                  <c:v>60.052324573787516</c:v>
                </c:pt>
                <c:pt idx="139">
                  <c:v>59.951140550500462</c:v>
                </c:pt>
                <c:pt idx="140">
                  <c:v>59.878883139150297</c:v>
                </c:pt>
                <c:pt idx="141">
                  <c:v>59.776130799270334</c:v>
                </c:pt>
                <c:pt idx="142">
                  <c:v>59.651769465806069</c:v>
                </c:pt>
                <c:pt idx="143">
                  <c:v>59.522835458162518</c:v>
                </c:pt>
                <c:pt idx="144">
                  <c:v>59.336293686200094</c:v>
                </c:pt>
                <c:pt idx="145">
                  <c:v>59.158571497119908</c:v>
                </c:pt>
                <c:pt idx="146">
                  <c:v>58.995722344952227</c:v>
                </c:pt>
                <c:pt idx="147">
                  <c:v>58.754608483130177</c:v>
                </c:pt>
                <c:pt idx="148">
                  <c:v>58.565289726921087</c:v>
                </c:pt>
                <c:pt idx="149">
                  <c:v>58.380183523550514</c:v>
                </c:pt>
                <c:pt idx="150">
                  <c:v>58.2061803130239</c:v>
                </c:pt>
                <c:pt idx="151">
                  <c:v>58.045199214667107</c:v>
                </c:pt>
                <c:pt idx="152">
                  <c:v>57.851089159445898</c:v>
                </c:pt>
                <c:pt idx="153">
                  <c:v>57.612413748553429</c:v>
                </c:pt>
                <c:pt idx="154">
                  <c:v>57.386664918163511</c:v>
                </c:pt>
                <c:pt idx="155">
                  <c:v>57.163502904905307</c:v>
                </c:pt>
                <c:pt idx="156">
                  <c:v>56.900692650613763</c:v>
                </c:pt>
                <c:pt idx="157">
                  <c:v>56.650804857224401</c:v>
                </c:pt>
                <c:pt idx="158">
                  <c:v>56.377478645738677</c:v>
                </c:pt>
                <c:pt idx="159">
                  <c:v>56.062475496473539</c:v>
                </c:pt>
                <c:pt idx="160">
                  <c:v>55.762974920751141</c:v>
                </c:pt>
                <c:pt idx="161">
                  <c:v>55.418561213560537</c:v>
                </c:pt>
                <c:pt idx="162">
                  <c:v>55.069875637332174</c:v>
                </c:pt>
                <c:pt idx="163">
                  <c:v>54.723018727382943</c:v>
                </c:pt>
                <c:pt idx="164">
                  <c:v>54.367562121020271</c:v>
                </c:pt>
                <c:pt idx="165">
                  <c:v>54.02822949642615</c:v>
                </c:pt>
                <c:pt idx="166">
                  <c:v>53.721408629457947</c:v>
                </c:pt>
                <c:pt idx="167">
                  <c:v>53.415507559142739</c:v>
                </c:pt>
                <c:pt idx="168">
                  <c:v>53.112852293872812</c:v>
                </c:pt>
                <c:pt idx="169">
                  <c:v>52.79502069310066</c:v>
                </c:pt>
                <c:pt idx="170">
                  <c:v>52.483665484022048</c:v>
                </c:pt>
                <c:pt idx="171">
                  <c:v>52.175412930232227</c:v>
                </c:pt>
                <c:pt idx="172">
                  <c:v>51.859586398147492</c:v>
                </c:pt>
                <c:pt idx="173">
                  <c:v>51.533804418837633</c:v>
                </c:pt>
                <c:pt idx="174">
                  <c:v>51.211261402049942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84D-4A87-9821-4A46C377DDEE}"/>
            </c:ext>
          </c:extLst>
        </c:ser>
        <c:ser>
          <c:idx val="10"/>
          <c:order val="10"/>
          <c:tx>
            <c:strRef>
              <c:f>data_co2_incLUC!$N$2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data_co2_incLUC!$N$3:$N$177</c:f>
              <c:numCache>
                <c:formatCode>0.0</c:formatCode>
                <c:ptCount val="175"/>
                <c:pt idx="0">
                  <c:v>59.535107488149421</c:v>
                </c:pt>
                <c:pt idx="1">
                  <c:v>60.118921025636965</c:v>
                </c:pt>
                <c:pt idx="2">
                  <c:v>62.220609067246599</c:v>
                </c:pt>
                <c:pt idx="3">
                  <c:v>63.6650267533307</c:v>
                </c:pt>
                <c:pt idx="4">
                  <c:v>64.955843966451937</c:v>
                </c:pt>
                <c:pt idx="5">
                  <c:v>66.079755553098636</c:v>
                </c:pt>
                <c:pt idx="6">
                  <c:v>66.996201690049233</c:v>
                </c:pt>
                <c:pt idx="7">
                  <c:v>67.746359897529175</c:v>
                </c:pt>
                <c:pt idx="8">
                  <c:v>68.382724803305223</c:v>
                </c:pt>
                <c:pt idx="9">
                  <c:v>68.953962332813688</c:v>
                </c:pt>
                <c:pt idx="10">
                  <c:v>69.494119339450762</c:v>
                </c:pt>
                <c:pt idx="11">
                  <c:v>69.978881296723173</c:v>
                </c:pt>
                <c:pt idx="12">
                  <c:v>70.177048827143821</c:v>
                </c:pt>
                <c:pt idx="13">
                  <c:v>70.374443614734474</c:v>
                </c:pt>
                <c:pt idx="14">
                  <c:v>70.570399334608709</c:v>
                </c:pt>
                <c:pt idx="15">
                  <c:v>70.760207205256179</c:v>
                </c:pt>
                <c:pt idx="16">
                  <c:v>70.940131756412853</c:v>
                </c:pt>
                <c:pt idx="17">
                  <c:v>71.121568780528804</c:v>
                </c:pt>
                <c:pt idx="18">
                  <c:v>71.292422661048377</c:v>
                </c:pt>
                <c:pt idx="19">
                  <c:v>71.465584502797157</c:v>
                </c:pt>
                <c:pt idx="20">
                  <c:v>71.627767147435975</c:v>
                </c:pt>
                <c:pt idx="21">
                  <c:v>71.679660248028085</c:v>
                </c:pt>
                <c:pt idx="22">
                  <c:v>71.891928499549735</c:v>
                </c:pt>
                <c:pt idx="23">
                  <c:v>72.096331773437925</c:v>
                </c:pt>
                <c:pt idx="24">
                  <c:v>72.264298820757872</c:v>
                </c:pt>
                <c:pt idx="25">
                  <c:v>72.442063070090114</c:v>
                </c:pt>
                <c:pt idx="26">
                  <c:v>72.611196933627539</c:v>
                </c:pt>
                <c:pt idx="27">
                  <c:v>72.774137494659243</c:v>
                </c:pt>
                <c:pt idx="28">
                  <c:v>72.926010010199704</c:v>
                </c:pt>
                <c:pt idx="29">
                  <c:v>73.085979279876568</c:v>
                </c:pt>
                <c:pt idx="30">
                  <c:v>73.270558540427629</c:v>
                </c:pt>
                <c:pt idx="31">
                  <c:v>73.349606017246444</c:v>
                </c:pt>
                <c:pt idx="32">
                  <c:v>73.34818400406472</c:v>
                </c:pt>
                <c:pt idx="33">
                  <c:v>73.341765769723381</c:v>
                </c:pt>
                <c:pt idx="34">
                  <c:v>73.319465390582067</c:v>
                </c:pt>
                <c:pt idx="35">
                  <c:v>73.285284444914183</c:v>
                </c:pt>
                <c:pt idx="36">
                  <c:v>73.247778052103683</c:v>
                </c:pt>
                <c:pt idx="37">
                  <c:v>73.216272290027433</c:v>
                </c:pt>
                <c:pt idx="38">
                  <c:v>73.209790743758091</c:v>
                </c:pt>
                <c:pt idx="39">
                  <c:v>73.196344205463092</c:v>
                </c:pt>
                <c:pt idx="40">
                  <c:v>73.203138009537426</c:v>
                </c:pt>
                <c:pt idx="41">
                  <c:v>73.222196010436065</c:v>
                </c:pt>
                <c:pt idx="42">
                  <c:v>73.250378863556946</c:v>
                </c:pt>
                <c:pt idx="43">
                  <c:v>73.271746020301634</c:v>
                </c:pt>
                <c:pt idx="44">
                  <c:v>73.271236913230524</c:v>
                </c:pt>
                <c:pt idx="45">
                  <c:v>73.282295170707201</c:v>
                </c:pt>
                <c:pt idx="46">
                  <c:v>73.297646798993426</c:v>
                </c:pt>
                <c:pt idx="47">
                  <c:v>73.321722739146509</c:v>
                </c:pt>
                <c:pt idx="48">
                  <c:v>73.353968731316101</c:v>
                </c:pt>
                <c:pt idx="49">
                  <c:v>73.408140469719001</c:v>
                </c:pt>
                <c:pt idx="50">
                  <c:v>73.474380270004374</c:v>
                </c:pt>
                <c:pt idx="51">
                  <c:v>73.437322363885656</c:v>
                </c:pt>
                <c:pt idx="52">
                  <c:v>73.333523192088322</c:v>
                </c:pt>
                <c:pt idx="53">
                  <c:v>73.207618536372649</c:v>
                </c:pt>
                <c:pt idx="54">
                  <c:v>73.037831469449671</c:v>
                </c:pt>
                <c:pt idx="55">
                  <c:v>72.850780867111425</c:v>
                </c:pt>
                <c:pt idx="56">
                  <c:v>72.629707272205181</c:v>
                </c:pt>
                <c:pt idx="57">
                  <c:v>72.448343010535439</c:v>
                </c:pt>
                <c:pt idx="58">
                  <c:v>72.241070648089291</c:v>
                </c:pt>
                <c:pt idx="59">
                  <c:v>72.048316366752687</c:v>
                </c:pt>
                <c:pt idx="60">
                  <c:v>71.873663279072616</c:v>
                </c:pt>
                <c:pt idx="61">
                  <c:v>71.774588053984928</c:v>
                </c:pt>
                <c:pt idx="62">
                  <c:v>71.711740295784438</c:v>
                </c:pt>
                <c:pt idx="63">
                  <c:v>71.71548887445789</c:v>
                </c:pt>
                <c:pt idx="64">
                  <c:v>71.691926943463869</c:v>
                </c:pt>
                <c:pt idx="65">
                  <c:v>71.674202966010697</c:v>
                </c:pt>
                <c:pt idx="66">
                  <c:v>71.67770867834794</c:v>
                </c:pt>
                <c:pt idx="67">
                  <c:v>71.686814632556988</c:v>
                </c:pt>
                <c:pt idx="68">
                  <c:v>71.684600055606566</c:v>
                </c:pt>
                <c:pt idx="69">
                  <c:v>71.619725125813886</c:v>
                </c:pt>
                <c:pt idx="70">
                  <c:v>71.591236039634637</c:v>
                </c:pt>
                <c:pt idx="71">
                  <c:v>71.465128567249877</c:v>
                </c:pt>
                <c:pt idx="72">
                  <c:v>71.336338208714395</c:v>
                </c:pt>
                <c:pt idx="73">
                  <c:v>71.238111538095055</c:v>
                </c:pt>
                <c:pt idx="74">
                  <c:v>71.12852477377875</c:v>
                </c:pt>
                <c:pt idx="75">
                  <c:v>71.017802594699091</c:v>
                </c:pt>
                <c:pt idx="76">
                  <c:v>70.902683600903757</c:v>
                </c:pt>
                <c:pt idx="77">
                  <c:v>70.832341130562554</c:v>
                </c:pt>
                <c:pt idx="78">
                  <c:v>70.754434438859576</c:v>
                </c:pt>
                <c:pt idx="79">
                  <c:v>70.70515829133771</c:v>
                </c:pt>
                <c:pt idx="80">
                  <c:v>70.646066469209202</c:v>
                </c:pt>
                <c:pt idx="81">
                  <c:v>70.545945252685357</c:v>
                </c:pt>
                <c:pt idx="82">
                  <c:v>70.386461598454773</c:v>
                </c:pt>
                <c:pt idx="83">
                  <c:v>70.235041312244093</c:v>
                </c:pt>
                <c:pt idx="84">
                  <c:v>70.10009750539264</c:v>
                </c:pt>
                <c:pt idx="85">
                  <c:v>69.96999571209021</c:v>
                </c:pt>
                <c:pt idx="86">
                  <c:v>69.850794006356281</c:v>
                </c:pt>
                <c:pt idx="87">
                  <c:v>69.736103631231316</c:v>
                </c:pt>
                <c:pt idx="88">
                  <c:v>69.597879384425681</c:v>
                </c:pt>
                <c:pt idx="89">
                  <c:v>69.469639059694344</c:v>
                </c:pt>
                <c:pt idx="90">
                  <c:v>69.360303665283425</c:v>
                </c:pt>
                <c:pt idx="91">
                  <c:v>69.254945459498344</c:v>
                </c:pt>
                <c:pt idx="92">
                  <c:v>69.158085845416721</c:v>
                </c:pt>
                <c:pt idx="93">
                  <c:v>69.056800151079173</c:v>
                </c:pt>
                <c:pt idx="94">
                  <c:v>68.936727107782517</c:v>
                </c:pt>
                <c:pt idx="95">
                  <c:v>68.752181867506749</c:v>
                </c:pt>
                <c:pt idx="96">
                  <c:v>68.533708055690212</c:v>
                </c:pt>
                <c:pt idx="97">
                  <c:v>68.343694272061825</c:v>
                </c:pt>
                <c:pt idx="98">
                  <c:v>68.166726949384966</c:v>
                </c:pt>
                <c:pt idx="99">
                  <c:v>67.964802402075989</c:v>
                </c:pt>
                <c:pt idx="100">
                  <c:v>67.810397364676362</c:v>
                </c:pt>
                <c:pt idx="101">
                  <c:v>67.670220554540421</c:v>
                </c:pt>
                <c:pt idx="102">
                  <c:v>67.506124730980275</c:v>
                </c:pt>
                <c:pt idx="103">
                  <c:v>67.357735815235486</c:v>
                </c:pt>
                <c:pt idx="104">
                  <c:v>67.1995389391288</c:v>
                </c:pt>
                <c:pt idx="105">
                  <c:v>67.052728017271434</c:v>
                </c:pt>
                <c:pt idx="106">
                  <c:v>66.918665843664243</c:v>
                </c:pt>
                <c:pt idx="107">
                  <c:v>66.785206359979497</c:v>
                </c:pt>
                <c:pt idx="108">
                  <c:v>66.631263996614408</c:v>
                </c:pt>
                <c:pt idx="109">
                  <c:v>66.453793673231203</c:v>
                </c:pt>
                <c:pt idx="110">
                  <c:v>66.291682081907368</c:v>
                </c:pt>
                <c:pt idx="111">
                  <c:v>66.124116092945272</c:v>
                </c:pt>
                <c:pt idx="112">
                  <c:v>65.987876252065632</c:v>
                </c:pt>
                <c:pt idx="113">
                  <c:v>65.865917225963727</c:v>
                </c:pt>
                <c:pt idx="114">
                  <c:v>65.756220132195395</c:v>
                </c:pt>
                <c:pt idx="115">
                  <c:v>65.646456273482386</c:v>
                </c:pt>
                <c:pt idx="116">
                  <c:v>65.545148725979658</c:v>
                </c:pt>
                <c:pt idx="117">
                  <c:v>65.462536478402512</c:v>
                </c:pt>
                <c:pt idx="118">
                  <c:v>65.405742300962345</c:v>
                </c:pt>
                <c:pt idx="119">
                  <c:v>65.357635676338731</c:v>
                </c:pt>
                <c:pt idx="120">
                  <c:v>65.306825560442348</c:v>
                </c:pt>
                <c:pt idx="121">
                  <c:v>65.253236542691695</c:v>
                </c:pt>
                <c:pt idx="122">
                  <c:v>65.214498040169332</c:v>
                </c:pt>
                <c:pt idx="123">
                  <c:v>65.172659465453748</c:v>
                </c:pt>
                <c:pt idx="124">
                  <c:v>65.111981279834438</c:v>
                </c:pt>
                <c:pt idx="125">
                  <c:v>65.030839763723165</c:v>
                </c:pt>
                <c:pt idx="126">
                  <c:v>64.949715798961165</c:v>
                </c:pt>
                <c:pt idx="127">
                  <c:v>64.861696216951884</c:v>
                </c:pt>
                <c:pt idx="128">
                  <c:v>64.772123353377026</c:v>
                </c:pt>
                <c:pt idx="129">
                  <c:v>64.686985566725141</c:v>
                </c:pt>
                <c:pt idx="130">
                  <c:v>64.601391626419272</c:v>
                </c:pt>
                <c:pt idx="131">
                  <c:v>64.496203796909583</c:v>
                </c:pt>
                <c:pt idx="132">
                  <c:v>64.331903932606039</c:v>
                </c:pt>
                <c:pt idx="133">
                  <c:v>64.153540196694763</c:v>
                </c:pt>
                <c:pt idx="134">
                  <c:v>63.963229987946754</c:v>
                </c:pt>
                <c:pt idx="135">
                  <c:v>63.76675267146733</c:v>
                </c:pt>
                <c:pt idx="136">
                  <c:v>63.563296742696529</c:v>
                </c:pt>
                <c:pt idx="137">
                  <c:v>63.360752349549998</c:v>
                </c:pt>
                <c:pt idx="138">
                  <c:v>63.153276298606286</c:v>
                </c:pt>
                <c:pt idx="139">
                  <c:v>62.942502709944833</c:v>
                </c:pt>
                <c:pt idx="140">
                  <c:v>62.821558361783516</c:v>
                </c:pt>
                <c:pt idx="141">
                  <c:v>62.652392795271894</c:v>
                </c:pt>
                <c:pt idx="142">
                  <c:v>62.470633800069685</c:v>
                </c:pt>
                <c:pt idx="143">
                  <c:v>62.269240426615887</c:v>
                </c:pt>
                <c:pt idx="144">
                  <c:v>62.151484345916138</c:v>
                </c:pt>
                <c:pt idx="145">
                  <c:v>61.992339882402305</c:v>
                </c:pt>
                <c:pt idx="146">
                  <c:v>61.86147842083065</c:v>
                </c:pt>
                <c:pt idx="147">
                  <c:v>61.732541841554422</c:v>
                </c:pt>
                <c:pt idx="148">
                  <c:v>61.604377532111819</c:v>
                </c:pt>
                <c:pt idx="149">
                  <c:v>61.462260685747772</c:v>
                </c:pt>
                <c:pt idx="150">
                  <c:v>61.347091125050689</c:v>
                </c:pt>
                <c:pt idx="151">
                  <c:v>61.217225380730291</c:v>
                </c:pt>
                <c:pt idx="152">
                  <c:v>61.058650455840827</c:v>
                </c:pt>
                <c:pt idx="153">
                  <c:v>60.834327962928647</c:v>
                </c:pt>
                <c:pt idx="154">
                  <c:v>60.555425898061387</c:v>
                </c:pt>
                <c:pt idx="155">
                  <c:v>60.286318252463325</c:v>
                </c:pt>
                <c:pt idx="156">
                  <c:v>60.01324420769204</c:v>
                </c:pt>
                <c:pt idx="157">
                  <c:v>59.746668691806683</c:v>
                </c:pt>
                <c:pt idx="158">
                  <c:v>59.458858162041409</c:v>
                </c:pt>
                <c:pt idx="159">
                  <c:v>59.158061803601171</c:v>
                </c:pt>
                <c:pt idx="160">
                  <c:v>58.856379481662771</c:v>
                </c:pt>
                <c:pt idx="161">
                  <c:v>58.503937000642267</c:v>
                </c:pt>
                <c:pt idx="162">
                  <c:v>58.145618807990694</c:v>
                </c:pt>
                <c:pt idx="163">
                  <c:v>57.782000058537719</c:v>
                </c:pt>
                <c:pt idx="164">
                  <c:v>57.415390830965244</c:v>
                </c:pt>
                <c:pt idx="165">
                  <c:v>57.026535669488077</c:v>
                </c:pt>
                <c:pt idx="166">
                  <c:v>56.660297467898488</c:v>
                </c:pt>
                <c:pt idx="167">
                  <c:v>56.296078015961101</c:v>
                </c:pt>
                <c:pt idx="168">
                  <c:v>55.944944743980663</c:v>
                </c:pt>
                <c:pt idx="169">
                  <c:v>55.578992056334883</c:v>
                </c:pt>
                <c:pt idx="170">
                  <c:v>55.222088401614592</c:v>
                </c:pt>
                <c:pt idx="171">
                  <c:v>54.851473784278312</c:v>
                </c:pt>
                <c:pt idx="172">
                  <c:v>54.438114035429905</c:v>
                </c:pt>
                <c:pt idx="173">
                  <c:v>54.014958700889792</c:v>
                </c:pt>
                <c:pt idx="174">
                  <c:v>53.670885927601717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84D-4A87-9821-4A46C377DDEE}"/>
            </c:ext>
          </c:extLst>
        </c:ser>
        <c:ser>
          <c:idx val="11"/>
          <c:order val="11"/>
          <c:tx>
            <c:strRef>
              <c:f>data_co2_incLUC!$O$2</c:f>
              <c:strCache>
                <c:ptCount val="1"/>
                <c:pt idx="0">
                  <c:v>pct_annex1_GCP_BLUE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data_co2_incLUC!$O$3:$O$177</c:f>
              <c:numCache>
                <c:formatCode>0.0</c:formatCode>
                <c:ptCount val="175"/>
                <c:pt idx="0">
                  <c:v>57.666672263906364</c:v>
                </c:pt>
                <c:pt idx="1">
                  <c:v>57.336730899342861</c:v>
                </c:pt>
                <c:pt idx="2">
                  <c:v>57.215136651428608</c:v>
                </c:pt>
                <c:pt idx="3">
                  <c:v>57.136671399079674</c:v>
                </c:pt>
                <c:pt idx="4">
                  <c:v>57.309877809208089</c:v>
                </c:pt>
                <c:pt idx="5">
                  <c:v>57.350301043521334</c:v>
                </c:pt>
                <c:pt idx="6">
                  <c:v>57.414718495410952</c:v>
                </c:pt>
                <c:pt idx="7">
                  <c:v>57.482084015313148</c:v>
                </c:pt>
                <c:pt idx="8">
                  <c:v>57.571895186105095</c:v>
                </c:pt>
                <c:pt idx="9">
                  <c:v>57.67842853847084</c:v>
                </c:pt>
                <c:pt idx="10">
                  <c:v>58.040220812724307</c:v>
                </c:pt>
                <c:pt idx="11">
                  <c:v>58.424398011308455</c:v>
                </c:pt>
                <c:pt idx="12">
                  <c:v>58.864968358684713</c:v>
                </c:pt>
                <c:pt idx="13">
                  <c:v>59.29549719353767</c:v>
                </c:pt>
                <c:pt idx="14">
                  <c:v>59.707323244344998</c:v>
                </c:pt>
                <c:pt idx="15">
                  <c:v>60.104736280853544</c:v>
                </c:pt>
                <c:pt idx="16">
                  <c:v>60.498824111520676</c:v>
                </c:pt>
                <c:pt idx="17">
                  <c:v>60.865615094004731</c:v>
                </c:pt>
                <c:pt idx="18">
                  <c:v>61.222409986197455</c:v>
                </c:pt>
                <c:pt idx="19">
                  <c:v>61.549218562815732</c:v>
                </c:pt>
                <c:pt idx="20">
                  <c:v>62.001843428927742</c:v>
                </c:pt>
                <c:pt idx="21">
                  <c:v>62.477366594795193</c:v>
                </c:pt>
                <c:pt idx="22">
                  <c:v>62.940740412078597</c:v>
                </c:pt>
                <c:pt idx="23">
                  <c:v>63.405691179404556</c:v>
                </c:pt>
                <c:pt idx="24">
                  <c:v>63.844461345349565</c:v>
                </c:pt>
                <c:pt idx="25">
                  <c:v>64.279005497636703</c:v>
                </c:pt>
                <c:pt idx="26">
                  <c:v>64.69944988580329</c:v>
                </c:pt>
                <c:pt idx="27">
                  <c:v>65.091632349546742</c:v>
                </c:pt>
                <c:pt idx="28">
                  <c:v>65.472813939041458</c:v>
                </c:pt>
                <c:pt idx="29">
                  <c:v>65.858511793527924</c:v>
                </c:pt>
                <c:pt idx="30">
                  <c:v>66.136481485131469</c:v>
                </c:pt>
                <c:pt idx="31">
                  <c:v>66.347477940264412</c:v>
                </c:pt>
                <c:pt idx="32">
                  <c:v>66.531369525169509</c:v>
                </c:pt>
                <c:pt idx="33">
                  <c:v>66.708235435736299</c:v>
                </c:pt>
                <c:pt idx="34">
                  <c:v>66.871365736438719</c:v>
                </c:pt>
                <c:pt idx="35">
                  <c:v>67.016908823331818</c:v>
                </c:pt>
                <c:pt idx="36">
                  <c:v>67.146154756498746</c:v>
                </c:pt>
                <c:pt idx="37">
                  <c:v>67.264001519943804</c:v>
                </c:pt>
                <c:pt idx="38">
                  <c:v>67.400433248802656</c:v>
                </c:pt>
                <c:pt idx="39">
                  <c:v>67.507633635846204</c:v>
                </c:pt>
                <c:pt idx="40">
                  <c:v>67.637810802593705</c:v>
                </c:pt>
                <c:pt idx="41">
                  <c:v>67.764612860456836</c:v>
                </c:pt>
                <c:pt idx="42">
                  <c:v>67.897712998642191</c:v>
                </c:pt>
                <c:pt idx="43">
                  <c:v>68.025178305494805</c:v>
                </c:pt>
                <c:pt idx="44">
                  <c:v>68.152951147325453</c:v>
                </c:pt>
                <c:pt idx="45">
                  <c:v>68.278566070968054</c:v>
                </c:pt>
                <c:pt idx="46">
                  <c:v>68.408184749496087</c:v>
                </c:pt>
                <c:pt idx="47">
                  <c:v>68.533981676744347</c:v>
                </c:pt>
                <c:pt idx="48">
                  <c:v>68.674599604332201</c:v>
                </c:pt>
                <c:pt idx="49">
                  <c:v>68.825511549876367</c:v>
                </c:pt>
                <c:pt idx="50">
                  <c:v>68.979364776563912</c:v>
                </c:pt>
                <c:pt idx="51">
                  <c:v>69.107887742307895</c:v>
                </c:pt>
                <c:pt idx="52">
                  <c:v>69.228905233998304</c:v>
                </c:pt>
                <c:pt idx="53">
                  <c:v>69.365784592303328</c:v>
                </c:pt>
                <c:pt idx="54">
                  <c:v>69.494318738973476</c:v>
                </c:pt>
                <c:pt idx="55">
                  <c:v>69.638656845493458</c:v>
                </c:pt>
                <c:pt idx="56">
                  <c:v>69.773745858791543</c:v>
                </c:pt>
                <c:pt idx="57">
                  <c:v>69.941193767967306</c:v>
                </c:pt>
                <c:pt idx="58">
                  <c:v>70.090483099079464</c:v>
                </c:pt>
                <c:pt idx="59">
                  <c:v>70.242428702930653</c:v>
                </c:pt>
                <c:pt idx="60">
                  <c:v>70.315223912317521</c:v>
                </c:pt>
                <c:pt idx="61">
                  <c:v>70.356698986514502</c:v>
                </c:pt>
                <c:pt idx="62">
                  <c:v>70.396474507012755</c:v>
                </c:pt>
                <c:pt idx="63">
                  <c:v>70.432583205717236</c:v>
                </c:pt>
                <c:pt idx="64">
                  <c:v>70.425128252936403</c:v>
                </c:pt>
                <c:pt idx="65">
                  <c:v>70.401083222970229</c:v>
                </c:pt>
                <c:pt idx="66">
                  <c:v>70.393988622790715</c:v>
                </c:pt>
                <c:pt idx="67">
                  <c:v>70.384782704018434</c:v>
                </c:pt>
                <c:pt idx="68">
                  <c:v>70.363730360204528</c:v>
                </c:pt>
                <c:pt idx="69">
                  <c:v>70.296109754302961</c:v>
                </c:pt>
                <c:pt idx="70">
                  <c:v>70.206247328177241</c:v>
                </c:pt>
                <c:pt idx="71">
                  <c:v>70.064214916976823</c:v>
                </c:pt>
                <c:pt idx="72">
                  <c:v>69.925151662423232</c:v>
                </c:pt>
                <c:pt idx="73">
                  <c:v>69.800273142426278</c:v>
                </c:pt>
                <c:pt idx="74">
                  <c:v>69.665345934230572</c:v>
                </c:pt>
                <c:pt idx="75">
                  <c:v>69.536977158317328</c:v>
                </c:pt>
                <c:pt idx="76">
                  <c:v>69.403901867963185</c:v>
                </c:pt>
                <c:pt idx="77">
                  <c:v>69.288930920988363</c:v>
                </c:pt>
                <c:pt idx="78">
                  <c:v>69.165962577576494</c:v>
                </c:pt>
                <c:pt idx="79">
                  <c:v>69.063238321629569</c:v>
                </c:pt>
                <c:pt idx="80">
                  <c:v>68.947972970102413</c:v>
                </c:pt>
                <c:pt idx="81">
                  <c:v>68.809699436419621</c:v>
                </c:pt>
                <c:pt idx="82">
                  <c:v>68.64983247501047</c:v>
                </c:pt>
                <c:pt idx="83">
                  <c:v>68.499472421562999</c:v>
                </c:pt>
                <c:pt idx="84">
                  <c:v>68.359396181261999</c:v>
                </c:pt>
                <c:pt idx="85">
                  <c:v>68.234695137911089</c:v>
                </c:pt>
                <c:pt idx="86">
                  <c:v>68.12477020464253</c:v>
                </c:pt>
                <c:pt idx="87">
                  <c:v>68.023773159539431</c:v>
                </c:pt>
                <c:pt idx="88">
                  <c:v>67.911621713213606</c:v>
                </c:pt>
                <c:pt idx="89">
                  <c:v>67.809927539131976</c:v>
                </c:pt>
                <c:pt idx="90">
                  <c:v>67.64214747820246</c:v>
                </c:pt>
                <c:pt idx="91">
                  <c:v>67.440470108715573</c:v>
                </c:pt>
                <c:pt idx="92">
                  <c:v>67.222743787954158</c:v>
                </c:pt>
                <c:pt idx="93">
                  <c:v>66.998047721619287</c:v>
                </c:pt>
                <c:pt idx="94">
                  <c:v>66.766939782661993</c:v>
                </c:pt>
                <c:pt idx="95">
                  <c:v>66.495367362536186</c:v>
                </c:pt>
                <c:pt idx="96">
                  <c:v>66.23324153513245</c:v>
                </c:pt>
                <c:pt idx="97">
                  <c:v>65.988243466846512</c:v>
                </c:pt>
                <c:pt idx="98">
                  <c:v>65.756669526853813</c:v>
                </c:pt>
                <c:pt idx="99">
                  <c:v>65.508205983106578</c:v>
                </c:pt>
                <c:pt idx="100">
                  <c:v>65.211532022769106</c:v>
                </c:pt>
                <c:pt idx="101">
                  <c:v>64.892200253186516</c:v>
                </c:pt>
                <c:pt idx="102">
                  <c:v>64.587110870878632</c:v>
                </c:pt>
                <c:pt idx="103">
                  <c:v>64.29442742115161</c:v>
                </c:pt>
                <c:pt idx="104">
                  <c:v>63.972730143879716</c:v>
                </c:pt>
                <c:pt idx="105">
                  <c:v>63.670501281718828</c:v>
                </c:pt>
                <c:pt idx="106">
                  <c:v>63.389144396860395</c:v>
                </c:pt>
                <c:pt idx="107">
                  <c:v>63.105436006182622</c:v>
                </c:pt>
                <c:pt idx="108">
                  <c:v>62.81670831561685</c:v>
                </c:pt>
                <c:pt idx="109">
                  <c:v>62.53326965059707</c:v>
                </c:pt>
                <c:pt idx="110">
                  <c:v>62.320581256071442</c:v>
                </c:pt>
                <c:pt idx="111">
                  <c:v>62.118454274648428</c:v>
                </c:pt>
                <c:pt idx="112">
                  <c:v>61.947080209512194</c:v>
                </c:pt>
                <c:pt idx="113">
                  <c:v>61.794295020423625</c:v>
                </c:pt>
                <c:pt idx="114">
                  <c:v>61.677138983958315</c:v>
                </c:pt>
                <c:pt idx="115">
                  <c:v>61.581644018920457</c:v>
                </c:pt>
                <c:pt idx="116">
                  <c:v>61.512374642109577</c:v>
                </c:pt>
                <c:pt idx="117">
                  <c:v>61.496632767428025</c:v>
                </c:pt>
                <c:pt idx="118">
                  <c:v>61.509950281789571</c:v>
                </c:pt>
                <c:pt idx="119">
                  <c:v>61.434331864481173</c:v>
                </c:pt>
                <c:pt idx="120">
                  <c:v>61.385248004986579</c:v>
                </c:pt>
                <c:pt idx="121">
                  <c:v>61.344070948366792</c:v>
                </c:pt>
                <c:pt idx="122">
                  <c:v>61.262851643156544</c:v>
                </c:pt>
                <c:pt idx="123">
                  <c:v>61.208260625230892</c:v>
                </c:pt>
                <c:pt idx="124">
                  <c:v>61.146018909826196</c:v>
                </c:pt>
                <c:pt idx="125">
                  <c:v>61.084537729585662</c:v>
                </c:pt>
                <c:pt idx="126">
                  <c:v>61.043192393892923</c:v>
                </c:pt>
                <c:pt idx="127">
                  <c:v>60.972679893131101</c:v>
                </c:pt>
                <c:pt idx="128">
                  <c:v>60.897534109590666</c:v>
                </c:pt>
                <c:pt idx="129">
                  <c:v>60.8631568822505</c:v>
                </c:pt>
                <c:pt idx="130">
                  <c:v>60.827038883712866</c:v>
                </c:pt>
                <c:pt idx="131">
                  <c:v>60.773246761569666</c:v>
                </c:pt>
                <c:pt idx="132">
                  <c:v>60.71818294445719</c:v>
                </c:pt>
                <c:pt idx="133">
                  <c:v>60.650242017940535</c:v>
                </c:pt>
                <c:pt idx="134">
                  <c:v>60.545441766597129</c:v>
                </c:pt>
                <c:pt idx="135">
                  <c:v>60.423229579760104</c:v>
                </c:pt>
                <c:pt idx="136">
                  <c:v>60.280651822419188</c:v>
                </c:pt>
                <c:pt idx="137">
                  <c:v>60.160357500431097</c:v>
                </c:pt>
                <c:pt idx="138">
                  <c:v>60.052519438888197</c:v>
                </c:pt>
                <c:pt idx="139">
                  <c:v>59.951340478461432</c:v>
                </c:pt>
                <c:pt idx="140">
                  <c:v>59.879088360342024</c:v>
                </c:pt>
                <c:pt idx="141">
                  <c:v>59.793654918062913</c:v>
                </c:pt>
                <c:pt idx="142">
                  <c:v>59.668961072705869</c:v>
                </c:pt>
                <c:pt idx="143">
                  <c:v>59.539705524680201</c:v>
                </c:pt>
                <c:pt idx="144">
                  <c:v>59.35282283662724</c:v>
                </c:pt>
                <c:pt idx="145">
                  <c:v>59.174772814789463</c:v>
                </c:pt>
                <c:pt idx="146">
                  <c:v>59.011602885078887</c:v>
                </c:pt>
                <c:pt idx="147">
                  <c:v>58.770144775718613</c:v>
                </c:pt>
                <c:pt idx="148">
                  <c:v>58.580516335553014</c:v>
                </c:pt>
                <c:pt idx="149">
                  <c:v>58.395110433995868</c:v>
                </c:pt>
                <c:pt idx="150">
                  <c:v>58.22081840938074</c:v>
                </c:pt>
                <c:pt idx="151">
                  <c:v>58.059566464701362</c:v>
                </c:pt>
                <c:pt idx="152">
                  <c:v>57.865176833628681</c:v>
                </c:pt>
                <c:pt idx="153">
                  <c:v>57.626200180459897</c:v>
                </c:pt>
                <c:pt idx="154">
                  <c:v>57.400164769813458</c:v>
                </c:pt>
                <c:pt idx="155">
                  <c:v>57.176724162667803</c:v>
                </c:pt>
                <c:pt idx="156">
                  <c:v>56.913629982891209</c:v>
                </c:pt>
                <c:pt idx="157">
                  <c:v>56.663468227858282</c:v>
                </c:pt>
                <c:pt idx="158">
                  <c:v>56.389866330902592</c:v>
                </c:pt>
                <c:pt idx="159">
                  <c:v>56.07458635298601</c:v>
                </c:pt>
                <c:pt idx="160">
                  <c:v>55.774812512537707</c:v>
                </c:pt>
                <c:pt idx="161">
                  <c:v>55.43012146669578</c:v>
                </c:pt>
                <c:pt idx="162">
                  <c:v>55.081162963820461</c:v>
                </c:pt>
                <c:pt idx="163">
                  <c:v>54.734042497404978</c:v>
                </c:pt>
                <c:pt idx="164">
                  <c:v>54.378328224765539</c:v>
                </c:pt>
                <c:pt idx="165">
                  <c:v>54.038749649970043</c:v>
                </c:pt>
                <c:pt idx="166">
                  <c:v>53.731701710892324</c:v>
                </c:pt>
                <c:pt idx="167">
                  <c:v>53.425578585731216</c:v>
                </c:pt>
                <c:pt idx="168">
                  <c:v>53.122708088148244</c:v>
                </c:pt>
                <c:pt idx="169">
                  <c:v>52.804664183814097</c:v>
                </c:pt>
                <c:pt idx="170">
                  <c:v>52.493111056135035</c:v>
                </c:pt>
                <c:pt idx="171">
                  <c:v>52.184661357664943</c:v>
                </c:pt>
                <c:pt idx="172">
                  <c:v>51.868639846088605</c:v>
                </c:pt>
                <c:pt idx="173">
                  <c:v>51.542665749674157</c:v>
                </c:pt>
                <c:pt idx="174">
                  <c:v>51.219936102049566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84D-4A87-9821-4A46C377DDEE}"/>
            </c:ext>
          </c:extLst>
        </c:ser>
        <c:ser>
          <c:idx val="12"/>
          <c:order val="12"/>
          <c:tx>
            <c:strRef>
              <c:f>data_co2_incLUC!$P$2</c:f>
              <c:strCache>
                <c:ptCount val="1"/>
                <c:pt idx="0">
                  <c:v>pct_annex1_GCP_OSCAR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data_co2_incLUC!$P$3:$P$177</c:f>
              <c:numCache>
                <c:formatCode>0.0</c:formatCode>
                <c:ptCount val="175"/>
                <c:pt idx="0">
                  <c:v>59.671170314311325</c:v>
                </c:pt>
                <c:pt idx="1">
                  <c:v>59.437390200827977</c:v>
                </c:pt>
                <c:pt idx="2">
                  <c:v>59.434788211682978</c:v>
                </c:pt>
                <c:pt idx="3">
                  <c:v>59.489614379039857</c:v>
                </c:pt>
                <c:pt idx="4">
                  <c:v>59.758770437792016</c:v>
                </c:pt>
                <c:pt idx="5">
                  <c:v>59.909754125197509</c:v>
                </c:pt>
                <c:pt idx="6">
                  <c:v>60.024244129975202</c:v>
                </c:pt>
                <c:pt idx="7">
                  <c:v>60.102252826995318</c:v>
                </c:pt>
                <c:pt idx="8">
                  <c:v>60.235437732932631</c:v>
                </c:pt>
                <c:pt idx="9">
                  <c:v>60.397481123381844</c:v>
                </c:pt>
                <c:pt idx="10">
                  <c:v>60.602900313496868</c:v>
                </c:pt>
                <c:pt idx="11">
                  <c:v>60.801442389305492</c:v>
                </c:pt>
                <c:pt idx="12">
                  <c:v>61.017970068120299</c:v>
                </c:pt>
                <c:pt idx="13">
                  <c:v>61.234976183795197</c:v>
                </c:pt>
                <c:pt idx="14">
                  <c:v>61.473765958593873</c:v>
                </c:pt>
                <c:pt idx="15">
                  <c:v>61.706803058163651</c:v>
                </c:pt>
                <c:pt idx="16">
                  <c:v>61.962201438066089</c:v>
                </c:pt>
                <c:pt idx="17">
                  <c:v>62.200834798226822</c:v>
                </c:pt>
                <c:pt idx="18">
                  <c:v>62.45073319013278</c:v>
                </c:pt>
                <c:pt idx="19">
                  <c:v>62.678604066412746</c:v>
                </c:pt>
                <c:pt idx="20">
                  <c:v>62.963351823763645</c:v>
                </c:pt>
                <c:pt idx="21">
                  <c:v>63.271680858179366</c:v>
                </c:pt>
                <c:pt idx="22">
                  <c:v>63.589972220818211</c:v>
                </c:pt>
                <c:pt idx="23">
                  <c:v>63.92415471315028</c:v>
                </c:pt>
                <c:pt idx="24">
                  <c:v>64.232192559930184</c:v>
                </c:pt>
                <c:pt idx="25">
                  <c:v>64.543142596507735</c:v>
                </c:pt>
                <c:pt idx="26">
                  <c:v>64.83896567337905</c:v>
                </c:pt>
                <c:pt idx="27">
                  <c:v>65.118966380813788</c:v>
                </c:pt>
                <c:pt idx="28">
                  <c:v>65.393065077197903</c:v>
                </c:pt>
                <c:pt idx="29">
                  <c:v>65.679931324041902</c:v>
                </c:pt>
                <c:pt idx="30">
                  <c:v>65.943058790336934</c:v>
                </c:pt>
                <c:pt idx="31">
                  <c:v>66.130727871820298</c:v>
                </c:pt>
                <c:pt idx="32">
                  <c:v>66.308038079849268</c:v>
                </c:pt>
                <c:pt idx="33">
                  <c:v>66.485728988679568</c:v>
                </c:pt>
                <c:pt idx="34">
                  <c:v>66.654989627553789</c:v>
                </c:pt>
                <c:pt idx="35">
                  <c:v>66.809437640477086</c:v>
                </c:pt>
                <c:pt idx="36">
                  <c:v>66.941744562250662</c:v>
                </c:pt>
                <c:pt idx="37">
                  <c:v>67.065350227039005</c:v>
                </c:pt>
                <c:pt idx="38">
                  <c:v>67.206553774170928</c:v>
                </c:pt>
                <c:pt idx="39">
                  <c:v>67.315740198431754</c:v>
                </c:pt>
                <c:pt idx="40">
                  <c:v>67.439678511936435</c:v>
                </c:pt>
                <c:pt idx="41">
                  <c:v>67.566974381515095</c:v>
                </c:pt>
                <c:pt idx="42">
                  <c:v>67.701143725318275</c:v>
                </c:pt>
                <c:pt idx="43">
                  <c:v>67.814600623814897</c:v>
                </c:pt>
                <c:pt idx="44">
                  <c:v>67.934276368513068</c:v>
                </c:pt>
                <c:pt idx="45">
                  <c:v>68.050343254230924</c:v>
                </c:pt>
                <c:pt idx="46">
                  <c:v>68.165828208357155</c:v>
                </c:pt>
                <c:pt idx="47">
                  <c:v>68.279973274084526</c:v>
                </c:pt>
                <c:pt idx="48">
                  <c:v>68.406377094041702</c:v>
                </c:pt>
                <c:pt idx="49">
                  <c:v>68.545574996891546</c:v>
                </c:pt>
                <c:pt idx="50">
                  <c:v>68.688804341234217</c:v>
                </c:pt>
                <c:pt idx="51">
                  <c:v>68.807456856011655</c:v>
                </c:pt>
                <c:pt idx="52">
                  <c:v>68.921096862063109</c:v>
                </c:pt>
                <c:pt idx="53">
                  <c:v>69.044976616778172</c:v>
                </c:pt>
                <c:pt idx="54">
                  <c:v>69.140635737673207</c:v>
                </c:pt>
                <c:pt idx="55">
                  <c:v>69.263027856239276</c:v>
                </c:pt>
                <c:pt idx="56">
                  <c:v>69.371076035591258</c:v>
                </c:pt>
                <c:pt idx="57">
                  <c:v>69.519683567074381</c:v>
                </c:pt>
                <c:pt idx="58">
                  <c:v>69.633023366204071</c:v>
                </c:pt>
                <c:pt idx="59">
                  <c:v>69.7411729805021</c:v>
                </c:pt>
                <c:pt idx="60">
                  <c:v>69.81280082402958</c:v>
                </c:pt>
                <c:pt idx="61">
                  <c:v>69.858215973479773</c:v>
                </c:pt>
                <c:pt idx="62">
                  <c:v>69.915140182866892</c:v>
                </c:pt>
                <c:pt idx="63">
                  <c:v>69.968741788949671</c:v>
                </c:pt>
                <c:pt idx="64">
                  <c:v>69.975656967251197</c:v>
                </c:pt>
                <c:pt idx="65">
                  <c:v>69.961911026868293</c:v>
                </c:pt>
                <c:pt idx="66">
                  <c:v>69.965587790847877</c:v>
                </c:pt>
                <c:pt idx="67">
                  <c:v>69.956428912263007</c:v>
                </c:pt>
                <c:pt idx="68">
                  <c:v>69.941260177498705</c:v>
                </c:pt>
                <c:pt idx="69">
                  <c:v>69.865946377665836</c:v>
                </c:pt>
                <c:pt idx="70">
                  <c:v>69.816847965538358</c:v>
                </c:pt>
                <c:pt idx="71">
                  <c:v>69.712328887642457</c:v>
                </c:pt>
                <c:pt idx="72">
                  <c:v>69.62338788901738</c:v>
                </c:pt>
                <c:pt idx="73">
                  <c:v>69.557698397905128</c:v>
                </c:pt>
                <c:pt idx="74">
                  <c:v>69.479441140563537</c:v>
                </c:pt>
                <c:pt idx="75">
                  <c:v>69.405570505193268</c:v>
                </c:pt>
                <c:pt idx="76">
                  <c:v>69.328654070599327</c:v>
                </c:pt>
                <c:pt idx="77">
                  <c:v>69.272872678074918</c:v>
                </c:pt>
                <c:pt idx="78">
                  <c:v>69.206527774052589</c:v>
                </c:pt>
                <c:pt idx="79">
                  <c:v>69.163165213760166</c:v>
                </c:pt>
                <c:pt idx="80">
                  <c:v>69.098733599245165</c:v>
                </c:pt>
                <c:pt idx="81">
                  <c:v>69.008365160693344</c:v>
                </c:pt>
                <c:pt idx="82">
                  <c:v>68.881236544046658</c:v>
                </c:pt>
                <c:pt idx="83">
                  <c:v>68.765996156009294</c:v>
                </c:pt>
                <c:pt idx="84">
                  <c:v>68.656390459990476</c:v>
                </c:pt>
                <c:pt idx="85">
                  <c:v>68.565113730226074</c:v>
                </c:pt>
                <c:pt idx="86">
                  <c:v>68.489192461717863</c:v>
                </c:pt>
                <c:pt idx="87">
                  <c:v>68.422968270571644</c:v>
                </c:pt>
                <c:pt idx="88">
                  <c:v>68.335880881851295</c:v>
                </c:pt>
                <c:pt idx="89">
                  <c:v>68.258510954456455</c:v>
                </c:pt>
                <c:pt idx="90">
                  <c:v>68.175371995810352</c:v>
                </c:pt>
                <c:pt idx="91">
                  <c:v>68.073364757037808</c:v>
                </c:pt>
                <c:pt idx="92">
                  <c:v>67.965023861705959</c:v>
                </c:pt>
                <c:pt idx="93">
                  <c:v>67.856743342781925</c:v>
                </c:pt>
                <c:pt idx="94">
                  <c:v>67.744015573053332</c:v>
                </c:pt>
                <c:pt idx="95">
                  <c:v>67.585265031955231</c:v>
                </c:pt>
                <c:pt idx="96">
                  <c:v>67.441191350803891</c:v>
                </c:pt>
                <c:pt idx="97">
                  <c:v>67.316974147618879</c:v>
                </c:pt>
                <c:pt idx="98">
                  <c:v>67.20815913431008</c:v>
                </c:pt>
                <c:pt idx="99">
                  <c:v>67.08049975194912</c:v>
                </c:pt>
                <c:pt idx="100">
                  <c:v>66.934397682806036</c:v>
                </c:pt>
                <c:pt idx="101">
                  <c:v>66.764093370479941</c:v>
                </c:pt>
                <c:pt idx="102">
                  <c:v>66.592194728499038</c:v>
                </c:pt>
                <c:pt idx="103">
                  <c:v>66.425715562709158</c:v>
                </c:pt>
                <c:pt idx="104">
                  <c:v>66.243626736150233</c:v>
                </c:pt>
                <c:pt idx="105">
                  <c:v>66.066384213096271</c:v>
                </c:pt>
                <c:pt idx="106">
                  <c:v>65.89790643067623</c:v>
                </c:pt>
                <c:pt idx="107">
                  <c:v>65.721141411877667</c:v>
                </c:pt>
                <c:pt idx="108">
                  <c:v>65.516281950342247</c:v>
                </c:pt>
                <c:pt idx="109">
                  <c:v>65.289058337851984</c:v>
                </c:pt>
                <c:pt idx="110">
                  <c:v>65.093325832346736</c:v>
                </c:pt>
                <c:pt idx="111">
                  <c:v>64.925100611170294</c:v>
                </c:pt>
                <c:pt idx="112">
                  <c:v>64.78232384507659</c:v>
                </c:pt>
                <c:pt idx="113">
                  <c:v>64.658501198609059</c:v>
                </c:pt>
                <c:pt idx="114">
                  <c:v>64.552940012441653</c:v>
                </c:pt>
                <c:pt idx="115">
                  <c:v>64.469870530981567</c:v>
                </c:pt>
                <c:pt idx="116">
                  <c:v>64.405406566210587</c:v>
                </c:pt>
                <c:pt idx="117">
                  <c:v>64.372222676633584</c:v>
                </c:pt>
                <c:pt idx="118">
                  <c:v>64.354008854759286</c:v>
                </c:pt>
                <c:pt idx="119">
                  <c:v>64.314636942304531</c:v>
                </c:pt>
                <c:pt idx="120">
                  <c:v>64.258026980267303</c:v>
                </c:pt>
                <c:pt idx="121">
                  <c:v>64.210186514336002</c:v>
                </c:pt>
                <c:pt idx="122">
                  <c:v>64.16875376661919</c:v>
                </c:pt>
                <c:pt idx="123">
                  <c:v>64.129574616225753</c:v>
                </c:pt>
                <c:pt idx="124">
                  <c:v>64.077362505134445</c:v>
                </c:pt>
                <c:pt idx="125">
                  <c:v>64.004331807110006</c:v>
                </c:pt>
                <c:pt idx="126">
                  <c:v>63.941207398590926</c:v>
                </c:pt>
                <c:pt idx="127">
                  <c:v>63.868267111952015</c:v>
                </c:pt>
                <c:pt idx="128">
                  <c:v>63.785914505107456</c:v>
                </c:pt>
                <c:pt idx="129">
                  <c:v>63.717600298898923</c:v>
                </c:pt>
                <c:pt idx="130">
                  <c:v>63.653781467671386</c:v>
                </c:pt>
                <c:pt idx="131">
                  <c:v>63.572969899524189</c:v>
                </c:pt>
                <c:pt idx="132">
                  <c:v>63.477696563762478</c:v>
                </c:pt>
                <c:pt idx="133">
                  <c:v>63.365031503869453</c:v>
                </c:pt>
                <c:pt idx="134">
                  <c:v>63.237626545056379</c:v>
                </c:pt>
                <c:pt idx="135">
                  <c:v>63.09084793501485</c:v>
                </c:pt>
                <c:pt idx="136">
                  <c:v>62.925409452746763</c:v>
                </c:pt>
                <c:pt idx="137">
                  <c:v>62.768085990438614</c:v>
                </c:pt>
                <c:pt idx="138">
                  <c:v>62.609865472603012</c:v>
                </c:pt>
                <c:pt idx="139">
                  <c:v>62.454378238503693</c:v>
                </c:pt>
                <c:pt idx="140">
                  <c:v>62.322377419561789</c:v>
                </c:pt>
                <c:pt idx="141">
                  <c:v>62.176612107923326</c:v>
                </c:pt>
                <c:pt idx="142">
                  <c:v>62.00863483131841</c:v>
                </c:pt>
                <c:pt idx="143">
                  <c:v>61.822644692759944</c:v>
                </c:pt>
                <c:pt idx="144">
                  <c:v>61.604839431284589</c:v>
                </c:pt>
                <c:pt idx="145">
                  <c:v>61.378064678103286</c:v>
                </c:pt>
                <c:pt idx="146">
                  <c:v>61.159207990036343</c:v>
                </c:pt>
                <c:pt idx="147">
                  <c:v>60.855928565248362</c:v>
                </c:pt>
                <c:pt idx="148">
                  <c:v>60.633294585943155</c:v>
                </c:pt>
                <c:pt idx="149">
                  <c:v>60.40024386658601</c:v>
                </c:pt>
                <c:pt idx="150">
                  <c:v>60.180530406090249</c:v>
                </c:pt>
                <c:pt idx="151">
                  <c:v>59.97094746678475</c:v>
                </c:pt>
                <c:pt idx="152">
                  <c:v>59.739599589008606</c:v>
                </c:pt>
                <c:pt idx="153">
                  <c:v>59.482825227972732</c:v>
                </c:pt>
                <c:pt idx="154">
                  <c:v>59.217599502797981</c:v>
                </c:pt>
                <c:pt idx="155">
                  <c:v>58.950538292752576</c:v>
                </c:pt>
                <c:pt idx="156">
                  <c:v>58.646860642469598</c:v>
                </c:pt>
                <c:pt idx="157">
                  <c:v>58.352412125252847</c:v>
                </c:pt>
                <c:pt idx="158">
                  <c:v>58.026807831140779</c:v>
                </c:pt>
                <c:pt idx="159">
                  <c:v>57.665688196583773</c:v>
                </c:pt>
                <c:pt idx="160">
                  <c:v>57.298086078507836</c:v>
                </c:pt>
                <c:pt idx="161">
                  <c:v>56.895992141283834</c:v>
                </c:pt>
                <c:pt idx="162">
                  <c:v>56.495268699056453</c:v>
                </c:pt>
                <c:pt idx="163">
                  <c:v>56.098859820562062</c:v>
                </c:pt>
                <c:pt idx="164">
                  <c:v>55.694221931482922</c:v>
                </c:pt>
                <c:pt idx="165">
                  <c:v>55.296878749771949</c:v>
                </c:pt>
                <c:pt idx="166">
                  <c:v>54.935577368043134</c:v>
                </c:pt>
                <c:pt idx="167">
                  <c:v>54.57655493753979</c:v>
                </c:pt>
                <c:pt idx="168">
                  <c:v>54.218065114452926</c:v>
                </c:pt>
                <c:pt idx="169">
                  <c:v>53.847608575862061</c:v>
                </c:pt>
                <c:pt idx="170">
                  <c:v>53.485071053780686</c:v>
                </c:pt>
                <c:pt idx="171">
                  <c:v>53.124497141202355</c:v>
                </c:pt>
                <c:pt idx="172">
                  <c:v>52.75710156323791</c:v>
                </c:pt>
                <c:pt idx="173">
                  <c:v>52.379741681117899</c:v>
                </c:pt>
                <c:pt idx="174">
                  <c:v>52.00917706374404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84D-4A87-9821-4A46C377DDEE}"/>
            </c:ext>
          </c:extLst>
        </c:ser>
        <c:ser>
          <c:idx val="13"/>
          <c:order val="13"/>
          <c:tx>
            <c:strRef>
              <c:f>data_co2_incLUC!$R$2</c:f>
              <c:strCache>
                <c:ptCount val="1"/>
                <c:pt idx="0">
                  <c:v>Annex II GMST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data_co2_incLUC!$R$3:$R$177</c:f>
              <c:numCache>
                <c:formatCode>0.0</c:formatCode>
                <c:ptCount val="175"/>
                <c:pt idx="1">
                  <c:v>39.363</c:v>
                </c:pt>
                <c:pt idx="2">
                  <c:v>39.115000000000002</c:v>
                </c:pt>
                <c:pt idx="3">
                  <c:v>39.42</c:v>
                </c:pt>
                <c:pt idx="4">
                  <c:v>39.814</c:v>
                </c:pt>
                <c:pt idx="5">
                  <c:v>40</c:v>
                </c:pt>
                <c:pt idx="6">
                  <c:v>40.182000000000002</c:v>
                </c:pt>
                <c:pt idx="7">
                  <c:v>40.317</c:v>
                </c:pt>
                <c:pt idx="8">
                  <c:v>40.482999999999997</c:v>
                </c:pt>
                <c:pt idx="9">
                  <c:v>40.677999999999997</c:v>
                </c:pt>
                <c:pt idx="10">
                  <c:v>41.024999999999999</c:v>
                </c:pt>
                <c:pt idx="11">
                  <c:v>41.298000000000002</c:v>
                </c:pt>
                <c:pt idx="12">
                  <c:v>41.613999999999997</c:v>
                </c:pt>
                <c:pt idx="13">
                  <c:v>41.948</c:v>
                </c:pt>
                <c:pt idx="14">
                  <c:v>42.207000000000001</c:v>
                </c:pt>
                <c:pt idx="15">
                  <c:v>42.478999999999999</c:v>
                </c:pt>
                <c:pt idx="16">
                  <c:v>42.697000000000003</c:v>
                </c:pt>
                <c:pt idx="17">
                  <c:v>42.984999999999999</c:v>
                </c:pt>
                <c:pt idx="18">
                  <c:v>43.241</c:v>
                </c:pt>
                <c:pt idx="19">
                  <c:v>43.47</c:v>
                </c:pt>
                <c:pt idx="20">
                  <c:v>43.816000000000003</c:v>
                </c:pt>
                <c:pt idx="21">
                  <c:v>44.256999999999998</c:v>
                </c:pt>
                <c:pt idx="22">
                  <c:v>44.683</c:v>
                </c:pt>
                <c:pt idx="23">
                  <c:v>45.155999999999999</c:v>
                </c:pt>
                <c:pt idx="24">
                  <c:v>45.563000000000002</c:v>
                </c:pt>
                <c:pt idx="25">
                  <c:v>46</c:v>
                </c:pt>
                <c:pt idx="26">
                  <c:v>46.408999999999999</c:v>
                </c:pt>
                <c:pt idx="27">
                  <c:v>46.798999999999999</c:v>
                </c:pt>
                <c:pt idx="28">
                  <c:v>47.170999999999999</c:v>
                </c:pt>
                <c:pt idx="29">
                  <c:v>47.554000000000002</c:v>
                </c:pt>
                <c:pt idx="30">
                  <c:v>47.848999999999997</c:v>
                </c:pt>
                <c:pt idx="31">
                  <c:v>48.069000000000003</c:v>
                </c:pt>
                <c:pt idx="32">
                  <c:v>48.273000000000003</c:v>
                </c:pt>
                <c:pt idx="33">
                  <c:v>48.478000000000002</c:v>
                </c:pt>
                <c:pt idx="34">
                  <c:v>48.655000000000001</c:v>
                </c:pt>
                <c:pt idx="35">
                  <c:v>48.8</c:v>
                </c:pt>
                <c:pt idx="36">
                  <c:v>48.941000000000003</c:v>
                </c:pt>
                <c:pt idx="37">
                  <c:v>49.091999999999999</c:v>
                </c:pt>
                <c:pt idx="38">
                  <c:v>49.262</c:v>
                </c:pt>
                <c:pt idx="39">
                  <c:v>49.387999999999998</c:v>
                </c:pt>
                <c:pt idx="40">
                  <c:v>49.502000000000002</c:v>
                </c:pt>
                <c:pt idx="41">
                  <c:v>49.613</c:v>
                </c:pt>
                <c:pt idx="42">
                  <c:v>49.722000000000001</c:v>
                </c:pt>
                <c:pt idx="43">
                  <c:v>49.822000000000003</c:v>
                </c:pt>
                <c:pt idx="44">
                  <c:v>49.908000000000001</c:v>
                </c:pt>
                <c:pt idx="45">
                  <c:v>50.008000000000003</c:v>
                </c:pt>
                <c:pt idx="46">
                  <c:v>50.113999999999997</c:v>
                </c:pt>
                <c:pt idx="47">
                  <c:v>50.216000000000001</c:v>
                </c:pt>
                <c:pt idx="48">
                  <c:v>50.33</c:v>
                </c:pt>
                <c:pt idx="49">
                  <c:v>50.469000000000001</c:v>
                </c:pt>
                <c:pt idx="50">
                  <c:v>50.604999999999997</c:v>
                </c:pt>
                <c:pt idx="51">
                  <c:v>50.698</c:v>
                </c:pt>
                <c:pt idx="52">
                  <c:v>50.79</c:v>
                </c:pt>
                <c:pt idx="53">
                  <c:v>50.9</c:v>
                </c:pt>
                <c:pt idx="54">
                  <c:v>50.994</c:v>
                </c:pt>
                <c:pt idx="55">
                  <c:v>51.103000000000002</c:v>
                </c:pt>
                <c:pt idx="56">
                  <c:v>51.2</c:v>
                </c:pt>
                <c:pt idx="57">
                  <c:v>51.341999999999999</c:v>
                </c:pt>
                <c:pt idx="58">
                  <c:v>51.442999999999998</c:v>
                </c:pt>
                <c:pt idx="59">
                  <c:v>51.545000000000002</c:v>
                </c:pt>
                <c:pt idx="60">
                  <c:v>51.685000000000002</c:v>
                </c:pt>
                <c:pt idx="61">
                  <c:v>51.82</c:v>
                </c:pt>
                <c:pt idx="62">
                  <c:v>51.960999999999999</c:v>
                </c:pt>
                <c:pt idx="63">
                  <c:v>52.128999999999998</c:v>
                </c:pt>
                <c:pt idx="64">
                  <c:v>52.256</c:v>
                </c:pt>
                <c:pt idx="65">
                  <c:v>52.374000000000002</c:v>
                </c:pt>
                <c:pt idx="66">
                  <c:v>52.508000000000003</c:v>
                </c:pt>
                <c:pt idx="67">
                  <c:v>52.658000000000001</c:v>
                </c:pt>
                <c:pt idx="68">
                  <c:v>52.831000000000003</c:v>
                </c:pt>
                <c:pt idx="69">
                  <c:v>52.954999999999998</c:v>
                </c:pt>
                <c:pt idx="70">
                  <c:v>53.054000000000002</c:v>
                </c:pt>
                <c:pt idx="71">
                  <c:v>53.069000000000003</c:v>
                </c:pt>
                <c:pt idx="72">
                  <c:v>53.094999999999999</c:v>
                </c:pt>
                <c:pt idx="73">
                  <c:v>53.146999999999998</c:v>
                </c:pt>
                <c:pt idx="74">
                  <c:v>53.195999999999998</c:v>
                </c:pt>
                <c:pt idx="75">
                  <c:v>53.231999999999999</c:v>
                </c:pt>
                <c:pt idx="76">
                  <c:v>53.247</c:v>
                </c:pt>
                <c:pt idx="77">
                  <c:v>53.28</c:v>
                </c:pt>
                <c:pt idx="78">
                  <c:v>53.295999999999999</c:v>
                </c:pt>
                <c:pt idx="79">
                  <c:v>53.320999999999998</c:v>
                </c:pt>
                <c:pt idx="80">
                  <c:v>53.28</c:v>
                </c:pt>
                <c:pt idx="81">
                  <c:v>53.182000000000002</c:v>
                </c:pt>
                <c:pt idx="82">
                  <c:v>53.036000000000001</c:v>
                </c:pt>
                <c:pt idx="83">
                  <c:v>52.902000000000001</c:v>
                </c:pt>
                <c:pt idx="84">
                  <c:v>52.776000000000003</c:v>
                </c:pt>
                <c:pt idx="85">
                  <c:v>52.654000000000003</c:v>
                </c:pt>
                <c:pt idx="86">
                  <c:v>52.542000000000002</c:v>
                </c:pt>
                <c:pt idx="87">
                  <c:v>52.442999999999998</c:v>
                </c:pt>
                <c:pt idx="88">
                  <c:v>52.311999999999998</c:v>
                </c:pt>
                <c:pt idx="89">
                  <c:v>52.198999999999998</c:v>
                </c:pt>
                <c:pt idx="90">
                  <c:v>52.076999999999998</c:v>
                </c:pt>
                <c:pt idx="91">
                  <c:v>51.966000000000001</c:v>
                </c:pt>
                <c:pt idx="92">
                  <c:v>51.886000000000003</c:v>
                </c:pt>
                <c:pt idx="93">
                  <c:v>51.811999999999998</c:v>
                </c:pt>
                <c:pt idx="94">
                  <c:v>51.737000000000002</c:v>
                </c:pt>
                <c:pt idx="95">
                  <c:v>51.622999999999998</c:v>
                </c:pt>
                <c:pt idx="96">
                  <c:v>51.521000000000001</c:v>
                </c:pt>
                <c:pt idx="97">
                  <c:v>51.447000000000003</c:v>
                </c:pt>
                <c:pt idx="98">
                  <c:v>51.393000000000001</c:v>
                </c:pt>
                <c:pt idx="99">
                  <c:v>51.308</c:v>
                </c:pt>
                <c:pt idx="100">
                  <c:v>51.173999999999999</c:v>
                </c:pt>
                <c:pt idx="101">
                  <c:v>51.008000000000003</c:v>
                </c:pt>
                <c:pt idx="102">
                  <c:v>50.832999999999998</c:v>
                </c:pt>
                <c:pt idx="103">
                  <c:v>50.652999999999999</c:v>
                </c:pt>
                <c:pt idx="104">
                  <c:v>50.433999999999997</c:v>
                </c:pt>
                <c:pt idx="105">
                  <c:v>50.220999999999997</c:v>
                </c:pt>
                <c:pt idx="106">
                  <c:v>50.012999999999998</c:v>
                </c:pt>
                <c:pt idx="107">
                  <c:v>49.786999999999999</c:v>
                </c:pt>
                <c:pt idx="108">
                  <c:v>49.534999999999997</c:v>
                </c:pt>
                <c:pt idx="109">
                  <c:v>49.243000000000002</c:v>
                </c:pt>
                <c:pt idx="110">
                  <c:v>49.023000000000003</c:v>
                </c:pt>
                <c:pt idx="111">
                  <c:v>48.814</c:v>
                </c:pt>
                <c:pt idx="112">
                  <c:v>48.655999999999999</c:v>
                </c:pt>
                <c:pt idx="113">
                  <c:v>48.511000000000003</c:v>
                </c:pt>
                <c:pt idx="114">
                  <c:v>48.39</c:v>
                </c:pt>
                <c:pt idx="115">
                  <c:v>48.286999999999999</c:v>
                </c:pt>
                <c:pt idx="116">
                  <c:v>48.207000000000001</c:v>
                </c:pt>
                <c:pt idx="117">
                  <c:v>48.171999999999997</c:v>
                </c:pt>
                <c:pt idx="118">
                  <c:v>48.152999999999999</c:v>
                </c:pt>
                <c:pt idx="119">
                  <c:v>48.078000000000003</c:v>
                </c:pt>
                <c:pt idx="120">
                  <c:v>48.003999999999998</c:v>
                </c:pt>
                <c:pt idx="121">
                  <c:v>47.945999999999998</c:v>
                </c:pt>
                <c:pt idx="122">
                  <c:v>47.869</c:v>
                </c:pt>
                <c:pt idx="123">
                  <c:v>47.805999999999997</c:v>
                </c:pt>
                <c:pt idx="124">
                  <c:v>47.722000000000001</c:v>
                </c:pt>
                <c:pt idx="125">
                  <c:v>47.616999999999997</c:v>
                </c:pt>
                <c:pt idx="126">
                  <c:v>47.523000000000003</c:v>
                </c:pt>
                <c:pt idx="127">
                  <c:v>47.411999999999999</c:v>
                </c:pt>
                <c:pt idx="128">
                  <c:v>47.290999999999997</c:v>
                </c:pt>
                <c:pt idx="129">
                  <c:v>47.201999999999998</c:v>
                </c:pt>
                <c:pt idx="130">
                  <c:v>47.094000000000001</c:v>
                </c:pt>
                <c:pt idx="131">
                  <c:v>46.981999999999999</c:v>
                </c:pt>
                <c:pt idx="132">
                  <c:v>46.853000000000002</c:v>
                </c:pt>
                <c:pt idx="133">
                  <c:v>46.712000000000003</c:v>
                </c:pt>
                <c:pt idx="134">
                  <c:v>46.552</c:v>
                </c:pt>
                <c:pt idx="135">
                  <c:v>46.363</c:v>
                </c:pt>
                <c:pt idx="136">
                  <c:v>46.161000000000001</c:v>
                </c:pt>
                <c:pt idx="137">
                  <c:v>45.981000000000002</c:v>
                </c:pt>
                <c:pt idx="138">
                  <c:v>45.816000000000003</c:v>
                </c:pt>
                <c:pt idx="139">
                  <c:v>45.667999999999999</c:v>
                </c:pt>
                <c:pt idx="140">
                  <c:v>45.548999999999999</c:v>
                </c:pt>
                <c:pt idx="141">
                  <c:v>45.418999999999997</c:v>
                </c:pt>
                <c:pt idx="142">
                  <c:v>45.308999999999997</c:v>
                </c:pt>
                <c:pt idx="143">
                  <c:v>45.204000000000001</c:v>
                </c:pt>
                <c:pt idx="144">
                  <c:v>45.079000000000001</c:v>
                </c:pt>
                <c:pt idx="145">
                  <c:v>44.966000000000001</c:v>
                </c:pt>
                <c:pt idx="146">
                  <c:v>44.85</c:v>
                </c:pt>
                <c:pt idx="147">
                  <c:v>44.692999999999998</c:v>
                </c:pt>
                <c:pt idx="148">
                  <c:v>44.585000000000001</c:v>
                </c:pt>
                <c:pt idx="149">
                  <c:v>44.48</c:v>
                </c:pt>
                <c:pt idx="150">
                  <c:v>44.392000000000003</c:v>
                </c:pt>
                <c:pt idx="151">
                  <c:v>44.307000000000002</c:v>
                </c:pt>
                <c:pt idx="152">
                  <c:v>44.2</c:v>
                </c:pt>
                <c:pt idx="153">
                  <c:v>44.057000000000002</c:v>
                </c:pt>
                <c:pt idx="154">
                  <c:v>43.920999999999999</c:v>
                </c:pt>
                <c:pt idx="155">
                  <c:v>43.781999999999996</c:v>
                </c:pt>
                <c:pt idx="156">
                  <c:v>43.600999999999999</c:v>
                </c:pt>
                <c:pt idx="157">
                  <c:v>43.424999999999997</c:v>
                </c:pt>
                <c:pt idx="158">
                  <c:v>43.23</c:v>
                </c:pt>
                <c:pt idx="159">
                  <c:v>42.991999999999997</c:v>
                </c:pt>
                <c:pt idx="160">
                  <c:v>42.756</c:v>
                </c:pt>
                <c:pt idx="161">
                  <c:v>42.487000000000002</c:v>
                </c:pt>
                <c:pt idx="162">
                  <c:v>42.206000000000003</c:v>
                </c:pt>
                <c:pt idx="163">
                  <c:v>41.936</c:v>
                </c:pt>
                <c:pt idx="164">
                  <c:v>41.664999999999999</c:v>
                </c:pt>
                <c:pt idx="165">
                  <c:v>41.393999999999998</c:v>
                </c:pt>
                <c:pt idx="166">
                  <c:v>41.149000000000001</c:v>
                </c:pt>
                <c:pt idx="167">
                  <c:v>40.902999999999999</c:v>
                </c:pt>
                <c:pt idx="168">
                  <c:v>40.661000000000001</c:v>
                </c:pt>
                <c:pt idx="169">
                  <c:v>40.408000000000001</c:v>
                </c:pt>
                <c:pt idx="170">
                  <c:v>40.155999999999999</c:v>
                </c:pt>
                <c:pt idx="171">
                  <c:v>39.904000000000003</c:v>
                </c:pt>
                <c:pt idx="172">
                  <c:v>39.646999999999998</c:v>
                </c:pt>
                <c:pt idx="173">
                  <c:v>39.377000000000002</c:v>
                </c:pt>
                <c:pt idx="174">
                  <c:v>39.109000000000002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84D-4A87-9821-4A46C377DDEE}"/>
            </c:ext>
          </c:extLst>
        </c:ser>
        <c:ser>
          <c:idx val="14"/>
          <c:order val="14"/>
          <c:tx>
            <c:strRef>
              <c:f>data_co2_incLUC!$S$2</c:f>
              <c:strCache>
                <c:ptCount val="1"/>
                <c:pt idx="0">
                  <c:v>Annex I GMST</c:v>
                </c:pt>
              </c:strCache>
            </c:strRef>
          </c:tx>
          <c:spPr>
            <a:ln w="317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data_co2_incLUC!$S$3:$S$177</c:f>
              <c:numCache>
                <c:formatCode>0.0</c:formatCode>
                <c:ptCount val="175"/>
                <c:pt idx="1">
                  <c:v>58.487000000000002</c:v>
                </c:pt>
                <c:pt idx="2">
                  <c:v>58.518000000000001</c:v>
                </c:pt>
                <c:pt idx="3">
                  <c:v>58.570999999999998</c:v>
                </c:pt>
                <c:pt idx="4">
                  <c:v>58.921999999999997</c:v>
                </c:pt>
                <c:pt idx="5">
                  <c:v>59.04</c:v>
                </c:pt>
                <c:pt idx="6">
                  <c:v>59.171999999999997</c:v>
                </c:pt>
                <c:pt idx="7">
                  <c:v>59.276000000000003</c:v>
                </c:pt>
                <c:pt idx="8">
                  <c:v>59.408000000000001</c:v>
                </c:pt>
                <c:pt idx="9">
                  <c:v>59.558999999999997</c:v>
                </c:pt>
                <c:pt idx="10">
                  <c:v>59.904000000000003</c:v>
                </c:pt>
                <c:pt idx="11">
                  <c:v>60.241</c:v>
                </c:pt>
                <c:pt idx="12">
                  <c:v>60.624000000000002</c:v>
                </c:pt>
                <c:pt idx="13">
                  <c:v>60.99</c:v>
                </c:pt>
                <c:pt idx="14">
                  <c:v>61.34</c:v>
                </c:pt>
                <c:pt idx="15">
                  <c:v>61.676000000000002</c:v>
                </c:pt>
                <c:pt idx="16">
                  <c:v>62.015000000000001</c:v>
                </c:pt>
                <c:pt idx="17">
                  <c:v>62.329000000000001</c:v>
                </c:pt>
                <c:pt idx="18">
                  <c:v>62.637999999999998</c:v>
                </c:pt>
                <c:pt idx="19">
                  <c:v>62.92</c:v>
                </c:pt>
                <c:pt idx="20">
                  <c:v>63.31</c:v>
                </c:pt>
                <c:pt idx="21">
                  <c:v>63.725999999999999</c:v>
                </c:pt>
                <c:pt idx="22">
                  <c:v>64.135000000000005</c:v>
                </c:pt>
                <c:pt idx="23">
                  <c:v>64.552999999999997</c:v>
                </c:pt>
                <c:pt idx="24">
                  <c:v>64.944999999999993</c:v>
                </c:pt>
                <c:pt idx="25">
                  <c:v>65.335999999999999</c:v>
                </c:pt>
                <c:pt idx="26">
                  <c:v>65.713999999999999</c:v>
                </c:pt>
                <c:pt idx="27">
                  <c:v>66.066000000000003</c:v>
                </c:pt>
                <c:pt idx="28">
                  <c:v>66.412000000000006</c:v>
                </c:pt>
                <c:pt idx="29">
                  <c:v>66.763999999999996</c:v>
                </c:pt>
                <c:pt idx="30">
                  <c:v>67.031000000000006</c:v>
                </c:pt>
                <c:pt idx="31">
                  <c:v>67.227999999999994</c:v>
                </c:pt>
                <c:pt idx="32">
                  <c:v>67.403000000000006</c:v>
                </c:pt>
                <c:pt idx="33">
                  <c:v>67.576999999999998</c:v>
                </c:pt>
                <c:pt idx="34">
                  <c:v>67.742000000000004</c:v>
                </c:pt>
                <c:pt idx="35">
                  <c:v>67.887</c:v>
                </c:pt>
                <c:pt idx="36">
                  <c:v>68.016000000000005</c:v>
                </c:pt>
                <c:pt idx="37">
                  <c:v>68.132000000000005</c:v>
                </c:pt>
                <c:pt idx="38">
                  <c:v>68.269000000000005</c:v>
                </c:pt>
                <c:pt idx="39">
                  <c:v>68.372</c:v>
                </c:pt>
                <c:pt idx="40">
                  <c:v>68.491</c:v>
                </c:pt>
                <c:pt idx="41">
                  <c:v>68.605000000000004</c:v>
                </c:pt>
                <c:pt idx="42">
                  <c:v>68.727000000000004</c:v>
                </c:pt>
                <c:pt idx="43">
                  <c:v>68.838999999999999</c:v>
                </c:pt>
                <c:pt idx="44">
                  <c:v>68.951999999999998</c:v>
                </c:pt>
                <c:pt idx="45">
                  <c:v>69.063000000000002</c:v>
                </c:pt>
                <c:pt idx="46">
                  <c:v>69.177000000000007</c:v>
                </c:pt>
                <c:pt idx="47">
                  <c:v>69.287000000000006</c:v>
                </c:pt>
                <c:pt idx="48">
                  <c:v>69.412999999999997</c:v>
                </c:pt>
                <c:pt idx="49">
                  <c:v>69.55</c:v>
                </c:pt>
                <c:pt idx="50">
                  <c:v>69.694000000000003</c:v>
                </c:pt>
                <c:pt idx="51">
                  <c:v>69.81</c:v>
                </c:pt>
                <c:pt idx="52">
                  <c:v>69.921999999999997</c:v>
                </c:pt>
                <c:pt idx="53">
                  <c:v>70.05</c:v>
                </c:pt>
                <c:pt idx="54">
                  <c:v>70.164000000000001</c:v>
                </c:pt>
                <c:pt idx="55">
                  <c:v>70.298000000000002</c:v>
                </c:pt>
                <c:pt idx="56">
                  <c:v>70.42</c:v>
                </c:pt>
                <c:pt idx="57">
                  <c:v>70.578999999999994</c:v>
                </c:pt>
                <c:pt idx="58">
                  <c:v>70.713999999999999</c:v>
                </c:pt>
                <c:pt idx="59">
                  <c:v>70.849999999999994</c:v>
                </c:pt>
                <c:pt idx="60">
                  <c:v>70.918999999999997</c:v>
                </c:pt>
                <c:pt idx="61">
                  <c:v>70.959000000000003</c:v>
                </c:pt>
                <c:pt idx="62">
                  <c:v>71.003</c:v>
                </c:pt>
                <c:pt idx="63">
                  <c:v>71.045000000000002</c:v>
                </c:pt>
                <c:pt idx="64">
                  <c:v>71.042000000000002</c:v>
                </c:pt>
                <c:pt idx="65">
                  <c:v>71.021000000000001</c:v>
                </c:pt>
                <c:pt idx="66">
                  <c:v>71.018000000000001</c:v>
                </c:pt>
                <c:pt idx="67">
                  <c:v>71.010000000000005</c:v>
                </c:pt>
                <c:pt idx="68">
                  <c:v>70.992000000000004</c:v>
                </c:pt>
                <c:pt idx="69">
                  <c:v>70.921999999999997</c:v>
                </c:pt>
                <c:pt idx="70">
                  <c:v>70.849999999999994</c:v>
                </c:pt>
                <c:pt idx="71">
                  <c:v>70.727999999999994</c:v>
                </c:pt>
                <c:pt idx="72">
                  <c:v>70.614999999999995</c:v>
                </c:pt>
                <c:pt idx="73">
                  <c:v>70.522000000000006</c:v>
                </c:pt>
                <c:pt idx="74">
                  <c:v>70.418999999999997</c:v>
                </c:pt>
                <c:pt idx="75">
                  <c:v>70.323999999999998</c:v>
                </c:pt>
                <c:pt idx="76">
                  <c:v>70.224999999999994</c:v>
                </c:pt>
                <c:pt idx="77">
                  <c:v>70.146000000000001</c:v>
                </c:pt>
                <c:pt idx="78">
                  <c:v>70.058000000000007</c:v>
                </c:pt>
                <c:pt idx="79">
                  <c:v>69.992999999999995</c:v>
                </c:pt>
                <c:pt idx="80">
                  <c:v>69.912999999999997</c:v>
                </c:pt>
                <c:pt idx="81">
                  <c:v>69.808000000000007</c:v>
                </c:pt>
                <c:pt idx="82">
                  <c:v>69.677999999999997</c:v>
                </c:pt>
                <c:pt idx="83">
                  <c:v>69.557000000000002</c:v>
                </c:pt>
                <c:pt idx="84">
                  <c:v>69.444999999999993</c:v>
                </c:pt>
                <c:pt idx="85">
                  <c:v>69.349000000000004</c:v>
                </c:pt>
                <c:pt idx="86">
                  <c:v>69.266999999999996</c:v>
                </c:pt>
                <c:pt idx="87">
                  <c:v>69.194000000000003</c:v>
                </c:pt>
                <c:pt idx="88">
                  <c:v>69.105999999999995</c:v>
                </c:pt>
                <c:pt idx="89">
                  <c:v>69.028000000000006</c:v>
                </c:pt>
                <c:pt idx="90">
                  <c:v>68.902000000000001</c:v>
                </c:pt>
                <c:pt idx="91">
                  <c:v>68.747</c:v>
                </c:pt>
                <c:pt idx="92">
                  <c:v>68.58</c:v>
                </c:pt>
                <c:pt idx="93">
                  <c:v>68.408000000000001</c:v>
                </c:pt>
                <c:pt idx="94">
                  <c:v>68.231999999999999</c:v>
                </c:pt>
                <c:pt idx="95">
                  <c:v>68.013000000000005</c:v>
                </c:pt>
                <c:pt idx="96">
                  <c:v>67.804000000000002</c:v>
                </c:pt>
                <c:pt idx="97">
                  <c:v>67.611999999999995</c:v>
                </c:pt>
                <c:pt idx="98">
                  <c:v>67.433999999999997</c:v>
                </c:pt>
                <c:pt idx="99">
                  <c:v>67.238</c:v>
                </c:pt>
                <c:pt idx="100">
                  <c:v>67.001999999999995</c:v>
                </c:pt>
                <c:pt idx="101">
                  <c:v>66.742999999999995</c:v>
                </c:pt>
                <c:pt idx="102">
                  <c:v>66.495000000000005</c:v>
                </c:pt>
                <c:pt idx="103">
                  <c:v>66.254000000000005</c:v>
                </c:pt>
                <c:pt idx="104">
                  <c:v>65.988</c:v>
                </c:pt>
                <c:pt idx="105">
                  <c:v>65.736000000000004</c:v>
                </c:pt>
                <c:pt idx="106">
                  <c:v>65.5</c:v>
                </c:pt>
                <c:pt idx="107">
                  <c:v>65.257000000000005</c:v>
                </c:pt>
                <c:pt idx="108">
                  <c:v>65.001999999999995</c:v>
                </c:pt>
                <c:pt idx="109">
                  <c:v>64.736000000000004</c:v>
                </c:pt>
                <c:pt idx="110">
                  <c:v>64.531999999999996</c:v>
                </c:pt>
                <c:pt idx="111">
                  <c:v>64.344999999999999</c:v>
                </c:pt>
                <c:pt idx="112">
                  <c:v>64.188999999999993</c:v>
                </c:pt>
                <c:pt idx="113">
                  <c:v>64.052999999999997</c:v>
                </c:pt>
                <c:pt idx="114">
                  <c:v>63.944000000000003</c:v>
                </c:pt>
                <c:pt idx="115">
                  <c:v>63.856999999999999</c:v>
                </c:pt>
                <c:pt idx="116">
                  <c:v>63.795000000000002</c:v>
                </c:pt>
                <c:pt idx="117">
                  <c:v>63.777999999999999</c:v>
                </c:pt>
                <c:pt idx="118">
                  <c:v>63.783000000000001</c:v>
                </c:pt>
                <c:pt idx="119">
                  <c:v>63.716000000000001</c:v>
                </c:pt>
                <c:pt idx="120">
                  <c:v>63.661999999999999</c:v>
                </c:pt>
                <c:pt idx="121">
                  <c:v>63.622</c:v>
                </c:pt>
                <c:pt idx="122">
                  <c:v>63.558</c:v>
                </c:pt>
                <c:pt idx="123">
                  <c:v>63.514000000000003</c:v>
                </c:pt>
                <c:pt idx="124">
                  <c:v>63.457999999999998</c:v>
                </c:pt>
                <c:pt idx="125">
                  <c:v>63.393999999999998</c:v>
                </c:pt>
                <c:pt idx="126">
                  <c:v>63.344999999999999</c:v>
                </c:pt>
                <c:pt idx="127">
                  <c:v>63.274000000000001</c:v>
                </c:pt>
                <c:pt idx="128">
                  <c:v>63.194000000000003</c:v>
                </c:pt>
                <c:pt idx="129">
                  <c:v>63.146999999999998</c:v>
                </c:pt>
                <c:pt idx="130">
                  <c:v>63.097999999999999</c:v>
                </c:pt>
                <c:pt idx="131">
                  <c:v>63.031999999999996</c:v>
                </c:pt>
                <c:pt idx="132">
                  <c:v>62.96</c:v>
                </c:pt>
                <c:pt idx="133">
                  <c:v>62.872</c:v>
                </c:pt>
                <c:pt idx="134">
                  <c:v>62.753999999999998</c:v>
                </c:pt>
                <c:pt idx="135">
                  <c:v>62.615000000000002</c:v>
                </c:pt>
                <c:pt idx="136">
                  <c:v>62.457999999999998</c:v>
                </c:pt>
                <c:pt idx="137">
                  <c:v>62.317999999999998</c:v>
                </c:pt>
                <c:pt idx="138">
                  <c:v>62.189</c:v>
                </c:pt>
                <c:pt idx="139">
                  <c:v>62.064999999999998</c:v>
                </c:pt>
                <c:pt idx="140">
                  <c:v>61.969000000000001</c:v>
                </c:pt>
                <c:pt idx="141">
                  <c:v>61.838000000000001</c:v>
                </c:pt>
                <c:pt idx="142">
                  <c:v>61.69</c:v>
                </c:pt>
                <c:pt idx="143">
                  <c:v>61.531999999999996</c:v>
                </c:pt>
                <c:pt idx="144">
                  <c:v>61.32</c:v>
                </c:pt>
                <c:pt idx="145">
                  <c:v>61.113999999999997</c:v>
                </c:pt>
                <c:pt idx="146">
                  <c:v>60.920999999999999</c:v>
                </c:pt>
                <c:pt idx="147">
                  <c:v>60.643999999999998</c:v>
                </c:pt>
                <c:pt idx="148">
                  <c:v>60.43</c:v>
                </c:pt>
                <c:pt idx="149">
                  <c:v>60.218000000000004</c:v>
                </c:pt>
                <c:pt idx="150">
                  <c:v>60.017000000000003</c:v>
                </c:pt>
                <c:pt idx="151">
                  <c:v>59.83</c:v>
                </c:pt>
                <c:pt idx="152">
                  <c:v>59.61</c:v>
                </c:pt>
                <c:pt idx="153">
                  <c:v>59.345999999999997</c:v>
                </c:pt>
                <c:pt idx="154">
                  <c:v>59.091999999999999</c:v>
                </c:pt>
                <c:pt idx="155">
                  <c:v>58.84</c:v>
                </c:pt>
                <c:pt idx="156">
                  <c:v>58.546999999999997</c:v>
                </c:pt>
                <c:pt idx="157">
                  <c:v>58.267000000000003</c:v>
                </c:pt>
                <c:pt idx="158">
                  <c:v>57.960999999999999</c:v>
                </c:pt>
                <c:pt idx="159">
                  <c:v>57.616</c:v>
                </c:pt>
                <c:pt idx="160">
                  <c:v>57.276000000000003</c:v>
                </c:pt>
                <c:pt idx="161">
                  <c:v>56.895000000000003</c:v>
                </c:pt>
                <c:pt idx="162">
                  <c:v>56.51</c:v>
                </c:pt>
                <c:pt idx="163">
                  <c:v>56.133000000000003</c:v>
                </c:pt>
                <c:pt idx="164">
                  <c:v>55.749000000000002</c:v>
                </c:pt>
                <c:pt idx="165">
                  <c:v>55.38</c:v>
                </c:pt>
                <c:pt idx="166">
                  <c:v>55.048999999999999</c:v>
                </c:pt>
                <c:pt idx="167">
                  <c:v>54.719000000000001</c:v>
                </c:pt>
                <c:pt idx="168">
                  <c:v>54.39</c:v>
                </c:pt>
                <c:pt idx="169">
                  <c:v>54.048000000000002</c:v>
                </c:pt>
                <c:pt idx="170">
                  <c:v>53.713000000000001</c:v>
                </c:pt>
                <c:pt idx="171">
                  <c:v>53.378</c:v>
                </c:pt>
                <c:pt idx="172">
                  <c:v>53.036000000000001</c:v>
                </c:pt>
                <c:pt idx="173">
                  <c:v>52.683999999999997</c:v>
                </c:pt>
                <c:pt idx="174">
                  <c:v>52.337000000000003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84D-4A87-9821-4A46C377D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US" sz="1400"/>
                  <a:t>Cumulative share of emissions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txPr>
        <a:bodyPr/>
        <a:lstStyle/>
        <a:p>
          <a:pPr>
            <a:defRPr sz="14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latin typeface="Sofia Pro"/>
                <a:ea typeface="Sofia Pro"/>
                <a:cs typeface="Sofia Pro"/>
              </a:defRPr>
            </a:pPr>
            <a:r>
              <a:rPr lang="en-US" sz="1600"/>
              <a:t>CO</a:t>
            </a:r>
            <a:r>
              <a:rPr lang="en-US" sz="1600" baseline="-25000"/>
              <a:t>2</a:t>
            </a:r>
            <a:r>
              <a:rPr lang="en-US" sz="1600"/>
              <a:t>, excluding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data_co2_excLUC!$B$3:$B$177</c:f>
              <c:numCache>
                <c:formatCode>0.0</c:formatCode>
                <c:ptCount val="175"/>
                <c:pt idx="0">
                  <c:v>98.267698935219045</c:v>
                </c:pt>
                <c:pt idx="1">
                  <c:v>98.166450132195536</c:v>
                </c:pt>
                <c:pt idx="2">
                  <c:v>98.025765018127686</c:v>
                </c:pt>
                <c:pt idx="3">
                  <c:v>97.966257870603982</c:v>
                </c:pt>
                <c:pt idx="4">
                  <c:v>97.963265321302913</c:v>
                </c:pt>
                <c:pt idx="5">
                  <c:v>97.868248392670523</c:v>
                </c:pt>
                <c:pt idx="6">
                  <c:v>97.756073261416816</c:v>
                </c:pt>
                <c:pt idx="7">
                  <c:v>97.639910045578731</c:v>
                </c:pt>
                <c:pt idx="8">
                  <c:v>97.477267943639077</c:v>
                </c:pt>
                <c:pt idx="9">
                  <c:v>97.37720286247793</c:v>
                </c:pt>
                <c:pt idx="10">
                  <c:v>97.284771528352238</c:v>
                </c:pt>
                <c:pt idx="11">
                  <c:v>97.196371831071389</c:v>
                </c:pt>
                <c:pt idx="12">
                  <c:v>97.073775918595402</c:v>
                </c:pt>
                <c:pt idx="13">
                  <c:v>96.944120966546848</c:v>
                </c:pt>
                <c:pt idx="14">
                  <c:v>96.806240969798679</c:v>
                </c:pt>
                <c:pt idx="15">
                  <c:v>96.664443130696498</c:v>
                </c:pt>
                <c:pt idx="16">
                  <c:v>96.497009296921959</c:v>
                </c:pt>
                <c:pt idx="17">
                  <c:v>96.342405141811483</c:v>
                </c:pt>
                <c:pt idx="18">
                  <c:v>96.183621872279275</c:v>
                </c:pt>
                <c:pt idx="19">
                  <c:v>96.034390032567458</c:v>
                </c:pt>
                <c:pt idx="20">
                  <c:v>95.885101973409405</c:v>
                </c:pt>
                <c:pt idx="21">
                  <c:v>95.711502274253832</c:v>
                </c:pt>
                <c:pt idx="22">
                  <c:v>95.553445269185261</c:v>
                </c:pt>
                <c:pt idx="23">
                  <c:v>95.410393589630473</c:v>
                </c:pt>
                <c:pt idx="24">
                  <c:v>95.226207839407863</c:v>
                </c:pt>
                <c:pt idx="25">
                  <c:v>95.081722039885562</c:v>
                </c:pt>
                <c:pt idx="26">
                  <c:v>94.877664760214046</c:v>
                </c:pt>
                <c:pt idx="27">
                  <c:v>94.706251873074962</c:v>
                </c:pt>
                <c:pt idx="28">
                  <c:v>94.505055212090554</c:v>
                </c:pt>
                <c:pt idx="29">
                  <c:v>94.319429045707182</c:v>
                </c:pt>
                <c:pt idx="30">
                  <c:v>94.165749318303696</c:v>
                </c:pt>
                <c:pt idx="31">
                  <c:v>94.026201996658358</c:v>
                </c:pt>
                <c:pt idx="32">
                  <c:v>93.902950075491304</c:v>
                </c:pt>
                <c:pt idx="33">
                  <c:v>93.770931595967511</c:v>
                </c:pt>
                <c:pt idx="34">
                  <c:v>93.638243184855668</c:v>
                </c:pt>
                <c:pt idx="35">
                  <c:v>93.499926519273288</c:v>
                </c:pt>
                <c:pt idx="36">
                  <c:v>93.369160882119644</c:v>
                </c:pt>
                <c:pt idx="37">
                  <c:v>93.248266501878518</c:v>
                </c:pt>
                <c:pt idx="38">
                  <c:v>93.135257253214249</c:v>
                </c:pt>
                <c:pt idx="39">
                  <c:v>92.995594734272274</c:v>
                </c:pt>
                <c:pt idx="40">
                  <c:v>92.871409264366164</c:v>
                </c:pt>
                <c:pt idx="41">
                  <c:v>92.74044249947093</c:v>
                </c:pt>
                <c:pt idx="42">
                  <c:v>92.617899231747131</c:v>
                </c:pt>
                <c:pt idx="43">
                  <c:v>92.464871126168163</c:v>
                </c:pt>
                <c:pt idx="44">
                  <c:v>92.320673202875497</c:v>
                </c:pt>
                <c:pt idx="45">
                  <c:v>92.168989547038336</c:v>
                </c:pt>
                <c:pt idx="46">
                  <c:v>92.017017275667868</c:v>
                </c:pt>
                <c:pt idx="47">
                  <c:v>91.85767624430909</c:v>
                </c:pt>
                <c:pt idx="48">
                  <c:v>91.68509610525166</c:v>
                </c:pt>
                <c:pt idx="49">
                  <c:v>91.52691081706827</c:v>
                </c:pt>
                <c:pt idx="50">
                  <c:v>91.380723015816812</c:v>
                </c:pt>
                <c:pt idx="51">
                  <c:v>91.229419341667992</c:v>
                </c:pt>
                <c:pt idx="52">
                  <c:v>91.103598330574414</c:v>
                </c:pt>
                <c:pt idx="53">
                  <c:v>91.007411915722656</c:v>
                </c:pt>
                <c:pt idx="54">
                  <c:v>90.895053204436451</c:v>
                </c:pt>
                <c:pt idx="55">
                  <c:v>90.811372853842144</c:v>
                </c:pt>
                <c:pt idx="56">
                  <c:v>90.706039131289444</c:v>
                </c:pt>
                <c:pt idx="57">
                  <c:v>90.581429690254041</c:v>
                </c:pt>
                <c:pt idx="58">
                  <c:v>90.424578786419474</c:v>
                </c:pt>
                <c:pt idx="59">
                  <c:v>90.279447454721065</c:v>
                </c:pt>
                <c:pt idx="60">
                  <c:v>90.16562173472218</c:v>
                </c:pt>
                <c:pt idx="61">
                  <c:v>90.040088446842333</c:v>
                </c:pt>
                <c:pt idx="62">
                  <c:v>89.911046248206745</c:v>
                </c:pt>
                <c:pt idx="63">
                  <c:v>89.77819608162217</c:v>
                </c:pt>
                <c:pt idx="64">
                  <c:v>89.672660790531879</c:v>
                </c:pt>
                <c:pt idx="65">
                  <c:v>89.586213359943571</c:v>
                </c:pt>
                <c:pt idx="66">
                  <c:v>89.496296902731345</c:v>
                </c:pt>
                <c:pt idx="67">
                  <c:v>89.416327558238436</c:v>
                </c:pt>
                <c:pt idx="68">
                  <c:v>89.419166568801188</c:v>
                </c:pt>
                <c:pt idx="69">
                  <c:v>89.462572969626024</c:v>
                </c:pt>
                <c:pt idx="70">
                  <c:v>89.443928007744091</c:v>
                </c:pt>
                <c:pt idx="71">
                  <c:v>89.363877591829038</c:v>
                </c:pt>
                <c:pt idx="72">
                  <c:v>89.302300783198149</c:v>
                </c:pt>
                <c:pt idx="73">
                  <c:v>89.289496491767494</c:v>
                </c:pt>
                <c:pt idx="74">
                  <c:v>89.255268602895654</c:v>
                </c:pt>
                <c:pt idx="75">
                  <c:v>89.234527655042555</c:v>
                </c:pt>
                <c:pt idx="76">
                  <c:v>89.193260722973918</c:v>
                </c:pt>
                <c:pt idx="77">
                  <c:v>89.153660761392374</c:v>
                </c:pt>
                <c:pt idx="78">
                  <c:v>89.097859866845525</c:v>
                </c:pt>
                <c:pt idx="79">
                  <c:v>89.041252958303033</c:v>
                </c:pt>
                <c:pt idx="80">
                  <c:v>88.952868693387984</c:v>
                </c:pt>
                <c:pt idx="81">
                  <c:v>88.829004421954465</c:v>
                </c:pt>
                <c:pt idx="82">
                  <c:v>88.682859818539839</c:v>
                </c:pt>
                <c:pt idx="83">
                  <c:v>88.531229295337127</c:v>
                </c:pt>
                <c:pt idx="84">
                  <c:v>88.350923344365768</c:v>
                </c:pt>
                <c:pt idx="85">
                  <c:v>88.149173251648563</c:v>
                </c:pt>
                <c:pt idx="86">
                  <c:v>87.940455647422453</c:v>
                </c:pt>
                <c:pt idx="87">
                  <c:v>87.732470094881464</c:v>
                </c:pt>
                <c:pt idx="88">
                  <c:v>87.494168724010692</c:v>
                </c:pt>
                <c:pt idx="89">
                  <c:v>87.228437064050468</c:v>
                </c:pt>
                <c:pt idx="90">
                  <c:v>86.882669267961901</c:v>
                </c:pt>
                <c:pt idx="91">
                  <c:v>86.586702953701192</c:v>
                </c:pt>
                <c:pt idx="92">
                  <c:v>86.380140035077758</c:v>
                </c:pt>
                <c:pt idx="93">
                  <c:v>86.134267537212409</c:v>
                </c:pt>
                <c:pt idx="94">
                  <c:v>85.904251910098253</c:v>
                </c:pt>
                <c:pt idx="95">
                  <c:v>85.707644236898375</c:v>
                </c:pt>
                <c:pt idx="96">
                  <c:v>85.45807051480466</c:v>
                </c:pt>
                <c:pt idx="97">
                  <c:v>85.209440038427829</c:v>
                </c:pt>
                <c:pt idx="98">
                  <c:v>84.974414279583144</c:v>
                </c:pt>
                <c:pt idx="99">
                  <c:v>84.678431418324891</c:v>
                </c:pt>
                <c:pt idx="100">
                  <c:v>84.436976049253829</c:v>
                </c:pt>
                <c:pt idx="101">
                  <c:v>84.172096856953871</c:v>
                </c:pt>
                <c:pt idx="102">
                  <c:v>83.872008789220203</c:v>
                </c:pt>
                <c:pt idx="103">
                  <c:v>83.560299846460779</c:v>
                </c:pt>
                <c:pt idx="104">
                  <c:v>83.203057678848452</c:v>
                </c:pt>
                <c:pt idx="105">
                  <c:v>82.811120168070346</c:v>
                </c:pt>
                <c:pt idx="106">
                  <c:v>82.395780352224207</c:v>
                </c:pt>
                <c:pt idx="107">
                  <c:v>81.932674864373098</c:v>
                </c:pt>
                <c:pt idx="108">
                  <c:v>81.369280520453884</c:v>
                </c:pt>
                <c:pt idx="109">
                  <c:v>80.750637704182779</c:v>
                </c:pt>
                <c:pt idx="110">
                  <c:v>80.124772664549226</c:v>
                </c:pt>
                <c:pt idx="111">
                  <c:v>79.567705243288501</c:v>
                </c:pt>
                <c:pt idx="112">
                  <c:v>79.041512376121148</c:v>
                </c:pt>
                <c:pt idx="113">
                  <c:v>78.516195428115779</c:v>
                </c:pt>
                <c:pt idx="114">
                  <c:v>77.989662779318749</c:v>
                </c:pt>
                <c:pt idx="115">
                  <c:v>77.454938048082838</c:v>
                </c:pt>
                <c:pt idx="116">
                  <c:v>76.910450587307068</c:v>
                </c:pt>
                <c:pt idx="117">
                  <c:v>76.399593937436478</c:v>
                </c:pt>
                <c:pt idx="118">
                  <c:v>75.888915083121873</c:v>
                </c:pt>
                <c:pt idx="119">
                  <c:v>75.37004833742273</c:v>
                </c:pt>
                <c:pt idx="120">
                  <c:v>74.820921612369418</c:v>
                </c:pt>
                <c:pt idx="121">
                  <c:v>74.251851317287247</c:v>
                </c:pt>
                <c:pt idx="122">
                  <c:v>73.694622348275288</c:v>
                </c:pt>
                <c:pt idx="123">
                  <c:v>73.141075841181063</c:v>
                </c:pt>
                <c:pt idx="124">
                  <c:v>72.583616861409141</c:v>
                </c:pt>
                <c:pt idx="125">
                  <c:v>71.986372104638789</c:v>
                </c:pt>
                <c:pt idx="126">
                  <c:v>71.401891953115125</c:v>
                </c:pt>
                <c:pt idx="127">
                  <c:v>70.8151574042097</c:v>
                </c:pt>
                <c:pt idx="128">
                  <c:v>70.227764944409472</c:v>
                </c:pt>
                <c:pt idx="129">
                  <c:v>69.661137804111391</c:v>
                </c:pt>
                <c:pt idx="130">
                  <c:v>69.093428461828637</c:v>
                </c:pt>
                <c:pt idx="131">
                  <c:v>68.551791941112342</c:v>
                </c:pt>
                <c:pt idx="132">
                  <c:v>67.994457619018121</c:v>
                </c:pt>
                <c:pt idx="133">
                  <c:v>67.444381564289984</c:v>
                </c:pt>
                <c:pt idx="134">
                  <c:v>66.90146107935206</c:v>
                </c:pt>
                <c:pt idx="135">
                  <c:v>66.335449859311538</c:v>
                </c:pt>
                <c:pt idx="136">
                  <c:v>65.773550203314272</c:v>
                </c:pt>
                <c:pt idx="137">
                  <c:v>65.228795845893472</c:v>
                </c:pt>
                <c:pt idx="138">
                  <c:v>64.691960583595431</c:v>
                </c:pt>
                <c:pt idx="139">
                  <c:v>64.182471222439787</c:v>
                </c:pt>
                <c:pt idx="140">
                  <c:v>63.725297237759527</c:v>
                </c:pt>
                <c:pt idx="141">
                  <c:v>63.268400886868392</c:v>
                </c:pt>
                <c:pt idx="142">
                  <c:v>62.881230214845452</c:v>
                </c:pt>
                <c:pt idx="143">
                  <c:v>62.504651617201681</c:v>
                </c:pt>
                <c:pt idx="144">
                  <c:v>62.154606142448756</c:v>
                </c:pt>
                <c:pt idx="145">
                  <c:v>61.8000459560647</c:v>
                </c:pt>
                <c:pt idx="146">
                  <c:v>61.446677650791415</c:v>
                </c:pt>
                <c:pt idx="147">
                  <c:v>61.102509972654808</c:v>
                </c:pt>
                <c:pt idx="148">
                  <c:v>60.787881026095057</c:v>
                </c:pt>
                <c:pt idx="149">
                  <c:v>60.466294885344837</c:v>
                </c:pt>
                <c:pt idx="150">
                  <c:v>60.147969181675485</c:v>
                </c:pt>
                <c:pt idx="151">
                  <c:v>59.822851053299964</c:v>
                </c:pt>
                <c:pt idx="152">
                  <c:v>59.485492261574812</c:v>
                </c:pt>
                <c:pt idx="153">
                  <c:v>59.106403360562155</c:v>
                </c:pt>
                <c:pt idx="154">
                  <c:v>58.704126701698954</c:v>
                </c:pt>
                <c:pt idx="155">
                  <c:v>58.269832687648794</c:v>
                </c:pt>
                <c:pt idx="156">
                  <c:v>57.80959221986619</c:v>
                </c:pt>
                <c:pt idx="157">
                  <c:v>57.341122687578995</c:v>
                </c:pt>
                <c:pt idx="158">
                  <c:v>56.850804417376146</c:v>
                </c:pt>
                <c:pt idx="159">
                  <c:v>56.345562109794635</c:v>
                </c:pt>
                <c:pt idx="160">
                  <c:v>55.826674279175073</c:v>
                </c:pt>
                <c:pt idx="161">
                  <c:v>55.268833268163874</c:v>
                </c:pt>
                <c:pt idx="162">
                  <c:v>54.705423433859323</c:v>
                </c:pt>
                <c:pt idx="163">
                  <c:v>54.160892045929351</c:v>
                </c:pt>
                <c:pt idx="164">
                  <c:v>53.617720987131122</c:v>
                </c:pt>
                <c:pt idx="165">
                  <c:v>53.082872102892779</c:v>
                </c:pt>
                <c:pt idx="166">
                  <c:v>52.556945428153746</c:v>
                </c:pt>
                <c:pt idx="167">
                  <c:v>52.02670707811582</c:v>
                </c:pt>
                <c:pt idx="168">
                  <c:v>51.503660826587719</c:v>
                </c:pt>
                <c:pt idx="169">
                  <c:v>50.985130807460763</c:v>
                </c:pt>
                <c:pt idx="170">
                  <c:v>50.47844888902592</c:v>
                </c:pt>
                <c:pt idx="171">
                  <c:v>49.973357560028994</c:v>
                </c:pt>
                <c:pt idx="172">
                  <c:v>49.478882150808495</c:v>
                </c:pt>
                <c:pt idx="173">
                  <c:v>48.971768350528372</c:v>
                </c:pt>
                <c:pt idx="174">
                  <c:v>48.501612141772895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9-48AD-8B6B-70A9C9453B10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data_co2_excLUC!$F$3:$F$177</c:f>
              <c:numCache>
                <c:formatCode>0.0</c:formatCode>
                <c:ptCount val="175"/>
                <c:pt idx="0">
                  <c:v>5.0283822385878807E-2</c:v>
                </c:pt>
                <c:pt idx="1">
                  <c:v>3.5255285846403694E-2</c:v>
                </c:pt>
                <c:pt idx="2">
                  <c:v>3.9043690312965396E-2</c:v>
                </c:pt>
                <c:pt idx="3">
                  <c:v>2.7439891714649889E-2</c:v>
                </c:pt>
                <c:pt idx="4">
                  <c:v>6.4738520398179844E-3</c:v>
                </c:pt>
                <c:pt idx="5">
                  <c:v>2.5815276744580729E-2</c:v>
                </c:pt>
                <c:pt idx="6">
                  <c:v>6.5857316080212058E-2</c:v>
                </c:pt>
                <c:pt idx="7">
                  <c:v>0.10833564181530164</c:v>
                </c:pt>
                <c:pt idx="8">
                  <c:v>0.16067055520635165</c:v>
                </c:pt>
                <c:pt idx="9">
                  <c:v>0.19102502444650327</c:v>
                </c:pt>
                <c:pt idx="10">
                  <c:v>0.22102274121495213</c:v>
                </c:pt>
                <c:pt idx="11">
                  <c:v>0.24546731804352362</c:v>
                </c:pt>
                <c:pt idx="12">
                  <c:v>0.26781536211206003</c:v>
                </c:pt>
                <c:pt idx="13">
                  <c:v>0.28033039609883303</c:v>
                </c:pt>
                <c:pt idx="14">
                  <c:v>0.29815400885857457</c:v>
                </c:pt>
                <c:pt idx="15">
                  <c:v>0.31531115268197141</c:v>
                </c:pt>
                <c:pt idx="16">
                  <c:v>0.33717565971248575</c:v>
                </c:pt>
                <c:pt idx="17">
                  <c:v>0.3447337547197975</c:v>
                </c:pt>
                <c:pt idx="18">
                  <c:v>0.35374821641990195</c:v>
                </c:pt>
                <c:pt idx="19">
                  <c:v>0.35533359843157086</c:v>
                </c:pt>
                <c:pt idx="20">
                  <c:v>0.3549813361558023</c:v>
                </c:pt>
                <c:pt idx="21">
                  <c:v>0.35372152705352278</c:v>
                </c:pt>
                <c:pt idx="22">
                  <c:v>0.3580264748068771</c:v>
                </c:pt>
                <c:pt idx="23">
                  <c:v>0.36264570257813489</c:v>
                </c:pt>
                <c:pt idx="24">
                  <c:v>0.37032443246943103</c:v>
                </c:pt>
                <c:pt idx="25">
                  <c:v>0.37018434047891446</c:v>
                </c:pt>
                <c:pt idx="26">
                  <c:v>0.36498477131247853</c:v>
                </c:pt>
                <c:pt idx="27">
                  <c:v>0.35799084110483648</c:v>
                </c:pt>
                <c:pt idx="28">
                  <c:v>0.36390682951567044</c:v>
                </c:pt>
                <c:pt idx="29">
                  <c:v>0.3688516233793564</c:v>
                </c:pt>
                <c:pt idx="30">
                  <c:v>0.37410986497884835</c:v>
                </c:pt>
                <c:pt idx="31">
                  <c:v>0.37800099738210236</c:v>
                </c:pt>
                <c:pt idx="32">
                  <c:v>0.38113661809120458</c:v>
                </c:pt>
                <c:pt idx="33">
                  <c:v>0.38385387234274049</c:v>
                </c:pt>
                <c:pt idx="34">
                  <c:v>0.38872956849500895</c:v>
                </c:pt>
                <c:pt idx="35">
                  <c:v>0.39388902330139786</c:v>
                </c:pt>
                <c:pt idx="36">
                  <c:v>0.39608665332754356</c:v>
                </c:pt>
                <c:pt idx="37">
                  <c:v>0.39511818379511965</c:v>
                </c:pt>
                <c:pt idx="38">
                  <c:v>0.39852887606710397</c:v>
                </c:pt>
                <c:pt idx="39">
                  <c:v>0.40351858286008735</c:v>
                </c:pt>
                <c:pt idx="40">
                  <c:v>0.40361889106142712</c:v>
                </c:pt>
                <c:pt idx="41">
                  <c:v>0.4054737711228853</c:v>
                </c:pt>
                <c:pt idx="42">
                  <c:v>0.40748975976580937</c:v>
                </c:pt>
                <c:pt idx="43">
                  <c:v>0.40853328015256807</c:v>
                </c:pt>
                <c:pt idx="44">
                  <c:v>0.41334771687064631</c:v>
                </c:pt>
                <c:pt idx="45">
                  <c:v>0.41369661679833314</c:v>
                </c:pt>
                <c:pt idx="46">
                  <c:v>0.41479793586007929</c:v>
                </c:pt>
                <c:pt idx="47">
                  <c:v>0.41460493662640374</c:v>
                </c:pt>
                <c:pt idx="48">
                  <c:v>0.4147128907080031</c:v>
                </c:pt>
                <c:pt idx="49">
                  <c:v>0.41425618616086979</c:v>
                </c:pt>
                <c:pt idx="50">
                  <c:v>0.41311135166633051</c:v>
                </c:pt>
                <c:pt idx="51">
                  <c:v>0.40343118440171111</c:v>
                </c:pt>
                <c:pt idx="52">
                  <c:v>0.39320425619260391</c:v>
                </c:pt>
                <c:pt idx="53">
                  <c:v>0.38086748699183204</c:v>
                </c:pt>
                <c:pt idx="54">
                  <c:v>0.36798380753570825</c:v>
                </c:pt>
                <c:pt idx="55">
                  <c:v>0.35927734761258989</c:v>
                </c:pt>
                <c:pt idx="56">
                  <c:v>0.32556806893094858</c:v>
                </c:pt>
                <c:pt idx="57">
                  <c:v>0.32856939479393077</c:v>
                </c:pt>
                <c:pt idx="58">
                  <c:v>0.32388015615049426</c:v>
                </c:pt>
                <c:pt idx="59">
                  <c:v>0.32470938801071725</c:v>
                </c:pt>
                <c:pt idx="60">
                  <c:v>0.32623920341562496</c:v>
                </c:pt>
                <c:pt idx="61">
                  <c:v>0.31724057966722796</c:v>
                </c:pt>
                <c:pt idx="62">
                  <c:v>0.32144039933490376</c:v>
                </c:pt>
                <c:pt idx="63">
                  <c:v>0.33070235645318746</c:v>
                </c:pt>
                <c:pt idx="64">
                  <c:v>0.33381133398434315</c:v>
                </c:pt>
                <c:pt idx="65">
                  <c:v>0.33079678420821779</c:v>
                </c:pt>
                <c:pt idx="66">
                  <c:v>0.33017608222446881</c:v>
                </c:pt>
                <c:pt idx="67">
                  <c:v>0.32982792564121155</c:v>
                </c:pt>
                <c:pt idx="68">
                  <c:v>0.33285586196750216</c:v>
                </c:pt>
                <c:pt idx="69">
                  <c:v>0.33555849367749602</c:v>
                </c:pt>
                <c:pt idx="70">
                  <c:v>0.34307288083039111</c:v>
                </c:pt>
                <c:pt idx="71">
                  <c:v>0.35144168406584697</c:v>
                </c:pt>
                <c:pt idx="72">
                  <c:v>0.35719209469706925</c:v>
                </c:pt>
                <c:pt idx="73">
                  <c:v>0.35900542696334981</c:v>
                </c:pt>
                <c:pt idx="74">
                  <c:v>0.35929664677053097</c:v>
                </c:pt>
                <c:pt idx="75">
                  <c:v>0.35870145811038867</c:v>
                </c:pt>
                <c:pt idx="76">
                  <c:v>0.35004278879166861</c:v>
                </c:pt>
                <c:pt idx="77">
                  <c:v>0.33649003057679749</c:v>
                </c:pt>
                <c:pt idx="78">
                  <c:v>0.31305774860923918</c:v>
                </c:pt>
                <c:pt idx="79">
                  <c:v>0.28439735695309309</c:v>
                </c:pt>
                <c:pt idx="80">
                  <c:v>0.25027694084097618</c:v>
                </c:pt>
                <c:pt idx="81">
                  <c:v>0.22230217394773888</c:v>
                </c:pt>
                <c:pt idx="82">
                  <c:v>0.1976759932432941</c:v>
                </c:pt>
                <c:pt idx="83">
                  <c:v>0.17284126013095147</c:v>
                </c:pt>
                <c:pt idx="84">
                  <c:v>0.14485153024249087</c:v>
                </c:pt>
                <c:pt idx="85">
                  <c:v>0.11275674619163567</c:v>
                </c:pt>
                <c:pt idx="86">
                  <c:v>7.7083267816732359E-2</c:v>
                </c:pt>
                <c:pt idx="87">
                  <c:v>3.8649538508437331E-2</c:v>
                </c:pt>
                <c:pt idx="88">
                  <c:v>2.9811445367897704E-3</c:v>
                </c:pt>
                <c:pt idx="89">
                  <c:v>4.5110038828298116E-2</c:v>
                </c:pt>
                <c:pt idx="90">
                  <c:v>7.6987472000269008E-2</c:v>
                </c:pt>
                <c:pt idx="91">
                  <c:v>0.11425446720393495</c:v>
                </c:pt>
                <c:pt idx="92">
                  <c:v>0.16547543891846317</c:v>
                </c:pt>
                <c:pt idx="93">
                  <c:v>0.25777818524089469</c:v>
                </c:pt>
                <c:pt idx="94">
                  <c:v>0.30000300872923447</c:v>
                </c:pt>
                <c:pt idx="95">
                  <c:v>0.35547264669288836</c:v>
                </c:pt>
                <c:pt idx="96">
                  <c:v>0.43303527800976838</c:v>
                </c:pt>
                <c:pt idx="97">
                  <c:v>0.49146562128342453</c:v>
                </c:pt>
                <c:pt idx="98">
                  <c:v>0.5456243925281683</c:v>
                </c:pt>
                <c:pt idx="99">
                  <c:v>0.61462657103146512</c:v>
                </c:pt>
                <c:pt idx="100">
                  <c:v>0.61585378842116256</c:v>
                </c:pt>
                <c:pt idx="101">
                  <c:v>0.62058579949687953</c:v>
                </c:pt>
                <c:pt idx="102">
                  <c:v>0.62598094179125496</c:v>
                </c:pt>
                <c:pt idx="103">
                  <c:v>0.63473625996354599</c:v>
                </c:pt>
                <c:pt idx="104">
                  <c:v>0.6464390294041209</c:v>
                </c:pt>
                <c:pt idx="105">
                  <c:v>0.6572628365376687</c:v>
                </c:pt>
                <c:pt idx="106">
                  <c:v>0.66918386210465997</c:v>
                </c:pt>
                <c:pt idx="107">
                  <c:v>0.68764730013606368</c:v>
                </c:pt>
                <c:pt idx="108">
                  <c:v>0.70988418035759082</c:v>
                </c:pt>
                <c:pt idx="109">
                  <c:v>0.73194069845941101</c:v>
                </c:pt>
                <c:pt idx="110">
                  <c:v>0.75578515241373623</c:v>
                </c:pt>
                <c:pt idx="111">
                  <c:v>0.78287220683431258</c:v>
                </c:pt>
                <c:pt idx="112">
                  <c:v>0.81075675983839801</c:v>
                </c:pt>
                <c:pt idx="113">
                  <c:v>0.83772733671361266</c:v>
                </c:pt>
                <c:pt idx="114">
                  <c:v>0.86127142915930222</c:v>
                </c:pt>
                <c:pt idx="115">
                  <c:v>0.88112429089586897</c:v>
                </c:pt>
                <c:pt idx="116">
                  <c:v>0.90654050873168046</c:v>
                </c:pt>
                <c:pt idx="117">
                  <c:v>0.92433961012682175</c:v>
                </c:pt>
                <c:pt idx="118">
                  <c:v>0.9439718319724193</c:v>
                </c:pt>
                <c:pt idx="119">
                  <c:v>0.96032258990368291</c:v>
                </c:pt>
                <c:pt idx="120">
                  <c:v>0.97582431233185218</c:v>
                </c:pt>
                <c:pt idx="121">
                  <c:v>0.97850313706965153</c:v>
                </c:pt>
                <c:pt idx="122">
                  <c:v>0.97995998556004338</c:v>
                </c:pt>
                <c:pt idx="123">
                  <c:v>0.97812823380506586</c:v>
                </c:pt>
                <c:pt idx="124">
                  <c:v>0.9711167245996819</c:v>
                </c:pt>
                <c:pt idx="125">
                  <c:v>0.96230702850975547</c:v>
                </c:pt>
                <c:pt idx="126">
                  <c:v>0.94656723938798848</c:v>
                </c:pt>
                <c:pt idx="127">
                  <c:v>0.92672953389134705</c:v>
                </c:pt>
                <c:pt idx="128">
                  <c:v>0.90093559736237694</c:v>
                </c:pt>
                <c:pt idx="129">
                  <c:v>0.87560090483914621</c:v>
                </c:pt>
                <c:pt idx="130">
                  <c:v>0.84842684794591605</c:v>
                </c:pt>
                <c:pt idx="131">
                  <c:v>0.82444646158073454</c:v>
                </c:pt>
                <c:pt idx="132">
                  <c:v>0.79864466214502272</c:v>
                </c:pt>
                <c:pt idx="133">
                  <c:v>0.77112635415809905</c:v>
                </c:pt>
                <c:pt idx="134">
                  <c:v>0.74648024334119611</c:v>
                </c:pt>
                <c:pt idx="135">
                  <c:v>0.71922083501787881</c:v>
                </c:pt>
                <c:pt idx="136">
                  <c:v>0.6918945331807862</c:v>
                </c:pt>
                <c:pt idx="137">
                  <c:v>0.66442043128030548</c:v>
                </c:pt>
                <c:pt idx="138">
                  <c:v>0.63278080572598583</c:v>
                </c:pt>
                <c:pt idx="139">
                  <c:v>0.60981607297446772</c:v>
                </c:pt>
                <c:pt idx="140">
                  <c:v>0.57993839845607198</c:v>
                </c:pt>
                <c:pt idx="141">
                  <c:v>0.57403795817057812</c:v>
                </c:pt>
                <c:pt idx="142">
                  <c:v>0.54685574650996926</c:v>
                </c:pt>
                <c:pt idx="143">
                  <c:v>0.51843458491197225</c:v>
                </c:pt>
                <c:pt idx="144">
                  <c:v>0.48745504915385141</c:v>
                </c:pt>
                <c:pt idx="145">
                  <c:v>0.45980855597462522</c:v>
                </c:pt>
                <c:pt idx="146">
                  <c:v>0.43728800132828383</c:v>
                </c:pt>
                <c:pt idx="147">
                  <c:v>0.41978270767538817</c:v>
                </c:pt>
                <c:pt idx="148">
                  <c:v>0.40796403231555445</c:v>
                </c:pt>
                <c:pt idx="149">
                  <c:v>0.39812326556446465</c:v>
                </c:pt>
                <c:pt idx="150">
                  <c:v>0.3905453038180795</c:v>
                </c:pt>
                <c:pt idx="151">
                  <c:v>0.38709048707065108</c:v>
                </c:pt>
                <c:pt idx="152">
                  <c:v>0.38755990037565624</c:v>
                </c:pt>
                <c:pt idx="153">
                  <c:v>0.38593584531112413</c:v>
                </c:pt>
                <c:pt idx="154">
                  <c:v>0.38921614980477415</c:v>
                </c:pt>
                <c:pt idx="155">
                  <c:v>0.39624717181590086</c:v>
                </c:pt>
                <c:pt idx="156">
                  <c:v>0.39445642364213995</c:v>
                </c:pt>
                <c:pt idx="157">
                  <c:v>0.38889131426472545</c:v>
                </c:pt>
                <c:pt idx="158">
                  <c:v>0.37514205813481993</c:v>
                </c:pt>
                <c:pt idx="159">
                  <c:v>0.35880975531451753</c:v>
                </c:pt>
                <c:pt idx="160">
                  <c:v>0.3309652429968466</c:v>
                </c:pt>
                <c:pt idx="161">
                  <c:v>0.30480127247209055</c:v>
                </c:pt>
                <c:pt idx="162">
                  <c:v>0.27953176881512576</c:v>
                </c:pt>
                <c:pt idx="163">
                  <c:v>0.25833108468916777</c:v>
                </c:pt>
                <c:pt idx="164">
                  <c:v>0.24421217262847961</c:v>
                </c:pt>
                <c:pt idx="165">
                  <c:v>0.24023229908945609</c:v>
                </c:pt>
                <c:pt idx="166">
                  <c:v>0.24074368629671739</c:v>
                </c:pt>
                <c:pt idx="167">
                  <c:v>0.2462275762989492</c:v>
                </c:pt>
                <c:pt idx="168">
                  <c:v>0.24764969834580342</c:v>
                </c:pt>
                <c:pt idx="169">
                  <c:v>0.23896921503929747</c:v>
                </c:pt>
                <c:pt idx="170">
                  <c:v>0.23005899156098764</c:v>
                </c:pt>
                <c:pt idx="171">
                  <c:v>0.22029915835631186</c:v>
                </c:pt>
                <c:pt idx="172">
                  <c:v>0.20106408438000045</c:v>
                </c:pt>
                <c:pt idx="173">
                  <c:v>0.18224297239923004</c:v>
                </c:pt>
                <c:pt idx="174">
                  <c:v>0.13291763889239405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69-48AD-8B6B-70A9C9453B10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69-48AD-8B6B-70A9C9453B10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data_co2_excLUC!$H$3:$H$177</c:f>
              <c:numCache>
                <c:formatCode>0.0</c:formatCode>
                <c:ptCount val="175"/>
                <c:pt idx="0">
                  <c:v>1.6261365628860034</c:v>
                </c:pt>
                <c:pt idx="1">
                  <c:v>1.7426865076656668</c:v>
                </c:pt>
                <c:pt idx="2">
                  <c:v>1.8687148260516864</c:v>
                </c:pt>
                <c:pt idx="3">
                  <c:v>1.9431667694428967</c:v>
                </c:pt>
                <c:pt idx="4">
                  <c:v>1.9816321009344477</c:v>
                </c:pt>
                <c:pt idx="5">
                  <c:v>2.0518845426835242</c:v>
                </c:pt>
                <c:pt idx="6">
                  <c:v>2.0745378881358931</c:v>
                </c:pt>
                <c:pt idx="7">
                  <c:v>2.0976794005394765</c:v>
                </c:pt>
                <c:pt idx="8">
                  <c:v>2.1465832968276715</c:v>
                </c:pt>
                <c:pt idx="9">
                  <c:v>2.1703863699745369</c:v>
                </c:pt>
                <c:pt idx="10">
                  <c:v>2.1900433153747088</c:v>
                </c:pt>
                <c:pt idx="11">
                  <c:v>2.2236680943311029</c:v>
                </c:pt>
                <c:pt idx="12">
                  <c:v>2.2963585730608713</c:v>
                </c:pt>
                <c:pt idx="13">
                  <c:v>2.3954514247680692</c:v>
                </c:pt>
                <c:pt idx="14">
                  <c:v>2.4935486123273733</c:v>
                </c:pt>
                <c:pt idx="15">
                  <c:v>2.5985326244206561</c:v>
                </c:pt>
                <c:pt idx="16">
                  <c:v>2.7124635035760889</c:v>
                </c:pt>
                <c:pt idx="17">
                  <c:v>2.8433987154418361</c:v>
                </c:pt>
                <c:pt idx="18">
                  <c:v>2.9771757852406324</c:v>
                </c:pt>
                <c:pt idx="19">
                  <c:v>3.1139663507751436</c:v>
                </c:pt>
                <c:pt idx="20">
                  <c:v>3.2544203670986178</c:v>
                </c:pt>
                <c:pt idx="21">
                  <c:v>3.4198718453078243</c:v>
                </c:pt>
                <c:pt idx="22">
                  <c:v>3.5598746342638208</c:v>
                </c:pt>
                <c:pt idx="23">
                  <c:v>3.6857421402927883</c:v>
                </c:pt>
                <c:pt idx="24">
                  <c:v>3.8429315357214477</c:v>
                </c:pt>
                <c:pt idx="25">
                  <c:v>3.9770157266818416</c:v>
                </c:pt>
                <c:pt idx="26">
                  <c:v>4.1765779709706692</c:v>
                </c:pt>
                <c:pt idx="27">
                  <c:v>4.3483592916388716</c:v>
                </c:pt>
                <c:pt idx="28">
                  <c:v>4.5204796593530148</c:v>
                </c:pt>
                <c:pt idx="29">
                  <c:v>4.6822079026523795</c:v>
                </c:pt>
                <c:pt idx="30">
                  <c:v>4.8123860312581002</c:v>
                </c:pt>
                <c:pt idx="31">
                  <c:v>4.9309609844652584</c:v>
                </c:pt>
                <c:pt idx="32">
                  <c:v>5.0344364440482394</c:v>
                </c:pt>
                <c:pt idx="33">
                  <c:v>5.1468081385564943</c:v>
                </c:pt>
                <c:pt idx="34">
                  <c:v>5.2551087377941457</c:v>
                </c:pt>
                <c:pt idx="35">
                  <c:v>5.3700761336655489</c:v>
                </c:pt>
                <c:pt idx="36">
                  <c:v>5.4825627742724379</c:v>
                </c:pt>
                <c:pt idx="37">
                  <c:v>5.5855024635038575</c:v>
                </c:pt>
                <c:pt idx="38">
                  <c:v>5.6741923200707731</c:v>
                </c:pt>
                <c:pt idx="39">
                  <c:v>5.7806624260102808</c:v>
                </c:pt>
                <c:pt idx="40">
                  <c:v>5.8826636788687381</c:v>
                </c:pt>
                <c:pt idx="41">
                  <c:v>5.9870306134511253</c:v>
                </c:pt>
                <c:pt idx="42">
                  <c:v>6.0780396350834138</c:v>
                </c:pt>
                <c:pt idx="43">
                  <c:v>6.1931260177300942</c:v>
                </c:pt>
                <c:pt idx="44">
                  <c:v>6.2919192881958566</c:v>
                </c:pt>
                <c:pt idx="45">
                  <c:v>6.3983228441309166</c:v>
                </c:pt>
                <c:pt idx="46">
                  <c:v>6.5022278510220417</c:v>
                </c:pt>
                <c:pt idx="47">
                  <c:v>6.6143033154582298</c:v>
                </c:pt>
                <c:pt idx="48">
                  <c:v>6.7339313406747578</c:v>
                </c:pt>
                <c:pt idx="49">
                  <c:v>6.8421368930369226</c:v>
                </c:pt>
                <c:pt idx="50">
                  <c:v>6.9481180125646205</c:v>
                </c:pt>
                <c:pt idx="51">
                  <c:v>7.0600353229584698</c:v>
                </c:pt>
                <c:pt idx="52">
                  <c:v>7.1460553978429147</c:v>
                </c:pt>
                <c:pt idx="53">
                  <c:v>7.2039141856566573</c:v>
                </c:pt>
                <c:pt idx="54">
                  <c:v>7.2726900820532734</c:v>
                </c:pt>
                <c:pt idx="55">
                  <c:v>7.3105111628730981</c:v>
                </c:pt>
                <c:pt idx="56">
                  <c:v>7.385806140520458</c:v>
                </c:pt>
                <c:pt idx="57">
                  <c:v>7.409385793042162</c:v>
                </c:pt>
                <c:pt idx="58">
                  <c:v>7.46585081009367</c:v>
                </c:pt>
                <c:pt idx="59">
                  <c:v>7.5110570005587789</c:v>
                </c:pt>
                <c:pt idx="60">
                  <c:v>7.5290917680875822</c:v>
                </c:pt>
                <c:pt idx="61">
                  <c:v>7.5661150464822811</c:v>
                </c:pt>
                <c:pt idx="62">
                  <c:v>7.6072710550114806</c:v>
                </c:pt>
                <c:pt idx="63">
                  <c:v>7.6357928000602868</c:v>
                </c:pt>
                <c:pt idx="64">
                  <c:v>7.6510467768648027</c:v>
                </c:pt>
                <c:pt idx="65">
                  <c:v>7.6615214115476249</c:v>
                </c:pt>
                <c:pt idx="66">
                  <c:v>7.670005583036982</c:v>
                </c:pt>
                <c:pt idx="67">
                  <c:v>7.6642058032377918</c:v>
                </c:pt>
                <c:pt idx="68">
                  <c:v>7.5739927089164638</c:v>
                </c:pt>
                <c:pt idx="69">
                  <c:v>7.4133348226530273</c:v>
                </c:pt>
                <c:pt idx="70">
                  <c:v>7.2928561501586273</c:v>
                </c:pt>
                <c:pt idx="71">
                  <c:v>7.2139803907434725</c:v>
                </c:pt>
                <c:pt idx="72">
                  <c:v>7.1335356255550266</c:v>
                </c:pt>
                <c:pt idx="73">
                  <c:v>7.0221842423263894</c:v>
                </c:pt>
                <c:pt idx="74">
                  <c:v>6.9313060551410501</c:v>
                </c:pt>
                <c:pt idx="75">
                  <c:v>6.8432898623204892</c:v>
                </c:pt>
                <c:pt idx="76">
                  <c:v>6.7944495602923922</c:v>
                </c:pt>
                <c:pt idx="77">
                  <c:v>6.7635280642087565</c:v>
                </c:pt>
                <c:pt idx="78">
                  <c:v>6.7597222293777151</c:v>
                </c:pt>
                <c:pt idx="79">
                  <c:v>6.7683208486710384</c:v>
                </c:pt>
                <c:pt idx="80">
                  <c:v>6.8098654502761917</c:v>
                </c:pt>
                <c:pt idx="81">
                  <c:v>6.8822362860409072</c:v>
                </c:pt>
                <c:pt idx="82">
                  <c:v>6.9677200584280143</c:v>
                </c:pt>
                <c:pt idx="83">
                  <c:v>7.055249724688295</c:v>
                </c:pt>
                <c:pt idx="84">
                  <c:v>7.1627103289759191</c:v>
                </c:pt>
                <c:pt idx="85">
                  <c:v>7.2847512014686231</c:v>
                </c:pt>
                <c:pt idx="86">
                  <c:v>7.420313481481557</c:v>
                </c:pt>
                <c:pt idx="87">
                  <c:v>7.5516540852777894</c:v>
                </c:pt>
                <c:pt idx="88">
                  <c:v>7.6876662504262754</c:v>
                </c:pt>
                <c:pt idx="89">
                  <c:v>7.7447504860447225</c:v>
                </c:pt>
                <c:pt idx="90">
                  <c:v>7.8994319637839965</c:v>
                </c:pt>
                <c:pt idx="91">
                  <c:v>8.0047096627136511</c:v>
                </c:pt>
                <c:pt idx="92">
                  <c:v>8.0401039788766582</c:v>
                </c:pt>
                <c:pt idx="93">
                  <c:v>8.0719671306656409</c:v>
                </c:pt>
                <c:pt idx="94">
                  <c:v>8.1275335467156822</c:v>
                </c:pt>
                <c:pt idx="95">
                  <c:v>8.1246351634062677</c:v>
                </c:pt>
                <c:pt idx="96">
                  <c:v>8.1286892469043863</c:v>
                </c:pt>
                <c:pt idx="97">
                  <c:v>8.1625263776016936</c:v>
                </c:pt>
                <c:pt idx="98">
                  <c:v>8.2053125278192454</c:v>
                </c:pt>
                <c:pt idx="99">
                  <c:v>8.2775509267722072</c:v>
                </c:pt>
                <c:pt idx="100">
                  <c:v>8.4271035957905127</c:v>
                </c:pt>
                <c:pt idx="101">
                  <c:v>8.5814567734136205</c:v>
                </c:pt>
                <c:pt idx="102">
                  <c:v>8.753884530913453</c:v>
                </c:pt>
                <c:pt idx="103">
                  <c:v>8.9355700870617909</c:v>
                </c:pt>
                <c:pt idx="104">
                  <c:v>9.1362117671629619</c:v>
                </c:pt>
                <c:pt idx="105">
                  <c:v>9.3537659649365708</c:v>
                </c:pt>
                <c:pt idx="106">
                  <c:v>9.5837124428219198</c:v>
                </c:pt>
                <c:pt idx="107">
                  <c:v>9.8315860233909262</c:v>
                </c:pt>
                <c:pt idx="108">
                  <c:v>10.083646535225199</c:v>
                </c:pt>
                <c:pt idx="109">
                  <c:v>10.33379096825135</c:v>
                </c:pt>
                <c:pt idx="110">
                  <c:v>10.575078831745245</c:v>
                </c:pt>
                <c:pt idx="111">
                  <c:v>10.819655571970031</c:v>
                </c:pt>
                <c:pt idx="112">
                  <c:v>11.06772701437545</c:v>
                </c:pt>
                <c:pt idx="113">
                  <c:v>11.323572114038328</c:v>
                </c:pt>
                <c:pt idx="114">
                  <c:v>11.588346893150145</c:v>
                </c:pt>
                <c:pt idx="115">
                  <c:v>11.853724423171812</c:v>
                </c:pt>
                <c:pt idx="116">
                  <c:v>12.109843115565212</c:v>
                </c:pt>
                <c:pt idx="117">
                  <c:v>12.372137521148446</c:v>
                </c:pt>
                <c:pt idx="118">
                  <c:v>12.616711012246142</c:v>
                </c:pt>
                <c:pt idx="119">
                  <c:v>12.851734511043787</c:v>
                </c:pt>
                <c:pt idx="120">
                  <c:v>13.07093819642003</c:v>
                </c:pt>
                <c:pt idx="121">
                  <c:v>13.297782854608371</c:v>
                </c:pt>
                <c:pt idx="122">
                  <c:v>13.523711955570505</c:v>
                </c:pt>
                <c:pt idx="123">
                  <c:v>13.741243689094674</c:v>
                </c:pt>
                <c:pt idx="124">
                  <c:v>13.969324166390948</c:v>
                </c:pt>
                <c:pt idx="125">
                  <c:v>14.218618460994207</c:v>
                </c:pt>
                <c:pt idx="126">
                  <c:v>14.463902590788905</c:v>
                </c:pt>
                <c:pt idx="127">
                  <c:v>14.70787654895291</c:v>
                </c:pt>
                <c:pt idx="128">
                  <c:v>14.94867956713712</c:v>
                </c:pt>
                <c:pt idx="129">
                  <c:v>15.167336141856097</c:v>
                </c:pt>
                <c:pt idx="130">
                  <c:v>15.400320942914533</c:v>
                </c:pt>
                <c:pt idx="131">
                  <c:v>15.61177182567377</c:v>
                </c:pt>
                <c:pt idx="132">
                  <c:v>15.830981281890104</c:v>
                </c:pt>
                <c:pt idx="133">
                  <c:v>16.044088765821442</c:v>
                </c:pt>
                <c:pt idx="134">
                  <c:v>16.236151237752537</c:v>
                </c:pt>
                <c:pt idx="135">
                  <c:v>16.440594161106858</c:v>
                </c:pt>
                <c:pt idx="136">
                  <c:v>16.636236300556135</c:v>
                </c:pt>
                <c:pt idx="137">
                  <c:v>16.812435014378963</c:v>
                </c:pt>
                <c:pt idx="138">
                  <c:v>16.97110254150644</c:v>
                </c:pt>
                <c:pt idx="139">
                  <c:v>17.092899138535188</c:v>
                </c:pt>
                <c:pt idx="140">
                  <c:v>17.195019325484211</c:v>
                </c:pt>
                <c:pt idx="141">
                  <c:v>17.229961368744299</c:v>
                </c:pt>
                <c:pt idx="142">
                  <c:v>17.232604182013077</c:v>
                </c:pt>
                <c:pt idx="143">
                  <c:v>17.211230936450072</c:v>
                </c:pt>
                <c:pt idx="144">
                  <c:v>17.155055809129777</c:v>
                </c:pt>
                <c:pt idx="145">
                  <c:v>17.084814979950977</c:v>
                </c:pt>
                <c:pt idx="146">
                  <c:v>16.998634006922288</c:v>
                </c:pt>
                <c:pt idx="147">
                  <c:v>16.896443558359877</c:v>
                </c:pt>
                <c:pt idx="148">
                  <c:v>16.787549598038652</c:v>
                </c:pt>
                <c:pt idx="149">
                  <c:v>16.668060913955088</c:v>
                </c:pt>
                <c:pt idx="150">
                  <c:v>16.539828956830959</c:v>
                </c:pt>
                <c:pt idx="151">
                  <c:v>16.414309666491128</c:v>
                </c:pt>
                <c:pt idx="152">
                  <c:v>16.278967319116049</c:v>
                </c:pt>
                <c:pt idx="153">
                  <c:v>16.140045804133692</c:v>
                </c:pt>
                <c:pt idx="154">
                  <c:v>15.990782625155326</c:v>
                </c:pt>
                <c:pt idx="155">
                  <c:v>15.833382949487337</c:v>
                </c:pt>
                <c:pt idx="156">
                  <c:v>15.690906588218525</c:v>
                </c:pt>
                <c:pt idx="157">
                  <c:v>15.552899851909622</c:v>
                </c:pt>
                <c:pt idx="158">
                  <c:v>15.424940609023594</c:v>
                </c:pt>
                <c:pt idx="159">
                  <c:v>15.296047437100583</c:v>
                </c:pt>
                <c:pt idx="160">
                  <c:v>15.178014060001942</c:v>
                </c:pt>
                <c:pt idx="161">
                  <c:v>15.058916124504705</c:v>
                </c:pt>
                <c:pt idx="162">
                  <c:v>14.940430670905592</c:v>
                </c:pt>
                <c:pt idx="163">
                  <c:v>14.798355143677455</c:v>
                </c:pt>
                <c:pt idx="164">
                  <c:v>14.655611046652197</c:v>
                </c:pt>
                <c:pt idx="165">
                  <c:v>14.519508783400653</c:v>
                </c:pt>
                <c:pt idx="166">
                  <c:v>14.392042853716049</c:v>
                </c:pt>
                <c:pt idx="167">
                  <c:v>14.267435510929175</c:v>
                </c:pt>
                <c:pt idx="168">
                  <c:v>14.137300226169366</c:v>
                </c:pt>
                <c:pt idx="169">
                  <c:v>14.01832979558116</c:v>
                </c:pt>
                <c:pt idx="170">
                  <c:v>13.910554942548075</c:v>
                </c:pt>
                <c:pt idx="171">
                  <c:v>13.80268441959376</c:v>
                </c:pt>
                <c:pt idx="172">
                  <c:v>13.683955990439834</c:v>
                </c:pt>
                <c:pt idx="173">
                  <c:v>13.568155141152566</c:v>
                </c:pt>
                <c:pt idx="174">
                  <c:v>13.457213427147224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69-48AD-8B6B-70A9C9453B10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data_co2_excLUC!$Q$3:$Q$177</c:f>
              <c:numCache>
                <c:formatCode>0.0</c:formatCode>
                <c:ptCount val="175"/>
                <c:pt idx="0">
                  <c:v>3.4769546577663846E-2</c:v>
                </c:pt>
                <c:pt idx="1">
                  <c:v>3.4156275022724003E-2</c:v>
                </c:pt>
                <c:pt idx="2">
                  <c:v>4.4280608627829565E-2</c:v>
                </c:pt>
                <c:pt idx="3">
                  <c:v>3.9798190631586294E-2</c:v>
                </c:pt>
                <c:pt idx="4">
                  <c:v>2.4493007899764052E-2</c:v>
                </c:pt>
                <c:pt idx="5">
                  <c:v>2.887406917534463E-2</c:v>
                </c:pt>
                <c:pt idx="6">
                  <c:v>7.751922703376124E-2</c:v>
                </c:pt>
                <c:pt idx="7">
                  <c:v>0.12716151390785058</c:v>
                </c:pt>
                <c:pt idx="8">
                  <c:v>0.16896983348077299</c:v>
                </c:pt>
                <c:pt idx="9">
                  <c:v>0.18998930062409158</c:v>
                </c:pt>
                <c:pt idx="10">
                  <c:v>0.21303040261011574</c:v>
                </c:pt>
                <c:pt idx="11">
                  <c:v>0.23221124140357574</c:v>
                </c:pt>
                <c:pt idx="12">
                  <c:v>0.24982368119071907</c:v>
                </c:pt>
                <c:pt idx="13">
                  <c:v>0.25872636468689336</c:v>
                </c:pt>
                <c:pt idx="14">
                  <c:v>0.27442121700430278</c:v>
                </c:pt>
                <c:pt idx="15">
                  <c:v>0.28987166714732382</c:v>
                </c:pt>
                <c:pt idx="16">
                  <c:v>0.31177506268505795</c:v>
                </c:pt>
                <c:pt idx="17">
                  <c:v>0.31842219840126518</c:v>
                </c:pt>
                <c:pt idx="18">
                  <c:v>0.32628801260516127</c:v>
                </c:pt>
                <c:pt idx="19">
                  <c:v>0.32725680234000265</c:v>
                </c:pt>
                <c:pt idx="20">
                  <c:v>0.32599657129080128</c:v>
                </c:pt>
                <c:pt idx="21">
                  <c:v>0.32316523874087011</c:v>
                </c:pt>
                <c:pt idx="22">
                  <c:v>0.3260709402458275</c:v>
                </c:pt>
                <c:pt idx="23">
                  <c:v>0.32940010568751177</c:v>
                </c:pt>
                <c:pt idx="24">
                  <c:v>0.33713356607118783</c:v>
                </c:pt>
                <c:pt idx="25">
                  <c:v>0.33654389847680477</c:v>
                </c:pt>
                <c:pt idx="26">
                  <c:v>0.33385908797598063</c:v>
                </c:pt>
                <c:pt idx="27">
                  <c:v>0.32919539593795832</c:v>
                </c:pt>
                <c:pt idx="28">
                  <c:v>0.33858773635951422</c:v>
                </c:pt>
                <c:pt idx="29">
                  <c:v>0.346604048894946</c:v>
                </c:pt>
                <c:pt idx="30">
                  <c:v>0.35359532593683696</c:v>
                </c:pt>
                <c:pt idx="31">
                  <c:v>0.36070253966744303</c:v>
                </c:pt>
                <c:pt idx="32">
                  <c:v>0.3664510611652787</c:v>
                </c:pt>
                <c:pt idx="33">
                  <c:v>0.37142659316218385</c:v>
                </c:pt>
                <c:pt idx="34">
                  <c:v>0.3783291117904497</c:v>
                </c:pt>
                <c:pt idx="35">
                  <c:v>0.38532031197992467</c:v>
                </c:pt>
                <c:pt idx="36">
                  <c:v>0.38957831432612977</c:v>
                </c:pt>
                <c:pt idx="37">
                  <c:v>0.39084193132819678</c:v>
                </c:pt>
                <c:pt idx="38">
                  <c:v>0.39636302164984727</c:v>
                </c:pt>
                <c:pt idx="39">
                  <c:v>0.40294568368028649</c:v>
                </c:pt>
                <c:pt idx="40">
                  <c:v>0.40445439114105852</c:v>
                </c:pt>
                <c:pt idx="41">
                  <c:v>0.40769226854237672</c:v>
                </c:pt>
                <c:pt idx="42">
                  <c:v>0.41118430706043796</c:v>
                </c:pt>
                <c:pt idx="43">
                  <c:v>0.41321805857371885</c:v>
                </c:pt>
                <c:pt idx="44">
                  <c:v>0.41875025371071217</c:v>
                </c:pt>
                <c:pt idx="45">
                  <c:v>0.41993880037196618</c:v>
                </c:pt>
                <c:pt idx="46">
                  <c:v>0.42167821528069283</c:v>
                </c:pt>
                <c:pt idx="47">
                  <c:v>0.4221766719658433</c:v>
                </c:pt>
                <c:pt idx="48">
                  <c:v>0.42247789575105799</c:v>
                </c:pt>
                <c:pt idx="49">
                  <c:v>0.42215246700666853</c:v>
                </c:pt>
                <c:pt idx="50">
                  <c:v>0.42008262332093693</c:v>
                </c:pt>
                <c:pt idx="51">
                  <c:v>0.40953082283786557</c:v>
                </c:pt>
                <c:pt idx="52">
                  <c:v>0.3987265329974008</c:v>
                </c:pt>
                <c:pt idx="53">
                  <c:v>0.38532126926838828</c:v>
                </c:pt>
                <c:pt idx="54">
                  <c:v>0.37182810221419516</c:v>
                </c:pt>
                <c:pt idx="55">
                  <c:v>0.36200913023789383</c:v>
                </c:pt>
                <c:pt idx="56">
                  <c:v>0.32493946901756487</c:v>
                </c:pt>
                <c:pt idx="57">
                  <c:v>0.32746826637254856</c:v>
                </c:pt>
                <c:pt idx="58">
                  <c:v>0.32065553089572063</c:v>
                </c:pt>
                <c:pt idx="59">
                  <c:v>0.32087734383675581</c:v>
                </c:pt>
                <c:pt idx="60">
                  <c:v>0.32168438252828935</c:v>
                </c:pt>
                <c:pt idx="61">
                  <c:v>0.31071016861127987</c:v>
                </c:pt>
                <c:pt idx="62">
                  <c:v>0.3130803892127858</c:v>
                </c:pt>
                <c:pt idx="63">
                  <c:v>0.32087334528885947</c:v>
                </c:pt>
                <c:pt idx="64">
                  <c:v>0.32367022112757127</c:v>
                </c:pt>
                <c:pt idx="65">
                  <c:v>0.32009183412066022</c:v>
                </c:pt>
                <c:pt idx="66">
                  <c:v>0.32041042647784934</c:v>
                </c:pt>
                <c:pt idx="67">
                  <c:v>0.32287544298827697</c:v>
                </c:pt>
                <c:pt idx="68">
                  <c:v>0.32698414014700461</c:v>
                </c:pt>
                <c:pt idx="69">
                  <c:v>0.33328242754188864</c:v>
                </c:pt>
                <c:pt idx="70">
                  <c:v>0.34280172068173442</c:v>
                </c:pt>
                <c:pt idx="71">
                  <c:v>0.35239746267052396</c:v>
                </c:pt>
                <c:pt idx="72">
                  <c:v>0.35805556906093727</c:v>
                </c:pt>
                <c:pt idx="73">
                  <c:v>0.36058734620047517</c:v>
                </c:pt>
                <c:pt idx="74">
                  <c:v>0.3614897400333632</c:v>
                </c:pt>
                <c:pt idx="75">
                  <c:v>0.35980314208231334</c:v>
                </c:pt>
                <c:pt idx="76">
                  <c:v>0.34957906265050553</c:v>
                </c:pt>
                <c:pt idx="77">
                  <c:v>0.33569041716425829</c:v>
                </c:pt>
                <c:pt idx="78">
                  <c:v>0.31038174110992145</c:v>
                </c:pt>
                <c:pt idx="79">
                  <c:v>0.27878214884040631</c:v>
                </c:pt>
                <c:pt idx="80">
                  <c:v>0.24287012339627267</c:v>
                </c:pt>
                <c:pt idx="81">
                  <c:v>0.21379117771282097</c:v>
                </c:pt>
                <c:pt idx="82">
                  <c:v>0.18820664788044894</c:v>
                </c:pt>
                <c:pt idx="83">
                  <c:v>0.16232343404024618</c:v>
                </c:pt>
                <c:pt idx="84">
                  <c:v>0.13315835824293742</c:v>
                </c:pt>
                <c:pt idx="85">
                  <c:v>9.9665420362128998E-2</c:v>
                </c:pt>
                <c:pt idx="86">
                  <c:v>6.2718419840436468E-2</c:v>
                </c:pt>
                <c:pt idx="87">
                  <c:v>2.2698578022229299E-2</c:v>
                </c:pt>
                <c:pt idx="88">
                  <c:v>2.0535059232571484E-2</c:v>
                </c:pt>
                <c:pt idx="89">
                  <c:v>6.5214872933552215E-2</c:v>
                </c:pt>
                <c:pt idx="90">
                  <c:v>9.9126332541047191E-2</c:v>
                </c:pt>
                <c:pt idx="91">
                  <c:v>0.13697288023404042</c:v>
                </c:pt>
                <c:pt idx="92">
                  <c:v>0.16132186141298632</c:v>
                </c:pt>
                <c:pt idx="93">
                  <c:v>0.19987682647739291</c:v>
                </c:pt>
                <c:pt idx="94">
                  <c:v>0.24294141720118034</c:v>
                </c:pt>
                <c:pt idx="95">
                  <c:v>0.29949209935638521</c:v>
                </c:pt>
                <c:pt idx="96">
                  <c:v>0.38155742500582335</c:v>
                </c:pt>
                <c:pt idx="97">
                  <c:v>0.44183973605071003</c:v>
                </c:pt>
                <c:pt idx="98">
                  <c:v>0.49629274383009658</c:v>
                </c:pt>
                <c:pt idx="99">
                  <c:v>0.56644979854685573</c:v>
                </c:pt>
                <c:pt idx="100">
                  <c:v>0.55776040935398896</c:v>
                </c:pt>
                <c:pt idx="101">
                  <c:v>0.55143505985624586</c:v>
                </c:pt>
                <c:pt idx="102">
                  <c:v>0.54413952984205594</c:v>
                </c:pt>
                <c:pt idx="103">
                  <c:v>0.53903635472269684</c:v>
                </c:pt>
                <c:pt idx="104">
                  <c:v>0.53549643326407192</c:v>
                </c:pt>
                <c:pt idx="105">
                  <c:v>0.52798310155345973</c:v>
                </c:pt>
                <c:pt idx="106">
                  <c:v>0.51990182130447238</c:v>
                </c:pt>
                <c:pt idx="107">
                  <c:v>0.51722960880161395</c:v>
                </c:pt>
                <c:pt idx="108">
                  <c:v>0.51770906629081992</c:v>
                </c:pt>
                <c:pt idx="109">
                  <c:v>0.51777163875338772</c:v>
                </c:pt>
                <c:pt idx="110">
                  <c:v>0.51900527056625378</c:v>
                </c:pt>
                <c:pt idx="111">
                  <c:v>0.52453831382325689</c:v>
                </c:pt>
                <c:pt idx="112">
                  <c:v>0.53224343570649069</c:v>
                </c:pt>
                <c:pt idx="113">
                  <c:v>0.54089926320324366</c:v>
                </c:pt>
                <c:pt idx="114">
                  <c:v>0.54520529910757887</c:v>
                </c:pt>
                <c:pt idx="115">
                  <c:v>0.54557459216952964</c:v>
                </c:pt>
                <c:pt idx="116">
                  <c:v>0.55061912010782521</c:v>
                </c:pt>
                <c:pt idx="117">
                  <c:v>0.54767587900232684</c:v>
                </c:pt>
                <c:pt idx="118">
                  <c:v>0.54876828956847135</c:v>
                </c:pt>
                <c:pt idx="119">
                  <c:v>0.54779291763441051</c:v>
                </c:pt>
                <c:pt idx="120">
                  <c:v>0.54865033610482783</c:v>
                </c:pt>
                <c:pt idx="121">
                  <c:v>0.54505351403989266</c:v>
                </c:pt>
                <c:pt idx="122">
                  <c:v>0.53799810576754226</c:v>
                </c:pt>
                <c:pt idx="123">
                  <c:v>0.52754049478319587</c:v>
                </c:pt>
                <c:pt idx="124">
                  <c:v>0.51716894632018295</c:v>
                </c:pt>
                <c:pt idx="125">
                  <c:v>0.50722492853903134</c:v>
                </c:pt>
                <c:pt idx="126">
                  <c:v>0.49086897642942517</c:v>
                </c:pt>
                <c:pt idx="127">
                  <c:v>0.47227996447639953</c:v>
                </c:pt>
                <c:pt idx="128">
                  <c:v>0.44822029504211969</c:v>
                </c:pt>
                <c:pt idx="129">
                  <c:v>0.42358749370639259</c:v>
                </c:pt>
                <c:pt idx="130">
                  <c:v>0.39784884102196827</c:v>
                </c:pt>
                <c:pt idx="131">
                  <c:v>0.37671645132837739</c:v>
                </c:pt>
                <c:pt idx="132">
                  <c:v>0.35178940941658254</c:v>
                </c:pt>
                <c:pt idx="133">
                  <c:v>0.32579614662503786</c:v>
                </c:pt>
                <c:pt idx="134">
                  <c:v>0.30274664490482905</c:v>
                </c:pt>
                <c:pt idx="135">
                  <c:v>0.27977869855472193</c:v>
                </c:pt>
                <c:pt idx="136">
                  <c:v>0.25373445888503454</c:v>
                </c:pt>
                <c:pt idx="137">
                  <c:v>0.22790129933017056</c:v>
                </c:pt>
                <c:pt idx="138">
                  <c:v>0.1982990610377442</c:v>
                </c:pt>
                <c:pt idx="139">
                  <c:v>0.17911669643947903</c:v>
                </c:pt>
                <c:pt idx="140">
                  <c:v>0.17097058702363199</c:v>
                </c:pt>
                <c:pt idx="141">
                  <c:v>0.18925260796005716</c:v>
                </c:pt>
                <c:pt idx="142">
                  <c:v>0.17411143250626537</c:v>
                </c:pt>
                <c:pt idx="143">
                  <c:v>0.15477114751172394</c:v>
                </c:pt>
                <c:pt idx="144">
                  <c:v>0.12861641967259629</c:v>
                </c:pt>
                <c:pt idx="145">
                  <c:v>0.10577174522788368</c:v>
                </c:pt>
                <c:pt idx="146">
                  <c:v>8.8571511528044766E-2</c:v>
                </c:pt>
                <c:pt idx="147">
                  <c:v>7.6549463712382249E-2</c:v>
                </c:pt>
                <c:pt idx="148">
                  <c:v>7.0734281262218701E-2</c:v>
                </c:pt>
                <c:pt idx="149">
                  <c:v>6.6867330390223856E-2</c:v>
                </c:pt>
                <c:pt idx="150">
                  <c:v>6.5345852549711481E-2</c:v>
                </c:pt>
                <c:pt idx="151">
                  <c:v>6.9243207408632657E-2</c:v>
                </c:pt>
                <c:pt idx="152">
                  <c:v>7.7851679613971214E-2</c:v>
                </c:pt>
                <c:pt idx="153">
                  <c:v>8.4181679860776626E-2</c:v>
                </c:pt>
                <c:pt idx="154">
                  <c:v>9.6741474307592057E-2</c:v>
                </c:pt>
                <c:pt idx="155">
                  <c:v>0.11421883043860248</c:v>
                </c:pt>
                <c:pt idx="156">
                  <c:v>0.12091517146886588</c:v>
                </c:pt>
                <c:pt idx="157">
                  <c:v>0.12274388178207118</c:v>
                </c:pt>
                <c:pt idx="158">
                  <c:v>0.1142289395620395</c:v>
                </c:pt>
                <c:pt idx="159">
                  <c:v>0.10188138814099545</c:v>
                </c:pt>
                <c:pt idx="160">
                  <c:v>7.506698962239966E-2</c:v>
                </c:pt>
                <c:pt idx="161">
                  <c:v>5.0795894342897441E-2</c:v>
                </c:pt>
                <c:pt idx="162">
                  <c:v>2.7464687814543254E-2</c:v>
                </c:pt>
                <c:pt idx="163">
                  <c:v>2.3786170130307482E-2</c:v>
                </c:pt>
                <c:pt idx="164">
                  <c:v>2.4588390344007394E-2</c:v>
                </c:pt>
                <c:pt idx="165">
                  <c:v>2.223048135564909E-2</c:v>
                </c:pt>
                <c:pt idx="166">
                  <c:v>2.1517808880645362E-2</c:v>
                </c:pt>
                <c:pt idx="167">
                  <c:v>2.3231964622397072E-2</c:v>
                </c:pt>
                <c:pt idx="168">
                  <c:v>3.2324723251448972E-2</c:v>
                </c:pt>
                <c:pt idx="169">
                  <c:v>2.8276232963449388E-2</c:v>
                </c:pt>
                <c:pt idx="170">
                  <c:v>2.3679254251675275E-2</c:v>
                </c:pt>
                <c:pt idx="171">
                  <c:v>1.8352105612130742E-2</c:v>
                </c:pt>
                <c:pt idx="172">
                  <c:v>1.7850236318523116E-2</c:v>
                </c:pt>
                <c:pt idx="173">
                  <c:v>3.265846259939309E-2</c:v>
                </c:pt>
                <c:pt idx="174">
                  <c:v>8.0786340485850872E-2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69-48AD-8B6B-70A9C9453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data_co2_excLUC!$I$2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data_co2_excLUC!$I$3:$I$177</c:f>
              <c:numCache>
                <c:formatCode>0.0</c:formatCode>
                <c:ptCount val="175"/>
                <c:pt idx="0">
                  <c:v>98.267698935219045</c:v>
                </c:pt>
                <c:pt idx="1">
                  <c:v>98.166450132195536</c:v>
                </c:pt>
                <c:pt idx="2">
                  <c:v>98.025765018127686</c:v>
                </c:pt>
                <c:pt idx="3">
                  <c:v>97.966257870603982</c:v>
                </c:pt>
                <c:pt idx="4">
                  <c:v>97.963265321302913</c:v>
                </c:pt>
                <c:pt idx="5">
                  <c:v>97.868248392670523</c:v>
                </c:pt>
                <c:pt idx="6">
                  <c:v>97.756073261416816</c:v>
                </c:pt>
                <c:pt idx="7">
                  <c:v>97.639910045578731</c:v>
                </c:pt>
                <c:pt idx="8">
                  <c:v>97.477267943639077</c:v>
                </c:pt>
                <c:pt idx="9">
                  <c:v>97.37720286247793</c:v>
                </c:pt>
                <c:pt idx="10">
                  <c:v>97.284771528352238</c:v>
                </c:pt>
                <c:pt idx="11">
                  <c:v>97.196371831071389</c:v>
                </c:pt>
                <c:pt idx="12">
                  <c:v>97.073775918595402</c:v>
                </c:pt>
                <c:pt idx="13">
                  <c:v>96.944120966546848</c:v>
                </c:pt>
                <c:pt idx="14">
                  <c:v>96.806240969798679</c:v>
                </c:pt>
                <c:pt idx="15">
                  <c:v>96.664443130696498</c:v>
                </c:pt>
                <c:pt idx="16">
                  <c:v>96.497009296921959</c:v>
                </c:pt>
                <c:pt idx="17">
                  <c:v>96.342405141811483</c:v>
                </c:pt>
                <c:pt idx="18">
                  <c:v>96.183621872279275</c:v>
                </c:pt>
                <c:pt idx="19">
                  <c:v>96.034390032567458</c:v>
                </c:pt>
                <c:pt idx="20">
                  <c:v>95.885101973409405</c:v>
                </c:pt>
                <c:pt idx="21">
                  <c:v>95.711502274253832</c:v>
                </c:pt>
                <c:pt idx="22">
                  <c:v>95.553445269185261</c:v>
                </c:pt>
                <c:pt idx="23">
                  <c:v>95.410404577278271</c:v>
                </c:pt>
                <c:pt idx="24">
                  <c:v>95.226218117120922</c:v>
                </c:pt>
                <c:pt idx="25">
                  <c:v>95.081731645259353</c:v>
                </c:pt>
                <c:pt idx="26">
                  <c:v>94.877673768069897</c:v>
                </c:pt>
                <c:pt idx="27">
                  <c:v>94.706260343736062</c:v>
                </c:pt>
                <c:pt idx="28">
                  <c:v>94.505063202436304</c:v>
                </c:pt>
                <c:pt idx="29">
                  <c:v>94.319436578721749</c:v>
                </c:pt>
                <c:pt idx="30">
                  <c:v>94.165756393879178</c:v>
                </c:pt>
                <c:pt idx="31">
                  <c:v>94.026208653872672</c:v>
                </c:pt>
                <c:pt idx="32">
                  <c:v>93.902956341369048</c:v>
                </c:pt>
                <c:pt idx="33">
                  <c:v>93.770937493126141</c:v>
                </c:pt>
                <c:pt idx="34">
                  <c:v>93.638248750590037</c:v>
                </c:pt>
                <c:pt idx="35">
                  <c:v>93.499931786708899</c:v>
                </c:pt>
                <c:pt idx="36">
                  <c:v>93.369165877734233</c:v>
                </c:pt>
                <c:pt idx="37">
                  <c:v>93.248271240801756</c:v>
                </c:pt>
                <c:pt idx="38">
                  <c:v>93.135261736879613</c:v>
                </c:pt>
                <c:pt idx="39">
                  <c:v>92.99559898863572</c:v>
                </c:pt>
                <c:pt idx="40">
                  <c:v>92.871413294587342</c:v>
                </c:pt>
                <c:pt idx="41">
                  <c:v>92.740446318869445</c:v>
                </c:pt>
                <c:pt idx="42">
                  <c:v>92.6179028598428</c:v>
                </c:pt>
                <c:pt idx="43">
                  <c:v>92.464874583283645</c:v>
                </c:pt>
                <c:pt idx="44">
                  <c:v>92.320676499063438</c:v>
                </c:pt>
                <c:pt idx="45">
                  <c:v>92.168992688329865</c:v>
                </c:pt>
                <c:pt idx="46">
                  <c:v>92.017020271519428</c:v>
                </c:pt>
                <c:pt idx="47">
                  <c:v>91.857679101623717</c:v>
                </c:pt>
                <c:pt idx="48">
                  <c:v>91.685098829686382</c:v>
                </c:pt>
                <c:pt idx="49">
                  <c:v>91.526913409804905</c:v>
                </c:pt>
                <c:pt idx="50">
                  <c:v>91.380725482992901</c:v>
                </c:pt>
                <c:pt idx="51">
                  <c:v>91.229421691413634</c:v>
                </c:pt>
                <c:pt idx="52">
                  <c:v>91.103600570981087</c:v>
                </c:pt>
                <c:pt idx="53">
                  <c:v>91.007414047948558</c:v>
                </c:pt>
                <c:pt idx="54">
                  <c:v>90.895055237386472</c:v>
                </c:pt>
                <c:pt idx="55">
                  <c:v>90.811374790694117</c:v>
                </c:pt>
                <c:pt idx="56">
                  <c:v>90.706040977017935</c:v>
                </c:pt>
                <c:pt idx="57">
                  <c:v>90.581431442055361</c:v>
                </c:pt>
                <c:pt idx="58">
                  <c:v>90.424580456579733</c:v>
                </c:pt>
                <c:pt idx="59">
                  <c:v>90.279448892713091</c:v>
                </c:pt>
                <c:pt idx="60">
                  <c:v>90.165623104356825</c:v>
                </c:pt>
                <c:pt idx="61">
                  <c:v>90.040089753113662</c:v>
                </c:pt>
                <c:pt idx="62">
                  <c:v>89.911047493805128</c:v>
                </c:pt>
                <c:pt idx="63">
                  <c:v>89.77819608162217</c:v>
                </c:pt>
                <c:pt idx="64">
                  <c:v>89.672660790531879</c:v>
                </c:pt>
                <c:pt idx="65">
                  <c:v>89.586213359943571</c:v>
                </c:pt>
                <c:pt idx="66">
                  <c:v>89.496296902731345</c:v>
                </c:pt>
                <c:pt idx="67">
                  <c:v>89.416327558238436</c:v>
                </c:pt>
                <c:pt idx="68">
                  <c:v>89.419166568801188</c:v>
                </c:pt>
                <c:pt idx="69">
                  <c:v>89.462572969626024</c:v>
                </c:pt>
                <c:pt idx="70">
                  <c:v>89.443928007744091</c:v>
                </c:pt>
                <c:pt idx="71">
                  <c:v>89.363877591829038</c:v>
                </c:pt>
                <c:pt idx="72">
                  <c:v>89.302300783198149</c:v>
                </c:pt>
                <c:pt idx="73">
                  <c:v>89.289496491767494</c:v>
                </c:pt>
                <c:pt idx="74">
                  <c:v>89.255268602895654</c:v>
                </c:pt>
                <c:pt idx="75">
                  <c:v>89.234527655042555</c:v>
                </c:pt>
                <c:pt idx="76">
                  <c:v>89.193260722973918</c:v>
                </c:pt>
                <c:pt idx="77">
                  <c:v>89.153660761392374</c:v>
                </c:pt>
                <c:pt idx="78">
                  <c:v>89.097859866845525</c:v>
                </c:pt>
                <c:pt idx="79">
                  <c:v>89.041252958303033</c:v>
                </c:pt>
                <c:pt idx="80">
                  <c:v>88.952868693387984</c:v>
                </c:pt>
                <c:pt idx="81">
                  <c:v>88.829004421954465</c:v>
                </c:pt>
                <c:pt idx="82">
                  <c:v>88.682859818539839</c:v>
                </c:pt>
                <c:pt idx="83">
                  <c:v>88.531229295337127</c:v>
                </c:pt>
                <c:pt idx="84">
                  <c:v>88.350923344365768</c:v>
                </c:pt>
                <c:pt idx="85">
                  <c:v>88.149173251648563</c:v>
                </c:pt>
                <c:pt idx="86">
                  <c:v>87.940455647422453</c:v>
                </c:pt>
                <c:pt idx="87">
                  <c:v>87.732470094881464</c:v>
                </c:pt>
                <c:pt idx="88">
                  <c:v>87.497149793723821</c:v>
                </c:pt>
                <c:pt idx="89">
                  <c:v>87.27354702870133</c:v>
                </c:pt>
                <c:pt idx="90">
                  <c:v>86.95965666605926</c:v>
                </c:pt>
                <c:pt idx="91">
                  <c:v>86.700957420905127</c:v>
                </c:pt>
                <c:pt idx="92">
                  <c:v>86.545615473996222</c:v>
                </c:pt>
                <c:pt idx="93">
                  <c:v>86.392045722453304</c:v>
                </c:pt>
                <c:pt idx="94">
                  <c:v>86.204254918827488</c:v>
                </c:pt>
                <c:pt idx="95">
                  <c:v>86.063116883591263</c:v>
                </c:pt>
                <c:pt idx="96">
                  <c:v>85.891105792814429</c:v>
                </c:pt>
                <c:pt idx="97">
                  <c:v>85.700905659711253</c:v>
                </c:pt>
                <c:pt idx="98">
                  <c:v>85.520038672111312</c:v>
                </c:pt>
                <c:pt idx="99">
                  <c:v>85.293057989356356</c:v>
                </c:pt>
                <c:pt idx="100">
                  <c:v>85.052829837674992</c:v>
                </c:pt>
                <c:pt idx="101">
                  <c:v>84.792682656450751</c:v>
                </c:pt>
                <c:pt idx="102">
                  <c:v>84.497989731011458</c:v>
                </c:pt>
                <c:pt idx="103">
                  <c:v>84.195036106424325</c:v>
                </c:pt>
                <c:pt idx="104">
                  <c:v>83.849496708252573</c:v>
                </c:pt>
                <c:pt idx="105">
                  <c:v>83.468380437248442</c:v>
                </c:pt>
                <c:pt idx="106">
                  <c:v>83.064958321330693</c:v>
                </c:pt>
                <c:pt idx="107">
                  <c:v>82.620312341017282</c:v>
                </c:pt>
                <c:pt idx="108">
                  <c:v>82.07915089069067</c:v>
                </c:pt>
                <c:pt idx="109">
                  <c:v>81.482561201908297</c:v>
                </c:pt>
                <c:pt idx="110">
                  <c:v>80.880537511263697</c:v>
                </c:pt>
                <c:pt idx="111">
                  <c:v>80.350544694060972</c:v>
                </c:pt>
                <c:pt idx="112">
                  <c:v>79.852224837460668</c:v>
                </c:pt>
                <c:pt idx="113">
                  <c:v>79.353866624578231</c:v>
                </c:pt>
                <c:pt idx="114">
                  <c:v>78.850866499556389</c:v>
                </c:pt>
                <c:pt idx="115">
                  <c:v>78.335982482062633</c:v>
                </c:pt>
                <c:pt idx="116">
                  <c:v>77.816900150787333</c:v>
                </c:pt>
                <c:pt idx="117">
                  <c:v>77.323830789766575</c:v>
                </c:pt>
                <c:pt idx="118">
                  <c:v>76.832772849390224</c:v>
                </c:pt>
                <c:pt idx="119">
                  <c:v>76.330236262457689</c:v>
                </c:pt>
                <c:pt idx="120">
                  <c:v>75.796579469001131</c:v>
                </c:pt>
                <c:pt idx="121">
                  <c:v>75.230151517199204</c:v>
                </c:pt>
                <c:pt idx="122">
                  <c:v>74.674345004487392</c:v>
                </c:pt>
                <c:pt idx="123">
                  <c:v>74.118937548795884</c:v>
                </c:pt>
                <c:pt idx="124">
                  <c:v>73.554429566741589</c:v>
                </c:pt>
                <c:pt idx="125">
                  <c:v>72.948339141452507</c:v>
                </c:pt>
                <c:pt idx="126">
                  <c:v>72.348099906642815</c:v>
                </c:pt>
                <c:pt idx="127">
                  <c:v>71.741505814878693</c:v>
                </c:pt>
                <c:pt idx="128">
                  <c:v>71.128309310550975</c:v>
                </c:pt>
                <c:pt idx="129">
                  <c:v>70.536336081236797</c:v>
                </c:pt>
                <c:pt idx="130">
                  <c:v>69.941438383584938</c:v>
                </c:pt>
                <c:pt idx="131">
                  <c:v>69.375807864107131</c:v>
                </c:pt>
                <c:pt idx="132">
                  <c:v>68.792662472912667</c:v>
                </c:pt>
                <c:pt idx="133">
                  <c:v>68.21505914000619</c:v>
                </c:pt>
                <c:pt idx="134">
                  <c:v>67.647492976829724</c:v>
                </c:pt>
                <c:pt idx="135">
                  <c:v>67.054223342756245</c:v>
                </c:pt>
                <c:pt idx="136">
                  <c:v>66.464998737719981</c:v>
                </c:pt>
                <c:pt idx="137">
                  <c:v>65.892771667969697</c:v>
                </c:pt>
                <c:pt idx="138">
                  <c:v>65.324296511907264</c:v>
                </c:pt>
                <c:pt idx="139">
                  <c:v>64.791838714897935</c:v>
                </c:pt>
                <c:pt idx="140">
                  <c:v>64.304782969907748</c:v>
                </c:pt>
                <c:pt idx="141">
                  <c:v>63.804343469531801</c:v>
                </c:pt>
                <c:pt idx="142">
                  <c:v>63.39123522869081</c:v>
                </c:pt>
                <c:pt idx="143">
                  <c:v>62.987420345088452</c:v>
                </c:pt>
                <c:pt idx="144">
                  <c:v>62.607514804967501</c:v>
                </c:pt>
                <c:pt idx="145">
                  <c:v>62.226392277729268</c:v>
                </c:pt>
                <c:pt idx="146">
                  <c:v>61.851553663928591</c:v>
                </c:pt>
                <c:pt idx="147">
                  <c:v>61.490875208164688</c:v>
                </c:pt>
                <c:pt idx="148">
                  <c:v>61.16535204851953</c:v>
                </c:pt>
                <c:pt idx="149">
                  <c:v>60.834823566812815</c:v>
                </c:pt>
                <c:pt idx="150">
                  <c:v>60.509792038672259</c:v>
                </c:pt>
                <c:pt idx="151">
                  <c:v>60.182056177682242</c:v>
                </c:pt>
                <c:pt idx="152">
                  <c:v>59.845982585994676</c:v>
                </c:pt>
                <c:pt idx="153">
                  <c:v>59.466099440731277</c:v>
                </c:pt>
                <c:pt idx="154">
                  <c:v>59.067920835029106</c:v>
                </c:pt>
                <c:pt idx="155">
                  <c:v>58.641468396382677</c:v>
                </c:pt>
                <c:pt idx="156">
                  <c:v>58.180241773212352</c:v>
                </c:pt>
                <c:pt idx="157">
                  <c:v>57.70699309466584</c:v>
                </c:pt>
                <c:pt idx="158">
                  <c:v>57.203694946788531</c:v>
                </c:pt>
                <c:pt idx="159">
                  <c:v>56.682850651315029</c:v>
                </c:pt>
                <c:pt idx="160">
                  <c:v>56.136851680289823</c:v>
                </c:pt>
                <c:pt idx="161">
                  <c:v>55.553575078379872</c:v>
                </c:pt>
                <c:pt idx="162">
                  <c:v>54.965597234961869</c:v>
                </c:pt>
                <c:pt idx="163">
                  <c:v>54.400529123498643</c:v>
                </c:pt>
                <c:pt idx="164">
                  <c:v>53.843871100875198</c:v>
                </c:pt>
                <c:pt idx="165">
                  <c:v>53.30563771967789</c:v>
                </c:pt>
                <c:pt idx="166">
                  <c:v>52.780786188754966</c:v>
                </c:pt>
                <c:pt idx="167">
                  <c:v>52.256576129374508</c:v>
                </c:pt>
                <c:pt idx="168">
                  <c:v>51.735478744052557</c:v>
                </c:pt>
                <c:pt idx="169">
                  <c:v>51.208776809765396</c:v>
                </c:pt>
                <c:pt idx="170">
                  <c:v>50.693654081146867</c:v>
                </c:pt>
                <c:pt idx="171">
                  <c:v>50.179267225268987</c:v>
                </c:pt>
                <c:pt idx="172">
                  <c:v>49.666005956446746</c:v>
                </c:pt>
                <c:pt idx="173">
                  <c:v>49.140508491639388</c:v>
                </c:pt>
                <c:pt idx="174">
                  <c:v>48.621447498541478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69-48AD-8B6B-70A9C9453B10}"/>
            </c:ext>
          </c:extLst>
        </c:ser>
        <c:ser>
          <c:idx val="6"/>
          <c:order val="6"/>
          <c:tx>
            <c:strRef>
              <c:f>data_co2_excLUC!$J$2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data_co2_excLUC!$J$3:$J$177</c:f>
              <c:numCache>
                <c:formatCode>0.0</c:formatCode>
                <c:ptCount val="175"/>
                <c:pt idx="0">
                  <c:v>98.317982757604923</c:v>
                </c:pt>
                <c:pt idx="1">
                  <c:v>98.201705418041939</c:v>
                </c:pt>
                <c:pt idx="2">
                  <c:v>98.064808708440651</c:v>
                </c:pt>
                <c:pt idx="3">
                  <c:v>97.993697762318632</c:v>
                </c:pt>
                <c:pt idx="4">
                  <c:v>97.969739173342731</c:v>
                </c:pt>
                <c:pt idx="5">
                  <c:v>97.894063669415104</c:v>
                </c:pt>
                <c:pt idx="6">
                  <c:v>97.821930577497028</c:v>
                </c:pt>
                <c:pt idx="7">
                  <c:v>97.748245687394032</c:v>
                </c:pt>
                <c:pt idx="8">
                  <c:v>97.637938498845429</c:v>
                </c:pt>
                <c:pt idx="9">
                  <c:v>97.568227886924433</c:v>
                </c:pt>
                <c:pt idx="10">
                  <c:v>97.50579426956719</c:v>
                </c:pt>
                <c:pt idx="11">
                  <c:v>97.441839149114912</c:v>
                </c:pt>
                <c:pt idx="12">
                  <c:v>97.341591280707462</c:v>
                </c:pt>
                <c:pt idx="13">
                  <c:v>97.224451362645681</c:v>
                </c:pt>
                <c:pt idx="14">
                  <c:v>97.104394978657254</c:v>
                </c:pt>
                <c:pt idx="15">
                  <c:v>96.979754283378469</c:v>
                </c:pt>
                <c:pt idx="16">
                  <c:v>96.834184956634445</c:v>
                </c:pt>
                <c:pt idx="17">
                  <c:v>96.68713889653128</c:v>
                </c:pt>
                <c:pt idx="18">
                  <c:v>96.537370088699177</c:v>
                </c:pt>
                <c:pt idx="19">
                  <c:v>96.389723630999029</c:v>
                </c:pt>
                <c:pt idx="20">
                  <c:v>96.240083309565208</c:v>
                </c:pt>
                <c:pt idx="21">
                  <c:v>96.065223801307354</c:v>
                </c:pt>
                <c:pt idx="22">
                  <c:v>95.911471743992138</c:v>
                </c:pt>
                <c:pt idx="23">
                  <c:v>95.773039292208608</c:v>
                </c:pt>
                <c:pt idx="24">
                  <c:v>95.596532271877294</c:v>
                </c:pt>
                <c:pt idx="25">
                  <c:v>95.451906380364477</c:v>
                </c:pt>
                <c:pt idx="26">
                  <c:v>95.242649531526524</c:v>
                </c:pt>
                <c:pt idx="27">
                  <c:v>95.064242714179798</c:v>
                </c:pt>
                <c:pt idx="28">
                  <c:v>94.868962041606224</c:v>
                </c:pt>
                <c:pt idx="29">
                  <c:v>94.688280669086538</c:v>
                </c:pt>
                <c:pt idx="30">
                  <c:v>94.539859183282545</c:v>
                </c:pt>
                <c:pt idx="31">
                  <c:v>94.40420299404046</c:v>
                </c:pt>
                <c:pt idx="32">
                  <c:v>94.284086693582509</c:v>
                </c:pt>
                <c:pt idx="33">
                  <c:v>94.154785468310251</c:v>
                </c:pt>
                <c:pt idx="34">
                  <c:v>94.026972753350677</c:v>
                </c:pt>
                <c:pt idx="35">
                  <c:v>93.893815542574686</c:v>
                </c:pt>
                <c:pt idx="36">
                  <c:v>93.765247535447187</c:v>
                </c:pt>
                <c:pt idx="37">
                  <c:v>93.643384685673638</c:v>
                </c:pt>
                <c:pt idx="38">
                  <c:v>93.533786129281353</c:v>
                </c:pt>
                <c:pt idx="39">
                  <c:v>93.399113317132361</c:v>
                </c:pt>
                <c:pt idx="40">
                  <c:v>93.275028155427592</c:v>
                </c:pt>
                <c:pt idx="41">
                  <c:v>93.145916270593816</c:v>
                </c:pt>
                <c:pt idx="42">
                  <c:v>93.025388991512941</c:v>
                </c:pt>
                <c:pt idx="43">
                  <c:v>92.873404406320731</c:v>
                </c:pt>
                <c:pt idx="44">
                  <c:v>92.734020919746143</c:v>
                </c:pt>
                <c:pt idx="45">
                  <c:v>92.582686163836669</c:v>
                </c:pt>
                <c:pt idx="46">
                  <c:v>92.431815211527947</c:v>
                </c:pt>
                <c:pt idx="47">
                  <c:v>92.272281180935494</c:v>
                </c:pt>
                <c:pt idx="48">
                  <c:v>92.099808995959663</c:v>
                </c:pt>
                <c:pt idx="49">
                  <c:v>91.94116700322914</c:v>
                </c:pt>
                <c:pt idx="50">
                  <c:v>91.793834367483143</c:v>
                </c:pt>
                <c:pt idx="51">
                  <c:v>91.632850526069703</c:v>
                </c:pt>
                <c:pt idx="52">
                  <c:v>91.496802586767018</c:v>
                </c:pt>
                <c:pt idx="53">
                  <c:v>91.388279402714488</c:v>
                </c:pt>
                <c:pt idx="54">
                  <c:v>91.263037011972159</c:v>
                </c:pt>
                <c:pt idx="55">
                  <c:v>91.170650201454734</c:v>
                </c:pt>
                <c:pt idx="56">
                  <c:v>91.031607200220392</c:v>
                </c:pt>
                <c:pt idx="57">
                  <c:v>90.909999085047971</c:v>
                </c:pt>
                <c:pt idx="58">
                  <c:v>90.748458942569968</c:v>
                </c:pt>
                <c:pt idx="59">
                  <c:v>90.604156842731783</c:v>
                </c:pt>
                <c:pt idx="60">
                  <c:v>90.491860938137805</c:v>
                </c:pt>
                <c:pt idx="61">
                  <c:v>90.357329026509561</c:v>
                </c:pt>
                <c:pt idx="62">
                  <c:v>90.232486647541648</c:v>
                </c:pt>
                <c:pt idx="63">
                  <c:v>90.108898438075357</c:v>
                </c:pt>
                <c:pt idx="64">
                  <c:v>90.006472124516222</c:v>
                </c:pt>
                <c:pt idx="65">
                  <c:v>89.917010144151789</c:v>
                </c:pt>
                <c:pt idx="66">
                  <c:v>89.826472984955814</c:v>
                </c:pt>
                <c:pt idx="67">
                  <c:v>89.746155483879647</c:v>
                </c:pt>
                <c:pt idx="68">
                  <c:v>89.75202243076869</c:v>
                </c:pt>
                <c:pt idx="69">
                  <c:v>89.79813146330352</c:v>
                </c:pt>
                <c:pt idx="70">
                  <c:v>89.787000888574482</c:v>
                </c:pt>
                <c:pt idx="71">
                  <c:v>89.715319275894885</c:v>
                </c:pt>
                <c:pt idx="72">
                  <c:v>89.659492877895218</c:v>
                </c:pt>
                <c:pt idx="73">
                  <c:v>89.648501918730844</c:v>
                </c:pt>
                <c:pt idx="74">
                  <c:v>89.614565249666185</c:v>
                </c:pt>
                <c:pt idx="75">
                  <c:v>89.593229113152944</c:v>
                </c:pt>
                <c:pt idx="76">
                  <c:v>89.543303511765586</c:v>
                </c:pt>
                <c:pt idx="77">
                  <c:v>89.490150791969171</c:v>
                </c:pt>
                <c:pt idx="78">
                  <c:v>89.410917615454764</c:v>
                </c:pt>
                <c:pt idx="79">
                  <c:v>89.325650315256127</c:v>
                </c:pt>
                <c:pt idx="80">
                  <c:v>89.20314563422896</c:v>
                </c:pt>
                <c:pt idx="81">
                  <c:v>89.051306595902204</c:v>
                </c:pt>
                <c:pt idx="82">
                  <c:v>88.880535811783133</c:v>
                </c:pt>
                <c:pt idx="83">
                  <c:v>88.704070555468078</c:v>
                </c:pt>
                <c:pt idx="84">
                  <c:v>88.495774874608259</c:v>
                </c:pt>
                <c:pt idx="85">
                  <c:v>88.261929997840198</c:v>
                </c:pt>
                <c:pt idx="86">
                  <c:v>88.017538915239186</c:v>
                </c:pt>
                <c:pt idx="87">
                  <c:v>87.771119633389901</c:v>
                </c:pt>
                <c:pt idx="88">
                  <c:v>87.494168724010692</c:v>
                </c:pt>
                <c:pt idx="89">
                  <c:v>87.228437064050468</c:v>
                </c:pt>
                <c:pt idx="90">
                  <c:v>86.882669267961901</c:v>
                </c:pt>
                <c:pt idx="91">
                  <c:v>86.586702953701192</c:v>
                </c:pt>
                <c:pt idx="92">
                  <c:v>86.380140035077758</c:v>
                </c:pt>
                <c:pt idx="93">
                  <c:v>86.134267537212409</c:v>
                </c:pt>
                <c:pt idx="94">
                  <c:v>85.904251910098253</c:v>
                </c:pt>
                <c:pt idx="95">
                  <c:v>85.707644236898375</c:v>
                </c:pt>
                <c:pt idx="96">
                  <c:v>85.45807051480466</c:v>
                </c:pt>
                <c:pt idx="97">
                  <c:v>85.209440038427829</c:v>
                </c:pt>
                <c:pt idx="98">
                  <c:v>84.974414279583144</c:v>
                </c:pt>
                <c:pt idx="99">
                  <c:v>84.678431418324891</c:v>
                </c:pt>
                <c:pt idx="100">
                  <c:v>84.436976049253829</c:v>
                </c:pt>
                <c:pt idx="101">
                  <c:v>84.172096856953871</c:v>
                </c:pt>
                <c:pt idx="102">
                  <c:v>83.872008789220203</c:v>
                </c:pt>
                <c:pt idx="103">
                  <c:v>83.560299846460779</c:v>
                </c:pt>
                <c:pt idx="104">
                  <c:v>83.203057678848452</c:v>
                </c:pt>
                <c:pt idx="105">
                  <c:v>82.811120168070346</c:v>
                </c:pt>
                <c:pt idx="106">
                  <c:v>82.395780352224207</c:v>
                </c:pt>
                <c:pt idx="107">
                  <c:v>81.932674864373098</c:v>
                </c:pt>
                <c:pt idx="108">
                  <c:v>81.369280520453884</c:v>
                </c:pt>
                <c:pt idx="109">
                  <c:v>80.750637704182779</c:v>
                </c:pt>
                <c:pt idx="110">
                  <c:v>80.124772664549226</c:v>
                </c:pt>
                <c:pt idx="111">
                  <c:v>79.567705243288501</c:v>
                </c:pt>
                <c:pt idx="112">
                  <c:v>79.041512376121148</c:v>
                </c:pt>
                <c:pt idx="113">
                  <c:v>78.516195428115779</c:v>
                </c:pt>
                <c:pt idx="114">
                  <c:v>77.989662779318749</c:v>
                </c:pt>
                <c:pt idx="115">
                  <c:v>77.454938048082838</c:v>
                </c:pt>
                <c:pt idx="116">
                  <c:v>76.910450587307068</c:v>
                </c:pt>
                <c:pt idx="117">
                  <c:v>76.399593937436478</c:v>
                </c:pt>
                <c:pt idx="118">
                  <c:v>75.888915083121873</c:v>
                </c:pt>
                <c:pt idx="119">
                  <c:v>75.37004833742273</c:v>
                </c:pt>
                <c:pt idx="120">
                  <c:v>74.820921612369418</c:v>
                </c:pt>
                <c:pt idx="121">
                  <c:v>74.251851317287247</c:v>
                </c:pt>
                <c:pt idx="122">
                  <c:v>73.694622348275288</c:v>
                </c:pt>
                <c:pt idx="123">
                  <c:v>73.141075841181063</c:v>
                </c:pt>
                <c:pt idx="124">
                  <c:v>72.583616861409141</c:v>
                </c:pt>
                <c:pt idx="125">
                  <c:v>71.986372104638789</c:v>
                </c:pt>
                <c:pt idx="126">
                  <c:v>71.401891953115125</c:v>
                </c:pt>
                <c:pt idx="127">
                  <c:v>70.8151574042097</c:v>
                </c:pt>
                <c:pt idx="128">
                  <c:v>70.227764944409472</c:v>
                </c:pt>
                <c:pt idx="129">
                  <c:v>69.661137804111391</c:v>
                </c:pt>
                <c:pt idx="130">
                  <c:v>69.093428461828637</c:v>
                </c:pt>
                <c:pt idx="131">
                  <c:v>68.551791941112342</c:v>
                </c:pt>
                <c:pt idx="132">
                  <c:v>67.994457619018121</c:v>
                </c:pt>
                <c:pt idx="133">
                  <c:v>67.444381564289984</c:v>
                </c:pt>
                <c:pt idx="134">
                  <c:v>66.90146107935206</c:v>
                </c:pt>
                <c:pt idx="135">
                  <c:v>66.335449859311538</c:v>
                </c:pt>
                <c:pt idx="136">
                  <c:v>65.773550203314272</c:v>
                </c:pt>
                <c:pt idx="137">
                  <c:v>65.228795845893472</c:v>
                </c:pt>
                <c:pt idx="138">
                  <c:v>64.691960583595431</c:v>
                </c:pt>
                <c:pt idx="139">
                  <c:v>64.182471222439787</c:v>
                </c:pt>
                <c:pt idx="140">
                  <c:v>63.725297237759527</c:v>
                </c:pt>
                <c:pt idx="141">
                  <c:v>63.268400886868392</c:v>
                </c:pt>
                <c:pt idx="142">
                  <c:v>62.881230214845452</c:v>
                </c:pt>
                <c:pt idx="143">
                  <c:v>62.504651617201681</c:v>
                </c:pt>
                <c:pt idx="144">
                  <c:v>62.154606142448756</c:v>
                </c:pt>
                <c:pt idx="145">
                  <c:v>61.8000459560647</c:v>
                </c:pt>
                <c:pt idx="146">
                  <c:v>61.446677650791415</c:v>
                </c:pt>
                <c:pt idx="147">
                  <c:v>61.102509972654808</c:v>
                </c:pt>
                <c:pt idx="148">
                  <c:v>60.787881026095057</c:v>
                </c:pt>
                <c:pt idx="149">
                  <c:v>60.466294885344837</c:v>
                </c:pt>
                <c:pt idx="150">
                  <c:v>60.147969181675485</c:v>
                </c:pt>
                <c:pt idx="151">
                  <c:v>59.822851053299964</c:v>
                </c:pt>
                <c:pt idx="152">
                  <c:v>59.485492261574812</c:v>
                </c:pt>
                <c:pt idx="153">
                  <c:v>59.106403360562155</c:v>
                </c:pt>
                <c:pt idx="154">
                  <c:v>58.704126701698954</c:v>
                </c:pt>
                <c:pt idx="155">
                  <c:v>58.269832687648794</c:v>
                </c:pt>
                <c:pt idx="156">
                  <c:v>57.80959221986619</c:v>
                </c:pt>
                <c:pt idx="157">
                  <c:v>57.341122687578995</c:v>
                </c:pt>
                <c:pt idx="158">
                  <c:v>56.850804417376146</c:v>
                </c:pt>
                <c:pt idx="159">
                  <c:v>56.345562109794635</c:v>
                </c:pt>
                <c:pt idx="160">
                  <c:v>55.826674279175073</c:v>
                </c:pt>
                <c:pt idx="161">
                  <c:v>55.268833268163874</c:v>
                </c:pt>
                <c:pt idx="162">
                  <c:v>54.705423433859323</c:v>
                </c:pt>
                <c:pt idx="163">
                  <c:v>54.160892045929351</c:v>
                </c:pt>
                <c:pt idx="164">
                  <c:v>53.617720987131122</c:v>
                </c:pt>
                <c:pt idx="165">
                  <c:v>53.082872102892779</c:v>
                </c:pt>
                <c:pt idx="166">
                  <c:v>52.556945428153746</c:v>
                </c:pt>
                <c:pt idx="167">
                  <c:v>52.02670707811582</c:v>
                </c:pt>
                <c:pt idx="168">
                  <c:v>51.503660826587719</c:v>
                </c:pt>
                <c:pt idx="169">
                  <c:v>50.985130807460763</c:v>
                </c:pt>
                <c:pt idx="170">
                  <c:v>50.47844888902592</c:v>
                </c:pt>
                <c:pt idx="171">
                  <c:v>49.973357560028994</c:v>
                </c:pt>
                <c:pt idx="172">
                  <c:v>49.478882150808495</c:v>
                </c:pt>
                <c:pt idx="173">
                  <c:v>48.971768350528372</c:v>
                </c:pt>
                <c:pt idx="174">
                  <c:v>48.501612141772895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69-48AD-8B6B-70A9C9453B10}"/>
            </c:ext>
          </c:extLst>
        </c:ser>
        <c:ser>
          <c:idx val="7"/>
          <c:order val="7"/>
          <c:tx>
            <c:strRef>
              <c:f>data_co2_excLUC!$K$2</c:f>
              <c:strCache>
                <c:ptCount val="1"/>
                <c:pt idx="0">
                  <c:v>pct_annex2_GCP_fossil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data_co2_excLUC!$K$3:$K$177</c:f>
              <c:numCache>
                <c:formatCode>0.0</c:formatCode>
                <c:ptCount val="175"/>
                <c:pt idx="0">
                  <c:v>98.267698935219045</c:v>
                </c:pt>
                <c:pt idx="1">
                  <c:v>98.166450132195536</c:v>
                </c:pt>
                <c:pt idx="2">
                  <c:v>98.025765018127686</c:v>
                </c:pt>
                <c:pt idx="3">
                  <c:v>97.966257870603982</c:v>
                </c:pt>
                <c:pt idx="4">
                  <c:v>97.963265321302913</c:v>
                </c:pt>
                <c:pt idx="5">
                  <c:v>97.868248392670523</c:v>
                </c:pt>
                <c:pt idx="6">
                  <c:v>97.756073261416816</c:v>
                </c:pt>
                <c:pt idx="7">
                  <c:v>97.639910045578731</c:v>
                </c:pt>
                <c:pt idx="8">
                  <c:v>97.477267943639077</c:v>
                </c:pt>
                <c:pt idx="9">
                  <c:v>97.37720286247793</c:v>
                </c:pt>
                <c:pt idx="10">
                  <c:v>97.284771528352238</c:v>
                </c:pt>
                <c:pt idx="11">
                  <c:v>97.196371831071389</c:v>
                </c:pt>
                <c:pt idx="12">
                  <c:v>97.073775918595402</c:v>
                </c:pt>
                <c:pt idx="13">
                  <c:v>96.944120966546848</c:v>
                </c:pt>
                <c:pt idx="14">
                  <c:v>96.806240969798679</c:v>
                </c:pt>
                <c:pt idx="15">
                  <c:v>96.664443130696498</c:v>
                </c:pt>
                <c:pt idx="16">
                  <c:v>96.497009296921959</c:v>
                </c:pt>
                <c:pt idx="17">
                  <c:v>96.342405141811483</c:v>
                </c:pt>
                <c:pt idx="18">
                  <c:v>96.183621872279275</c:v>
                </c:pt>
                <c:pt idx="19">
                  <c:v>96.034390032567458</c:v>
                </c:pt>
                <c:pt idx="20">
                  <c:v>95.885101973409405</c:v>
                </c:pt>
                <c:pt idx="21">
                  <c:v>95.711502274253832</c:v>
                </c:pt>
                <c:pt idx="22">
                  <c:v>95.553445269185261</c:v>
                </c:pt>
                <c:pt idx="23">
                  <c:v>95.410393589630473</c:v>
                </c:pt>
                <c:pt idx="24">
                  <c:v>95.226207839407863</c:v>
                </c:pt>
                <c:pt idx="25">
                  <c:v>95.081722039885562</c:v>
                </c:pt>
                <c:pt idx="26">
                  <c:v>94.877664760214046</c:v>
                </c:pt>
                <c:pt idx="27">
                  <c:v>94.706251873074962</c:v>
                </c:pt>
                <c:pt idx="28">
                  <c:v>94.505055212090554</c:v>
                </c:pt>
                <c:pt idx="29">
                  <c:v>94.319429045707182</c:v>
                </c:pt>
                <c:pt idx="30">
                  <c:v>94.165749318303696</c:v>
                </c:pt>
                <c:pt idx="31">
                  <c:v>94.026201996658358</c:v>
                </c:pt>
                <c:pt idx="32">
                  <c:v>93.902950075491304</c:v>
                </c:pt>
                <c:pt idx="33">
                  <c:v>93.770931595967511</c:v>
                </c:pt>
                <c:pt idx="34">
                  <c:v>93.638243184855668</c:v>
                </c:pt>
                <c:pt idx="35">
                  <c:v>93.499926519273288</c:v>
                </c:pt>
                <c:pt idx="36">
                  <c:v>93.369160882119644</c:v>
                </c:pt>
                <c:pt idx="37">
                  <c:v>93.248266501878518</c:v>
                </c:pt>
                <c:pt idx="38">
                  <c:v>93.135257253214249</c:v>
                </c:pt>
                <c:pt idx="39">
                  <c:v>92.995594734272274</c:v>
                </c:pt>
                <c:pt idx="40">
                  <c:v>92.871409264366164</c:v>
                </c:pt>
                <c:pt idx="41">
                  <c:v>92.74044249947093</c:v>
                </c:pt>
                <c:pt idx="42">
                  <c:v>92.617899231747131</c:v>
                </c:pt>
                <c:pt idx="43">
                  <c:v>92.464871126168163</c:v>
                </c:pt>
                <c:pt idx="44">
                  <c:v>92.320673202875497</c:v>
                </c:pt>
                <c:pt idx="45">
                  <c:v>92.168989547038336</c:v>
                </c:pt>
                <c:pt idx="46">
                  <c:v>92.017017275667868</c:v>
                </c:pt>
                <c:pt idx="47">
                  <c:v>91.85767624430909</c:v>
                </c:pt>
                <c:pt idx="48">
                  <c:v>91.68509610525166</c:v>
                </c:pt>
                <c:pt idx="49">
                  <c:v>91.52691081706827</c:v>
                </c:pt>
                <c:pt idx="50">
                  <c:v>91.380723015816812</c:v>
                </c:pt>
                <c:pt idx="51">
                  <c:v>91.229419341667992</c:v>
                </c:pt>
                <c:pt idx="52">
                  <c:v>91.103598330574414</c:v>
                </c:pt>
                <c:pt idx="53">
                  <c:v>91.007411915722656</c:v>
                </c:pt>
                <c:pt idx="54">
                  <c:v>90.895053204436451</c:v>
                </c:pt>
                <c:pt idx="55">
                  <c:v>90.811372853842144</c:v>
                </c:pt>
                <c:pt idx="56">
                  <c:v>90.706039131289444</c:v>
                </c:pt>
                <c:pt idx="57">
                  <c:v>90.581429690254041</c:v>
                </c:pt>
                <c:pt idx="58">
                  <c:v>90.424578786419474</c:v>
                </c:pt>
                <c:pt idx="59">
                  <c:v>90.279447454721065</c:v>
                </c:pt>
                <c:pt idx="60">
                  <c:v>90.16562173472218</c:v>
                </c:pt>
                <c:pt idx="61">
                  <c:v>90.040088446842333</c:v>
                </c:pt>
                <c:pt idx="62">
                  <c:v>89.911046248206745</c:v>
                </c:pt>
                <c:pt idx="63">
                  <c:v>89.778196216638577</c:v>
                </c:pt>
                <c:pt idx="64">
                  <c:v>89.672660921414064</c:v>
                </c:pt>
                <c:pt idx="65">
                  <c:v>89.586213486857943</c:v>
                </c:pt>
                <c:pt idx="66">
                  <c:v>89.496297025647991</c:v>
                </c:pt>
                <c:pt idx="67">
                  <c:v>89.416327677142249</c:v>
                </c:pt>
                <c:pt idx="68">
                  <c:v>89.419166683168228</c:v>
                </c:pt>
                <c:pt idx="69">
                  <c:v>89.462573079899101</c:v>
                </c:pt>
                <c:pt idx="70">
                  <c:v>89.443928114258824</c:v>
                </c:pt>
                <c:pt idx="71">
                  <c:v>89.363877695881001</c:v>
                </c:pt>
                <c:pt idx="72">
                  <c:v>89.302300884613487</c:v>
                </c:pt>
                <c:pt idx="73">
                  <c:v>89.289496589860676</c:v>
                </c:pt>
                <c:pt idx="74">
                  <c:v>89.255268698063318</c:v>
                </c:pt>
                <c:pt idx="75">
                  <c:v>89.234527747336116</c:v>
                </c:pt>
                <c:pt idx="76">
                  <c:v>89.19326081278966</c:v>
                </c:pt>
                <c:pt idx="77">
                  <c:v>89.153660848627752</c:v>
                </c:pt>
                <c:pt idx="78">
                  <c:v>89.097859951799151</c:v>
                </c:pt>
                <c:pt idx="79">
                  <c:v>89.041253040936525</c:v>
                </c:pt>
                <c:pt idx="80">
                  <c:v>88.952868774273853</c:v>
                </c:pt>
                <c:pt idx="81">
                  <c:v>88.829004501681183</c:v>
                </c:pt>
                <c:pt idx="82">
                  <c:v>88.682859897510198</c:v>
                </c:pt>
                <c:pt idx="83">
                  <c:v>88.531229373530778</c:v>
                </c:pt>
                <c:pt idx="84">
                  <c:v>88.350923421857061</c:v>
                </c:pt>
                <c:pt idx="85">
                  <c:v>88.149173328520476</c:v>
                </c:pt>
                <c:pt idx="86">
                  <c:v>87.940455723569769</c:v>
                </c:pt>
                <c:pt idx="87">
                  <c:v>87.732470170203413</c:v>
                </c:pt>
                <c:pt idx="88">
                  <c:v>87.497149868547481</c:v>
                </c:pt>
                <c:pt idx="89">
                  <c:v>87.273547102878766</c:v>
                </c:pt>
                <c:pt idx="90">
                  <c:v>86.95965673996217</c:v>
                </c:pt>
                <c:pt idx="91">
                  <c:v>86.700956943086069</c:v>
                </c:pt>
                <c:pt idx="92">
                  <c:v>86.545615009780292</c:v>
                </c:pt>
                <c:pt idx="93">
                  <c:v>86.392044820230026</c:v>
                </c:pt>
                <c:pt idx="94">
                  <c:v>86.204254042196581</c:v>
                </c:pt>
                <c:pt idx="95">
                  <c:v>86.063116027075793</c:v>
                </c:pt>
                <c:pt idx="96">
                  <c:v>85.891104539354075</c:v>
                </c:pt>
                <c:pt idx="97">
                  <c:v>85.700904439681452</c:v>
                </c:pt>
                <c:pt idx="98">
                  <c:v>85.52003748533663</c:v>
                </c:pt>
                <c:pt idx="99">
                  <c:v>85.293056833554431</c:v>
                </c:pt>
                <c:pt idx="100">
                  <c:v>85.052828714550998</c:v>
                </c:pt>
                <c:pt idx="101">
                  <c:v>84.792681566629241</c:v>
                </c:pt>
                <c:pt idx="102">
                  <c:v>84.497988673562375</c:v>
                </c:pt>
                <c:pt idx="103">
                  <c:v>84.195035080529337</c:v>
                </c:pt>
                <c:pt idx="104">
                  <c:v>83.849495713341554</c:v>
                </c:pt>
                <c:pt idx="105">
                  <c:v>83.468383004608015</c:v>
                </c:pt>
                <c:pt idx="106">
                  <c:v>83.064964214328867</c:v>
                </c:pt>
                <c:pt idx="107">
                  <c:v>82.620322164509162</c:v>
                </c:pt>
                <c:pt idx="108">
                  <c:v>82.079164700811475</c:v>
                </c:pt>
                <c:pt idx="109">
                  <c:v>81.48257840264219</c:v>
                </c:pt>
                <c:pt idx="110">
                  <c:v>80.880557816962963</c:v>
                </c:pt>
                <c:pt idx="111">
                  <c:v>80.350577450122813</c:v>
                </c:pt>
                <c:pt idx="112">
                  <c:v>79.852269135959546</c:v>
                </c:pt>
                <c:pt idx="113">
                  <c:v>79.353922764829392</c:v>
                </c:pt>
                <c:pt idx="114">
                  <c:v>78.850934208478051</c:v>
                </c:pt>
                <c:pt idx="115">
                  <c:v>78.336062338978707</c:v>
                </c:pt>
                <c:pt idx="116">
                  <c:v>77.816991096038748</c:v>
                </c:pt>
                <c:pt idx="117">
                  <c:v>77.3239335475633</c:v>
                </c:pt>
                <c:pt idx="118">
                  <c:v>76.832886915094292</c:v>
                </c:pt>
                <c:pt idx="119">
                  <c:v>76.330370927326413</c:v>
                </c:pt>
                <c:pt idx="120">
                  <c:v>75.79674592470127</c:v>
                </c:pt>
                <c:pt idx="121">
                  <c:v>75.230354454356899</c:v>
                </c:pt>
                <c:pt idx="122">
                  <c:v>74.674582333835332</c:v>
                </c:pt>
                <c:pt idx="123">
                  <c:v>74.119204074986129</c:v>
                </c:pt>
                <c:pt idx="124">
                  <c:v>73.554733586008822</c:v>
                </c:pt>
                <c:pt idx="125">
                  <c:v>72.948679133148545</c:v>
                </c:pt>
                <c:pt idx="126">
                  <c:v>72.348459192503114</c:v>
                </c:pt>
                <c:pt idx="127">
                  <c:v>71.741886938101047</c:v>
                </c:pt>
                <c:pt idx="128">
                  <c:v>71.128700541771849</c:v>
                </c:pt>
                <c:pt idx="129">
                  <c:v>70.536738708950537</c:v>
                </c:pt>
                <c:pt idx="130">
                  <c:v>69.941855309774553</c:v>
                </c:pt>
                <c:pt idx="131">
                  <c:v>69.376238402693076</c:v>
                </c:pt>
                <c:pt idx="132">
                  <c:v>68.793102281163144</c:v>
                </c:pt>
                <c:pt idx="133">
                  <c:v>68.215507918448083</c:v>
                </c:pt>
                <c:pt idx="134">
                  <c:v>67.647941322693256</c:v>
                </c:pt>
                <c:pt idx="135">
                  <c:v>67.054670694329417</c:v>
                </c:pt>
                <c:pt idx="136">
                  <c:v>66.465444736495058</c:v>
                </c:pt>
                <c:pt idx="137">
                  <c:v>65.893216277173778</c:v>
                </c:pt>
                <c:pt idx="138">
                  <c:v>65.324741389321417</c:v>
                </c:pt>
                <c:pt idx="139">
                  <c:v>64.792287295414255</c:v>
                </c:pt>
                <c:pt idx="140">
                  <c:v>64.305235636215599</c:v>
                </c:pt>
                <c:pt idx="141">
                  <c:v>63.84243884503897</c:v>
                </c:pt>
                <c:pt idx="142">
                  <c:v>63.428085961355421</c:v>
                </c:pt>
                <c:pt idx="143">
                  <c:v>63.023086202113653</c:v>
                </c:pt>
                <c:pt idx="144">
                  <c:v>62.642061191602608</c:v>
                </c:pt>
                <c:pt idx="145">
                  <c:v>62.259854512039325</c:v>
                </c:pt>
                <c:pt idx="146">
                  <c:v>61.883965652119699</c:v>
                </c:pt>
                <c:pt idx="147">
                  <c:v>61.522292680330196</c:v>
                </c:pt>
                <c:pt idx="148">
                  <c:v>61.195845058410612</c:v>
                </c:pt>
                <c:pt idx="149">
                  <c:v>60.864418150909302</c:v>
                </c:pt>
                <c:pt idx="150">
                  <c:v>60.538514485493565</c:v>
                </c:pt>
                <c:pt idx="151">
                  <c:v>60.209941540370615</c:v>
                </c:pt>
                <c:pt idx="152">
                  <c:v>59.873052161950469</c:v>
                </c:pt>
                <c:pt idx="153">
                  <c:v>59.492339205873279</c:v>
                </c:pt>
                <c:pt idx="154">
                  <c:v>59.093342851503728</c:v>
                </c:pt>
                <c:pt idx="155">
                  <c:v>58.666079859464695</c:v>
                </c:pt>
                <c:pt idx="156">
                  <c:v>58.20404864350833</c:v>
                </c:pt>
                <c:pt idx="157">
                  <c:v>57.73001400184372</c:v>
                </c:pt>
                <c:pt idx="158">
                  <c:v>57.225946475510966</c:v>
                </c:pt>
                <c:pt idx="159">
                  <c:v>56.704371865109152</c:v>
                </c:pt>
                <c:pt idx="160">
                  <c:v>56.15763952217192</c:v>
                </c:pt>
                <c:pt idx="161">
                  <c:v>55.573634540635965</c:v>
                </c:pt>
                <c:pt idx="162">
                  <c:v>54.984955202674449</c:v>
                </c:pt>
                <c:pt idx="163">
                  <c:v>54.419223130618519</c:v>
                </c:pt>
                <c:pt idx="164">
                  <c:v>53.861933159759602</c:v>
                </c:pt>
                <c:pt idx="165">
                  <c:v>53.323104401982235</c:v>
                </c:pt>
                <c:pt idx="166">
                  <c:v>52.797689114450463</c:v>
                </c:pt>
                <c:pt idx="167">
                  <c:v>52.272934654414769</c:v>
                </c:pt>
                <c:pt idx="168">
                  <c:v>51.751310524933523</c:v>
                </c:pt>
                <c:pt idx="169">
                  <c:v>51.22410002250006</c:v>
                </c:pt>
                <c:pt idx="170">
                  <c:v>50.708507880586907</c:v>
                </c:pt>
                <c:pt idx="171">
                  <c:v>50.193656718385306</c:v>
                </c:pt>
                <c:pt idx="172">
                  <c:v>49.679946235188496</c:v>
                </c:pt>
                <c:pt idx="173">
                  <c:v>49.154011322927602</c:v>
                </c:pt>
                <c:pt idx="174">
                  <c:v>48.634529780665289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969-48AD-8B6B-70A9C9453B10}"/>
            </c:ext>
          </c:extLst>
        </c:ser>
        <c:ser>
          <c:idx val="8"/>
          <c:order val="8"/>
          <c:tx>
            <c:strRef>
              <c:f>data_co2_excLUC!$L$2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data_co2_excLUC!$L$3:$L$177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969-48AD-8B6B-70A9C9453B10}"/>
            </c:ext>
          </c:extLst>
        </c:ser>
        <c:ser>
          <c:idx val="9"/>
          <c:order val="9"/>
          <c:tx>
            <c:strRef>
              <c:f>data_co2_excLUC!$M$2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data_co2_excLUC!$M$3:$M$177</c:f>
              <c:numCache>
                <c:formatCode>0.0</c:formatCode>
                <c:ptCount val="175"/>
                <c:pt idx="0">
                  <c:v>99.944119320490927</c:v>
                </c:pt>
                <c:pt idx="1">
                  <c:v>99.944391925707606</c:v>
                </c:pt>
                <c:pt idx="2">
                  <c:v>99.933523534492338</c:v>
                </c:pt>
                <c:pt idx="3">
                  <c:v>99.936864531761529</c:v>
                </c:pt>
                <c:pt idx="4">
                  <c:v>99.951371274277179</c:v>
                </c:pt>
                <c:pt idx="5">
                  <c:v>99.945948212098628</c:v>
                </c:pt>
                <c:pt idx="6">
                  <c:v>99.896468465632921</c:v>
                </c:pt>
                <c:pt idx="7">
                  <c:v>99.845925087933509</c:v>
                </c:pt>
                <c:pt idx="8">
                  <c:v>99.784521795673101</c:v>
                </c:pt>
                <c:pt idx="9">
                  <c:v>99.73861425689897</c:v>
                </c:pt>
                <c:pt idx="10">
                  <c:v>99.695837584941899</c:v>
                </c:pt>
                <c:pt idx="11">
                  <c:v>99.665507243446015</c:v>
                </c:pt>
                <c:pt idx="12">
                  <c:v>99.637949853768333</c:v>
                </c:pt>
                <c:pt idx="13">
                  <c:v>99.61990278741375</c:v>
                </c:pt>
                <c:pt idx="14">
                  <c:v>99.597943590984627</c:v>
                </c:pt>
                <c:pt idx="15">
                  <c:v>99.578286907799125</c:v>
                </c:pt>
                <c:pt idx="16">
                  <c:v>99.546648460210534</c:v>
                </c:pt>
                <c:pt idx="17">
                  <c:v>99.530537611973116</c:v>
                </c:pt>
                <c:pt idx="18">
                  <c:v>99.514545873939809</c:v>
                </c:pt>
                <c:pt idx="19">
                  <c:v>99.503689981774173</c:v>
                </c:pt>
                <c:pt idx="20">
                  <c:v>99.494503676663825</c:v>
                </c:pt>
                <c:pt idx="21">
                  <c:v>99.485095646615179</c:v>
                </c:pt>
                <c:pt idx="22">
                  <c:v>99.471346378255959</c:v>
                </c:pt>
                <c:pt idx="23">
                  <c:v>99.458781432501397</c:v>
                </c:pt>
                <c:pt idx="24">
                  <c:v>99.439463807598742</c:v>
                </c:pt>
                <c:pt idx="25">
                  <c:v>99.428922107046319</c:v>
                </c:pt>
                <c:pt idx="26">
                  <c:v>99.419227502497193</c:v>
                </c:pt>
                <c:pt idx="27">
                  <c:v>99.41260200581867</c:v>
                </c:pt>
                <c:pt idx="28">
                  <c:v>99.389441700959239</c:v>
                </c:pt>
                <c:pt idx="29">
                  <c:v>99.370488571738917</c:v>
                </c:pt>
                <c:pt idx="30">
                  <c:v>99.352245214540645</c:v>
                </c:pt>
                <c:pt idx="31">
                  <c:v>99.335163978505719</c:v>
                </c:pt>
                <c:pt idx="32">
                  <c:v>99.318523137630748</c:v>
                </c:pt>
                <c:pt idx="33">
                  <c:v>99.301593606866746</c:v>
                </c:pt>
                <c:pt idx="34">
                  <c:v>99.282081491144822</c:v>
                </c:pt>
                <c:pt idx="35">
                  <c:v>99.263891676240235</c:v>
                </c:pt>
                <c:pt idx="36">
                  <c:v>99.247810309719625</c:v>
                </c:pt>
                <c:pt idx="37">
                  <c:v>99.228887149177496</c:v>
                </c:pt>
                <c:pt idx="38">
                  <c:v>99.207978449352126</c:v>
                </c:pt>
                <c:pt idx="39">
                  <c:v>99.179775743142642</c:v>
                </c:pt>
                <c:pt idx="40">
                  <c:v>99.15769183429633</c:v>
                </c:pt>
                <c:pt idx="41">
                  <c:v>99.132946884044941</c:v>
                </c:pt>
                <c:pt idx="42">
                  <c:v>99.103428626596354</c:v>
                </c:pt>
                <c:pt idx="43">
                  <c:v>99.066530424050825</c:v>
                </c:pt>
                <c:pt idx="44">
                  <c:v>99.025940207942</c:v>
                </c:pt>
                <c:pt idx="45">
                  <c:v>98.981009007967586</c:v>
                </c:pt>
                <c:pt idx="46">
                  <c:v>98.934043062549989</c:v>
                </c:pt>
                <c:pt idx="47">
                  <c:v>98.886584496393723</c:v>
                </c:pt>
                <c:pt idx="48">
                  <c:v>98.83374033663442</c:v>
                </c:pt>
                <c:pt idx="49">
                  <c:v>98.783303896266062</c:v>
                </c:pt>
                <c:pt idx="50">
                  <c:v>98.741952380047763</c:v>
                </c:pt>
                <c:pt idx="51">
                  <c:v>98.692885849028173</c:v>
                </c:pt>
                <c:pt idx="52">
                  <c:v>98.642857984609932</c:v>
                </c:pt>
                <c:pt idx="53">
                  <c:v>98.592193588371146</c:v>
                </c:pt>
                <c:pt idx="54">
                  <c:v>98.535727094025432</c:v>
                </c:pt>
                <c:pt idx="55">
                  <c:v>98.481161364327832</c:v>
                </c:pt>
                <c:pt idx="56">
                  <c:v>98.41741334074085</c:v>
                </c:pt>
                <c:pt idx="57">
                  <c:v>98.319384878090133</c:v>
                </c:pt>
                <c:pt idx="58">
                  <c:v>98.214309752663638</c:v>
                </c:pt>
                <c:pt idx="59">
                  <c:v>98.115213843290562</c:v>
                </c:pt>
                <c:pt idx="60">
                  <c:v>98.020952706225387</c:v>
                </c:pt>
                <c:pt idx="61">
                  <c:v>97.923444072991842</c:v>
                </c:pt>
                <c:pt idx="62">
                  <c:v>97.839757702553129</c:v>
                </c:pt>
                <c:pt idx="63">
                  <c:v>97.744691238135644</c:v>
                </c:pt>
                <c:pt idx="64">
                  <c:v>97.657518901381025</c:v>
                </c:pt>
                <c:pt idx="65">
                  <c:v>97.578531555699414</c:v>
                </c:pt>
                <c:pt idx="66">
                  <c:v>97.496478567992796</c:v>
                </c:pt>
                <c:pt idx="67">
                  <c:v>97.410361287117439</c:v>
                </c:pt>
                <c:pt idx="68">
                  <c:v>97.326015139685154</c:v>
                </c:pt>
                <c:pt idx="69">
                  <c:v>97.211466285956547</c:v>
                </c:pt>
                <c:pt idx="70">
                  <c:v>97.07985703873311</c:v>
                </c:pt>
                <c:pt idx="71">
                  <c:v>96.929299666638357</c:v>
                </c:pt>
                <c:pt idx="72">
                  <c:v>96.793028503450245</c:v>
                </c:pt>
                <c:pt idx="73">
                  <c:v>96.670686161057233</c:v>
                </c:pt>
                <c:pt idx="74">
                  <c:v>96.545871304807235</c:v>
                </c:pt>
                <c:pt idx="75">
                  <c:v>96.436518975473433</c:v>
                </c:pt>
                <c:pt idx="76">
                  <c:v>96.337753072057978</c:v>
                </c:pt>
                <c:pt idx="77">
                  <c:v>96.253678856177928</c:v>
                </c:pt>
                <c:pt idx="78">
                  <c:v>96.170639844832479</c:v>
                </c:pt>
                <c:pt idx="79">
                  <c:v>96.093971163927165</c:v>
                </c:pt>
                <c:pt idx="80">
                  <c:v>96.013011084505152</c:v>
                </c:pt>
                <c:pt idx="81">
                  <c:v>95.933542881943112</c:v>
                </c:pt>
                <c:pt idx="82">
                  <c:v>95.848255870211148</c:v>
                </c:pt>
                <c:pt idx="83">
                  <c:v>95.759320280156373</c:v>
                </c:pt>
                <c:pt idx="84">
                  <c:v>95.658485203584178</c:v>
                </c:pt>
                <c:pt idx="85">
                  <c:v>95.546681199308821</c:v>
                </c:pt>
                <c:pt idx="86">
                  <c:v>95.437852396720743</c:v>
                </c:pt>
                <c:pt idx="87">
                  <c:v>95.32277371866769</c:v>
                </c:pt>
                <c:pt idx="88">
                  <c:v>95.205351149512623</c:v>
                </c:pt>
                <c:pt idx="89">
                  <c:v>95.083512433200795</c:v>
                </c:pt>
                <c:pt idx="90">
                  <c:v>94.958215007714159</c:v>
                </c:pt>
                <c:pt idx="91">
                  <c:v>94.84263993543</c:v>
                </c:pt>
                <c:pt idx="92">
                  <c:v>94.747041286109877</c:v>
                </c:pt>
                <c:pt idx="93">
                  <c:v>94.663889679596338</c:v>
                </c:pt>
                <c:pt idx="94">
                  <c:v>94.57472988274435</c:v>
                </c:pt>
                <c:pt idx="95">
                  <c:v>94.487244146353916</c:v>
                </c:pt>
                <c:pt idx="96">
                  <c:v>94.401352464724638</c:v>
                </c:pt>
                <c:pt idx="97">
                  <c:v>94.305271773363657</c:v>
                </c:pt>
                <c:pt idx="98">
                  <c:v>94.221643943760654</c:v>
                </c:pt>
                <c:pt idx="99">
                  <c:v>94.137058714675419</c:v>
                </c:pt>
                <c:pt idx="100">
                  <c:v>94.037693842819493</c:v>
                </c:pt>
                <c:pt idx="101">
                  <c:v>93.925574489720617</c:v>
                </c:pt>
                <c:pt idx="102">
                  <c:v>93.796013791766967</c:v>
                </c:pt>
                <c:pt idx="103">
                  <c:v>93.669642548208813</c:v>
                </c:pt>
                <c:pt idx="104">
                  <c:v>93.521204908679607</c:v>
                </c:pt>
                <c:pt idx="105">
                  <c:v>93.350128430829315</c:v>
                </c:pt>
                <c:pt idx="106">
                  <c:v>93.168571121878045</c:v>
                </c:pt>
                <c:pt idx="107">
                  <c:v>92.969125609487506</c:v>
                </c:pt>
                <c:pt idx="108">
                  <c:v>92.680503606617904</c:v>
                </c:pt>
                <c:pt idx="109">
                  <c:v>92.334120447474078</c:v>
                </c:pt>
                <c:pt idx="110">
                  <c:v>91.974617788755538</c:v>
                </c:pt>
                <c:pt idx="111">
                  <c:v>91.694732944980245</c:v>
                </c:pt>
                <c:pt idx="112">
                  <c:v>91.452187870746059</c:v>
                </c:pt>
                <c:pt idx="113">
                  <c:v>91.218328957503417</c:v>
                </c:pt>
                <c:pt idx="114">
                  <c:v>90.984407640974666</c:v>
                </c:pt>
                <c:pt idx="115">
                  <c:v>90.735268244041578</c:v>
                </c:pt>
                <c:pt idx="116">
                  <c:v>90.477346994972862</c:v>
                </c:pt>
                <c:pt idx="117">
                  <c:v>90.243626442966246</c:v>
                </c:pt>
                <c:pt idx="118">
                  <c:v>89.998232045860703</c:v>
                </c:pt>
                <c:pt idx="119">
                  <c:v>89.729739508839771</c:v>
                </c:pt>
                <c:pt idx="120">
                  <c:v>89.416137567350205</c:v>
                </c:pt>
                <c:pt idx="121">
                  <c:v>89.072950037040201</c:v>
                </c:pt>
                <c:pt idx="122">
                  <c:v>88.736009884924556</c:v>
                </c:pt>
                <c:pt idx="123">
                  <c:v>88.387669949753288</c:v>
                </c:pt>
                <c:pt idx="124">
                  <c:v>88.040862136510896</c:v>
                </c:pt>
                <c:pt idx="125">
                  <c:v>87.674113252731573</c:v>
                </c:pt>
                <c:pt idx="126">
                  <c:v>87.302796583170718</c:v>
                </c:pt>
                <c:pt idx="127">
                  <c:v>86.921580892237841</c:v>
                </c:pt>
                <c:pt idx="128">
                  <c:v>86.525123717943913</c:v>
                </c:pt>
                <c:pt idx="129">
                  <c:v>86.12716998101854</c:v>
                </c:pt>
                <c:pt idx="130">
                  <c:v>85.739513275207898</c:v>
                </c:pt>
                <c:pt idx="131">
                  <c:v>85.364196018362037</c:v>
                </c:pt>
                <c:pt idx="132">
                  <c:v>84.975328828845548</c:v>
                </c:pt>
                <c:pt idx="133">
                  <c:v>84.584835505843486</c:v>
                </c:pt>
                <c:pt idx="134">
                  <c:v>84.186280417040606</c:v>
                </c:pt>
                <c:pt idx="135">
                  <c:v>83.774483847294675</c:v>
                </c:pt>
                <c:pt idx="136">
                  <c:v>83.354855377068247</c:v>
                </c:pt>
                <c:pt idx="137">
                  <c:v>82.932992240051277</c:v>
                </c:pt>
                <c:pt idx="138">
                  <c:v>82.493580444107934</c:v>
                </c:pt>
                <c:pt idx="139">
                  <c:v>82.063734246907643</c:v>
                </c:pt>
                <c:pt idx="140">
                  <c:v>81.670649934264191</c:v>
                </c:pt>
                <c:pt idx="141">
                  <c:v>81.21316255555638</c:v>
                </c:pt>
                <c:pt idx="142">
                  <c:v>80.787837145391535</c:v>
                </c:pt>
                <c:pt idx="143">
                  <c:v>80.343594058022376</c:v>
                </c:pt>
                <c:pt idx="144">
                  <c:v>79.881654651558392</c:v>
                </c:pt>
                <c:pt idx="145">
                  <c:v>79.407738976936699</c:v>
                </c:pt>
                <c:pt idx="146">
                  <c:v>78.929809055366604</c:v>
                </c:pt>
                <c:pt idx="147">
                  <c:v>78.455200049018231</c:v>
                </c:pt>
                <c:pt idx="148">
                  <c:v>78.015235087188955</c:v>
                </c:pt>
                <c:pt idx="149">
                  <c:v>77.561614070111702</c:v>
                </c:pt>
                <c:pt idx="150">
                  <c:v>77.107087965907311</c:v>
                </c:pt>
                <c:pt idx="151">
                  <c:v>76.657974279712406</c:v>
                </c:pt>
                <c:pt idx="152">
                  <c:v>76.195405764806949</c:v>
                </c:pt>
                <c:pt idx="153">
                  <c:v>75.683170309148892</c:v>
                </c:pt>
                <c:pt idx="154">
                  <c:v>75.14852334590833</c:v>
                </c:pt>
                <c:pt idx="155">
                  <c:v>74.582379259397413</c:v>
                </c:pt>
                <c:pt idx="156">
                  <c:v>73.985595514448306</c:v>
                </c:pt>
                <c:pt idx="157">
                  <c:v>73.376385397245727</c:v>
                </c:pt>
                <c:pt idx="158">
                  <c:v>72.736821833949264</c:v>
                </c:pt>
                <c:pt idx="159">
                  <c:v>72.074934989236198</c:v>
                </c:pt>
                <c:pt idx="160">
                  <c:v>71.384286060584103</c:v>
                </c:pt>
                <c:pt idx="161">
                  <c:v>70.657832769610934</c:v>
                </c:pt>
                <c:pt idx="162">
                  <c:v>69.928222582885851</c:v>
                </c:pt>
                <c:pt idx="163">
                  <c:v>69.217578274295974</c:v>
                </c:pt>
                <c:pt idx="164">
                  <c:v>68.517544206411799</c:v>
                </c:pt>
                <c:pt idx="165">
                  <c:v>67.842613185382888</c:v>
                </c:pt>
                <c:pt idx="166">
                  <c:v>67.189731968166512</c:v>
                </c:pt>
                <c:pt idx="167">
                  <c:v>66.542770978646558</c:v>
                </c:pt>
                <c:pt idx="168">
                  <c:v>65.900768485028038</c:v>
                </c:pt>
                <c:pt idx="169">
                  <c:v>65.251180505028415</c:v>
                </c:pt>
                <c:pt idx="170">
                  <c:v>64.623806176538764</c:v>
                </c:pt>
                <c:pt idx="171">
                  <c:v>63.996341137979066</c:v>
                </c:pt>
                <c:pt idx="172">
                  <c:v>63.36390222562833</c:v>
                </c:pt>
                <c:pt idx="173">
                  <c:v>62.722166464080168</c:v>
                </c:pt>
                <c:pt idx="174">
                  <c:v>62.091743207812513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969-48AD-8B6B-70A9C9453B10}"/>
            </c:ext>
          </c:extLst>
        </c:ser>
        <c:ser>
          <c:idx val="10"/>
          <c:order val="10"/>
          <c:tx>
            <c:strRef>
              <c:f>data_co2_excLUC!$N$2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data_co2_excLUC!$N$3:$N$177</c:f>
              <c:numCache>
                <c:formatCode>0.0</c:formatCode>
                <c:ptCount val="175"/>
                <c:pt idx="0">
                  <c:v>99.978888867068591</c:v>
                </c:pt>
                <c:pt idx="1">
                  <c:v>99.97854820073033</c:v>
                </c:pt>
                <c:pt idx="2">
                  <c:v>99.977804143120167</c:v>
                </c:pt>
                <c:pt idx="3">
                  <c:v>99.976662722393115</c:v>
                </c:pt>
                <c:pt idx="4">
                  <c:v>99.975864282176943</c:v>
                </c:pt>
                <c:pt idx="5">
                  <c:v>99.974822281273973</c:v>
                </c:pt>
                <c:pt idx="6">
                  <c:v>99.973987692666682</c:v>
                </c:pt>
                <c:pt idx="7">
                  <c:v>99.973086601841359</c:v>
                </c:pt>
                <c:pt idx="8">
                  <c:v>99.953491629153874</c:v>
                </c:pt>
                <c:pt idx="9">
                  <c:v>99.928603557523061</c:v>
                </c:pt>
                <c:pt idx="10">
                  <c:v>99.908867987552014</c:v>
                </c:pt>
                <c:pt idx="11">
                  <c:v>99.897718484849591</c:v>
                </c:pt>
                <c:pt idx="12">
                  <c:v>99.887773534959052</c:v>
                </c:pt>
                <c:pt idx="13">
                  <c:v>99.878629152100643</c:v>
                </c:pt>
                <c:pt idx="14">
                  <c:v>99.87236480798893</c:v>
                </c:pt>
                <c:pt idx="15">
                  <c:v>99.868158574946449</c:v>
                </c:pt>
                <c:pt idx="16">
                  <c:v>99.858423522895592</c:v>
                </c:pt>
                <c:pt idx="17">
                  <c:v>99.848959810374382</c:v>
                </c:pt>
                <c:pt idx="18">
                  <c:v>99.840833886544971</c:v>
                </c:pt>
                <c:pt idx="19">
                  <c:v>99.830946784114175</c:v>
                </c:pt>
                <c:pt idx="20">
                  <c:v>99.820500247954627</c:v>
                </c:pt>
                <c:pt idx="21">
                  <c:v>99.808260885356049</c:v>
                </c:pt>
                <c:pt idx="22">
                  <c:v>99.797417318501786</c:v>
                </c:pt>
                <c:pt idx="23">
                  <c:v>99.788181538188908</c:v>
                </c:pt>
                <c:pt idx="24">
                  <c:v>99.776597373669929</c:v>
                </c:pt>
                <c:pt idx="25">
                  <c:v>99.765466005523123</c:v>
                </c:pt>
                <c:pt idx="26">
                  <c:v>99.753086590473174</c:v>
                </c:pt>
                <c:pt idx="27">
                  <c:v>99.741797401756628</c:v>
                </c:pt>
                <c:pt idx="28">
                  <c:v>99.728029437318753</c:v>
                </c:pt>
                <c:pt idx="29">
                  <c:v>99.717092620633863</c:v>
                </c:pt>
                <c:pt idx="30">
                  <c:v>99.705840540477482</c:v>
                </c:pt>
                <c:pt idx="31">
                  <c:v>99.695866518173162</c:v>
                </c:pt>
                <c:pt idx="32">
                  <c:v>99.684974198796027</c:v>
                </c:pt>
                <c:pt idx="33">
                  <c:v>99.67302020002893</c:v>
                </c:pt>
                <c:pt idx="34">
                  <c:v>99.660410602935272</c:v>
                </c:pt>
                <c:pt idx="35">
                  <c:v>99.649211988220159</c:v>
                </c:pt>
                <c:pt idx="36">
                  <c:v>99.637388624045755</c:v>
                </c:pt>
                <c:pt idx="37">
                  <c:v>99.619729080505692</c:v>
                </c:pt>
                <c:pt idx="38">
                  <c:v>99.604341471001973</c:v>
                </c:pt>
                <c:pt idx="39">
                  <c:v>99.582721426822928</c:v>
                </c:pt>
                <c:pt idx="40">
                  <c:v>99.562146225437388</c:v>
                </c:pt>
                <c:pt idx="41">
                  <c:v>99.540639152587318</c:v>
                </c:pt>
                <c:pt idx="42">
                  <c:v>99.514612933656792</c:v>
                </c:pt>
                <c:pt idx="43">
                  <c:v>99.479748482624544</c:v>
                </c:pt>
                <c:pt idx="44">
                  <c:v>99.444690461652712</c:v>
                </c:pt>
                <c:pt idx="45">
                  <c:v>99.400947808339552</c:v>
                </c:pt>
                <c:pt idx="46">
                  <c:v>99.355721277830682</c:v>
                </c:pt>
                <c:pt idx="47">
                  <c:v>99.308761168359567</c:v>
                </c:pt>
                <c:pt idx="48">
                  <c:v>99.256218232385478</c:v>
                </c:pt>
                <c:pt idx="49">
                  <c:v>99.205456363272731</c:v>
                </c:pt>
                <c:pt idx="50">
                  <c:v>99.1620350033687</c:v>
                </c:pt>
                <c:pt idx="51">
                  <c:v>99.102416671866038</c:v>
                </c:pt>
                <c:pt idx="52">
                  <c:v>99.041584517607333</c:v>
                </c:pt>
                <c:pt idx="53">
                  <c:v>98.977514857639534</c:v>
                </c:pt>
                <c:pt idx="54">
                  <c:v>98.907555196239628</c:v>
                </c:pt>
                <c:pt idx="55">
                  <c:v>98.843170494565726</c:v>
                </c:pt>
                <c:pt idx="56">
                  <c:v>98.742352809758415</c:v>
                </c:pt>
                <c:pt idx="57">
                  <c:v>98.646853144462682</c:v>
                </c:pt>
                <c:pt idx="58">
                  <c:v>98.534965283559359</c:v>
                </c:pt>
                <c:pt idx="59">
                  <c:v>98.436091187127317</c:v>
                </c:pt>
                <c:pt idx="60">
                  <c:v>98.342637088753676</c:v>
                </c:pt>
                <c:pt idx="61">
                  <c:v>98.234154241603122</c:v>
                </c:pt>
                <c:pt idx="62">
                  <c:v>98.152838091765915</c:v>
                </c:pt>
                <c:pt idx="63">
                  <c:v>98.065564583424504</c:v>
                </c:pt>
                <c:pt idx="64">
                  <c:v>97.981189122508596</c:v>
                </c:pt>
                <c:pt idx="65">
                  <c:v>97.898623389820074</c:v>
                </c:pt>
                <c:pt idx="66">
                  <c:v>97.816888994470645</c:v>
                </c:pt>
                <c:pt idx="67">
                  <c:v>97.733236730105716</c:v>
                </c:pt>
                <c:pt idx="68">
                  <c:v>97.652999279832159</c:v>
                </c:pt>
                <c:pt idx="69">
                  <c:v>97.544748713498436</c:v>
                </c:pt>
                <c:pt idx="70">
                  <c:v>97.422658759414844</c:v>
                </c:pt>
                <c:pt idx="71">
                  <c:v>97.281697129308881</c:v>
                </c:pt>
                <c:pt idx="72">
                  <c:v>97.151084072511182</c:v>
                </c:pt>
                <c:pt idx="73">
                  <c:v>97.031273507257708</c:v>
                </c:pt>
                <c:pt idx="74">
                  <c:v>96.907361044840599</c:v>
                </c:pt>
                <c:pt idx="75">
                  <c:v>96.796322117555746</c:v>
                </c:pt>
                <c:pt idx="76">
                  <c:v>96.687332134708484</c:v>
                </c:pt>
                <c:pt idx="77">
                  <c:v>96.589369273342186</c:v>
                </c:pt>
                <c:pt idx="78">
                  <c:v>96.481021585942401</c:v>
                </c:pt>
                <c:pt idx="79">
                  <c:v>96.372753312767571</c:v>
                </c:pt>
                <c:pt idx="80">
                  <c:v>96.255881207901425</c:v>
                </c:pt>
                <c:pt idx="81">
                  <c:v>96.147334059655932</c:v>
                </c:pt>
                <c:pt idx="82">
                  <c:v>96.036462518091597</c:v>
                </c:pt>
                <c:pt idx="83">
                  <c:v>95.92164371419662</c:v>
                </c:pt>
                <c:pt idx="84">
                  <c:v>95.791643561827115</c:v>
                </c:pt>
                <c:pt idx="85">
                  <c:v>95.64634661967095</c:v>
                </c:pt>
                <c:pt idx="86">
                  <c:v>95.500570816561179</c:v>
                </c:pt>
                <c:pt idx="87">
                  <c:v>95.34547229668992</c:v>
                </c:pt>
                <c:pt idx="88">
                  <c:v>95.184816118973757</c:v>
                </c:pt>
                <c:pt idx="89">
                  <c:v>95.018297588923488</c:v>
                </c:pt>
                <c:pt idx="90">
                  <c:v>94.859088703746167</c:v>
                </c:pt>
                <c:pt idx="91">
                  <c:v>94.705667083618778</c:v>
                </c:pt>
                <c:pt idx="92">
                  <c:v>94.58571945287288</c:v>
                </c:pt>
                <c:pt idx="93">
                  <c:v>94.464012853118945</c:v>
                </c:pt>
                <c:pt idx="94">
                  <c:v>94.33178846554317</c:v>
                </c:pt>
                <c:pt idx="95">
                  <c:v>94.187752046997531</c:v>
                </c:pt>
                <c:pt idx="96">
                  <c:v>94.019795039718815</c:v>
                </c:pt>
                <c:pt idx="97">
                  <c:v>93.863432037312947</c:v>
                </c:pt>
                <c:pt idx="98">
                  <c:v>93.725351199930557</c:v>
                </c:pt>
                <c:pt idx="99">
                  <c:v>93.570608916128563</c:v>
                </c:pt>
                <c:pt idx="100">
                  <c:v>93.479933433465504</c:v>
                </c:pt>
                <c:pt idx="101">
                  <c:v>93.374139429864371</c:v>
                </c:pt>
                <c:pt idx="102">
                  <c:v>93.251874261924911</c:v>
                </c:pt>
                <c:pt idx="103">
                  <c:v>93.130606193486116</c:v>
                </c:pt>
                <c:pt idx="104">
                  <c:v>92.985708475415535</c:v>
                </c:pt>
                <c:pt idx="105">
                  <c:v>92.822148969544585</c:v>
                </c:pt>
                <c:pt idx="106">
                  <c:v>92.648676657150787</c:v>
                </c:pt>
                <c:pt idx="107">
                  <c:v>92.451908187900088</c:v>
                </c:pt>
                <c:pt idx="108">
                  <c:v>92.162811236036674</c:v>
                </c:pt>
                <c:pt idx="109">
                  <c:v>91.81636937089354</c:v>
                </c:pt>
                <c:pt idx="110">
                  <c:v>91.455636648708207</c:v>
                </c:pt>
                <c:pt idx="111">
                  <c:v>91.170233022092845</c:v>
                </c:pt>
                <c:pt idx="112">
                  <c:v>90.919996150334995</c:v>
                </c:pt>
                <c:pt idx="113">
                  <c:v>90.677494878867719</c:v>
                </c:pt>
                <c:pt idx="114">
                  <c:v>90.439281101628197</c:v>
                </c:pt>
                <c:pt idx="115">
                  <c:v>90.189786762150518</c:v>
                </c:pt>
                <c:pt idx="116">
                  <c:v>89.926834211603961</c:v>
                </c:pt>
                <c:pt idx="117">
                  <c:v>89.696071068711746</c:v>
                </c:pt>
                <c:pt idx="118">
                  <c:v>89.449597927340434</c:v>
                </c:pt>
                <c:pt idx="119">
                  <c:v>89.182105438370201</c:v>
                </c:pt>
                <c:pt idx="120">
                  <c:v>88.8676841211213</c:v>
                </c:pt>
                <c:pt idx="121">
                  <c:v>88.52813730896527</c:v>
                </c:pt>
                <c:pt idx="122">
                  <c:v>88.198294289405837</c:v>
                </c:pt>
                <c:pt idx="123">
                  <c:v>87.860447764080803</c:v>
                </c:pt>
                <c:pt idx="124">
                  <c:v>87.52405775239977</c:v>
                </c:pt>
                <c:pt idx="125">
                  <c:v>87.167297594142752</c:v>
                </c:pt>
                <c:pt idx="126">
                  <c:v>86.812361783292019</c:v>
                </c:pt>
                <c:pt idx="127">
                  <c:v>86.449763487053957</c:v>
                </c:pt>
                <c:pt idx="128">
                  <c:v>86.077380108908969</c:v>
                </c:pt>
                <c:pt idx="129">
                  <c:v>85.704074850806634</c:v>
                </c:pt>
                <c:pt idx="130">
                  <c:v>85.342176252689086</c:v>
                </c:pt>
                <c:pt idx="131">
                  <c:v>84.988010228366846</c:v>
                </c:pt>
                <c:pt idx="132">
                  <c:v>84.624083563053247</c:v>
                </c:pt>
                <c:pt idx="133">
                  <c:v>84.259596684269525</c:v>
                </c:pt>
                <c:pt idx="134">
                  <c:v>83.884092560445794</c:v>
                </c:pt>
                <c:pt idx="135">
                  <c:v>83.495264855436275</c:v>
                </c:pt>
                <c:pt idx="136">
                  <c:v>83.101681037051193</c:v>
                </c:pt>
                <c:pt idx="137">
                  <c:v>82.705651291552741</c:v>
                </c:pt>
                <c:pt idx="138">
                  <c:v>82.295843930827857</c:v>
                </c:pt>
                <c:pt idx="139">
                  <c:v>81.885186433949443</c:v>
                </c:pt>
                <c:pt idx="140">
                  <c:v>81.50025496169981</c:v>
                </c:pt>
                <c:pt idx="141">
                  <c:v>81.072400213783268</c:v>
                </c:pt>
                <c:pt idx="142">
                  <c:v>80.660690143368498</c:v>
                </c:pt>
                <c:pt idx="143">
                  <c:v>80.234317138563725</c:v>
                </c:pt>
                <c:pt idx="144">
                  <c:v>79.797117000732385</c:v>
                </c:pt>
                <c:pt idx="145">
                  <c:v>79.344669491990302</c:v>
                </c:pt>
                <c:pt idx="146">
                  <c:v>78.882599659041986</c:v>
                </c:pt>
                <c:pt idx="147">
                  <c:v>78.418736238690073</c:v>
                </c:pt>
                <c:pt idx="148">
                  <c:v>77.983394656449263</c:v>
                </c:pt>
                <c:pt idx="149">
                  <c:v>77.53247906486439</c:v>
                </c:pt>
                <c:pt idx="150">
                  <c:v>77.078343442324524</c:v>
                </c:pt>
                <c:pt idx="151">
                  <c:v>76.624251206861743</c:v>
                </c:pt>
                <c:pt idx="152">
                  <c:v>76.152019481066517</c:v>
                </c:pt>
                <c:pt idx="153">
                  <c:v>75.632385010006971</c:v>
                </c:pt>
                <c:pt idx="154">
                  <c:v>75.084125476659054</c:v>
                </c:pt>
                <c:pt idx="155">
                  <c:v>74.499462808952032</c:v>
                </c:pt>
                <c:pt idx="156">
                  <c:v>73.894955231726854</c:v>
                </c:pt>
                <c:pt idx="157">
                  <c:v>73.282913853753342</c:v>
                </c:pt>
                <c:pt idx="158">
                  <c:v>72.65088708453456</c:v>
                </c:pt>
                <c:pt idx="159">
                  <c:v>72.000419302209735</c:v>
                </c:pt>
                <c:pt idx="160">
                  <c:v>71.335653582173862</c:v>
                </c:pt>
                <c:pt idx="161">
                  <c:v>70.63255066514067</c:v>
                </c:pt>
                <c:pt idx="162">
                  <c:v>69.925385873580041</c:v>
                </c:pt>
                <c:pt idx="163">
                  <c:v>69.232777601503699</c:v>
                </c:pt>
                <c:pt idx="164">
                  <c:v>68.542132596755806</c:v>
                </c:pt>
                <c:pt idx="165">
                  <c:v>67.864022642665248</c:v>
                </c:pt>
                <c:pt idx="166">
                  <c:v>67.202415773235501</c:v>
                </c:pt>
                <c:pt idx="167">
                  <c:v>66.540370165343944</c:v>
                </c:pt>
                <c:pt idx="168">
                  <c:v>65.888610751102888</c:v>
                </c:pt>
                <c:pt idx="169">
                  <c:v>65.24242981808122</c:v>
                </c:pt>
                <c:pt idx="170">
                  <c:v>64.619062823134982</c:v>
                </c:pt>
                <c:pt idx="171">
                  <c:v>63.996722953411819</c:v>
                </c:pt>
                <c:pt idx="172">
                  <c:v>63.381752461946853</c:v>
                </c:pt>
                <c:pt idx="173">
                  <c:v>62.754824926679561</c:v>
                </c:pt>
                <c:pt idx="174">
                  <c:v>62.172529548298364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969-48AD-8B6B-70A9C9453B10}"/>
            </c:ext>
          </c:extLst>
        </c:ser>
        <c:ser>
          <c:idx val="11"/>
          <c:order val="11"/>
          <c:tx>
            <c:strRef>
              <c:f>data_co2_excLUC!$O$2</c:f>
              <c:strCache>
                <c:ptCount val="1"/>
                <c:pt idx="0">
                  <c:v>pct_annex1_GCP_fossil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data_co2_excLUC!$O$3:$O$177</c:f>
              <c:numCache>
                <c:formatCode>0.0</c:formatCode>
                <c:ptCount val="175"/>
                <c:pt idx="0">
                  <c:v>99.944119320490927</c:v>
                </c:pt>
                <c:pt idx="1">
                  <c:v>99.944391925707606</c:v>
                </c:pt>
                <c:pt idx="2">
                  <c:v>99.933523534492338</c:v>
                </c:pt>
                <c:pt idx="3">
                  <c:v>99.936864531761529</c:v>
                </c:pt>
                <c:pt idx="4">
                  <c:v>99.951371274277179</c:v>
                </c:pt>
                <c:pt idx="5">
                  <c:v>99.945948212098628</c:v>
                </c:pt>
                <c:pt idx="6">
                  <c:v>99.896468465632921</c:v>
                </c:pt>
                <c:pt idx="7">
                  <c:v>99.845925087933509</c:v>
                </c:pt>
                <c:pt idx="8">
                  <c:v>99.784521795673101</c:v>
                </c:pt>
                <c:pt idx="9">
                  <c:v>99.73861425689897</c:v>
                </c:pt>
                <c:pt idx="10">
                  <c:v>99.695837584941899</c:v>
                </c:pt>
                <c:pt idx="11">
                  <c:v>99.665507243446015</c:v>
                </c:pt>
                <c:pt idx="12">
                  <c:v>99.637949853768333</c:v>
                </c:pt>
                <c:pt idx="13">
                  <c:v>99.61990278741375</c:v>
                </c:pt>
                <c:pt idx="14">
                  <c:v>99.597943590984627</c:v>
                </c:pt>
                <c:pt idx="15">
                  <c:v>99.578286907799125</c:v>
                </c:pt>
                <c:pt idx="16">
                  <c:v>99.546648460210534</c:v>
                </c:pt>
                <c:pt idx="17">
                  <c:v>99.530537611973116</c:v>
                </c:pt>
                <c:pt idx="18">
                  <c:v>99.514545873939809</c:v>
                </c:pt>
                <c:pt idx="19">
                  <c:v>99.503689981774173</c:v>
                </c:pt>
                <c:pt idx="20">
                  <c:v>99.494503676663825</c:v>
                </c:pt>
                <c:pt idx="21">
                  <c:v>99.485095646615179</c:v>
                </c:pt>
                <c:pt idx="22">
                  <c:v>99.471346378255959</c:v>
                </c:pt>
                <c:pt idx="23">
                  <c:v>99.458781432501397</c:v>
                </c:pt>
                <c:pt idx="24">
                  <c:v>99.439463807598742</c:v>
                </c:pt>
                <c:pt idx="25">
                  <c:v>99.428922107046319</c:v>
                </c:pt>
                <c:pt idx="26">
                  <c:v>99.419227502497193</c:v>
                </c:pt>
                <c:pt idx="27">
                  <c:v>99.41260200581867</c:v>
                </c:pt>
                <c:pt idx="28">
                  <c:v>99.389441700959239</c:v>
                </c:pt>
                <c:pt idx="29">
                  <c:v>99.370488571738917</c:v>
                </c:pt>
                <c:pt idx="30">
                  <c:v>99.352245214540645</c:v>
                </c:pt>
                <c:pt idx="31">
                  <c:v>99.335163978505719</c:v>
                </c:pt>
                <c:pt idx="32">
                  <c:v>99.318523137630748</c:v>
                </c:pt>
                <c:pt idx="33">
                  <c:v>99.301593606866746</c:v>
                </c:pt>
                <c:pt idx="34">
                  <c:v>99.282081491144822</c:v>
                </c:pt>
                <c:pt idx="35">
                  <c:v>99.263891676240235</c:v>
                </c:pt>
                <c:pt idx="36">
                  <c:v>99.247810309719625</c:v>
                </c:pt>
                <c:pt idx="37">
                  <c:v>99.228887149177496</c:v>
                </c:pt>
                <c:pt idx="38">
                  <c:v>99.207978449352126</c:v>
                </c:pt>
                <c:pt idx="39">
                  <c:v>99.179775743142642</c:v>
                </c:pt>
                <c:pt idx="40">
                  <c:v>99.15769183429633</c:v>
                </c:pt>
                <c:pt idx="41">
                  <c:v>99.132946884044941</c:v>
                </c:pt>
                <c:pt idx="42">
                  <c:v>99.103428626596354</c:v>
                </c:pt>
                <c:pt idx="43">
                  <c:v>99.066530424050825</c:v>
                </c:pt>
                <c:pt idx="44">
                  <c:v>99.025940207942</c:v>
                </c:pt>
                <c:pt idx="45">
                  <c:v>98.981009007967586</c:v>
                </c:pt>
                <c:pt idx="46">
                  <c:v>98.934043062549989</c:v>
                </c:pt>
                <c:pt idx="47">
                  <c:v>98.886584496393723</c:v>
                </c:pt>
                <c:pt idx="48">
                  <c:v>98.83374033663442</c:v>
                </c:pt>
                <c:pt idx="49">
                  <c:v>98.783303896266062</c:v>
                </c:pt>
                <c:pt idx="50">
                  <c:v>98.741952380047763</c:v>
                </c:pt>
                <c:pt idx="51">
                  <c:v>98.692885849028173</c:v>
                </c:pt>
                <c:pt idx="52">
                  <c:v>98.642857984609932</c:v>
                </c:pt>
                <c:pt idx="53">
                  <c:v>98.592193588371146</c:v>
                </c:pt>
                <c:pt idx="54">
                  <c:v>98.535727094025432</c:v>
                </c:pt>
                <c:pt idx="55">
                  <c:v>98.481161364327832</c:v>
                </c:pt>
                <c:pt idx="56">
                  <c:v>98.41741334074085</c:v>
                </c:pt>
                <c:pt idx="57">
                  <c:v>98.319384878090133</c:v>
                </c:pt>
                <c:pt idx="58">
                  <c:v>98.214309752663638</c:v>
                </c:pt>
                <c:pt idx="59">
                  <c:v>98.115213873311873</c:v>
                </c:pt>
                <c:pt idx="60">
                  <c:v>98.020952736287541</c:v>
                </c:pt>
                <c:pt idx="61">
                  <c:v>97.923444103117802</c:v>
                </c:pt>
                <c:pt idx="62">
                  <c:v>97.839757732480422</c:v>
                </c:pt>
                <c:pt idx="63">
                  <c:v>97.744691267925276</c:v>
                </c:pt>
                <c:pt idx="64">
                  <c:v>97.657518931068154</c:v>
                </c:pt>
                <c:pt idx="65">
                  <c:v>97.5785315852102</c:v>
                </c:pt>
                <c:pt idx="66">
                  <c:v>97.496478597289553</c:v>
                </c:pt>
                <c:pt idx="67">
                  <c:v>97.410361316211109</c:v>
                </c:pt>
                <c:pt idx="68">
                  <c:v>97.326015168587958</c:v>
                </c:pt>
                <c:pt idx="69">
                  <c:v>97.211466315138267</c:v>
                </c:pt>
                <c:pt idx="70">
                  <c:v>97.07985706819845</c:v>
                </c:pt>
                <c:pt idx="71">
                  <c:v>96.929299696678669</c:v>
                </c:pt>
                <c:pt idx="72">
                  <c:v>96.793028533852691</c:v>
                </c:pt>
                <c:pt idx="73">
                  <c:v>96.67068619154908</c:v>
                </c:pt>
                <c:pt idx="74">
                  <c:v>96.54587133540096</c:v>
                </c:pt>
                <c:pt idx="75">
                  <c:v>96.436519006023545</c:v>
                </c:pt>
                <c:pt idx="76">
                  <c:v>96.337753102495242</c:v>
                </c:pt>
                <c:pt idx="77">
                  <c:v>96.25367888630899</c:v>
                </c:pt>
                <c:pt idx="78">
                  <c:v>96.170639874672332</c:v>
                </c:pt>
                <c:pt idx="79">
                  <c:v>96.093971193380256</c:v>
                </c:pt>
                <c:pt idx="80">
                  <c:v>96.013011113697445</c:v>
                </c:pt>
                <c:pt idx="81">
                  <c:v>95.933542910965159</c:v>
                </c:pt>
                <c:pt idx="82">
                  <c:v>95.84825589918178</c:v>
                </c:pt>
                <c:pt idx="83">
                  <c:v>95.759320309069167</c:v>
                </c:pt>
                <c:pt idx="84">
                  <c:v>95.658485232464542</c:v>
                </c:pt>
                <c:pt idx="85">
                  <c:v>95.546681228195851</c:v>
                </c:pt>
                <c:pt idx="86">
                  <c:v>95.43785242552741</c:v>
                </c:pt>
                <c:pt idx="87">
                  <c:v>95.322773747385611</c:v>
                </c:pt>
                <c:pt idx="88">
                  <c:v>95.205351178206328</c:v>
                </c:pt>
                <c:pt idx="89">
                  <c:v>95.08351246185704</c:v>
                </c:pt>
                <c:pt idx="90">
                  <c:v>94.958215036287214</c:v>
                </c:pt>
                <c:pt idx="91">
                  <c:v>94.842639963852818</c:v>
                </c:pt>
                <c:pt idx="92">
                  <c:v>94.747041314285866</c:v>
                </c:pt>
                <c:pt idx="93">
                  <c:v>94.663889213155244</c:v>
                </c:pt>
                <c:pt idx="94">
                  <c:v>94.574729429453669</c:v>
                </c:pt>
                <c:pt idx="95">
                  <c:v>94.487243703608954</c:v>
                </c:pt>
                <c:pt idx="96">
                  <c:v>94.401352059975764</c:v>
                </c:pt>
                <c:pt idx="97">
                  <c:v>94.305271379903147</c:v>
                </c:pt>
                <c:pt idx="98">
                  <c:v>94.221643561376013</c:v>
                </c:pt>
                <c:pt idx="99">
                  <c:v>94.137058342425533</c:v>
                </c:pt>
                <c:pt idx="100">
                  <c:v>94.037693481384636</c:v>
                </c:pt>
                <c:pt idx="101">
                  <c:v>93.925574139367939</c:v>
                </c:pt>
                <c:pt idx="102">
                  <c:v>93.796013452257071</c:v>
                </c:pt>
                <c:pt idx="103">
                  <c:v>93.669642219184439</c:v>
                </c:pt>
                <c:pt idx="104">
                  <c:v>93.521204590038735</c:v>
                </c:pt>
                <c:pt idx="105">
                  <c:v>93.350132071098045</c:v>
                </c:pt>
                <c:pt idx="106">
                  <c:v>93.16857847845526</c:v>
                </c:pt>
                <c:pt idx="107">
                  <c:v>92.969137796701702</c:v>
                </c:pt>
                <c:pt idx="108">
                  <c:v>92.680520302327494</c:v>
                </c:pt>
                <c:pt idx="109">
                  <c:v>92.334141009646928</c:v>
                </c:pt>
                <c:pt idx="110">
                  <c:v>91.974641919274461</c:v>
                </c:pt>
                <c:pt idx="111">
                  <c:v>91.694771335916101</c:v>
                </c:pt>
                <c:pt idx="112">
                  <c:v>91.452239586041486</c:v>
                </c:pt>
                <c:pt idx="113">
                  <c:v>91.218394142070963</c:v>
                </c:pt>
                <c:pt idx="114">
                  <c:v>90.984486400735776</c:v>
                </c:pt>
                <c:pt idx="115">
                  <c:v>90.735361354320048</c:v>
                </c:pt>
                <c:pt idx="116">
                  <c:v>90.477453331711786</c:v>
                </c:pt>
                <c:pt idx="117">
                  <c:v>90.243746947714072</c:v>
                </c:pt>
                <c:pt idx="118">
                  <c:v>89.998366216908906</c:v>
                </c:pt>
                <c:pt idx="119">
                  <c:v>89.729898356004611</c:v>
                </c:pt>
                <c:pt idx="120">
                  <c:v>89.416334457226128</c:v>
                </c:pt>
                <c:pt idx="121">
                  <c:v>89.073190823005163</c:v>
                </c:pt>
                <c:pt idx="122">
                  <c:v>88.736292395173379</c:v>
                </c:pt>
                <c:pt idx="123">
                  <c:v>88.387988258863999</c:v>
                </c:pt>
                <c:pt idx="124">
                  <c:v>88.041226698719953</c:v>
                </c:pt>
                <c:pt idx="125">
                  <c:v>87.674522522681784</c:v>
                </c:pt>
                <c:pt idx="126">
                  <c:v>87.303230759721444</c:v>
                </c:pt>
                <c:pt idx="127">
                  <c:v>86.922043451530357</c:v>
                </c:pt>
                <c:pt idx="128">
                  <c:v>86.525600403951088</c:v>
                </c:pt>
                <c:pt idx="129">
                  <c:v>86.127662344513027</c:v>
                </c:pt>
                <c:pt idx="130">
                  <c:v>85.740025093711054</c:v>
                </c:pt>
                <c:pt idx="131">
                  <c:v>85.364726679695224</c:v>
                </c:pt>
                <c:pt idx="132">
                  <c:v>84.97587297246983</c:v>
                </c:pt>
                <c:pt idx="133">
                  <c:v>84.585392830894563</c:v>
                </c:pt>
                <c:pt idx="134">
                  <c:v>84.186839205350623</c:v>
                </c:pt>
                <c:pt idx="135">
                  <c:v>83.775043553990997</c:v>
                </c:pt>
                <c:pt idx="136">
                  <c:v>83.355415495936228</c:v>
                </c:pt>
                <c:pt idx="137">
                  <c:v>82.933552590882911</c:v>
                </c:pt>
                <c:pt idx="138">
                  <c:v>82.494142991865601</c:v>
                </c:pt>
                <c:pt idx="139">
                  <c:v>82.064303130388922</c:v>
                </c:pt>
                <c:pt idx="140">
                  <c:v>81.671225548723442</c:v>
                </c:pt>
                <c:pt idx="141">
                  <c:v>81.261652821743326</c:v>
                </c:pt>
                <c:pt idx="142">
                  <c:v>80.834801575874764</c:v>
                </c:pt>
                <c:pt idx="143">
                  <c:v>80.389088286075449</c:v>
                </c:pt>
                <c:pt idx="144">
                  <c:v>79.925733420404981</c:v>
                </c:pt>
                <c:pt idx="145">
                  <c:v>79.450441237218186</c:v>
                </c:pt>
                <c:pt idx="146">
                  <c:v>78.971171170570031</c:v>
                </c:pt>
                <c:pt idx="147">
                  <c:v>78.495285702402455</c:v>
                </c:pt>
                <c:pt idx="148">
                  <c:v>78.054128937711482</c:v>
                </c:pt>
                <c:pt idx="149">
                  <c:v>77.599346395254614</c:v>
                </c:pt>
                <c:pt idx="150">
                  <c:v>77.143689294874235</c:v>
                </c:pt>
                <c:pt idx="151">
                  <c:v>76.693494414270376</c:v>
                </c:pt>
                <c:pt idx="152">
                  <c:v>76.229871160680489</c:v>
                </c:pt>
                <c:pt idx="153">
                  <c:v>75.716566689867747</c:v>
                </c:pt>
                <c:pt idx="154">
                  <c:v>75.180866950966646</c:v>
                </c:pt>
                <c:pt idx="155">
                  <c:v>74.613681639390634</c:v>
                </c:pt>
                <c:pt idx="156">
                  <c:v>74.01587040319572</c:v>
                </c:pt>
                <c:pt idx="157">
                  <c:v>73.405657735535414</c:v>
                </c:pt>
                <c:pt idx="158">
                  <c:v>72.765116024096599</c:v>
                </c:pt>
                <c:pt idx="159">
                  <c:v>72.102300690350731</c:v>
                </c:pt>
                <c:pt idx="160">
                  <c:v>71.410720571796261</c:v>
                </c:pt>
                <c:pt idx="161">
                  <c:v>70.683346559483567</c:v>
                </c:pt>
                <c:pt idx="162">
                  <c:v>69.952850561394584</c:v>
                </c:pt>
                <c:pt idx="163">
                  <c:v>69.241364444426281</c:v>
                </c:pt>
                <c:pt idx="164">
                  <c:v>68.540529057684552</c:v>
                </c:pt>
                <c:pt idx="165">
                  <c:v>67.864843666738537</c:v>
                </c:pt>
                <c:pt idx="166">
                  <c:v>67.211249777047158</c:v>
                </c:pt>
                <c:pt idx="167">
                  <c:v>66.563602129966341</c:v>
                </c:pt>
                <c:pt idx="168">
                  <c:v>65.920935474354337</c:v>
                </c:pt>
                <c:pt idx="169">
                  <c:v>65.270706051044669</c:v>
                </c:pt>
                <c:pt idx="170">
                  <c:v>64.642742077386657</c:v>
                </c:pt>
                <c:pt idx="171">
                  <c:v>64.014693243591196</c:v>
                </c:pt>
                <c:pt idx="172">
                  <c:v>63.381687558627775</c:v>
                </c:pt>
                <c:pt idx="173">
                  <c:v>62.739401579357605</c:v>
                </c:pt>
                <c:pt idx="174">
                  <c:v>62.108450170722151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969-48AD-8B6B-70A9C9453B10}"/>
            </c:ext>
          </c:extLst>
        </c:ser>
        <c:ser>
          <c:idx val="12"/>
          <c:order val="12"/>
          <c:tx>
            <c:strRef>
              <c:f>data_co2_excLUC!$P$2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data_co2_excLUC!$P$3:$P$177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969-48AD-8B6B-70A9C9453B10}"/>
            </c:ext>
          </c:extLst>
        </c:ser>
        <c:ser>
          <c:idx val="13"/>
          <c:order val="13"/>
          <c:tx>
            <c:strRef>
              <c:f>data_co2_excLUC!$R$2</c:f>
              <c:strCache>
                <c:ptCount val="1"/>
                <c:pt idx="0">
                  <c:v>Annex II GMST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data_co2_excLUC!$R$3:$R$177</c:f>
              <c:numCache>
                <c:formatCode>0.0</c:formatCode>
                <c:ptCount val="175"/>
                <c:pt idx="1">
                  <c:v>98.066000000000003</c:v>
                </c:pt>
                <c:pt idx="2">
                  <c:v>97.909000000000006</c:v>
                </c:pt>
                <c:pt idx="3">
                  <c:v>97.870999999999995</c:v>
                </c:pt>
                <c:pt idx="4">
                  <c:v>97.894999999999996</c:v>
                </c:pt>
                <c:pt idx="5">
                  <c:v>97.799000000000007</c:v>
                </c:pt>
                <c:pt idx="6">
                  <c:v>97.685000000000002</c:v>
                </c:pt>
                <c:pt idx="7">
                  <c:v>97.566999999999993</c:v>
                </c:pt>
                <c:pt idx="8">
                  <c:v>97.399000000000001</c:v>
                </c:pt>
                <c:pt idx="9">
                  <c:v>97.301000000000002</c:v>
                </c:pt>
                <c:pt idx="10">
                  <c:v>97.210999999999999</c:v>
                </c:pt>
                <c:pt idx="11">
                  <c:v>97.125</c:v>
                </c:pt>
                <c:pt idx="12">
                  <c:v>97.003</c:v>
                </c:pt>
                <c:pt idx="13">
                  <c:v>96.873999999999995</c:v>
                </c:pt>
                <c:pt idx="14">
                  <c:v>96.736000000000004</c:v>
                </c:pt>
                <c:pt idx="15">
                  <c:v>96.594999999999999</c:v>
                </c:pt>
                <c:pt idx="16">
                  <c:v>96.427000000000007</c:v>
                </c:pt>
                <c:pt idx="17">
                  <c:v>96.272999999999996</c:v>
                </c:pt>
                <c:pt idx="18">
                  <c:v>96.114999999999995</c:v>
                </c:pt>
                <c:pt idx="19">
                  <c:v>95.966999999999999</c:v>
                </c:pt>
                <c:pt idx="20">
                  <c:v>95.817999999999998</c:v>
                </c:pt>
                <c:pt idx="21">
                  <c:v>95.644999999999996</c:v>
                </c:pt>
                <c:pt idx="22">
                  <c:v>95.489000000000004</c:v>
                </c:pt>
                <c:pt idx="23">
                  <c:v>95.346999999999994</c:v>
                </c:pt>
                <c:pt idx="24">
                  <c:v>95.162999999999997</c:v>
                </c:pt>
                <c:pt idx="25">
                  <c:v>95.02</c:v>
                </c:pt>
                <c:pt idx="26">
                  <c:v>94.816000000000003</c:v>
                </c:pt>
                <c:pt idx="27">
                  <c:v>94.646000000000001</c:v>
                </c:pt>
                <c:pt idx="28">
                  <c:v>94.444999999999993</c:v>
                </c:pt>
                <c:pt idx="29">
                  <c:v>94.26</c:v>
                </c:pt>
                <c:pt idx="30">
                  <c:v>94.108000000000004</c:v>
                </c:pt>
                <c:pt idx="31">
                  <c:v>93.97</c:v>
                </c:pt>
                <c:pt idx="32">
                  <c:v>93.847999999999999</c:v>
                </c:pt>
                <c:pt idx="33">
                  <c:v>93.718000000000004</c:v>
                </c:pt>
                <c:pt idx="34">
                  <c:v>93.587000000000003</c:v>
                </c:pt>
                <c:pt idx="35">
                  <c:v>93.45</c:v>
                </c:pt>
                <c:pt idx="36">
                  <c:v>93.320999999999998</c:v>
                </c:pt>
                <c:pt idx="37">
                  <c:v>93.200999999999993</c:v>
                </c:pt>
                <c:pt idx="38">
                  <c:v>93.09</c:v>
                </c:pt>
                <c:pt idx="39">
                  <c:v>92.950999999999993</c:v>
                </c:pt>
                <c:pt idx="40">
                  <c:v>92.828000000000003</c:v>
                </c:pt>
                <c:pt idx="41">
                  <c:v>92.698999999999998</c:v>
                </c:pt>
                <c:pt idx="42">
                  <c:v>92.576999999999998</c:v>
                </c:pt>
                <c:pt idx="43">
                  <c:v>92.424999999999997</c:v>
                </c:pt>
                <c:pt idx="44">
                  <c:v>92.281999999999996</c:v>
                </c:pt>
                <c:pt idx="45">
                  <c:v>92.131</c:v>
                </c:pt>
                <c:pt idx="46">
                  <c:v>91.98</c:v>
                </c:pt>
                <c:pt idx="47">
                  <c:v>91.820999999999998</c:v>
                </c:pt>
                <c:pt idx="48">
                  <c:v>91.65</c:v>
                </c:pt>
                <c:pt idx="49">
                  <c:v>91.492000000000004</c:v>
                </c:pt>
                <c:pt idx="50">
                  <c:v>91.346999999999994</c:v>
                </c:pt>
                <c:pt idx="51">
                  <c:v>91.197000000000003</c:v>
                </c:pt>
                <c:pt idx="52">
                  <c:v>91.072000000000003</c:v>
                </c:pt>
                <c:pt idx="53">
                  <c:v>90.977000000000004</c:v>
                </c:pt>
                <c:pt idx="54">
                  <c:v>90.864999999999995</c:v>
                </c:pt>
                <c:pt idx="55">
                  <c:v>90.783000000000001</c:v>
                </c:pt>
                <c:pt idx="56">
                  <c:v>90.677999999999997</c:v>
                </c:pt>
                <c:pt idx="57">
                  <c:v>90.555000000000007</c:v>
                </c:pt>
                <c:pt idx="58">
                  <c:v>90.399000000000001</c:v>
                </c:pt>
                <c:pt idx="59">
                  <c:v>90.254000000000005</c:v>
                </c:pt>
                <c:pt idx="60">
                  <c:v>90.141000000000005</c:v>
                </c:pt>
                <c:pt idx="61">
                  <c:v>90.016999999999996</c:v>
                </c:pt>
                <c:pt idx="62">
                  <c:v>89.888000000000005</c:v>
                </c:pt>
                <c:pt idx="63">
                  <c:v>89.756</c:v>
                </c:pt>
                <c:pt idx="64">
                  <c:v>89.650999999999996</c:v>
                </c:pt>
                <c:pt idx="65">
                  <c:v>89.564999999999998</c:v>
                </c:pt>
                <c:pt idx="66">
                  <c:v>89.475999999999999</c:v>
                </c:pt>
                <c:pt idx="67">
                  <c:v>89.397000000000006</c:v>
                </c:pt>
                <c:pt idx="68">
                  <c:v>89.4</c:v>
                </c:pt>
                <c:pt idx="69">
                  <c:v>89.444000000000003</c:v>
                </c:pt>
                <c:pt idx="70">
                  <c:v>89.426000000000002</c:v>
                </c:pt>
                <c:pt idx="71">
                  <c:v>89.346999999999994</c:v>
                </c:pt>
                <c:pt idx="72">
                  <c:v>89.286000000000001</c:v>
                </c:pt>
                <c:pt idx="73">
                  <c:v>89.272999999999996</c:v>
                </c:pt>
                <c:pt idx="74">
                  <c:v>89.24</c:v>
                </c:pt>
                <c:pt idx="75">
                  <c:v>89.218999999999994</c:v>
                </c:pt>
                <c:pt idx="76">
                  <c:v>89.177999999999997</c:v>
                </c:pt>
                <c:pt idx="77">
                  <c:v>89.138999999999996</c:v>
                </c:pt>
                <c:pt idx="78">
                  <c:v>89.084000000000003</c:v>
                </c:pt>
                <c:pt idx="79">
                  <c:v>89.028000000000006</c:v>
                </c:pt>
                <c:pt idx="80">
                  <c:v>88.938999999999993</c:v>
                </c:pt>
                <c:pt idx="81">
                  <c:v>88.816000000000003</c:v>
                </c:pt>
                <c:pt idx="82">
                  <c:v>88.67</c:v>
                </c:pt>
                <c:pt idx="83">
                  <c:v>88.518000000000001</c:v>
                </c:pt>
                <c:pt idx="84">
                  <c:v>88.337999999999994</c:v>
                </c:pt>
                <c:pt idx="85">
                  <c:v>88.135999999999996</c:v>
                </c:pt>
                <c:pt idx="86">
                  <c:v>87.927999999999997</c:v>
                </c:pt>
                <c:pt idx="87">
                  <c:v>87.72</c:v>
                </c:pt>
                <c:pt idx="88">
                  <c:v>87.483999999999995</c:v>
                </c:pt>
                <c:pt idx="89">
                  <c:v>87.260999999999996</c:v>
                </c:pt>
                <c:pt idx="90">
                  <c:v>86.947000000000003</c:v>
                </c:pt>
                <c:pt idx="91">
                  <c:v>86.688000000000002</c:v>
                </c:pt>
                <c:pt idx="92">
                  <c:v>86.533000000000001</c:v>
                </c:pt>
                <c:pt idx="93">
                  <c:v>86.38</c:v>
                </c:pt>
                <c:pt idx="94">
                  <c:v>86.191999999999993</c:v>
                </c:pt>
                <c:pt idx="95">
                  <c:v>86.051000000000002</c:v>
                </c:pt>
                <c:pt idx="96">
                  <c:v>85.879000000000005</c:v>
                </c:pt>
                <c:pt idx="97">
                  <c:v>85.688999999999993</c:v>
                </c:pt>
                <c:pt idx="98">
                  <c:v>85.507999999999996</c:v>
                </c:pt>
                <c:pt idx="99">
                  <c:v>85.281999999999996</c:v>
                </c:pt>
                <c:pt idx="100">
                  <c:v>85.040999999999997</c:v>
                </c:pt>
                <c:pt idx="101">
                  <c:v>84.781000000000006</c:v>
                </c:pt>
                <c:pt idx="102">
                  <c:v>84.486999999999995</c:v>
                </c:pt>
                <c:pt idx="103">
                  <c:v>84.183999999999997</c:v>
                </c:pt>
                <c:pt idx="104">
                  <c:v>83.837999999999994</c:v>
                </c:pt>
                <c:pt idx="105">
                  <c:v>83.456999999999994</c:v>
                </c:pt>
                <c:pt idx="106">
                  <c:v>83.054000000000002</c:v>
                </c:pt>
                <c:pt idx="107">
                  <c:v>82.608999999999995</c:v>
                </c:pt>
                <c:pt idx="108">
                  <c:v>82.067999999999998</c:v>
                </c:pt>
                <c:pt idx="109">
                  <c:v>81.471000000000004</c:v>
                </c:pt>
                <c:pt idx="110">
                  <c:v>80.869</c:v>
                </c:pt>
                <c:pt idx="111">
                  <c:v>80.338999999999999</c:v>
                </c:pt>
                <c:pt idx="112">
                  <c:v>79.840999999999994</c:v>
                </c:pt>
                <c:pt idx="113">
                  <c:v>79.343000000000004</c:v>
                </c:pt>
                <c:pt idx="114">
                  <c:v>78.84</c:v>
                </c:pt>
                <c:pt idx="115">
                  <c:v>78.325000000000003</c:v>
                </c:pt>
                <c:pt idx="116">
                  <c:v>77.805999999999997</c:v>
                </c:pt>
                <c:pt idx="117">
                  <c:v>77.313000000000002</c:v>
                </c:pt>
                <c:pt idx="118">
                  <c:v>76.822000000000003</c:v>
                </c:pt>
                <c:pt idx="119">
                  <c:v>76.319999999999993</c:v>
                </c:pt>
                <c:pt idx="120">
                  <c:v>75.786000000000001</c:v>
                </c:pt>
                <c:pt idx="121">
                  <c:v>75.22</c:v>
                </c:pt>
                <c:pt idx="122">
                  <c:v>74.664000000000001</c:v>
                </c:pt>
                <c:pt idx="123">
                  <c:v>74.108999999999995</c:v>
                </c:pt>
                <c:pt idx="124">
                  <c:v>73.545000000000002</c:v>
                </c:pt>
                <c:pt idx="125">
                  <c:v>72.938999999999993</c:v>
                </c:pt>
                <c:pt idx="126">
                  <c:v>72.338999999999999</c:v>
                </c:pt>
                <c:pt idx="127">
                  <c:v>71.731999999999999</c:v>
                </c:pt>
                <c:pt idx="128">
                  <c:v>71.119</c:v>
                </c:pt>
                <c:pt idx="129">
                  <c:v>70.527000000000001</c:v>
                </c:pt>
                <c:pt idx="130">
                  <c:v>69.932000000000002</c:v>
                </c:pt>
                <c:pt idx="131">
                  <c:v>69.367000000000004</c:v>
                </c:pt>
                <c:pt idx="132">
                  <c:v>68.784000000000006</c:v>
                </c:pt>
                <c:pt idx="133">
                  <c:v>68.206000000000003</c:v>
                </c:pt>
                <c:pt idx="134">
                  <c:v>67.638999999999996</c:v>
                </c:pt>
                <c:pt idx="135">
                  <c:v>67.046000000000006</c:v>
                </c:pt>
                <c:pt idx="136">
                  <c:v>66.456999999999994</c:v>
                </c:pt>
                <c:pt idx="137">
                  <c:v>65.885000000000005</c:v>
                </c:pt>
                <c:pt idx="138">
                  <c:v>65.316000000000003</c:v>
                </c:pt>
                <c:pt idx="139">
                  <c:v>64.784000000000006</c:v>
                </c:pt>
                <c:pt idx="140">
                  <c:v>64.296999999999997</c:v>
                </c:pt>
                <c:pt idx="141">
                  <c:v>63.796999999999997</c:v>
                </c:pt>
                <c:pt idx="142">
                  <c:v>63.384</c:v>
                </c:pt>
                <c:pt idx="143">
                  <c:v>62.98</c:v>
                </c:pt>
                <c:pt idx="144">
                  <c:v>62.600999999999999</c:v>
                </c:pt>
                <c:pt idx="145">
                  <c:v>62.22</c:v>
                </c:pt>
                <c:pt idx="146">
                  <c:v>61.844999999999999</c:v>
                </c:pt>
                <c:pt idx="147">
                  <c:v>61.484999999999999</c:v>
                </c:pt>
                <c:pt idx="148">
                  <c:v>61.158999999999999</c:v>
                </c:pt>
                <c:pt idx="149">
                  <c:v>60.829000000000001</c:v>
                </c:pt>
                <c:pt idx="150">
                  <c:v>60.503999999999998</c:v>
                </c:pt>
                <c:pt idx="151">
                  <c:v>60.177</c:v>
                </c:pt>
                <c:pt idx="152">
                  <c:v>59.841000000000001</c:v>
                </c:pt>
                <c:pt idx="153">
                  <c:v>59.460999999999999</c:v>
                </c:pt>
                <c:pt idx="154">
                  <c:v>59.063000000000002</c:v>
                </c:pt>
                <c:pt idx="155">
                  <c:v>58.637</c:v>
                </c:pt>
                <c:pt idx="156">
                  <c:v>58.176000000000002</c:v>
                </c:pt>
                <c:pt idx="157">
                  <c:v>57.703000000000003</c:v>
                </c:pt>
                <c:pt idx="158">
                  <c:v>57.2</c:v>
                </c:pt>
                <c:pt idx="159">
                  <c:v>56.679000000000002</c:v>
                </c:pt>
                <c:pt idx="160">
                  <c:v>56.133000000000003</c:v>
                </c:pt>
                <c:pt idx="161">
                  <c:v>55.55</c:v>
                </c:pt>
                <c:pt idx="162">
                  <c:v>54.962000000000003</c:v>
                </c:pt>
                <c:pt idx="163">
                  <c:v>54.396999999999998</c:v>
                </c:pt>
                <c:pt idx="164">
                  <c:v>53.841000000000001</c:v>
                </c:pt>
                <c:pt idx="165">
                  <c:v>53.302</c:v>
                </c:pt>
                <c:pt idx="166">
                  <c:v>52.777999999999999</c:v>
                </c:pt>
                <c:pt idx="167">
                  <c:v>52.253999999999998</c:v>
                </c:pt>
                <c:pt idx="168">
                  <c:v>51.732999999999997</c:v>
                </c:pt>
                <c:pt idx="169">
                  <c:v>51.206000000000003</c:v>
                </c:pt>
                <c:pt idx="170">
                  <c:v>50.691000000000003</c:v>
                </c:pt>
                <c:pt idx="171">
                  <c:v>50.177</c:v>
                </c:pt>
                <c:pt idx="172">
                  <c:v>49.664000000000001</c:v>
                </c:pt>
                <c:pt idx="173">
                  <c:v>49.137999999999998</c:v>
                </c:pt>
                <c:pt idx="174">
                  <c:v>48.619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969-48AD-8B6B-70A9C9453B10}"/>
            </c:ext>
          </c:extLst>
        </c:ser>
        <c:ser>
          <c:idx val="14"/>
          <c:order val="14"/>
          <c:tx>
            <c:strRef>
              <c:f>data_co2_excLUC!$S$2</c:f>
              <c:strCache>
                <c:ptCount val="1"/>
                <c:pt idx="0">
                  <c:v>Annex I GMST</c:v>
                </c:pt>
              </c:strCache>
            </c:strRef>
          </c:tx>
          <c:spPr>
            <a:ln w="317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data_co2_excLUC!$S$3:$S$177</c:f>
              <c:numCache>
                <c:formatCode>0.0</c:formatCode>
                <c:ptCount val="175"/>
                <c:pt idx="1">
                  <c:v>99.944000000000003</c:v>
                </c:pt>
                <c:pt idx="2">
                  <c:v>99.927999999999997</c:v>
                </c:pt>
                <c:pt idx="3">
                  <c:v>99.935000000000002</c:v>
                </c:pt>
                <c:pt idx="4">
                  <c:v>99.953000000000003</c:v>
                </c:pt>
                <c:pt idx="5">
                  <c:v>99.945999999999998</c:v>
                </c:pt>
                <c:pt idx="6">
                  <c:v>99.89</c:v>
                </c:pt>
                <c:pt idx="7">
                  <c:v>99.834999999999994</c:v>
                </c:pt>
                <c:pt idx="8">
                  <c:v>99.769000000000005</c:v>
                </c:pt>
                <c:pt idx="9">
                  <c:v>99.721000000000004</c:v>
                </c:pt>
                <c:pt idx="10">
                  <c:v>99.677000000000007</c:v>
                </c:pt>
                <c:pt idx="11">
                  <c:v>99.647000000000006</c:v>
                </c:pt>
                <c:pt idx="12">
                  <c:v>99.62</c:v>
                </c:pt>
                <c:pt idx="13">
                  <c:v>99.602999999999994</c:v>
                </c:pt>
                <c:pt idx="14">
                  <c:v>99.581000000000003</c:v>
                </c:pt>
                <c:pt idx="15">
                  <c:v>99.561999999999998</c:v>
                </c:pt>
                <c:pt idx="16">
                  <c:v>99.531000000000006</c:v>
                </c:pt>
                <c:pt idx="17">
                  <c:v>99.516000000000005</c:v>
                </c:pt>
                <c:pt idx="18">
                  <c:v>99.5</c:v>
                </c:pt>
                <c:pt idx="19">
                  <c:v>99.49</c:v>
                </c:pt>
                <c:pt idx="20">
                  <c:v>99.481999999999999</c:v>
                </c:pt>
                <c:pt idx="21">
                  <c:v>99.472999999999999</c:v>
                </c:pt>
                <c:pt idx="22">
                  <c:v>99.46</c:v>
                </c:pt>
                <c:pt idx="23">
                  <c:v>99.447999999999993</c:v>
                </c:pt>
                <c:pt idx="24">
                  <c:v>99.429000000000002</c:v>
                </c:pt>
                <c:pt idx="25">
                  <c:v>99.418999999999997</c:v>
                </c:pt>
                <c:pt idx="26">
                  <c:v>99.41</c:v>
                </c:pt>
                <c:pt idx="27">
                  <c:v>99.403999999999996</c:v>
                </c:pt>
                <c:pt idx="28">
                  <c:v>99.381</c:v>
                </c:pt>
                <c:pt idx="29">
                  <c:v>99.361999999999995</c:v>
                </c:pt>
                <c:pt idx="30">
                  <c:v>99.343999999999994</c:v>
                </c:pt>
                <c:pt idx="31">
                  <c:v>99.326999999999998</c:v>
                </c:pt>
                <c:pt idx="32">
                  <c:v>99.311000000000007</c:v>
                </c:pt>
                <c:pt idx="33">
                  <c:v>99.293999999999997</c:v>
                </c:pt>
                <c:pt idx="34">
                  <c:v>99.275000000000006</c:v>
                </c:pt>
                <c:pt idx="35">
                  <c:v>99.257000000000005</c:v>
                </c:pt>
                <c:pt idx="36">
                  <c:v>99.241</c:v>
                </c:pt>
                <c:pt idx="37">
                  <c:v>99.221999999999994</c:v>
                </c:pt>
                <c:pt idx="38">
                  <c:v>99.200999999999993</c:v>
                </c:pt>
                <c:pt idx="39">
                  <c:v>99.173000000000002</c:v>
                </c:pt>
                <c:pt idx="40">
                  <c:v>99.150999999999996</c:v>
                </c:pt>
                <c:pt idx="41">
                  <c:v>99.126999999999995</c:v>
                </c:pt>
                <c:pt idx="42">
                  <c:v>99.096999999999994</c:v>
                </c:pt>
                <c:pt idx="43">
                  <c:v>99.061000000000007</c:v>
                </c:pt>
                <c:pt idx="44">
                  <c:v>99.02</c:v>
                </c:pt>
                <c:pt idx="45">
                  <c:v>98.974999999999994</c:v>
                </c:pt>
                <c:pt idx="46">
                  <c:v>98.927999999999997</c:v>
                </c:pt>
                <c:pt idx="47">
                  <c:v>98.881</c:v>
                </c:pt>
                <c:pt idx="48">
                  <c:v>98.828000000000003</c:v>
                </c:pt>
                <c:pt idx="49">
                  <c:v>98.777000000000001</c:v>
                </c:pt>
                <c:pt idx="50">
                  <c:v>98.736000000000004</c:v>
                </c:pt>
                <c:pt idx="51">
                  <c:v>98.686999999999998</c:v>
                </c:pt>
                <c:pt idx="52">
                  <c:v>98.637</c:v>
                </c:pt>
                <c:pt idx="53">
                  <c:v>98.585999999999999</c:v>
                </c:pt>
                <c:pt idx="54">
                  <c:v>98.53</c:v>
                </c:pt>
                <c:pt idx="55">
                  <c:v>98.475999999999999</c:v>
                </c:pt>
                <c:pt idx="56">
                  <c:v>98.412000000000006</c:v>
                </c:pt>
                <c:pt idx="57">
                  <c:v>98.313999999999993</c:v>
                </c:pt>
                <c:pt idx="58">
                  <c:v>98.209000000000003</c:v>
                </c:pt>
                <c:pt idx="59">
                  <c:v>98.108999999999995</c:v>
                </c:pt>
                <c:pt idx="60">
                  <c:v>98.015000000000001</c:v>
                </c:pt>
                <c:pt idx="61">
                  <c:v>97.918000000000006</c:v>
                </c:pt>
                <c:pt idx="62">
                  <c:v>97.834000000000003</c:v>
                </c:pt>
                <c:pt idx="63">
                  <c:v>97.739000000000004</c:v>
                </c:pt>
                <c:pt idx="64">
                  <c:v>97.652000000000001</c:v>
                </c:pt>
                <c:pt idx="65">
                  <c:v>97.572999999999993</c:v>
                </c:pt>
                <c:pt idx="66">
                  <c:v>97.491</c:v>
                </c:pt>
                <c:pt idx="67">
                  <c:v>97.405000000000001</c:v>
                </c:pt>
                <c:pt idx="68">
                  <c:v>97.32</c:v>
                </c:pt>
                <c:pt idx="69">
                  <c:v>97.206000000000003</c:v>
                </c:pt>
                <c:pt idx="70">
                  <c:v>97.073999999999998</c:v>
                </c:pt>
                <c:pt idx="71">
                  <c:v>96.923000000000002</c:v>
                </c:pt>
                <c:pt idx="72">
                  <c:v>96.787000000000006</c:v>
                </c:pt>
                <c:pt idx="73">
                  <c:v>96.665000000000006</c:v>
                </c:pt>
                <c:pt idx="74">
                  <c:v>96.54</c:v>
                </c:pt>
                <c:pt idx="75">
                  <c:v>96.430999999999997</c:v>
                </c:pt>
                <c:pt idx="76">
                  <c:v>96.331999999999994</c:v>
                </c:pt>
                <c:pt idx="77">
                  <c:v>96.248000000000005</c:v>
                </c:pt>
                <c:pt idx="78">
                  <c:v>96.165000000000006</c:v>
                </c:pt>
                <c:pt idx="79">
                  <c:v>96.087999999999994</c:v>
                </c:pt>
                <c:pt idx="80">
                  <c:v>96.007000000000005</c:v>
                </c:pt>
                <c:pt idx="81">
                  <c:v>95.927999999999997</c:v>
                </c:pt>
                <c:pt idx="82">
                  <c:v>95.843000000000004</c:v>
                </c:pt>
                <c:pt idx="83">
                  <c:v>95.754000000000005</c:v>
                </c:pt>
                <c:pt idx="84">
                  <c:v>95.653000000000006</c:v>
                </c:pt>
                <c:pt idx="85">
                  <c:v>95.540999999999997</c:v>
                </c:pt>
                <c:pt idx="86">
                  <c:v>95.432000000000002</c:v>
                </c:pt>
                <c:pt idx="87">
                  <c:v>95.316999999999993</c:v>
                </c:pt>
                <c:pt idx="88">
                  <c:v>95.2</c:v>
                </c:pt>
                <c:pt idx="89">
                  <c:v>95.078000000000003</c:v>
                </c:pt>
                <c:pt idx="90">
                  <c:v>94.953000000000003</c:v>
                </c:pt>
                <c:pt idx="91">
                  <c:v>94.837000000000003</c:v>
                </c:pt>
                <c:pt idx="92">
                  <c:v>94.742000000000004</c:v>
                </c:pt>
                <c:pt idx="93">
                  <c:v>94.658000000000001</c:v>
                </c:pt>
                <c:pt idx="94">
                  <c:v>94.569000000000003</c:v>
                </c:pt>
                <c:pt idx="95">
                  <c:v>94.481999999999999</c:v>
                </c:pt>
                <c:pt idx="96">
                  <c:v>94.396000000000001</c:v>
                </c:pt>
                <c:pt idx="97">
                  <c:v>94.3</c:v>
                </c:pt>
                <c:pt idx="98">
                  <c:v>94.215999999999994</c:v>
                </c:pt>
                <c:pt idx="99">
                  <c:v>94.132000000000005</c:v>
                </c:pt>
                <c:pt idx="100">
                  <c:v>94.033000000000001</c:v>
                </c:pt>
                <c:pt idx="101">
                  <c:v>93.92</c:v>
                </c:pt>
                <c:pt idx="102">
                  <c:v>93.790999999999997</c:v>
                </c:pt>
                <c:pt idx="103">
                  <c:v>93.665000000000006</c:v>
                </c:pt>
                <c:pt idx="104">
                  <c:v>93.516000000000005</c:v>
                </c:pt>
                <c:pt idx="105">
                  <c:v>93.344999999999999</c:v>
                </c:pt>
                <c:pt idx="106">
                  <c:v>93.164000000000001</c:v>
                </c:pt>
                <c:pt idx="107">
                  <c:v>92.963999999999999</c:v>
                </c:pt>
                <c:pt idx="108">
                  <c:v>92.674999999999997</c:v>
                </c:pt>
                <c:pt idx="109">
                  <c:v>92.328999999999994</c:v>
                </c:pt>
                <c:pt idx="110">
                  <c:v>91.968999999999994</c:v>
                </c:pt>
                <c:pt idx="111">
                  <c:v>91.69</c:v>
                </c:pt>
                <c:pt idx="112">
                  <c:v>91.447000000000003</c:v>
                </c:pt>
                <c:pt idx="113">
                  <c:v>91.212999999999994</c:v>
                </c:pt>
                <c:pt idx="114">
                  <c:v>90.978999999999999</c:v>
                </c:pt>
                <c:pt idx="115">
                  <c:v>90.73</c:v>
                </c:pt>
                <c:pt idx="116">
                  <c:v>90.471999999999994</c:v>
                </c:pt>
                <c:pt idx="117">
                  <c:v>90.239000000000004</c:v>
                </c:pt>
                <c:pt idx="118">
                  <c:v>89.992999999999995</c:v>
                </c:pt>
                <c:pt idx="119">
                  <c:v>89.724999999999994</c:v>
                </c:pt>
                <c:pt idx="120">
                  <c:v>89.411000000000001</c:v>
                </c:pt>
                <c:pt idx="121">
                  <c:v>89.067999999999998</c:v>
                </c:pt>
                <c:pt idx="122">
                  <c:v>88.730999999999995</c:v>
                </c:pt>
                <c:pt idx="123">
                  <c:v>88.382999999999996</c:v>
                </c:pt>
                <c:pt idx="124">
                  <c:v>88.036000000000001</c:v>
                </c:pt>
                <c:pt idx="125">
                  <c:v>87.67</c:v>
                </c:pt>
                <c:pt idx="126">
                  <c:v>87.298000000000002</c:v>
                </c:pt>
                <c:pt idx="127">
                  <c:v>86.917000000000002</c:v>
                </c:pt>
                <c:pt idx="128">
                  <c:v>86.521000000000001</c:v>
                </c:pt>
                <c:pt idx="129">
                  <c:v>86.123000000000005</c:v>
                </c:pt>
                <c:pt idx="130">
                  <c:v>85.734999999999999</c:v>
                </c:pt>
                <c:pt idx="131">
                  <c:v>85.36</c:v>
                </c:pt>
                <c:pt idx="132">
                  <c:v>84.971000000000004</c:v>
                </c:pt>
                <c:pt idx="133">
                  <c:v>84.581000000000003</c:v>
                </c:pt>
                <c:pt idx="134">
                  <c:v>84.182000000000002</c:v>
                </c:pt>
                <c:pt idx="135">
                  <c:v>83.771000000000001</c:v>
                </c:pt>
                <c:pt idx="136">
                  <c:v>83.350999999999999</c:v>
                </c:pt>
                <c:pt idx="137">
                  <c:v>82.929000000000002</c:v>
                </c:pt>
                <c:pt idx="138">
                  <c:v>82.49</c:v>
                </c:pt>
                <c:pt idx="139">
                  <c:v>82.06</c:v>
                </c:pt>
                <c:pt idx="140">
                  <c:v>81.667000000000002</c:v>
                </c:pt>
                <c:pt idx="141">
                  <c:v>81.209999999999994</c:v>
                </c:pt>
                <c:pt idx="142">
                  <c:v>80.784999999999997</c:v>
                </c:pt>
                <c:pt idx="143">
                  <c:v>80.340999999999994</c:v>
                </c:pt>
                <c:pt idx="144">
                  <c:v>79.879000000000005</c:v>
                </c:pt>
                <c:pt idx="145">
                  <c:v>79.405000000000001</c:v>
                </c:pt>
                <c:pt idx="146">
                  <c:v>78.927000000000007</c:v>
                </c:pt>
                <c:pt idx="147">
                  <c:v>78.453000000000003</c:v>
                </c:pt>
                <c:pt idx="148">
                  <c:v>78.013000000000005</c:v>
                </c:pt>
                <c:pt idx="149">
                  <c:v>77.558999999999997</c:v>
                </c:pt>
                <c:pt idx="150">
                  <c:v>77.105000000000004</c:v>
                </c:pt>
                <c:pt idx="151">
                  <c:v>76.656000000000006</c:v>
                </c:pt>
                <c:pt idx="152">
                  <c:v>76.194000000000003</c:v>
                </c:pt>
                <c:pt idx="153">
                  <c:v>75.680999999999997</c:v>
                </c:pt>
                <c:pt idx="154">
                  <c:v>75.147000000000006</c:v>
                </c:pt>
                <c:pt idx="155">
                  <c:v>74.581000000000003</c:v>
                </c:pt>
                <c:pt idx="156">
                  <c:v>73.983999999999995</c:v>
                </c:pt>
                <c:pt idx="157">
                  <c:v>73.375</c:v>
                </c:pt>
                <c:pt idx="158">
                  <c:v>72.736000000000004</c:v>
                </c:pt>
                <c:pt idx="159">
                  <c:v>72.073999999999998</c:v>
                </c:pt>
                <c:pt idx="160">
                  <c:v>71.382999999999996</c:v>
                </c:pt>
                <c:pt idx="161">
                  <c:v>70.656999999999996</c:v>
                </c:pt>
                <c:pt idx="162">
                  <c:v>69.927000000000007</c:v>
                </c:pt>
                <c:pt idx="163">
                  <c:v>69.216999999999999</c:v>
                </c:pt>
                <c:pt idx="164">
                  <c:v>68.516999999999996</c:v>
                </c:pt>
                <c:pt idx="165">
                  <c:v>67.841999999999999</c:v>
                </c:pt>
                <c:pt idx="166">
                  <c:v>67.188999999999993</c:v>
                </c:pt>
                <c:pt idx="167">
                  <c:v>66.542000000000002</c:v>
                </c:pt>
                <c:pt idx="168">
                  <c:v>65.900000000000006</c:v>
                </c:pt>
                <c:pt idx="169">
                  <c:v>65.251000000000005</c:v>
                </c:pt>
                <c:pt idx="170">
                  <c:v>64.623999999999995</c:v>
                </c:pt>
                <c:pt idx="171">
                  <c:v>63.996000000000002</c:v>
                </c:pt>
                <c:pt idx="172">
                  <c:v>63.363999999999997</c:v>
                </c:pt>
                <c:pt idx="173">
                  <c:v>62.722000000000001</c:v>
                </c:pt>
                <c:pt idx="174">
                  <c:v>62.091999999999999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969-48AD-8B6B-70A9C9453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US" sz="1400"/>
                  <a:t>Cumulative share of emissions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txPr>
        <a:bodyPr/>
        <a:lstStyle/>
        <a:p>
          <a:pPr>
            <a:defRPr sz="14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6C9BAD-BEA5-4C2C-98FA-84B0F3C44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A09FB4-930D-477D-88FD-7865C4FFF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792119-2CEC-499D-9ECD-362017D66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B40777-1CE6-8BED-B5A7-C90BCC70C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279400</xdr:colOff>
      <xdr:row>72</xdr:row>
      <xdr:rowOff>76200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679CA874-66AA-01F1-0094-B1B73A20B639}"/>
            </a:ext>
          </a:extLst>
        </xdr:cNvPr>
        <xdr:cNvGrpSpPr/>
      </xdr:nvGrpSpPr>
      <xdr:grpSpPr>
        <a:xfrm>
          <a:off x="0" y="0"/>
          <a:ext cx="22225000" cy="12877800"/>
          <a:chOff x="0" y="0"/>
          <a:chExt cx="22225000" cy="13335000"/>
        </a:xfrm>
      </xdr:grpSpPr>
      <xdr:sp macro="" textlink="">
        <xdr:nvSpPr>
          <xdr:cNvPr id="6" name="CanvasBg">
            <a:extLst>
              <a:ext uri="{FF2B5EF4-FFF2-40B4-BE49-F238E27FC236}">
                <a16:creationId xmlns:a16="http://schemas.microsoft.com/office/drawing/2014/main" id="{264A546C-C145-D35E-EBE7-EE56D71EE8D4}"/>
              </a:ext>
            </a:extLst>
          </xdr:cNvPr>
          <xdr:cNvSpPr/>
        </xdr:nvSpPr>
        <xdr:spPr>
          <a:xfrm>
            <a:off x="0" y="0"/>
            <a:ext cx="22225000" cy="13335000"/>
          </a:xfrm>
          <a:prstGeom prst="rect">
            <a:avLst/>
          </a:prstGeom>
          <a:solidFill>
            <a:srgbClr val="FFFFFF"/>
          </a:solidFill>
          <a:ln w="1905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905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2" name="Panel_1">
            <a:extLst>
              <a:ext uri="{FF2B5EF4-FFF2-40B4-BE49-F238E27FC236}">
                <a16:creationId xmlns:a16="http://schemas.microsoft.com/office/drawing/2014/main" id="{5AC556DB-572B-AE79-CD92-262401F514A0}"/>
              </a:ext>
            </a:extLst>
          </xdr:cNvPr>
          <xdr:cNvGraphicFramePr/>
        </xdr:nvGraphicFramePr>
        <xdr:xfrm>
          <a:off x="0" y="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Panel_2">
            <a:extLst>
              <a:ext uri="{FF2B5EF4-FFF2-40B4-BE49-F238E27FC236}">
                <a16:creationId xmlns:a16="http://schemas.microsoft.com/office/drawing/2014/main" id="{D319ADD5-E6DE-9DE4-8773-E1DC284B5EEA}"/>
              </a:ext>
            </a:extLst>
          </xdr:cNvPr>
          <xdr:cNvGraphicFramePr/>
        </xdr:nvGraphicFramePr>
        <xdr:xfrm>
          <a:off x="11176000" y="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Panel_3">
            <a:extLst>
              <a:ext uri="{FF2B5EF4-FFF2-40B4-BE49-F238E27FC236}">
                <a16:creationId xmlns:a16="http://schemas.microsoft.com/office/drawing/2014/main" id="{3A78D8FB-EA76-2636-D290-4254CFA8BB16}"/>
              </a:ext>
            </a:extLst>
          </xdr:cNvPr>
          <xdr:cNvGraphicFramePr/>
        </xdr:nvGraphicFramePr>
        <xdr:xfrm>
          <a:off x="0" y="673100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Panel_4">
            <a:extLst>
              <a:ext uri="{FF2B5EF4-FFF2-40B4-BE49-F238E27FC236}">
                <a16:creationId xmlns:a16="http://schemas.microsoft.com/office/drawing/2014/main" id="{DE86FFDE-636D-297F-1988-7664EBB94C57}"/>
              </a:ext>
            </a:extLst>
          </xdr:cNvPr>
          <xdr:cNvGraphicFramePr/>
        </xdr:nvGraphicFramePr>
        <xdr:xfrm>
          <a:off x="11176000" y="673100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C65E-0EBE-474C-AC6E-EDDE91502401}">
  <dimension ref="A2:Y177"/>
  <sheetViews>
    <sheetView workbookViewId="0"/>
  </sheetViews>
  <sheetFormatPr defaultRowHeight="14.5" x14ac:dyDescent="0.35"/>
  <sheetData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</row>
    <row r="3" spans="1:25" x14ac:dyDescent="0.35">
      <c r="A3">
        <v>1850</v>
      </c>
      <c r="B3">
        <v>1550.6410000000001</v>
      </c>
      <c r="C3">
        <v>2325.8449999999998</v>
      </c>
      <c r="D3">
        <v>1967.4659999999999</v>
      </c>
      <c r="E3">
        <v>1549.27</v>
      </c>
      <c r="F3">
        <v>2081.8649999999998</v>
      </c>
      <c r="G3">
        <v>1650.7739999999999</v>
      </c>
      <c r="N3">
        <f>IFERROR(SUM($B$3:$B3),"")</f>
        <v>1550.6410000000001</v>
      </c>
      <c r="O3">
        <f>IFERROR(SUM($C$3:$C3),"")</f>
        <v>2325.8449999999998</v>
      </c>
      <c r="P3">
        <f>IFERROR(SUM($D$3:$D3),"")</f>
        <v>1967.4659999999999</v>
      </c>
      <c r="Q3">
        <f t="shared" ref="Q3:Q34" si="0">IFERROR(O3+P3,"")</f>
        <v>4293.3109999999997</v>
      </c>
      <c r="R3">
        <f t="shared" ref="R3:R34" si="1">IFERROR(N3/Q3*100,NA())</f>
        <v>36.117602475106047</v>
      </c>
      <c r="S3">
        <f t="shared" ref="S3:S34" si="2">IFERROR(O3/Q3*100,NA())</f>
        <v>54.173690189226917</v>
      </c>
      <c r="T3">
        <f>IFERROR(SUM($E$3:$E3),"")</f>
        <v>1549.27</v>
      </c>
      <c r="U3">
        <f>IFERROR(SUM($F$3:$F3),"")</f>
        <v>2081.8649999999998</v>
      </c>
      <c r="V3">
        <f>IFERROR(SUM($G$3:$G3),"")</f>
        <v>1650.7739999999999</v>
      </c>
      <c r="W3">
        <f t="shared" ref="W3:W34" si="3">IFERROR(U3+V3,"")</f>
        <v>3732.6389999999997</v>
      </c>
      <c r="X3">
        <f t="shared" ref="X3:X34" si="4">IFERROR(T3/W3*100,NA())</f>
        <v>41.506022950518393</v>
      </c>
      <c r="Y3">
        <f t="shared" ref="Y3:Y34" si="5">IFERROR(U3/W3*100,NA())</f>
        <v>55.77461415368591</v>
      </c>
    </row>
    <row r="4" spans="1:25" x14ac:dyDescent="0.35">
      <c r="A4">
        <v>1851</v>
      </c>
      <c r="B4">
        <v>1599.614</v>
      </c>
      <c r="C4">
        <v>2376.348</v>
      </c>
      <c r="D4">
        <v>2032.8209999999999</v>
      </c>
      <c r="E4">
        <v>1560.0630000000001</v>
      </c>
      <c r="F4">
        <v>2095.4520000000002</v>
      </c>
      <c r="G4">
        <v>1618.2280000000001</v>
      </c>
      <c r="N4">
        <f>IFERROR(SUM($B$3:$B4),"")</f>
        <v>3150.2550000000001</v>
      </c>
      <c r="O4">
        <f>IFERROR(SUM($C$3:$C4),"")</f>
        <v>4702.1929999999993</v>
      </c>
      <c r="P4">
        <f>IFERROR(SUM($D$3:$D4),"")</f>
        <v>4000.2869999999998</v>
      </c>
      <c r="Q4">
        <f t="shared" si="0"/>
        <v>8702.48</v>
      </c>
      <c r="R4">
        <f t="shared" si="1"/>
        <v>36.199508645811314</v>
      </c>
      <c r="S4">
        <f t="shared" si="2"/>
        <v>54.032792950974887</v>
      </c>
      <c r="T4">
        <f>IFERROR(SUM($E$3:$E4),"")</f>
        <v>3109.3330000000001</v>
      </c>
      <c r="U4">
        <f>IFERROR(SUM($F$3:$F4),"")</f>
        <v>4177.317</v>
      </c>
      <c r="V4">
        <f>IFERROR(SUM($G$3:$G4),"")</f>
        <v>3269.002</v>
      </c>
      <c r="W4">
        <f t="shared" si="3"/>
        <v>7446.3189999999995</v>
      </c>
      <c r="X4">
        <f t="shared" si="4"/>
        <v>41.756645128955668</v>
      </c>
      <c r="Y4">
        <f t="shared" si="5"/>
        <v>56.099087347721742</v>
      </c>
    </row>
    <row r="5" spans="1:25" x14ac:dyDescent="0.35">
      <c r="A5">
        <v>1852</v>
      </c>
      <c r="B5">
        <v>1630.7190000000001</v>
      </c>
      <c r="C5">
        <v>2447.1280000000002</v>
      </c>
      <c r="D5">
        <v>2076.5830000000001</v>
      </c>
      <c r="E5">
        <v>1811.682</v>
      </c>
      <c r="F5">
        <v>2351.2759999999998</v>
      </c>
      <c r="G5">
        <v>1585.489</v>
      </c>
      <c r="N5">
        <f>IFERROR(SUM($B$3:$B5),"")</f>
        <v>4780.9740000000002</v>
      </c>
      <c r="O5">
        <f>IFERROR(SUM($C$3:$C5),"")</f>
        <v>7149.3209999999999</v>
      </c>
      <c r="P5">
        <f>IFERROR(SUM($D$3:$D5),"")</f>
        <v>6076.87</v>
      </c>
      <c r="Q5">
        <f t="shared" si="0"/>
        <v>13226.190999999999</v>
      </c>
      <c r="R5">
        <f t="shared" si="1"/>
        <v>36.147776786226665</v>
      </c>
      <c r="S5">
        <f t="shared" si="2"/>
        <v>54.054270046455557</v>
      </c>
      <c r="T5">
        <f>IFERROR(SUM($E$3:$E5),"")</f>
        <v>4921.0150000000003</v>
      </c>
      <c r="U5">
        <f>IFERROR(SUM($F$3:$F5),"")</f>
        <v>6528.5929999999998</v>
      </c>
      <c r="V5">
        <f>IFERROR(SUM($G$3:$G5),"")</f>
        <v>4854.491</v>
      </c>
      <c r="W5">
        <f t="shared" si="3"/>
        <v>11383.083999999999</v>
      </c>
      <c r="X5">
        <f t="shared" si="4"/>
        <v>43.230946903317246</v>
      </c>
      <c r="Y5">
        <f t="shared" si="5"/>
        <v>57.353464140298016</v>
      </c>
    </row>
    <row r="6" spans="1:25" x14ac:dyDescent="0.35">
      <c r="A6">
        <v>1853</v>
      </c>
      <c r="B6">
        <v>1683.136</v>
      </c>
      <c r="C6">
        <v>2475.4209999999998</v>
      </c>
      <c r="D6">
        <v>2085.9780000000001</v>
      </c>
      <c r="E6">
        <v>1856.2170000000001</v>
      </c>
      <c r="F6">
        <v>2399.4780000000001</v>
      </c>
      <c r="G6">
        <v>1550.9939999999999</v>
      </c>
      <c r="N6">
        <f>IFERROR(SUM($B$3:$B6),"")</f>
        <v>6464.1100000000006</v>
      </c>
      <c r="O6">
        <f>IFERROR(SUM($C$3:$C6),"")</f>
        <v>9624.7420000000002</v>
      </c>
      <c r="P6">
        <f>IFERROR(SUM($D$3:$D6),"")</f>
        <v>8162.848</v>
      </c>
      <c r="Q6">
        <f t="shared" si="0"/>
        <v>17787.59</v>
      </c>
      <c r="R6">
        <f t="shared" si="1"/>
        <v>36.340561031595627</v>
      </c>
      <c r="S6">
        <f t="shared" si="2"/>
        <v>54.109308793377849</v>
      </c>
      <c r="T6">
        <f>IFERROR(SUM($E$3:$E6),"")</f>
        <v>6777.232</v>
      </c>
      <c r="U6">
        <f>IFERROR(SUM($F$3:$F6),"")</f>
        <v>8928.0709999999999</v>
      </c>
      <c r="V6">
        <f>IFERROR(SUM($G$3:$G6),"")</f>
        <v>6405.4849999999997</v>
      </c>
      <c r="W6">
        <f t="shared" si="3"/>
        <v>15333.556</v>
      </c>
      <c r="X6">
        <f t="shared" si="4"/>
        <v>44.198697288482855</v>
      </c>
      <c r="Y6">
        <f t="shared" si="5"/>
        <v>58.225704461509117</v>
      </c>
    </row>
    <row r="7" spans="1:25" x14ac:dyDescent="0.35">
      <c r="A7">
        <v>1854</v>
      </c>
      <c r="B7">
        <v>1755.03</v>
      </c>
      <c r="C7">
        <v>2574.7579999999998</v>
      </c>
      <c r="D7">
        <v>2079.2310000000002</v>
      </c>
      <c r="E7">
        <v>1933.3910000000001</v>
      </c>
      <c r="F7">
        <v>2480.7530000000002</v>
      </c>
      <c r="G7">
        <v>1516.01</v>
      </c>
      <c r="N7">
        <f>IFERROR(SUM($B$3:$B7),"")</f>
        <v>8219.1400000000012</v>
      </c>
      <c r="O7">
        <f>IFERROR(SUM($C$3:$C7),"")</f>
        <v>12199.5</v>
      </c>
      <c r="P7">
        <f>IFERROR(SUM($D$3:$D7),"")</f>
        <v>10242.079</v>
      </c>
      <c r="Q7">
        <f t="shared" si="0"/>
        <v>22441.578999999998</v>
      </c>
      <c r="R7">
        <f t="shared" si="1"/>
        <v>36.624606494935144</v>
      </c>
      <c r="S7">
        <f t="shared" si="2"/>
        <v>54.361148117073235</v>
      </c>
      <c r="T7">
        <f>IFERROR(SUM($E$3:$E7),"")</f>
        <v>8710.6229999999996</v>
      </c>
      <c r="U7">
        <f>IFERROR(SUM($F$3:$F7),"")</f>
        <v>11408.824000000001</v>
      </c>
      <c r="V7">
        <f>IFERROR(SUM($G$3:$G7),"")</f>
        <v>7921.4949999999999</v>
      </c>
      <c r="W7">
        <f t="shared" si="3"/>
        <v>19330.319</v>
      </c>
      <c r="X7">
        <f t="shared" si="4"/>
        <v>45.061972334755573</v>
      </c>
      <c r="Y7">
        <f t="shared" si="5"/>
        <v>59.020360708998133</v>
      </c>
    </row>
    <row r="8" spans="1:25" x14ac:dyDescent="0.35">
      <c r="A8">
        <v>1855</v>
      </c>
      <c r="B8">
        <v>1775.259</v>
      </c>
      <c r="C8">
        <v>2601.3939999999998</v>
      </c>
      <c r="D8">
        <v>2118.6179999999999</v>
      </c>
      <c r="E8">
        <v>1969.3230000000001</v>
      </c>
      <c r="F8">
        <v>2521.239</v>
      </c>
      <c r="G8">
        <v>1479.527</v>
      </c>
      <c r="N8">
        <f>IFERROR(SUM($B$3:$B8),"")</f>
        <v>9994.3990000000013</v>
      </c>
      <c r="O8">
        <f>IFERROR(SUM($C$3:$C8),"")</f>
        <v>14800.894</v>
      </c>
      <c r="P8">
        <f>IFERROR(SUM($D$3:$D8),"")</f>
        <v>12360.697</v>
      </c>
      <c r="Q8">
        <f t="shared" si="0"/>
        <v>27161.591</v>
      </c>
      <c r="R8">
        <f t="shared" si="1"/>
        <v>36.796073543703685</v>
      </c>
      <c r="S8">
        <f t="shared" si="2"/>
        <v>54.4919993825104</v>
      </c>
      <c r="T8">
        <f>IFERROR(SUM($E$3:$E8),"")</f>
        <v>10679.946</v>
      </c>
      <c r="U8">
        <f>IFERROR(SUM($F$3:$F8),"")</f>
        <v>13930.063</v>
      </c>
      <c r="V8">
        <f>IFERROR(SUM($G$3:$G8),"")</f>
        <v>9401.0220000000008</v>
      </c>
      <c r="W8">
        <f t="shared" si="3"/>
        <v>23331.084999999999</v>
      </c>
      <c r="X8">
        <f t="shared" si="4"/>
        <v>45.775607949651722</v>
      </c>
      <c r="Y8">
        <f t="shared" si="5"/>
        <v>59.706023101797456</v>
      </c>
    </row>
    <row r="9" spans="1:25" x14ac:dyDescent="0.35">
      <c r="A9">
        <v>1856</v>
      </c>
      <c r="B9">
        <v>1806.8510000000001</v>
      </c>
      <c r="C9">
        <v>2640.92</v>
      </c>
      <c r="D9">
        <v>2123.6419999999998</v>
      </c>
      <c r="E9">
        <v>2018.9290000000001</v>
      </c>
      <c r="F9">
        <v>2575.0949999999998</v>
      </c>
      <c r="G9">
        <v>1474.922</v>
      </c>
      <c r="N9">
        <f>IFERROR(SUM($B$3:$B9),"")</f>
        <v>11801.250000000002</v>
      </c>
      <c r="O9">
        <f>IFERROR(SUM($C$3:$C9),"")</f>
        <v>17441.813999999998</v>
      </c>
      <c r="P9">
        <f>IFERROR(SUM($D$3:$D9),"")</f>
        <v>14484.339</v>
      </c>
      <c r="Q9">
        <f t="shared" si="0"/>
        <v>31926.152999999998</v>
      </c>
      <c r="R9">
        <f t="shared" si="1"/>
        <v>36.964209248762295</v>
      </c>
      <c r="S9">
        <f t="shared" si="2"/>
        <v>54.631743448701755</v>
      </c>
      <c r="T9">
        <f>IFERROR(SUM($E$3:$E9),"")</f>
        <v>12698.875</v>
      </c>
      <c r="U9">
        <f>IFERROR(SUM($F$3:$F9),"")</f>
        <v>16505.157999999999</v>
      </c>
      <c r="V9">
        <f>IFERROR(SUM($G$3:$G9),"")</f>
        <v>10875.944000000001</v>
      </c>
      <c r="W9">
        <f t="shared" si="3"/>
        <v>27381.101999999999</v>
      </c>
      <c r="X9">
        <f t="shared" si="4"/>
        <v>46.378246573129161</v>
      </c>
      <c r="Y9">
        <f t="shared" si="5"/>
        <v>60.279378090772241</v>
      </c>
    </row>
    <row r="10" spans="1:25" x14ac:dyDescent="0.35">
      <c r="A10">
        <v>1857</v>
      </c>
      <c r="B10">
        <v>1832.5350000000001</v>
      </c>
      <c r="C10">
        <v>2679.4459999999999</v>
      </c>
      <c r="D10">
        <v>2143.3420000000001</v>
      </c>
      <c r="E10">
        <v>2049.8919999999998</v>
      </c>
      <c r="F10">
        <v>2610.0659999999998</v>
      </c>
      <c r="G10">
        <v>1471.3820000000001</v>
      </c>
      <c r="N10">
        <f>IFERROR(SUM($B$3:$B10),"")</f>
        <v>13633.785000000002</v>
      </c>
      <c r="O10">
        <f>IFERROR(SUM($C$3:$C10),"")</f>
        <v>20121.259999999998</v>
      </c>
      <c r="P10">
        <f>IFERROR(SUM($D$3:$D10),"")</f>
        <v>16627.681</v>
      </c>
      <c r="Q10">
        <f t="shared" si="0"/>
        <v>36748.940999999999</v>
      </c>
      <c r="R10">
        <f t="shared" si="1"/>
        <v>37.099803773937332</v>
      </c>
      <c r="S10">
        <f t="shared" si="2"/>
        <v>54.753305680291575</v>
      </c>
      <c r="T10">
        <f>IFERROR(SUM($E$3:$E10),"")</f>
        <v>14748.767</v>
      </c>
      <c r="U10">
        <f>IFERROR(SUM($F$3:$F10),"")</f>
        <v>19115.223999999998</v>
      </c>
      <c r="V10">
        <f>IFERROR(SUM($G$3:$G10),"")</f>
        <v>12347.326000000001</v>
      </c>
      <c r="W10">
        <f t="shared" si="3"/>
        <v>31462.55</v>
      </c>
      <c r="X10">
        <f t="shared" si="4"/>
        <v>46.877214338952186</v>
      </c>
      <c r="Y10">
        <f t="shared" si="5"/>
        <v>60.755482311510036</v>
      </c>
    </row>
    <row r="11" spans="1:25" x14ac:dyDescent="0.35">
      <c r="A11">
        <v>1858</v>
      </c>
      <c r="B11">
        <v>1863.287</v>
      </c>
      <c r="C11">
        <v>2714.2539999999999</v>
      </c>
      <c r="D11">
        <v>2140.7800000000002</v>
      </c>
      <c r="E11">
        <v>2079.509</v>
      </c>
      <c r="F11">
        <v>2644.17</v>
      </c>
      <c r="G11">
        <v>1468.4659999999999</v>
      </c>
      <c r="N11">
        <f>IFERROR(SUM($B$3:$B11),"")</f>
        <v>15497.072000000002</v>
      </c>
      <c r="O11">
        <f>IFERROR(SUM($C$3:$C11),"")</f>
        <v>22835.513999999999</v>
      </c>
      <c r="P11">
        <f>IFERROR(SUM($D$3:$D11),"")</f>
        <v>18768.460999999999</v>
      </c>
      <c r="Q11">
        <f t="shared" si="0"/>
        <v>41603.974999999999</v>
      </c>
      <c r="R11">
        <f t="shared" si="1"/>
        <v>37.249017671989279</v>
      </c>
      <c r="S11">
        <f t="shared" si="2"/>
        <v>54.887817810677944</v>
      </c>
      <c r="T11">
        <f>IFERROR(SUM($E$3:$E11),"")</f>
        <v>16828.275999999998</v>
      </c>
      <c r="U11">
        <f>IFERROR(SUM($F$3:$F11),"")</f>
        <v>21759.394</v>
      </c>
      <c r="V11">
        <f>IFERROR(SUM($G$3:$G11),"")</f>
        <v>13815.792000000001</v>
      </c>
      <c r="W11">
        <f t="shared" si="3"/>
        <v>35575.186000000002</v>
      </c>
      <c r="X11">
        <f t="shared" si="4"/>
        <v>47.30340974183521</v>
      </c>
      <c r="Y11">
        <f t="shared" si="5"/>
        <v>61.164526307747202</v>
      </c>
    </row>
    <row r="12" spans="1:25" x14ac:dyDescent="0.35">
      <c r="A12">
        <v>1859</v>
      </c>
      <c r="B12">
        <v>1914.287</v>
      </c>
      <c r="C12">
        <v>2773.4630000000002</v>
      </c>
      <c r="D12">
        <v>2152.288</v>
      </c>
      <c r="E12">
        <v>2125.9180000000001</v>
      </c>
      <c r="F12">
        <v>2693.616</v>
      </c>
      <c r="G12">
        <v>1466.165</v>
      </c>
      <c r="N12">
        <f>IFERROR(SUM($B$3:$B12),"")</f>
        <v>17411.359</v>
      </c>
      <c r="O12">
        <f>IFERROR(SUM($C$3:$C12),"")</f>
        <v>25608.976999999999</v>
      </c>
      <c r="P12">
        <f>IFERROR(SUM($D$3:$D12),"")</f>
        <v>20920.749</v>
      </c>
      <c r="Q12">
        <f t="shared" si="0"/>
        <v>46529.725999999995</v>
      </c>
      <c r="R12">
        <f t="shared" si="1"/>
        <v>37.419861445132952</v>
      </c>
      <c r="S12">
        <f t="shared" si="2"/>
        <v>55.037884813678041</v>
      </c>
      <c r="T12">
        <f>IFERROR(SUM($E$3:$E12),"")</f>
        <v>18954.194</v>
      </c>
      <c r="U12">
        <f>IFERROR(SUM($F$3:$F12),"")</f>
        <v>24453.010000000002</v>
      </c>
      <c r="V12">
        <f>IFERROR(SUM($G$3:$G12),"")</f>
        <v>15281.957000000002</v>
      </c>
      <c r="W12">
        <f t="shared" si="3"/>
        <v>39734.967000000004</v>
      </c>
      <c r="X12">
        <f t="shared" si="4"/>
        <v>47.701547103335955</v>
      </c>
      <c r="Y12">
        <f t="shared" si="5"/>
        <v>61.540280126569627</v>
      </c>
    </row>
    <row r="13" spans="1:25" x14ac:dyDescent="0.35">
      <c r="A13">
        <v>1860</v>
      </c>
      <c r="B13">
        <v>1891.3869999999999</v>
      </c>
      <c r="C13">
        <v>2720.11</v>
      </c>
      <c r="D13">
        <v>1986.999</v>
      </c>
      <c r="E13">
        <v>2184.9270000000001</v>
      </c>
      <c r="F13">
        <v>2756.895</v>
      </c>
      <c r="G13">
        <v>1462.8330000000001</v>
      </c>
      <c r="N13">
        <f>IFERROR(SUM($B$3:$B13),"")</f>
        <v>19302.745999999999</v>
      </c>
      <c r="O13">
        <f>IFERROR(SUM($C$3:$C13),"")</f>
        <v>28329.087</v>
      </c>
      <c r="P13">
        <f>IFERROR(SUM($D$3:$D13),"")</f>
        <v>22907.748</v>
      </c>
      <c r="Q13">
        <f t="shared" si="0"/>
        <v>51236.834999999999</v>
      </c>
      <c r="R13">
        <f t="shared" si="1"/>
        <v>37.673572147850273</v>
      </c>
      <c r="S13">
        <f t="shared" si="2"/>
        <v>55.290470225180769</v>
      </c>
      <c r="T13">
        <f>IFERROR(SUM($E$3:$E13),"")</f>
        <v>21139.120999999999</v>
      </c>
      <c r="U13">
        <f>IFERROR(SUM($F$3:$F13),"")</f>
        <v>27209.905000000002</v>
      </c>
      <c r="V13">
        <f>IFERROR(SUM($G$3:$G13),"")</f>
        <v>16744.79</v>
      </c>
      <c r="W13">
        <f t="shared" si="3"/>
        <v>43954.695000000007</v>
      </c>
      <c r="X13">
        <f t="shared" si="4"/>
        <v>48.092976188322986</v>
      </c>
      <c r="Y13">
        <f t="shared" si="5"/>
        <v>61.904433644688005</v>
      </c>
    </row>
    <row r="14" spans="1:25" x14ac:dyDescent="0.35">
      <c r="A14">
        <v>1861</v>
      </c>
      <c r="B14">
        <v>1845.7850000000001</v>
      </c>
      <c r="C14">
        <v>2678.7750000000001</v>
      </c>
      <c r="D14">
        <v>1924.65</v>
      </c>
      <c r="E14">
        <v>2225.877</v>
      </c>
      <c r="F14">
        <v>2814.9540000000002</v>
      </c>
      <c r="G14">
        <v>1471.184</v>
      </c>
      <c r="N14">
        <f>IFERROR(SUM($B$3:$B14),"")</f>
        <v>21148.530999999999</v>
      </c>
      <c r="O14">
        <f>IFERROR(SUM($C$3:$C14),"")</f>
        <v>31007.862000000001</v>
      </c>
      <c r="P14">
        <f>IFERROR(SUM($D$3:$D14),"")</f>
        <v>24832.398000000001</v>
      </c>
      <c r="Q14">
        <f t="shared" si="0"/>
        <v>55840.26</v>
      </c>
      <c r="R14">
        <f t="shared" si="1"/>
        <v>37.873267423898092</v>
      </c>
      <c r="S14">
        <f t="shared" si="2"/>
        <v>55.529580270578968</v>
      </c>
      <c r="T14">
        <f>IFERROR(SUM($E$3:$E14),"")</f>
        <v>23364.998</v>
      </c>
      <c r="U14">
        <f>IFERROR(SUM($F$3:$F14),"")</f>
        <v>30024.859000000004</v>
      </c>
      <c r="V14">
        <f>IFERROR(SUM($G$3:$G14),"")</f>
        <v>18215.974000000002</v>
      </c>
      <c r="W14">
        <f t="shared" si="3"/>
        <v>48240.833000000006</v>
      </c>
      <c r="X14">
        <f t="shared" si="4"/>
        <v>48.434068292311608</v>
      </c>
      <c r="Y14">
        <f t="shared" si="5"/>
        <v>62.239511908925785</v>
      </c>
    </row>
    <row r="15" spans="1:25" x14ac:dyDescent="0.35">
      <c r="A15">
        <v>1862</v>
      </c>
      <c r="B15">
        <v>1854.298</v>
      </c>
      <c r="C15">
        <v>2681.5949999999998</v>
      </c>
      <c r="D15">
        <v>1861.347</v>
      </c>
      <c r="E15">
        <v>2046.1310000000001</v>
      </c>
      <c r="F15">
        <v>2612.7190000000001</v>
      </c>
      <c r="G15">
        <v>1472.5350000000001</v>
      </c>
      <c r="N15">
        <f>IFERROR(SUM($B$3:$B15),"")</f>
        <v>23002.828999999998</v>
      </c>
      <c r="O15">
        <f>IFERROR(SUM($C$3:$C15),"")</f>
        <v>33689.457000000002</v>
      </c>
      <c r="P15">
        <f>IFERROR(SUM($D$3:$D15),"")</f>
        <v>26693.745000000003</v>
      </c>
      <c r="Q15">
        <f t="shared" si="0"/>
        <v>60383.202000000005</v>
      </c>
      <c r="R15">
        <f t="shared" si="1"/>
        <v>38.094748602434159</v>
      </c>
      <c r="S15">
        <f t="shared" si="2"/>
        <v>55.792763358259798</v>
      </c>
      <c r="T15">
        <f>IFERROR(SUM($E$3:$E15),"")</f>
        <v>25411.129000000001</v>
      </c>
      <c r="U15">
        <f>IFERROR(SUM($F$3:$F15),"")</f>
        <v>32637.578000000005</v>
      </c>
      <c r="V15">
        <f>IFERROR(SUM($G$3:$G15),"")</f>
        <v>19688.509000000002</v>
      </c>
      <c r="W15">
        <f t="shared" si="3"/>
        <v>52326.087000000007</v>
      </c>
      <c r="X15">
        <f t="shared" si="4"/>
        <v>48.563021729486479</v>
      </c>
      <c r="Y15">
        <f t="shared" si="5"/>
        <v>62.37343526184177</v>
      </c>
    </row>
    <row r="16" spans="1:25" x14ac:dyDescent="0.35">
      <c r="A16">
        <v>1863</v>
      </c>
      <c r="B16">
        <v>1884.8119999999999</v>
      </c>
      <c r="C16">
        <v>2701.8389999999999</v>
      </c>
      <c r="D16">
        <v>1846.817</v>
      </c>
      <c r="E16">
        <v>2073.5830000000001</v>
      </c>
      <c r="F16">
        <v>2646.7109999999998</v>
      </c>
      <c r="G16">
        <v>1474.8969999999999</v>
      </c>
      <c r="N16">
        <f>IFERROR(SUM($B$3:$B16),"")</f>
        <v>24887.640999999996</v>
      </c>
      <c r="O16">
        <f>IFERROR(SUM($C$3:$C16),"")</f>
        <v>36391.296000000002</v>
      </c>
      <c r="P16">
        <f>IFERROR(SUM($D$3:$D16),"")</f>
        <v>28540.562000000002</v>
      </c>
      <c r="Q16">
        <f t="shared" si="0"/>
        <v>64931.858000000007</v>
      </c>
      <c r="R16">
        <f t="shared" si="1"/>
        <v>38.328860079746974</v>
      </c>
      <c r="S16">
        <f t="shared" si="2"/>
        <v>56.045363741170007</v>
      </c>
      <c r="T16">
        <f>IFERROR(SUM($E$3:$E16),"")</f>
        <v>27484.712</v>
      </c>
      <c r="U16">
        <f>IFERROR(SUM($F$3:$F16),"")</f>
        <v>35284.289000000004</v>
      </c>
      <c r="V16">
        <f>IFERROR(SUM($G$3:$G16),"")</f>
        <v>21163.406000000003</v>
      </c>
      <c r="W16">
        <f t="shared" si="3"/>
        <v>56447.695000000007</v>
      </c>
      <c r="X16">
        <f t="shared" si="4"/>
        <v>48.690583379888224</v>
      </c>
      <c r="Y16">
        <f t="shared" si="5"/>
        <v>62.507935886487488</v>
      </c>
    </row>
    <row r="17" spans="1:25" x14ac:dyDescent="0.35">
      <c r="A17">
        <v>1864</v>
      </c>
      <c r="B17">
        <v>1901.0609999999999</v>
      </c>
      <c r="C17">
        <v>2759.3119999999999</v>
      </c>
      <c r="D17">
        <v>1854.0840000000001</v>
      </c>
      <c r="E17">
        <v>2108.384</v>
      </c>
      <c r="F17">
        <v>2686.87</v>
      </c>
      <c r="G17">
        <v>1478.1</v>
      </c>
      <c r="N17">
        <f>IFERROR(SUM($B$3:$B17),"")</f>
        <v>26788.701999999997</v>
      </c>
      <c r="O17">
        <f>IFERROR(SUM($C$3:$C17),"")</f>
        <v>39150.608</v>
      </c>
      <c r="P17">
        <f>IFERROR(SUM($D$3:$D17),"")</f>
        <v>30394.646000000001</v>
      </c>
      <c r="Q17">
        <f t="shared" si="0"/>
        <v>69545.254000000001</v>
      </c>
      <c r="R17">
        <f t="shared" si="1"/>
        <v>38.519813300272077</v>
      </c>
      <c r="S17">
        <f t="shared" si="2"/>
        <v>56.295154231516641</v>
      </c>
      <c r="T17">
        <f>IFERROR(SUM($E$3:$E17),"")</f>
        <v>29593.095999999998</v>
      </c>
      <c r="U17">
        <f>IFERROR(SUM($F$3:$F17),"")</f>
        <v>37971.159000000007</v>
      </c>
      <c r="V17">
        <f>IFERROR(SUM($G$3:$G17),"")</f>
        <v>22641.506000000001</v>
      </c>
      <c r="W17">
        <f t="shared" si="3"/>
        <v>60612.665000000008</v>
      </c>
      <c r="X17">
        <f t="shared" si="4"/>
        <v>48.823288004247942</v>
      </c>
      <c r="Y17">
        <f t="shared" si="5"/>
        <v>62.645585703911891</v>
      </c>
    </row>
    <row r="18" spans="1:25" x14ac:dyDescent="0.35">
      <c r="A18">
        <v>1865</v>
      </c>
      <c r="B18">
        <v>1907.232</v>
      </c>
      <c r="C18">
        <v>2749.6390000000001</v>
      </c>
      <c r="D18">
        <v>1820.9929999999999</v>
      </c>
      <c r="E18">
        <v>2138.5500000000002</v>
      </c>
      <c r="F18">
        <v>2722.4720000000002</v>
      </c>
      <c r="G18">
        <v>1482.0150000000001</v>
      </c>
      <c r="N18">
        <f>IFERROR(SUM($B$3:$B18),"")</f>
        <v>28695.933999999997</v>
      </c>
      <c r="O18">
        <f>IFERROR(SUM($C$3:$C18),"")</f>
        <v>41900.247000000003</v>
      </c>
      <c r="P18">
        <f>IFERROR(SUM($D$3:$D18),"")</f>
        <v>32215.638999999999</v>
      </c>
      <c r="Q18">
        <f t="shared" si="0"/>
        <v>74115.885999999999</v>
      </c>
      <c r="R18">
        <f t="shared" si="1"/>
        <v>38.717656293011188</v>
      </c>
      <c r="S18">
        <f t="shared" si="2"/>
        <v>56.533422537780908</v>
      </c>
      <c r="T18">
        <f>IFERROR(SUM($E$3:$E18),"")</f>
        <v>31731.645999999997</v>
      </c>
      <c r="U18">
        <f>IFERROR(SUM($F$3:$F18),"")</f>
        <v>40693.631000000008</v>
      </c>
      <c r="V18">
        <f>IFERROR(SUM($G$3:$G18),"")</f>
        <v>24123.521000000001</v>
      </c>
      <c r="W18">
        <f t="shared" si="3"/>
        <v>64817.152000000009</v>
      </c>
      <c r="X18">
        <f t="shared" si="4"/>
        <v>48.955631373621586</v>
      </c>
      <c r="Y18">
        <f t="shared" si="5"/>
        <v>62.782195367053461</v>
      </c>
    </row>
    <row r="19" spans="1:25" x14ac:dyDescent="0.35">
      <c r="A19">
        <v>1866</v>
      </c>
      <c r="B19">
        <v>1913.98</v>
      </c>
      <c r="C19">
        <v>2797.152</v>
      </c>
      <c r="D19">
        <v>1811.1690000000001</v>
      </c>
      <c r="E19">
        <v>2157.08</v>
      </c>
      <c r="F19">
        <v>2746.192</v>
      </c>
      <c r="G19">
        <v>1483.317</v>
      </c>
      <c r="N19">
        <f>IFERROR(SUM($B$3:$B19),"")</f>
        <v>30609.913999999997</v>
      </c>
      <c r="O19">
        <f>IFERROR(SUM($C$3:$C19),"")</f>
        <v>44697.399000000005</v>
      </c>
      <c r="P19">
        <f>IFERROR(SUM($D$3:$D19),"")</f>
        <v>34026.807999999997</v>
      </c>
      <c r="Q19">
        <f t="shared" si="0"/>
        <v>78724.206999999995</v>
      </c>
      <c r="R19">
        <f t="shared" si="1"/>
        <v>38.88246724416036</v>
      </c>
      <c r="S19">
        <f t="shared" si="2"/>
        <v>56.777198149484065</v>
      </c>
      <c r="T19">
        <f>IFERROR(SUM($E$3:$E19),"")</f>
        <v>33888.725999999995</v>
      </c>
      <c r="U19">
        <f>IFERROR(SUM($F$3:$F19),"")</f>
        <v>43439.823000000011</v>
      </c>
      <c r="V19">
        <f>IFERROR(SUM($G$3:$G19),"")</f>
        <v>25606.838</v>
      </c>
      <c r="W19">
        <f t="shared" si="3"/>
        <v>69046.661000000007</v>
      </c>
      <c r="X19">
        <f t="shared" si="4"/>
        <v>49.080904868086222</v>
      </c>
      <c r="Y19">
        <f t="shared" si="5"/>
        <v>62.91372004216106</v>
      </c>
    </row>
    <row r="20" spans="1:25" x14ac:dyDescent="0.35">
      <c r="A20">
        <v>1867</v>
      </c>
      <c r="B20">
        <v>1963.202</v>
      </c>
      <c r="C20">
        <v>2801.723</v>
      </c>
      <c r="D20">
        <v>1800.8050000000001</v>
      </c>
      <c r="E20">
        <v>2187.6</v>
      </c>
      <c r="F20">
        <v>2781.8989999999999</v>
      </c>
      <c r="G20">
        <v>1484.4690000000001</v>
      </c>
      <c r="N20">
        <f>IFERROR(SUM($B$3:$B20),"")</f>
        <v>32573.115999999998</v>
      </c>
      <c r="O20">
        <f>IFERROR(SUM($C$3:$C20),"")</f>
        <v>47499.122000000003</v>
      </c>
      <c r="P20">
        <f>IFERROR(SUM($D$3:$D20),"")</f>
        <v>35827.612999999998</v>
      </c>
      <c r="Q20">
        <f t="shared" si="0"/>
        <v>83326.735000000001</v>
      </c>
      <c r="R20">
        <f t="shared" si="1"/>
        <v>39.090834412268762</v>
      </c>
      <c r="S20">
        <f t="shared" si="2"/>
        <v>57.003459933957579</v>
      </c>
      <c r="T20">
        <f>IFERROR(SUM($E$3:$E20),"")</f>
        <v>36076.325999999994</v>
      </c>
      <c r="U20">
        <f>IFERROR(SUM($F$3:$F20),"")</f>
        <v>46221.722000000009</v>
      </c>
      <c r="V20">
        <f>IFERROR(SUM($G$3:$G20),"")</f>
        <v>27091.307000000001</v>
      </c>
      <c r="W20">
        <f t="shared" si="3"/>
        <v>73313.02900000001</v>
      </c>
      <c r="X20">
        <f t="shared" si="4"/>
        <v>49.208614747045829</v>
      </c>
      <c r="Y20">
        <f t="shared" si="5"/>
        <v>63.047077211882765</v>
      </c>
    </row>
    <row r="21" spans="1:25" x14ac:dyDescent="0.35">
      <c r="A21">
        <v>1868</v>
      </c>
      <c r="B21">
        <v>1967.298</v>
      </c>
      <c r="C21">
        <v>2824.998</v>
      </c>
      <c r="D21">
        <v>1786.752</v>
      </c>
      <c r="E21">
        <v>2198.3870000000002</v>
      </c>
      <c r="F21">
        <v>2797.36</v>
      </c>
      <c r="G21">
        <v>1485.1410000000001</v>
      </c>
      <c r="N21">
        <f>IFERROR(SUM($B$3:$B21),"")</f>
        <v>34540.413999999997</v>
      </c>
      <c r="O21">
        <f>IFERROR(SUM($C$3:$C21),"")</f>
        <v>50324.12</v>
      </c>
      <c r="P21">
        <f>IFERROR(SUM($D$3:$D21),"")</f>
        <v>37614.364999999998</v>
      </c>
      <c r="Q21">
        <f t="shared" si="0"/>
        <v>87938.485000000001</v>
      </c>
      <c r="R21">
        <f t="shared" si="1"/>
        <v>39.277927064583835</v>
      </c>
      <c r="S21">
        <f t="shared" si="2"/>
        <v>57.226503276693933</v>
      </c>
      <c r="T21">
        <f>IFERROR(SUM($E$3:$E21),"")</f>
        <v>38274.712999999996</v>
      </c>
      <c r="U21">
        <f>IFERROR(SUM($F$3:$F21),"")</f>
        <v>49019.082000000009</v>
      </c>
      <c r="V21">
        <f>IFERROR(SUM($G$3:$G21),"")</f>
        <v>28576.448</v>
      </c>
      <c r="W21">
        <f t="shared" si="3"/>
        <v>77595.530000000013</v>
      </c>
      <c r="X21">
        <f t="shared" si="4"/>
        <v>49.325925088726102</v>
      </c>
      <c r="Y21">
        <f t="shared" si="5"/>
        <v>63.172559037872411</v>
      </c>
    </row>
    <row r="22" spans="1:25" x14ac:dyDescent="0.35">
      <c r="A22">
        <v>1869</v>
      </c>
      <c r="B22">
        <v>1982.739</v>
      </c>
      <c r="C22">
        <v>2850.4029999999998</v>
      </c>
      <c r="D22">
        <v>1794.9670000000001</v>
      </c>
      <c r="E22">
        <v>2229.0680000000002</v>
      </c>
      <c r="F22">
        <v>2832.9740000000002</v>
      </c>
      <c r="G22">
        <v>1485.3430000000001</v>
      </c>
      <c r="N22">
        <f>IFERROR(SUM($B$3:$B22),"")</f>
        <v>36523.152999999998</v>
      </c>
      <c r="O22">
        <f>IFERROR(SUM($C$3:$C22),"")</f>
        <v>53174.523000000001</v>
      </c>
      <c r="P22">
        <f>IFERROR(SUM($D$3:$D22),"")</f>
        <v>39409.331999999995</v>
      </c>
      <c r="Q22">
        <f t="shared" si="0"/>
        <v>92583.854999999996</v>
      </c>
      <c r="R22">
        <f t="shared" si="1"/>
        <v>39.448727858653108</v>
      </c>
      <c r="S22">
        <f t="shared" si="2"/>
        <v>57.433904647845999</v>
      </c>
      <c r="T22">
        <f>IFERROR(SUM($E$3:$E22),"")</f>
        <v>40503.780999999995</v>
      </c>
      <c r="U22">
        <f>IFERROR(SUM($F$3:$F22),"")</f>
        <v>51852.056000000011</v>
      </c>
      <c r="V22">
        <f>IFERROR(SUM($G$3:$G22),"")</f>
        <v>30061.791000000001</v>
      </c>
      <c r="W22">
        <f t="shared" si="3"/>
        <v>81913.847000000009</v>
      </c>
      <c r="X22">
        <f t="shared" si="4"/>
        <v>49.446805983852755</v>
      </c>
      <c r="Y22">
        <f t="shared" si="5"/>
        <v>63.300721305397857</v>
      </c>
    </row>
    <row r="23" spans="1:25" x14ac:dyDescent="0.35">
      <c r="A23">
        <v>1870</v>
      </c>
      <c r="B23">
        <v>2234.2869999999998</v>
      </c>
      <c r="C23">
        <v>3172.57</v>
      </c>
      <c r="D23">
        <v>1847.261</v>
      </c>
      <c r="E23">
        <v>2237.549</v>
      </c>
      <c r="F23">
        <v>2846.1370000000002</v>
      </c>
      <c r="G23">
        <v>1488.076</v>
      </c>
      <c r="N23">
        <f>IFERROR(SUM($B$3:$B23),"")</f>
        <v>38757.439999999995</v>
      </c>
      <c r="O23">
        <f>IFERROR(SUM($C$3:$C23),"")</f>
        <v>56347.093000000001</v>
      </c>
      <c r="P23">
        <f>IFERROR(SUM($D$3:$D23),"")</f>
        <v>41256.592999999993</v>
      </c>
      <c r="Q23">
        <f t="shared" si="0"/>
        <v>97603.685999999987</v>
      </c>
      <c r="R23">
        <f t="shared" si="1"/>
        <v>39.708992137858402</v>
      </c>
      <c r="S23">
        <f t="shared" si="2"/>
        <v>57.730496981435728</v>
      </c>
      <c r="T23">
        <f>IFERROR(SUM($E$3:$E23),"")</f>
        <v>42741.329999999994</v>
      </c>
      <c r="U23">
        <f>IFERROR(SUM($F$3:$F23),"")</f>
        <v>54698.193000000014</v>
      </c>
      <c r="V23">
        <f>IFERROR(SUM($G$3:$G23),"")</f>
        <v>31549.867000000002</v>
      </c>
      <c r="W23">
        <f t="shared" si="3"/>
        <v>86248.060000000012</v>
      </c>
      <c r="X23">
        <f t="shared" si="4"/>
        <v>49.556279874584988</v>
      </c>
      <c r="Y23">
        <f t="shared" si="5"/>
        <v>63.419621264524686</v>
      </c>
    </row>
    <row r="24" spans="1:25" x14ac:dyDescent="0.35">
      <c r="A24">
        <v>1871</v>
      </c>
      <c r="B24">
        <v>2381.453</v>
      </c>
      <c r="C24">
        <v>3303.386</v>
      </c>
      <c r="D24">
        <v>1851.5930000000001</v>
      </c>
      <c r="E24">
        <v>2279.2719999999999</v>
      </c>
      <c r="F24">
        <v>2886.8150000000001</v>
      </c>
      <c r="G24">
        <v>1572.9169999999999</v>
      </c>
      <c r="N24">
        <f>IFERROR(SUM($B$3:$B24),"")</f>
        <v>41138.892999999996</v>
      </c>
      <c r="O24">
        <f>IFERROR(SUM($C$3:$C24),"")</f>
        <v>59650.478999999999</v>
      </c>
      <c r="P24">
        <f>IFERROR(SUM($D$3:$D24),"")</f>
        <v>43108.185999999994</v>
      </c>
      <c r="Q24">
        <f t="shared" si="0"/>
        <v>102758.66499999999</v>
      </c>
      <c r="R24">
        <f t="shared" si="1"/>
        <v>40.034475924731019</v>
      </c>
      <c r="S24">
        <f t="shared" si="2"/>
        <v>58.049098827821474</v>
      </c>
      <c r="T24">
        <f>IFERROR(SUM($E$3:$E24),"")</f>
        <v>45020.601999999992</v>
      </c>
      <c r="U24">
        <f>IFERROR(SUM($F$3:$F24),"")</f>
        <v>57585.008000000016</v>
      </c>
      <c r="V24">
        <f>IFERROR(SUM($G$3:$G24),"")</f>
        <v>33122.784</v>
      </c>
      <c r="W24">
        <f t="shared" si="3"/>
        <v>90707.792000000016</v>
      </c>
      <c r="X24">
        <f t="shared" si="4"/>
        <v>49.632562988634959</v>
      </c>
      <c r="Y24">
        <f t="shared" si="5"/>
        <v>63.484080838391485</v>
      </c>
    </row>
    <row r="25" spans="1:25" x14ac:dyDescent="0.35">
      <c r="A25">
        <v>1872</v>
      </c>
      <c r="B25">
        <v>2515.0500000000002</v>
      </c>
      <c r="C25">
        <v>3487.5970000000002</v>
      </c>
      <c r="D25">
        <v>1913.337</v>
      </c>
      <c r="E25">
        <v>2653.1660000000002</v>
      </c>
      <c r="F25">
        <v>3266.895</v>
      </c>
      <c r="G25">
        <v>1596.73</v>
      </c>
      <c r="N25">
        <f>IFERROR(SUM($B$3:$B25),"")</f>
        <v>43653.942999999999</v>
      </c>
      <c r="O25">
        <f>IFERROR(SUM($C$3:$C25),"")</f>
        <v>63138.076000000001</v>
      </c>
      <c r="P25">
        <f>IFERROR(SUM($D$3:$D25),"")</f>
        <v>45021.522999999994</v>
      </c>
      <c r="Q25">
        <f t="shared" si="0"/>
        <v>108159.59899999999</v>
      </c>
      <c r="R25">
        <f t="shared" si="1"/>
        <v>40.360673859377016</v>
      </c>
      <c r="S25">
        <f t="shared" si="2"/>
        <v>58.374916867064208</v>
      </c>
      <c r="T25">
        <f>IFERROR(SUM($E$3:$E25),"")</f>
        <v>47673.767999999989</v>
      </c>
      <c r="U25">
        <f>IFERROR(SUM($F$3:$F25),"")</f>
        <v>60851.903000000013</v>
      </c>
      <c r="V25">
        <f>IFERROR(SUM($G$3:$G25),"")</f>
        <v>34719.514000000003</v>
      </c>
      <c r="W25">
        <f t="shared" si="3"/>
        <v>95571.417000000016</v>
      </c>
      <c r="X25">
        <f t="shared" si="4"/>
        <v>49.882872407343278</v>
      </c>
      <c r="Y25">
        <f t="shared" si="5"/>
        <v>63.671655093279625</v>
      </c>
    </row>
    <row r="26" spans="1:25" x14ac:dyDescent="0.35">
      <c r="A26">
        <v>1873</v>
      </c>
      <c r="B26">
        <v>2635.826</v>
      </c>
      <c r="C26">
        <v>3599.4349999999999</v>
      </c>
      <c r="D26">
        <v>1915.471</v>
      </c>
      <c r="E26">
        <v>2729.1529999999998</v>
      </c>
      <c r="F26">
        <v>3348.9810000000002</v>
      </c>
      <c r="G26">
        <v>1617.7670000000001</v>
      </c>
      <c r="N26">
        <f>IFERROR(SUM($B$3:$B26),"")</f>
        <v>46289.769</v>
      </c>
      <c r="O26">
        <f>IFERROR(SUM($C$3:$C26),"")</f>
        <v>66737.510999999999</v>
      </c>
      <c r="P26">
        <f>IFERROR(SUM($D$3:$D26),"")</f>
        <v>46936.993999999992</v>
      </c>
      <c r="Q26">
        <f t="shared" si="0"/>
        <v>113674.50499999999</v>
      </c>
      <c r="R26">
        <f t="shared" si="1"/>
        <v>40.721328850299379</v>
      </c>
      <c r="S26">
        <f t="shared" si="2"/>
        <v>58.709304254282877</v>
      </c>
      <c r="T26">
        <f>IFERROR(SUM($E$3:$E26),"")</f>
        <v>50402.920999999988</v>
      </c>
      <c r="U26">
        <f>IFERROR(SUM($F$3:$F26),"")</f>
        <v>64200.884000000013</v>
      </c>
      <c r="V26">
        <f>IFERROR(SUM($G$3:$G26),"")</f>
        <v>36337.281000000003</v>
      </c>
      <c r="W26">
        <f t="shared" si="3"/>
        <v>100538.16500000001</v>
      </c>
      <c r="X26">
        <f t="shared" si="4"/>
        <v>50.133122083539106</v>
      </c>
      <c r="Y26">
        <f t="shared" si="5"/>
        <v>63.85722675563057</v>
      </c>
    </row>
    <row r="27" spans="1:25" x14ac:dyDescent="0.35">
      <c r="A27">
        <v>1874</v>
      </c>
      <c r="B27">
        <v>2648.7669999999998</v>
      </c>
      <c r="C27">
        <v>3656.3429999999998</v>
      </c>
      <c r="D27">
        <v>1932.394</v>
      </c>
      <c r="E27">
        <v>2704.451</v>
      </c>
      <c r="F27">
        <v>3332.2</v>
      </c>
      <c r="G27">
        <v>1628.7660000000001</v>
      </c>
      <c r="N27">
        <f>IFERROR(SUM($B$3:$B27),"")</f>
        <v>48938.536</v>
      </c>
      <c r="O27">
        <f>IFERROR(SUM($C$3:$C27),"")</f>
        <v>70393.853999999992</v>
      </c>
      <c r="P27">
        <f>IFERROR(SUM($D$3:$D27),"")</f>
        <v>48869.387999999992</v>
      </c>
      <c r="Q27">
        <f t="shared" si="0"/>
        <v>119263.24199999998</v>
      </c>
      <c r="R27">
        <f t="shared" si="1"/>
        <v>41.034048026297995</v>
      </c>
      <c r="S27">
        <f t="shared" si="2"/>
        <v>59.0239312796813</v>
      </c>
      <c r="T27">
        <f>IFERROR(SUM($E$3:$E27),"")</f>
        <v>53107.371999999988</v>
      </c>
      <c r="U27">
        <f>IFERROR(SUM($F$3:$F27),"")</f>
        <v>67533.084000000017</v>
      </c>
      <c r="V27">
        <f>IFERROR(SUM($G$3:$G27),"")</f>
        <v>37966.047000000006</v>
      </c>
      <c r="W27">
        <f t="shared" si="3"/>
        <v>105499.13100000002</v>
      </c>
      <c r="X27">
        <f t="shared" si="4"/>
        <v>50.339155874184385</v>
      </c>
      <c r="Y27">
        <f t="shared" si="5"/>
        <v>64.012929168108499</v>
      </c>
    </row>
    <row r="28" spans="1:25" x14ac:dyDescent="0.35">
      <c r="A28">
        <v>1875</v>
      </c>
      <c r="B28">
        <v>2753.0610000000001</v>
      </c>
      <c r="C28">
        <v>3752.66</v>
      </c>
      <c r="D28">
        <v>1936.4960000000001</v>
      </c>
      <c r="E28">
        <v>2794.0509999999999</v>
      </c>
      <c r="F28">
        <v>3427.393</v>
      </c>
      <c r="G28">
        <v>1642.6669999999999</v>
      </c>
      <c r="N28">
        <f>IFERROR(SUM($B$3:$B28),"")</f>
        <v>51691.597000000002</v>
      </c>
      <c r="O28">
        <f>IFERROR(SUM($C$3:$C28),"")</f>
        <v>74146.513999999996</v>
      </c>
      <c r="P28">
        <f>IFERROR(SUM($D$3:$D28),"")</f>
        <v>50805.883999999991</v>
      </c>
      <c r="Q28">
        <f t="shared" si="0"/>
        <v>124952.39799999999</v>
      </c>
      <c r="R28">
        <f t="shared" si="1"/>
        <v>41.369031589133655</v>
      </c>
      <c r="S28">
        <f t="shared" si="2"/>
        <v>59.339808748608412</v>
      </c>
      <c r="T28">
        <f>IFERROR(SUM($E$3:$E28),"")</f>
        <v>55901.422999999988</v>
      </c>
      <c r="U28">
        <f>IFERROR(SUM($F$3:$F28),"")</f>
        <v>70960.477000000014</v>
      </c>
      <c r="V28">
        <f>IFERROR(SUM($G$3:$G28),"")</f>
        <v>39608.714000000007</v>
      </c>
      <c r="W28">
        <f t="shared" si="3"/>
        <v>110569.19100000002</v>
      </c>
      <c r="X28">
        <f t="shared" si="4"/>
        <v>50.557865617376166</v>
      </c>
      <c r="Y28">
        <f t="shared" si="5"/>
        <v>64.177440712214306</v>
      </c>
    </row>
    <row r="29" spans="1:25" x14ac:dyDescent="0.35">
      <c r="A29">
        <v>1876</v>
      </c>
      <c r="B29">
        <v>2801.3029999999999</v>
      </c>
      <c r="C29">
        <v>3827.3119999999999</v>
      </c>
      <c r="D29">
        <v>1947.998</v>
      </c>
      <c r="E29">
        <v>2822.4920000000002</v>
      </c>
      <c r="F29">
        <v>3472.4479999999999</v>
      </c>
      <c r="G29">
        <v>1654.5820000000001</v>
      </c>
      <c r="N29">
        <f>IFERROR(SUM($B$3:$B29),"")</f>
        <v>54492.9</v>
      </c>
      <c r="O29">
        <f>IFERROR(SUM($C$3:$C29),"")</f>
        <v>77973.826000000001</v>
      </c>
      <c r="P29">
        <f>IFERROR(SUM($D$3:$D29),"")</f>
        <v>52753.881999999991</v>
      </c>
      <c r="Q29">
        <f t="shared" si="0"/>
        <v>130727.70799999998</v>
      </c>
      <c r="R29">
        <f t="shared" si="1"/>
        <v>41.684277062365396</v>
      </c>
      <c r="S29">
        <f t="shared" si="2"/>
        <v>59.645982625198336</v>
      </c>
      <c r="T29">
        <f>IFERROR(SUM($E$3:$E29),"")</f>
        <v>58723.914999999986</v>
      </c>
      <c r="U29">
        <f>IFERROR(SUM($F$3:$F29),"")</f>
        <v>74432.925000000017</v>
      </c>
      <c r="V29">
        <f>IFERROR(SUM($G$3:$G29),"")</f>
        <v>41263.296000000009</v>
      </c>
      <c r="W29">
        <f t="shared" si="3"/>
        <v>115696.22100000002</v>
      </c>
      <c r="X29">
        <f t="shared" si="4"/>
        <v>50.756986263190029</v>
      </c>
      <c r="Y29">
        <f t="shared" si="5"/>
        <v>64.334793614391259</v>
      </c>
    </row>
    <row r="30" spans="1:25" x14ac:dyDescent="0.35">
      <c r="A30">
        <v>1877</v>
      </c>
      <c r="B30">
        <v>2873.701</v>
      </c>
      <c r="C30">
        <v>3914.8220000000001</v>
      </c>
      <c r="D30">
        <v>1984.69</v>
      </c>
      <c r="E30">
        <v>2867.355</v>
      </c>
      <c r="F30">
        <v>3521.0030000000002</v>
      </c>
      <c r="G30">
        <v>1666.0650000000001</v>
      </c>
      <c r="N30">
        <f>IFERROR(SUM($B$3:$B30),"")</f>
        <v>57366.601000000002</v>
      </c>
      <c r="O30">
        <f>IFERROR(SUM($C$3:$C30),"")</f>
        <v>81888.648000000001</v>
      </c>
      <c r="P30">
        <f>IFERROR(SUM($D$3:$D30),"")</f>
        <v>54738.571999999993</v>
      </c>
      <c r="Q30">
        <f t="shared" si="0"/>
        <v>136627.22</v>
      </c>
      <c r="R30">
        <f t="shared" si="1"/>
        <v>41.987680785717515</v>
      </c>
      <c r="S30">
        <f t="shared" si="2"/>
        <v>59.935822451777909</v>
      </c>
      <c r="T30">
        <f>IFERROR(SUM($E$3:$E30),"")</f>
        <v>61591.26999999999</v>
      </c>
      <c r="U30">
        <f>IFERROR(SUM($F$3:$F30),"")</f>
        <v>77953.928000000014</v>
      </c>
      <c r="V30">
        <f>IFERROR(SUM($G$3:$G30),"")</f>
        <v>42929.361000000012</v>
      </c>
      <c r="W30">
        <f t="shared" si="3"/>
        <v>120883.28900000002</v>
      </c>
      <c r="X30">
        <f t="shared" si="4"/>
        <v>50.95102102987947</v>
      </c>
      <c r="Y30">
        <f t="shared" si="5"/>
        <v>64.486934997276592</v>
      </c>
    </row>
    <row r="31" spans="1:25" x14ac:dyDescent="0.35">
      <c r="A31">
        <v>1878</v>
      </c>
      <c r="B31">
        <v>2923.9380000000001</v>
      </c>
      <c r="C31">
        <v>3989.2420000000002</v>
      </c>
      <c r="D31">
        <v>1989.8420000000001</v>
      </c>
      <c r="E31">
        <v>2893.4609999999998</v>
      </c>
      <c r="F31">
        <v>3555.8209999999999</v>
      </c>
      <c r="G31">
        <v>1678.8040000000001</v>
      </c>
      <c r="N31">
        <f>IFERROR(SUM($B$3:$B31),"")</f>
        <v>60290.539000000004</v>
      </c>
      <c r="O31">
        <f>IFERROR(SUM($C$3:$C31),"")</f>
        <v>85877.89</v>
      </c>
      <c r="P31">
        <f>IFERROR(SUM($D$3:$D31),"")</f>
        <v>56728.41399999999</v>
      </c>
      <c r="Q31">
        <f t="shared" si="0"/>
        <v>142606.304</v>
      </c>
      <c r="R31">
        <f t="shared" si="1"/>
        <v>42.277611374038557</v>
      </c>
      <c r="S31">
        <f t="shared" si="2"/>
        <v>60.220262072004893</v>
      </c>
      <c r="T31">
        <f>IFERROR(SUM($E$3:$E31),"")</f>
        <v>64484.730999999992</v>
      </c>
      <c r="U31">
        <f>IFERROR(SUM($F$3:$F31),"")</f>
        <v>81509.749000000011</v>
      </c>
      <c r="V31">
        <f>IFERROR(SUM($G$3:$G31),"")</f>
        <v>44608.165000000008</v>
      </c>
      <c r="W31">
        <f t="shared" si="3"/>
        <v>126117.91400000002</v>
      </c>
      <c r="X31">
        <f t="shared" si="4"/>
        <v>51.130508707906465</v>
      </c>
      <c r="Y31">
        <f t="shared" si="5"/>
        <v>64.62979478077952</v>
      </c>
    </row>
    <row r="32" spans="1:25" x14ac:dyDescent="0.35">
      <c r="A32">
        <v>1879</v>
      </c>
      <c r="B32">
        <v>3028.489</v>
      </c>
      <c r="C32">
        <v>4112.2349999999997</v>
      </c>
      <c r="D32">
        <v>1996.6759999999999</v>
      </c>
      <c r="E32">
        <v>2974.8739999999998</v>
      </c>
      <c r="F32">
        <v>3644.7350000000001</v>
      </c>
      <c r="G32">
        <v>1690.451</v>
      </c>
      <c r="N32">
        <f>IFERROR(SUM($B$3:$B32),"")</f>
        <v>63319.028000000006</v>
      </c>
      <c r="O32">
        <f>IFERROR(SUM($C$3:$C32),"")</f>
        <v>89990.125</v>
      </c>
      <c r="P32">
        <f>IFERROR(SUM($D$3:$D32),"")</f>
        <v>58725.089999999989</v>
      </c>
      <c r="Q32">
        <f t="shared" si="0"/>
        <v>148715.215</v>
      </c>
      <c r="R32">
        <f t="shared" si="1"/>
        <v>42.577370445922433</v>
      </c>
      <c r="S32">
        <f t="shared" si="2"/>
        <v>60.511713613163252</v>
      </c>
      <c r="T32">
        <f>IFERROR(SUM($E$3:$E32),"")</f>
        <v>67459.604999999996</v>
      </c>
      <c r="U32">
        <f>IFERROR(SUM($F$3:$F32),"")</f>
        <v>85154.484000000011</v>
      </c>
      <c r="V32">
        <f>IFERROR(SUM($G$3:$G32),"")</f>
        <v>46298.616000000009</v>
      </c>
      <c r="W32">
        <f t="shared" si="3"/>
        <v>131453.10000000003</v>
      </c>
      <c r="X32">
        <f t="shared" si="4"/>
        <v>51.31838275400122</v>
      </c>
      <c r="Y32">
        <f t="shared" si="5"/>
        <v>64.779365416258713</v>
      </c>
    </row>
    <row r="33" spans="1:25" x14ac:dyDescent="0.35">
      <c r="A33">
        <v>1880</v>
      </c>
      <c r="B33">
        <v>3050.1149999999998</v>
      </c>
      <c r="C33">
        <v>4162.4369999999999</v>
      </c>
      <c r="D33">
        <v>2105.4430000000002</v>
      </c>
      <c r="E33">
        <v>3112.9259999999999</v>
      </c>
      <c r="F33">
        <v>3789.6990000000001</v>
      </c>
      <c r="G33">
        <v>1701.1089999999999</v>
      </c>
      <c r="N33">
        <f>IFERROR(SUM($B$3:$B33),"")</f>
        <v>66369.143000000011</v>
      </c>
      <c r="O33">
        <f>IFERROR(SUM($C$3:$C33),"")</f>
        <v>94152.562000000005</v>
      </c>
      <c r="P33">
        <f>IFERROR(SUM($D$3:$D33),"")</f>
        <v>60830.532999999989</v>
      </c>
      <c r="Q33">
        <f t="shared" si="0"/>
        <v>154983.095</v>
      </c>
      <c r="R33">
        <f t="shared" si="1"/>
        <v>42.823472456786341</v>
      </c>
      <c r="S33">
        <f t="shared" si="2"/>
        <v>60.750214079800124</v>
      </c>
      <c r="T33">
        <f>IFERROR(SUM($E$3:$E33),"")</f>
        <v>70572.531000000003</v>
      </c>
      <c r="U33">
        <f>IFERROR(SUM($F$3:$F33),"")</f>
        <v>88944.183000000005</v>
      </c>
      <c r="V33">
        <f>IFERROR(SUM($G$3:$G33),"")</f>
        <v>47999.725000000006</v>
      </c>
      <c r="W33">
        <f t="shared" si="3"/>
        <v>136943.908</v>
      </c>
      <c r="X33">
        <f t="shared" si="4"/>
        <v>51.533895907220639</v>
      </c>
      <c r="Y33">
        <f t="shared" si="5"/>
        <v>64.949353570368402</v>
      </c>
    </row>
    <row r="34" spans="1:25" x14ac:dyDescent="0.35">
      <c r="A34">
        <v>1881</v>
      </c>
      <c r="B34">
        <v>3008.8490000000002</v>
      </c>
      <c r="C34">
        <v>4129.384</v>
      </c>
      <c r="D34">
        <v>2168.9470000000001</v>
      </c>
      <c r="E34">
        <v>3161.73</v>
      </c>
      <c r="F34">
        <v>3844.0659999999998</v>
      </c>
      <c r="G34">
        <v>1826.038</v>
      </c>
      <c r="N34">
        <f>IFERROR(SUM($B$3:$B34),"")</f>
        <v>69377.992000000013</v>
      </c>
      <c r="O34">
        <f>IFERROR(SUM($C$3:$C34),"")</f>
        <v>98281.946000000011</v>
      </c>
      <c r="P34">
        <f>IFERROR(SUM($D$3:$D34),"")</f>
        <v>62999.479999999989</v>
      </c>
      <c r="Q34">
        <f t="shared" si="0"/>
        <v>161281.42600000001</v>
      </c>
      <c r="R34">
        <f t="shared" si="1"/>
        <v>43.01672779108489</v>
      </c>
      <c r="S34">
        <f t="shared" si="2"/>
        <v>60.938167796209839</v>
      </c>
      <c r="T34">
        <f>IFERROR(SUM($E$3:$E34),"")</f>
        <v>73734.260999999999</v>
      </c>
      <c r="U34">
        <f>IFERROR(SUM($F$3:$F34),"")</f>
        <v>92788.249000000011</v>
      </c>
      <c r="V34">
        <f>IFERROR(SUM($G$3:$G34),"")</f>
        <v>49825.763000000006</v>
      </c>
      <c r="W34">
        <f t="shared" si="3"/>
        <v>142614.01200000002</v>
      </c>
      <c r="X34">
        <f t="shared" si="4"/>
        <v>51.701975118686086</v>
      </c>
      <c r="Y34">
        <f t="shared" si="5"/>
        <v>65.062505218631671</v>
      </c>
    </row>
    <row r="35" spans="1:25" x14ac:dyDescent="0.35">
      <c r="A35">
        <v>1882</v>
      </c>
      <c r="B35">
        <v>3081.962</v>
      </c>
      <c r="C35">
        <v>4223.6490000000003</v>
      </c>
      <c r="D35">
        <v>2225.2190000000001</v>
      </c>
      <c r="E35">
        <v>3019.1460000000002</v>
      </c>
      <c r="F35">
        <v>3707.279</v>
      </c>
      <c r="G35">
        <v>1866.74</v>
      </c>
      <c r="N35">
        <f>IFERROR(SUM($B$3:$B35),"")</f>
        <v>72459.954000000012</v>
      </c>
      <c r="O35">
        <f>IFERROR(SUM($C$3:$C35),"")</f>
        <v>102505.59500000002</v>
      </c>
      <c r="P35">
        <f>IFERROR(SUM($D$3:$D35),"")</f>
        <v>65224.698999999986</v>
      </c>
      <c r="Q35">
        <f t="shared" ref="Q35:Q66" si="6">IFERROR(O35+P35,"")</f>
        <v>167730.29399999999</v>
      </c>
      <c r="R35">
        <f t="shared" ref="R35:R66" si="7">IFERROR(N35/Q35*100,NA())</f>
        <v>43.200278418399492</v>
      </c>
      <c r="S35">
        <f t="shared" ref="S35:S66" si="8">IFERROR(O35/Q35*100,NA())</f>
        <v>61.113346048269626</v>
      </c>
      <c r="T35">
        <f>IFERROR(SUM($E$3:$E35),"")</f>
        <v>76753.406999999992</v>
      </c>
      <c r="U35">
        <f>IFERROR(SUM($F$3:$F35),"")</f>
        <v>96495.528000000006</v>
      </c>
      <c r="V35">
        <f>IFERROR(SUM($G$3:$G35),"")</f>
        <v>51692.503000000004</v>
      </c>
      <c r="W35">
        <f t="shared" ref="W35:W66" si="9">IFERROR(U35+V35,"")</f>
        <v>148188.03100000002</v>
      </c>
      <c r="X35">
        <f t="shared" ref="X35:X66" si="10">IFERROR(T35/W35*100,NA())</f>
        <v>51.794606137927559</v>
      </c>
      <c r="Y35">
        <f t="shared" ref="Y35:Y66" si="11">IFERROR(U35/W35*100,NA())</f>
        <v>65.116951314374376</v>
      </c>
    </row>
    <row r="36" spans="1:25" x14ac:dyDescent="0.35">
      <c r="A36">
        <v>1883</v>
      </c>
      <c r="B36">
        <v>3170.87</v>
      </c>
      <c r="C36">
        <v>4332.6170000000002</v>
      </c>
      <c r="D36">
        <v>2257.9699999999998</v>
      </c>
      <c r="E36">
        <v>3078.107</v>
      </c>
      <c r="F36">
        <v>3777.096</v>
      </c>
      <c r="G36">
        <v>1901.1130000000001</v>
      </c>
      <c r="N36">
        <f>IFERROR(SUM($B$3:$B36),"")</f>
        <v>75630.824000000008</v>
      </c>
      <c r="O36">
        <f>IFERROR(SUM($C$3:$C36),"")</f>
        <v>106838.21200000001</v>
      </c>
      <c r="P36">
        <f>IFERROR(SUM($D$3:$D36),"")</f>
        <v>67482.66899999998</v>
      </c>
      <c r="Q36">
        <f t="shared" si="6"/>
        <v>174320.88099999999</v>
      </c>
      <c r="R36">
        <f t="shared" si="7"/>
        <v>43.38598082234337</v>
      </c>
      <c r="S36">
        <f t="shared" si="8"/>
        <v>61.288246931244004</v>
      </c>
      <c r="T36">
        <f>IFERROR(SUM($E$3:$E36),"")</f>
        <v>79831.513999999996</v>
      </c>
      <c r="U36">
        <f>IFERROR(SUM($F$3:$F36),"")</f>
        <v>100272.62400000001</v>
      </c>
      <c r="V36">
        <f>IFERROR(SUM($G$3:$G36),"")</f>
        <v>53593.616000000002</v>
      </c>
      <c r="W36">
        <f t="shared" si="9"/>
        <v>153866.24000000002</v>
      </c>
      <c r="X36">
        <f t="shared" si="10"/>
        <v>51.883710162801137</v>
      </c>
      <c r="Y36">
        <f t="shared" si="11"/>
        <v>65.168697174896835</v>
      </c>
    </row>
    <row r="37" spans="1:25" x14ac:dyDescent="0.35">
      <c r="A37">
        <v>1884</v>
      </c>
      <c r="B37">
        <v>3165.835</v>
      </c>
      <c r="C37">
        <v>4355.2700000000004</v>
      </c>
      <c r="D37">
        <v>2266.183</v>
      </c>
      <c r="E37">
        <v>3085.442</v>
      </c>
      <c r="F37">
        <v>3790.9279999999999</v>
      </c>
      <c r="G37">
        <v>1932.241</v>
      </c>
      <c r="N37">
        <f>IFERROR(SUM($B$3:$B37),"")</f>
        <v>78796.659000000014</v>
      </c>
      <c r="O37">
        <f>IFERROR(SUM($C$3:$C37),"")</f>
        <v>111193.48200000002</v>
      </c>
      <c r="P37">
        <f>IFERROR(SUM($D$3:$D37),"")</f>
        <v>69748.851999999984</v>
      </c>
      <c r="Q37">
        <f t="shared" si="6"/>
        <v>180942.334</v>
      </c>
      <c r="R37">
        <f t="shared" si="7"/>
        <v>43.547939975174636</v>
      </c>
      <c r="S37">
        <f t="shared" si="8"/>
        <v>61.452441527586366</v>
      </c>
      <c r="T37">
        <f>IFERROR(SUM($E$3:$E37),"")</f>
        <v>82916.955999999991</v>
      </c>
      <c r="U37">
        <f>IFERROR(SUM($F$3:$F37),"")</f>
        <v>104063.55200000001</v>
      </c>
      <c r="V37">
        <f>IFERROR(SUM($G$3:$G37),"")</f>
        <v>55525.857000000004</v>
      </c>
      <c r="W37">
        <f t="shared" si="9"/>
        <v>159589.40900000001</v>
      </c>
      <c r="X37">
        <f t="shared" si="10"/>
        <v>51.956427760190515</v>
      </c>
      <c r="Y37">
        <f t="shared" si="11"/>
        <v>65.207053934262021</v>
      </c>
    </row>
    <row r="38" spans="1:25" x14ac:dyDescent="0.35">
      <c r="A38">
        <v>1885</v>
      </c>
      <c r="B38">
        <v>3151.6680000000001</v>
      </c>
      <c r="C38">
        <v>4362.0420000000004</v>
      </c>
      <c r="D38">
        <v>2286.3029999999999</v>
      </c>
      <c r="E38">
        <v>3088.788</v>
      </c>
      <c r="F38">
        <v>3802.5219999999999</v>
      </c>
      <c r="G38">
        <v>1959.6590000000001</v>
      </c>
      <c r="N38">
        <f>IFERROR(SUM($B$3:$B38),"")</f>
        <v>81948.327000000019</v>
      </c>
      <c r="O38">
        <f>IFERROR(SUM($C$3:$C38),"")</f>
        <v>115555.52400000002</v>
      </c>
      <c r="P38">
        <f>IFERROR(SUM($D$3:$D38),"")</f>
        <v>72035.154999999984</v>
      </c>
      <c r="Q38">
        <f t="shared" si="6"/>
        <v>187590.679</v>
      </c>
      <c r="R38">
        <f t="shared" si="7"/>
        <v>43.684647572494804</v>
      </c>
      <c r="S38">
        <f t="shared" si="8"/>
        <v>61.59982181204218</v>
      </c>
      <c r="T38">
        <f>IFERROR(SUM($E$3:$E38),"")</f>
        <v>86005.743999999992</v>
      </c>
      <c r="U38">
        <f>IFERROR(SUM($F$3:$F38),"")</f>
        <v>107866.07400000001</v>
      </c>
      <c r="V38">
        <f>IFERROR(SUM($G$3:$G38),"")</f>
        <v>57485.516000000003</v>
      </c>
      <c r="W38">
        <f t="shared" si="9"/>
        <v>165351.59000000003</v>
      </c>
      <c r="X38">
        <f t="shared" si="10"/>
        <v>52.013859679244675</v>
      </c>
      <c r="Y38">
        <f t="shared" si="11"/>
        <v>65.234373615639257</v>
      </c>
    </row>
    <row r="39" spans="1:25" x14ac:dyDescent="0.35">
      <c r="A39">
        <v>1886</v>
      </c>
      <c r="B39">
        <v>3168.9409999999998</v>
      </c>
      <c r="C39">
        <v>4368.1580000000004</v>
      </c>
      <c r="D39">
        <v>2305.38</v>
      </c>
      <c r="E39">
        <v>3102.5340000000001</v>
      </c>
      <c r="F39">
        <v>3822.9270000000001</v>
      </c>
      <c r="G39">
        <v>1979.952</v>
      </c>
      <c r="N39">
        <f>IFERROR(SUM($B$3:$B39),"")</f>
        <v>85117.268000000025</v>
      </c>
      <c r="O39">
        <f>IFERROR(SUM($C$3:$C39),"")</f>
        <v>119923.68200000002</v>
      </c>
      <c r="P39">
        <f>IFERROR(SUM($D$3:$D39),"")</f>
        <v>74340.534999999989</v>
      </c>
      <c r="Q39">
        <f t="shared" si="6"/>
        <v>194264.217</v>
      </c>
      <c r="R39">
        <f t="shared" si="7"/>
        <v>43.81520658536926</v>
      </c>
      <c r="S39">
        <f t="shared" si="8"/>
        <v>61.732255096675893</v>
      </c>
      <c r="T39">
        <f>IFERROR(SUM($E$3:$E39),"")</f>
        <v>89108.277999999991</v>
      </c>
      <c r="U39">
        <f>IFERROR(SUM($F$3:$F39),"")</f>
        <v>111689.001</v>
      </c>
      <c r="V39">
        <f>IFERROR(SUM($G$3:$G39),"")</f>
        <v>59465.468000000001</v>
      </c>
      <c r="W39">
        <f t="shared" si="9"/>
        <v>171154.46900000001</v>
      </c>
      <c r="X39">
        <f t="shared" si="10"/>
        <v>52.063074087770374</v>
      </c>
      <c r="Y39">
        <f t="shared" si="11"/>
        <v>65.256257492172182</v>
      </c>
    </row>
    <row r="40" spans="1:25" x14ac:dyDescent="0.35">
      <c r="A40">
        <v>1887</v>
      </c>
      <c r="B40">
        <v>3258.6770000000001</v>
      </c>
      <c r="C40">
        <v>4450.2870000000003</v>
      </c>
      <c r="D40">
        <v>2353.3049999999998</v>
      </c>
      <c r="E40">
        <v>3148.5059999999999</v>
      </c>
      <c r="F40">
        <v>3876.6309999999999</v>
      </c>
      <c r="G40">
        <v>1997.865</v>
      </c>
      <c r="N40">
        <f>IFERROR(SUM($B$3:$B40),"")</f>
        <v>88375.945000000022</v>
      </c>
      <c r="O40">
        <f>IFERROR(SUM($C$3:$C40),"")</f>
        <v>124373.96900000001</v>
      </c>
      <c r="P40">
        <f>IFERROR(SUM($D$3:$D40),"")</f>
        <v>76693.839999999982</v>
      </c>
      <c r="Q40">
        <f t="shared" si="6"/>
        <v>201067.80900000001</v>
      </c>
      <c r="R40">
        <f t="shared" si="7"/>
        <v>43.953303832937287</v>
      </c>
      <c r="S40">
        <f t="shared" si="8"/>
        <v>61.856728642226365</v>
      </c>
      <c r="T40">
        <f>IFERROR(SUM($E$3:$E40),"")</f>
        <v>92256.783999999985</v>
      </c>
      <c r="U40">
        <f>IFERROR(SUM($F$3:$F40),"")</f>
        <v>115565.632</v>
      </c>
      <c r="V40">
        <f>IFERROR(SUM($G$3:$G40),"")</f>
        <v>61463.332999999999</v>
      </c>
      <c r="W40">
        <f t="shared" si="9"/>
        <v>177028.965</v>
      </c>
      <c r="X40">
        <f t="shared" si="10"/>
        <v>52.113948697604364</v>
      </c>
      <c r="Y40">
        <f t="shared" si="11"/>
        <v>65.280634725509472</v>
      </c>
    </row>
    <row r="41" spans="1:25" x14ac:dyDescent="0.35">
      <c r="A41">
        <v>1888</v>
      </c>
      <c r="B41">
        <v>3369.6970000000001</v>
      </c>
      <c r="C41">
        <v>4583.9129999999996</v>
      </c>
      <c r="D41">
        <v>2355.0549999999998</v>
      </c>
      <c r="E41">
        <v>3265.491</v>
      </c>
      <c r="F41">
        <v>4005.8229999999999</v>
      </c>
      <c r="G41">
        <v>2012.204</v>
      </c>
      <c r="N41">
        <f>IFERROR(SUM($B$3:$B41),"")</f>
        <v>91745.642000000022</v>
      </c>
      <c r="O41">
        <f>IFERROR(SUM($C$3:$C41),"")</f>
        <v>128957.88200000001</v>
      </c>
      <c r="P41">
        <f>IFERROR(SUM($D$3:$D41),"")</f>
        <v>79048.894999999975</v>
      </c>
      <c r="Q41">
        <f t="shared" si="6"/>
        <v>208006.777</v>
      </c>
      <c r="R41">
        <f t="shared" si="7"/>
        <v>44.107044646915526</v>
      </c>
      <c r="S41">
        <f t="shared" si="8"/>
        <v>61.996961762452585</v>
      </c>
      <c r="T41">
        <f>IFERROR(SUM($E$3:$E41),"")</f>
        <v>95522.27499999998</v>
      </c>
      <c r="U41">
        <f>IFERROR(SUM($F$3:$F41),"")</f>
        <v>119571.455</v>
      </c>
      <c r="V41">
        <f>IFERROR(SUM($G$3:$G41),"")</f>
        <v>63475.536999999997</v>
      </c>
      <c r="W41">
        <f t="shared" si="9"/>
        <v>183046.992</v>
      </c>
      <c r="X41">
        <f t="shared" si="10"/>
        <v>52.184564169183389</v>
      </c>
      <c r="Y41">
        <f t="shared" si="11"/>
        <v>65.322818852986117</v>
      </c>
    </row>
    <row r="42" spans="1:25" x14ac:dyDescent="0.35">
      <c r="A42">
        <v>1889</v>
      </c>
      <c r="B42">
        <v>3342.4879999999998</v>
      </c>
      <c r="C42">
        <v>4579.6409999999996</v>
      </c>
      <c r="D42">
        <v>2408.7919999999999</v>
      </c>
      <c r="E42">
        <v>3249.7170000000001</v>
      </c>
      <c r="F42">
        <v>4001.7689999999998</v>
      </c>
      <c r="G42">
        <v>2027.317</v>
      </c>
      <c r="N42">
        <f>IFERROR(SUM($B$3:$B42),"")</f>
        <v>95088.130000000019</v>
      </c>
      <c r="O42">
        <f>IFERROR(SUM($C$3:$C42),"")</f>
        <v>133537.52300000002</v>
      </c>
      <c r="P42">
        <f>IFERROR(SUM($D$3:$D42),"")</f>
        <v>81457.686999999976</v>
      </c>
      <c r="Q42">
        <f t="shared" si="6"/>
        <v>214995.21</v>
      </c>
      <c r="R42">
        <f t="shared" si="7"/>
        <v>44.228022568502816</v>
      </c>
      <c r="S42">
        <f t="shared" si="8"/>
        <v>62.111859608407094</v>
      </c>
      <c r="T42">
        <f>IFERROR(SUM($E$3:$E42),"")</f>
        <v>98771.991999999984</v>
      </c>
      <c r="U42">
        <f>IFERROR(SUM($F$3:$F42),"")</f>
        <v>123573.224</v>
      </c>
      <c r="V42">
        <f>IFERROR(SUM($G$3:$G42),"")</f>
        <v>65502.853999999999</v>
      </c>
      <c r="W42">
        <f t="shared" si="9"/>
        <v>189076.07800000001</v>
      </c>
      <c r="X42">
        <f t="shared" si="10"/>
        <v>52.239285394950905</v>
      </c>
      <c r="Y42">
        <f t="shared" si="11"/>
        <v>65.356350368130649</v>
      </c>
    </row>
    <row r="43" spans="1:25" x14ac:dyDescent="0.35">
      <c r="A43">
        <v>1890</v>
      </c>
      <c r="B43">
        <v>3545.4560000000001</v>
      </c>
      <c r="C43">
        <v>4901.2560000000003</v>
      </c>
      <c r="D43">
        <v>2509.694</v>
      </c>
      <c r="E43">
        <v>3359.5050000000001</v>
      </c>
      <c r="F43">
        <v>4125.0810000000001</v>
      </c>
      <c r="G43">
        <v>2044.5540000000001</v>
      </c>
      <c r="N43">
        <f>IFERROR(SUM($B$3:$B43),"")</f>
        <v>98633.586000000025</v>
      </c>
      <c r="O43">
        <f>IFERROR(SUM($C$3:$C43),"")</f>
        <v>138438.77900000001</v>
      </c>
      <c r="P43">
        <f>IFERROR(SUM($D$3:$D43),"")</f>
        <v>83967.380999999979</v>
      </c>
      <c r="Q43">
        <f t="shared" si="6"/>
        <v>222406.15999999997</v>
      </c>
      <c r="R43">
        <f t="shared" si="7"/>
        <v>44.348405637685588</v>
      </c>
      <c r="S43">
        <f t="shared" si="8"/>
        <v>62.245928350185999</v>
      </c>
      <c r="T43">
        <f>IFERROR(SUM($E$3:$E43),"")</f>
        <v>102131.49699999999</v>
      </c>
      <c r="U43">
        <f>IFERROR(SUM($F$3:$F43),"")</f>
        <v>127698.30500000001</v>
      </c>
      <c r="V43">
        <f>IFERROR(SUM($G$3:$G43),"")</f>
        <v>67547.407999999996</v>
      </c>
      <c r="W43">
        <f t="shared" si="9"/>
        <v>195245.71299999999</v>
      </c>
      <c r="X43">
        <f t="shared" si="10"/>
        <v>52.309213570287191</v>
      </c>
      <c r="Y43">
        <f t="shared" si="11"/>
        <v>65.40389698594818</v>
      </c>
    </row>
    <row r="44" spans="1:25" x14ac:dyDescent="0.35">
      <c r="A44">
        <v>1891</v>
      </c>
      <c r="B44">
        <v>3640.0210000000002</v>
      </c>
      <c r="C44">
        <v>5026.5789999999997</v>
      </c>
      <c r="D44">
        <v>2558.6889999999999</v>
      </c>
      <c r="E44">
        <v>3411.9369999999999</v>
      </c>
      <c r="F44">
        <v>4191.4520000000002</v>
      </c>
      <c r="G44">
        <v>2050.0279999999998</v>
      </c>
      <c r="N44">
        <f>IFERROR(SUM($B$3:$B44),"")</f>
        <v>102273.60700000002</v>
      </c>
      <c r="O44">
        <f>IFERROR(SUM($C$3:$C44),"")</f>
        <v>143465.35800000001</v>
      </c>
      <c r="P44">
        <f>IFERROR(SUM($D$3:$D44),"")</f>
        <v>86526.069999999978</v>
      </c>
      <c r="Q44">
        <f t="shared" si="6"/>
        <v>229991.42799999999</v>
      </c>
      <c r="R44">
        <f t="shared" si="7"/>
        <v>44.468442971709372</v>
      </c>
      <c r="S44">
        <f t="shared" si="8"/>
        <v>62.378567430782681</v>
      </c>
      <c r="T44">
        <f>IFERROR(SUM($E$3:$E44),"")</f>
        <v>105543.43399999999</v>
      </c>
      <c r="U44">
        <f>IFERROR(SUM($F$3:$F44),"")</f>
        <v>131889.75700000001</v>
      </c>
      <c r="V44">
        <f>IFERROR(SUM($G$3:$G44),"")</f>
        <v>69597.436000000002</v>
      </c>
      <c r="W44">
        <f t="shared" si="9"/>
        <v>201487.19300000003</v>
      </c>
      <c r="X44">
        <f t="shared" si="10"/>
        <v>52.382204758790785</v>
      </c>
      <c r="Y44">
        <f t="shared" si="11"/>
        <v>65.458134105823788</v>
      </c>
    </row>
    <row r="45" spans="1:25" x14ac:dyDescent="0.35">
      <c r="A45">
        <v>1892</v>
      </c>
      <c r="B45">
        <v>3646.808</v>
      </c>
      <c r="C45">
        <v>5050.6440000000002</v>
      </c>
      <c r="D45">
        <v>2537.3989999999999</v>
      </c>
      <c r="E45">
        <v>3474.1950000000002</v>
      </c>
      <c r="F45">
        <v>4258.0870000000004</v>
      </c>
      <c r="G45">
        <v>2061.2040000000002</v>
      </c>
      <c r="N45">
        <f>IFERROR(SUM($B$3:$B45),"")</f>
        <v>105920.41500000002</v>
      </c>
      <c r="O45">
        <f>IFERROR(SUM($C$3:$C45),"")</f>
        <v>148516.00200000001</v>
      </c>
      <c r="P45">
        <f>IFERROR(SUM($D$3:$D45),"")</f>
        <v>89063.468999999983</v>
      </c>
      <c r="Q45">
        <f t="shared" si="6"/>
        <v>237579.47099999999</v>
      </c>
      <c r="R45">
        <f t="shared" si="7"/>
        <v>44.583151294246306</v>
      </c>
      <c r="S45">
        <f t="shared" si="8"/>
        <v>62.512135991749894</v>
      </c>
      <c r="T45">
        <f>IFERROR(SUM($E$3:$E45),"")</f>
        <v>109017.629</v>
      </c>
      <c r="U45">
        <f>IFERROR(SUM($F$3:$F45),"")</f>
        <v>136147.84400000001</v>
      </c>
      <c r="V45">
        <f>IFERROR(SUM($G$3:$G45),"")</f>
        <v>71658.64</v>
      </c>
      <c r="W45">
        <f t="shared" si="9"/>
        <v>207806.484</v>
      </c>
      <c r="X45">
        <f t="shared" si="10"/>
        <v>52.461129653682988</v>
      </c>
      <c r="Y45">
        <f t="shared" si="11"/>
        <v>65.516648652791801</v>
      </c>
    </row>
    <row r="46" spans="1:25" x14ac:dyDescent="0.35">
      <c r="A46">
        <v>1893</v>
      </c>
      <c r="B46">
        <v>3653.16</v>
      </c>
      <c r="C46">
        <v>5065.5110000000004</v>
      </c>
      <c r="D46">
        <v>2553.3040000000001</v>
      </c>
      <c r="E46">
        <v>3448.4670000000001</v>
      </c>
      <c r="F46">
        <v>4246.7299999999996</v>
      </c>
      <c r="G46">
        <v>2072.2640000000001</v>
      </c>
      <c r="N46">
        <f>IFERROR(SUM($B$3:$B46),"")</f>
        <v>109573.57500000003</v>
      </c>
      <c r="O46">
        <f>IFERROR(SUM($C$3:$C46),"")</f>
        <v>153581.51300000001</v>
      </c>
      <c r="P46">
        <f>IFERROR(SUM($D$3:$D46),"")</f>
        <v>91616.772999999986</v>
      </c>
      <c r="Q46">
        <f t="shared" si="6"/>
        <v>245198.28599999999</v>
      </c>
      <c r="R46">
        <f t="shared" si="7"/>
        <v>44.687741006476706</v>
      </c>
      <c r="S46">
        <f t="shared" si="8"/>
        <v>62.635638896758039</v>
      </c>
      <c r="T46">
        <f>IFERROR(SUM($E$3:$E46),"")</f>
        <v>112466.09600000001</v>
      </c>
      <c r="U46">
        <f>IFERROR(SUM($F$3:$F46),"")</f>
        <v>140394.57400000002</v>
      </c>
      <c r="V46">
        <f>IFERROR(SUM($G$3:$G46),"")</f>
        <v>73730.903999999995</v>
      </c>
      <c r="W46">
        <f t="shared" si="9"/>
        <v>214125.478</v>
      </c>
      <c r="X46">
        <f t="shared" si="10"/>
        <v>52.523453561187154</v>
      </c>
      <c r="Y46">
        <f t="shared" si="11"/>
        <v>65.566496482030047</v>
      </c>
    </row>
    <row r="47" spans="1:25" x14ac:dyDescent="0.35">
      <c r="A47">
        <v>1894</v>
      </c>
      <c r="B47">
        <v>3718.3719999999998</v>
      </c>
      <c r="C47">
        <v>5186.4070000000002</v>
      </c>
      <c r="D47">
        <v>2589.4059999999999</v>
      </c>
      <c r="E47">
        <v>3514.8090000000002</v>
      </c>
      <c r="F47">
        <v>4319.5929999999998</v>
      </c>
      <c r="G47">
        <v>2137.7220000000002</v>
      </c>
      <c r="N47">
        <f>IFERROR(SUM($B$3:$B47),"")</f>
        <v>113291.94700000003</v>
      </c>
      <c r="O47">
        <f>IFERROR(SUM($C$3:$C47),"")</f>
        <v>158767.92000000001</v>
      </c>
      <c r="P47">
        <f>IFERROR(SUM($D$3:$D47),"")</f>
        <v>94206.178999999989</v>
      </c>
      <c r="Q47">
        <f t="shared" si="6"/>
        <v>252974.09899999999</v>
      </c>
      <c r="R47">
        <f t="shared" si="7"/>
        <v>44.784010476898679</v>
      </c>
      <c r="S47">
        <f t="shared" si="8"/>
        <v>62.76054371874649</v>
      </c>
      <c r="T47">
        <f>IFERROR(SUM($E$3:$E47),"")</f>
        <v>115980.905</v>
      </c>
      <c r="U47">
        <f>IFERROR(SUM($F$3:$F47),"")</f>
        <v>144714.16700000002</v>
      </c>
      <c r="V47">
        <f>IFERROR(SUM($G$3:$G47),"")</f>
        <v>75868.625999999989</v>
      </c>
      <c r="W47">
        <f t="shared" si="9"/>
        <v>220582.79300000001</v>
      </c>
      <c r="X47">
        <f t="shared" si="10"/>
        <v>52.579307489319895</v>
      </c>
      <c r="Y47">
        <f t="shared" si="11"/>
        <v>65.605374304966759</v>
      </c>
    </row>
    <row r="48" spans="1:25" x14ac:dyDescent="0.35">
      <c r="A48">
        <v>1895</v>
      </c>
      <c r="B48">
        <v>3801.4540000000002</v>
      </c>
      <c r="C48">
        <v>5263.0460000000003</v>
      </c>
      <c r="D48">
        <v>2609.3870000000002</v>
      </c>
      <c r="E48">
        <v>3608.3989999999999</v>
      </c>
      <c r="F48">
        <v>4430.2759999999998</v>
      </c>
      <c r="G48">
        <v>2158.3290000000002</v>
      </c>
      <c r="N48">
        <f>IFERROR(SUM($B$3:$B48),"")</f>
        <v>117093.40100000003</v>
      </c>
      <c r="O48">
        <f>IFERROR(SUM($C$3:$C48),"")</f>
        <v>164030.96600000001</v>
      </c>
      <c r="P48">
        <f>IFERROR(SUM($D$3:$D48),"")</f>
        <v>96815.565999999992</v>
      </c>
      <c r="Q48">
        <f t="shared" si="6"/>
        <v>260846.53200000001</v>
      </c>
      <c r="R48">
        <f t="shared" si="7"/>
        <v>44.889767213773048</v>
      </c>
      <c r="S48">
        <f t="shared" si="8"/>
        <v>62.884089254443296</v>
      </c>
      <c r="T48">
        <f>IFERROR(SUM($E$3:$E48),"")</f>
        <v>119589.304</v>
      </c>
      <c r="U48">
        <f>IFERROR(SUM($F$3:$F48),"")</f>
        <v>149144.44300000003</v>
      </c>
      <c r="V48">
        <f>IFERROR(SUM($G$3:$G48),"")</f>
        <v>78026.954999999987</v>
      </c>
      <c r="W48">
        <f t="shared" si="9"/>
        <v>227171.39800000002</v>
      </c>
      <c r="X48">
        <f t="shared" si="10"/>
        <v>52.642764473369127</v>
      </c>
      <c r="Y48">
        <f t="shared" si="11"/>
        <v>65.652826153757275</v>
      </c>
    </row>
    <row r="49" spans="1:25" x14ac:dyDescent="0.35">
      <c r="A49">
        <v>1896</v>
      </c>
      <c r="B49">
        <v>3865.415</v>
      </c>
      <c r="C49">
        <v>5336.7659999999996</v>
      </c>
      <c r="D49">
        <v>2620.54</v>
      </c>
      <c r="E49">
        <v>3660.1320000000001</v>
      </c>
      <c r="F49">
        <v>4492.6570000000002</v>
      </c>
      <c r="G49">
        <v>2174.9989999999998</v>
      </c>
      <c r="N49">
        <f>IFERROR(SUM($B$3:$B49),"")</f>
        <v>120958.81600000002</v>
      </c>
      <c r="O49">
        <f>IFERROR(SUM($C$3:$C49),"")</f>
        <v>169367.73200000002</v>
      </c>
      <c r="P49">
        <f>IFERROR(SUM($D$3:$D49),"")</f>
        <v>99436.105999999985</v>
      </c>
      <c r="Q49">
        <f t="shared" si="6"/>
        <v>268803.83799999999</v>
      </c>
      <c r="R49">
        <f t="shared" si="7"/>
        <v>44.998917016951232</v>
      </c>
      <c r="S49">
        <f t="shared" si="8"/>
        <v>63.007929224581993</v>
      </c>
      <c r="T49">
        <f>IFERROR(SUM($E$3:$E49),"")</f>
        <v>123249.436</v>
      </c>
      <c r="U49">
        <f>IFERROR(SUM($F$3:$F49),"")</f>
        <v>153637.10000000003</v>
      </c>
      <c r="V49">
        <f>IFERROR(SUM($G$3:$G49),"")</f>
        <v>80201.953999999983</v>
      </c>
      <c r="W49">
        <f t="shared" si="9"/>
        <v>233839.054</v>
      </c>
      <c r="X49">
        <f t="shared" si="10"/>
        <v>52.70695116650618</v>
      </c>
      <c r="Y49">
        <f t="shared" si="11"/>
        <v>65.702070450558708</v>
      </c>
    </row>
    <row r="50" spans="1:25" x14ac:dyDescent="0.35">
      <c r="A50">
        <v>1897</v>
      </c>
      <c r="B50">
        <v>3952.9670000000001</v>
      </c>
      <c r="C50">
        <v>5459.826</v>
      </c>
      <c r="D50">
        <v>2665.3919999999998</v>
      </c>
      <c r="E50">
        <v>3740.0259999999998</v>
      </c>
      <c r="F50">
        <v>4590.2079999999996</v>
      </c>
      <c r="G50">
        <v>2193.6570000000002</v>
      </c>
      <c r="N50">
        <f>IFERROR(SUM($B$3:$B50),"")</f>
        <v>124911.78300000002</v>
      </c>
      <c r="O50">
        <f>IFERROR(SUM($C$3:$C50),"")</f>
        <v>174827.55800000002</v>
      </c>
      <c r="P50">
        <f>IFERROR(SUM($D$3:$D50),"")</f>
        <v>102101.49799999999</v>
      </c>
      <c r="Q50">
        <f t="shared" si="6"/>
        <v>276929.05599999998</v>
      </c>
      <c r="R50">
        <f t="shared" si="7"/>
        <v>45.106058860071379</v>
      </c>
      <c r="S50">
        <f t="shared" si="8"/>
        <v>63.130810657874783</v>
      </c>
      <c r="T50">
        <f>IFERROR(SUM($E$3:$E50),"")</f>
        <v>126989.462</v>
      </c>
      <c r="U50">
        <f>IFERROR(SUM($F$3:$F50),"")</f>
        <v>158227.30800000005</v>
      </c>
      <c r="V50">
        <f>IFERROR(SUM($G$3:$G50),"")</f>
        <v>82395.61099999999</v>
      </c>
      <c r="W50">
        <f t="shared" si="9"/>
        <v>240622.91900000005</v>
      </c>
      <c r="X50">
        <f t="shared" si="10"/>
        <v>52.775297767873873</v>
      </c>
      <c r="Y50">
        <f t="shared" si="11"/>
        <v>65.757372014924314</v>
      </c>
    </row>
    <row r="51" spans="1:25" x14ac:dyDescent="0.35">
      <c r="A51">
        <v>1898</v>
      </c>
      <c r="B51">
        <v>4053.6370000000002</v>
      </c>
      <c r="C51">
        <v>5595.6909999999998</v>
      </c>
      <c r="D51">
        <v>2659.819</v>
      </c>
      <c r="E51">
        <v>3824.4369999999999</v>
      </c>
      <c r="F51">
        <v>4694.5290000000005</v>
      </c>
      <c r="G51">
        <v>2214.1390000000001</v>
      </c>
      <c r="N51">
        <f>IFERROR(SUM($B$3:$B51),"")</f>
        <v>128965.42000000003</v>
      </c>
      <c r="O51">
        <f>IFERROR(SUM($C$3:$C51),"")</f>
        <v>180423.24900000001</v>
      </c>
      <c r="P51">
        <f>IFERROR(SUM($D$3:$D51),"")</f>
        <v>104761.317</v>
      </c>
      <c r="Q51">
        <f t="shared" si="6"/>
        <v>285184.56599999999</v>
      </c>
      <c r="R51">
        <f t="shared" si="7"/>
        <v>45.221738963250921</v>
      </c>
      <c r="S51">
        <f t="shared" si="8"/>
        <v>63.265432463831161</v>
      </c>
      <c r="T51">
        <f>IFERROR(SUM($E$3:$E51),"")</f>
        <v>130813.899</v>
      </c>
      <c r="U51">
        <f>IFERROR(SUM($F$3:$F51),"")</f>
        <v>162921.83700000006</v>
      </c>
      <c r="V51">
        <f>IFERROR(SUM($G$3:$G51),"")</f>
        <v>84609.749999999985</v>
      </c>
      <c r="W51">
        <f t="shared" si="9"/>
        <v>247531.58700000006</v>
      </c>
      <c r="X51">
        <f t="shared" si="10"/>
        <v>52.847356002286681</v>
      </c>
      <c r="Y51">
        <f t="shared" si="11"/>
        <v>65.818604798909973</v>
      </c>
    </row>
    <row r="52" spans="1:25" x14ac:dyDescent="0.35">
      <c r="A52">
        <v>1899</v>
      </c>
      <c r="B52">
        <v>4237.4870000000001</v>
      </c>
      <c r="C52">
        <v>5794.2809999999999</v>
      </c>
      <c r="D52">
        <v>2689.0630000000001</v>
      </c>
      <c r="E52">
        <v>3995.2910000000002</v>
      </c>
      <c r="F52">
        <v>4883.24</v>
      </c>
      <c r="G52">
        <v>2231.5070000000001</v>
      </c>
      <c r="N52">
        <f>IFERROR(SUM($B$3:$B52),"")</f>
        <v>133202.90700000004</v>
      </c>
      <c r="O52">
        <f>IFERROR(SUM($C$3:$C52),"")</f>
        <v>186217.53</v>
      </c>
      <c r="P52">
        <f>IFERROR(SUM($D$3:$D52),"")</f>
        <v>107450.37999999999</v>
      </c>
      <c r="Q52">
        <f t="shared" si="6"/>
        <v>293667.90999999997</v>
      </c>
      <c r="R52">
        <f t="shared" si="7"/>
        <v>45.358346099170333</v>
      </c>
      <c r="S52">
        <f t="shared" si="8"/>
        <v>63.410922221634635</v>
      </c>
      <c r="T52">
        <f>IFERROR(SUM($E$3:$E52),"")</f>
        <v>134809.19</v>
      </c>
      <c r="U52">
        <f>IFERROR(SUM($F$3:$F52),"")</f>
        <v>167805.07700000005</v>
      </c>
      <c r="V52">
        <f>IFERROR(SUM($G$3:$G52),"")</f>
        <v>86841.256999999983</v>
      </c>
      <c r="W52">
        <f t="shared" si="9"/>
        <v>254646.33400000003</v>
      </c>
      <c r="X52">
        <f t="shared" si="10"/>
        <v>52.939772539588169</v>
      </c>
      <c r="Y52">
        <f t="shared" si="11"/>
        <v>65.897307204116288</v>
      </c>
    </row>
    <row r="53" spans="1:25" x14ac:dyDescent="0.35">
      <c r="A53">
        <v>1900</v>
      </c>
      <c r="B53">
        <v>4329.4489999999996</v>
      </c>
      <c r="C53">
        <v>5937.6170000000002</v>
      </c>
      <c r="D53">
        <v>2707.2579999999998</v>
      </c>
      <c r="E53">
        <v>4105.415</v>
      </c>
      <c r="F53">
        <v>5010.7150000000001</v>
      </c>
      <c r="G53">
        <v>2245.4969999999998</v>
      </c>
      <c r="N53">
        <f>IFERROR(SUM($B$3:$B53),"")</f>
        <v>137532.35600000003</v>
      </c>
      <c r="O53">
        <f>IFERROR(SUM($C$3:$C53),"")</f>
        <v>192155.147</v>
      </c>
      <c r="P53">
        <f>IFERROR(SUM($D$3:$D53),"")</f>
        <v>110157.63799999999</v>
      </c>
      <c r="Q53">
        <f t="shared" si="6"/>
        <v>302312.78499999997</v>
      </c>
      <c r="R53">
        <f t="shared" si="7"/>
        <v>45.493397178025411</v>
      </c>
      <c r="S53">
        <f t="shared" si="8"/>
        <v>63.561700508299715</v>
      </c>
      <c r="T53">
        <f>IFERROR(SUM($E$3:$E53),"")</f>
        <v>138914.60500000001</v>
      </c>
      <c r="U53">
        <f>IFERROR(SUM($F$3:$F53),"")</f>
        <v>172815.79200000004</v>
      </c>
      <c r="V53">
        <f>IFERROR(SUM($G$3:$G53),"")</f>
        <v>89086.753999999986</v>
      </c>
      <c r="W53">
        <f t="shared" si="9"/>
        <v>261902.54600000003</v>
      </c>
      <c r="X53">
        <f t="shared" si="10"/>
        <v>53.040570670893736</v>
      </c>
      <c r="Y53">
        <f t="shared" si="11"/>
        <v>65.984769770050278</v>
      </c>
    </row>
    <row r="54" spans="1:25" x14ac:dyDescent="0.35">
      <c r="A54">
        <v>1901</v>
      </c>
      <c r="B54">
        <v>4358.03</v>
      </c>
      <c r="C54">
        <v>6043.1149999999998</v>
      </c>
      <c r="D54">
        <v>2813.0079999999998</v>
      </c>
      <c r="E54">
        <v>4162.3519999999999</v>
      </c>
      <c r="F54">
        <v>5089.8530000000001</v>
      </c>
      <c r="G54">
        <v>2497.8069999999998</v>
      </c>
      <c r="N54">
        <f>IFERROR(SUM($B$3:$B54),"")</f>
        <v>141890.38600000003</v>
      </c>
      <c r="O54">
        <f>IFERROR(SUM($C$3:$C54),"")</f>
        <v>198198.26199999999</v>
      </c>
      <c r="P54">
        <f>IFERROR(SUM($D$3:$D54),"")</f>
        <v>112970.64599999999</v>
      </c>
      <c r="Q54">
        <f t="shared" si="6"/>
        <v>311168.908</v>
      </c>
      <c r="R54">
        <f t="shared" si="7"/>
        <v>45.599152856235889</v>
      </c>
      <c r="S54">
        <f t="shared" si="8"/>
        <v>63.6947512763711</v>
      </c>
      <c r="T54">
        <f>IFERROR(SUM($E$3:$E54),"")</f>
        <v>143076.95700000002</v>
      </c>
      <c r="U54">
        <f>IFERROR(SUM($F$3:$F54),"")</f>
        <v>177905.64500000005</v>
      </c>
      <c r="V54">
        <f>IFERROR(SUM($G$3:$G54),"")</f>
        <v>91584.560999999987</v>
      </c>
      <c r="W54">
        <f t="shared" si="9"/>
        <v>269490.20600000001</v>
      </c>
      <c r="X54">
        <f t="shared" si="10"/>
        <v>53.09170938850373</v>
      </c>
      <c r="Y54">
        <f t="shared" si="11"/>
        <v>66.015625443545815</v>
      </c>
    </row>
    <row r="55" spans="1:25" x14ac:dyDescent="0.35">
      <c r="A55">
        <v>1902</v>
      </c>
      <c r="B55">
        <v>4426.9309999999996</v>
      </c>
      <c r="C55">
        <v>6127.1940000000004</v>
      </c>
      <c r="D55">
        <v>2843.6950000000002</v>
      </c>
      <c r="E55">
        <v>4105.3100000000004</v>
      </c>
      <c r="F55">
        <v>5035.357</v>
      </c>
      <c r="G55">
        <v>2639.8119999999999</v>
      </c>
      <c r="N55">
        <f>IFERROR(SUM($B$3:$B55),"")</f>
        <v>146317.31700000004</v>
      </c>
      <c r="O55">
        <f>IFERROR(SUM($C$3:$C55),"")</f>
        <v>204325.45599999998</v>
      </c>
      <c r="P55">
        <f>IFERROR(SUM($D$3:$D55),"")</f>
        <v>115814.341</v>
      </c>
      <c r="Q55">
        <f t="shared" si="6"/>
        <v>320139.79699999996</v>
      </c>
      <c r="R55">
        <f t="shared" si="7"/>
        <v>45.70419497079898</v>
      </c>
      <c r="S55">
        <f t="shared" si="8"/>
        <v>63.823822565864873</v>
      </c>
      <c r="T55">
        <f>IFERROR(SUM($E$3:$E55),"")</f>
        <v>147182.26700000002</v>
      </c>
      <c r="U55">
        <f>IFERROR(SUM($F$3:$F55),"")</f>
        <v>182941.00200000004</v>
      </c>
      <c r="V55">
        <f>IFERROR(SUM($G$3:$G55),"")</f>
        <v>94224.372999999992</v>
      </c>
      <c r="W55">
        <f t="shared" si="9"/>
        <v>277165.375</v>
      </c>
      <c r="X55">
        <f t="shared" si="10"/>
        <v>53.102688963222775</v>
      </c>
      <c r="Y55">
        <f t="shared" si="11"/>
        <v>66.004277049396961</v>
      </c>
    </row>
    <row r="56" spans="1:25" x14ac:dyDescent="0.35">
      <c r="A56">
        <v>1903</v>
      </c>
      <c r="B56">
        <v>4618.2060000000001</v>
      </c>
      <c r="C56">
        <v>6363.97</v>
      </c>
      <c r="D56">
        <v>2868.7269999999999</v>
      </c>
      <c r="E56">
        <v>4295.3519999999999</v>
      </c>
      <c r="F56">
        <v>5235.5479999999998</v>
      </c>
      <c r="G56">
        <v>2779.07</v>
      </c>
      <c r="N56">
        <f>IFERROR(SUM($B$3:$B56),"")</f>
        <v>150935.52300000004</v>
      </c>
      <c r="O56">
        <f>IFERROR(SUM($C$3:$C56),"")</f>
        <v>210689.42599999998</v>
      </c>
      <c r="P56">
        <f>IFERROR(SUM($D$3:$D56),"")</f>
        <v>118683.068</v>
      </c>
      <c r="Q56">
        <f t="shared" si="6"/>
        <v>329372.49399999995</v>
      </c>
      <c r="R56">
        <f t="shared" si="7"/>
        <v>45.825175371201475</v>
      </c>
      <c r="S56">
        <f t="shared" si="8"/>
        <v>63.966915828739488</v>
      </c>
      <c r="T56">
        <f>IFERROR(SUM($E$3:$E56),"")</f>
        <v>151477.61900000004</v>
      </c>
      <c r="U56">
        <f>IFERROR(SUM($F$3:$F56),"")</f>
        <v>188176.55000000005</v>
      </c>
      <c r="V56">
        <f>IFERROR(SUM($G$3:$G56),"")</f>
        <v>97003.442999999999</v>
      </c>
      <c r="W56">
        <f t="shared" si="9"/>
        <v>285179.99300000002</v>
      </c>
      <c r="X56">
        <f t="shared" si="10"/>
        <v>53.11649579849734</v>
      </c>
      <c r="Y56">
        <f t="shared" si="11"/>
        <v>65.985186415233571</v>
      </c>
    </row>
    <row r="57" spans="1:25" x14ac:dyDescent="0.35">
      <c r="A57">
        <v>1904</v>
      </c>
      <c r="B57">
        <v>4667.5540000000001</v>
      </c>
      <c r="C57">
        <v>6456.2979999999998</v>
      </c>
      <c r="D57">
        <v>2930.64</v>
      </c>
      <c r="E57">
        <v>4281.8220000000001</v>
      </c>
      <c r="F57">
        <v>5241.0649999999996</v>
      </c>
      <c r="G57">
        <v>2913.0410000000002</v>
      </c>
      <c r="N57">
        <f>IFERROR(SUM($B$3:$B57),"")</f>
        <v>155603.07700000005</v>
      </c>
      <c r="O57">
        <f>IFERROR(SUM($C$3:$C57),"")</f>
        <v>217145.72399999999</v>
      </c>
      <c r="P57">
        <f>IFERROR(SUM($D$3:$D57),"")</f>
        <v>121613.708</v>
      </c>
      <c r="Q57">
        <f t="shared" si="6"/>
        <v>338759.43199999997</v>
      </c>
      <c r="R57">
        <f t="shared" si="7"/>
        <v>45.933208732030245</v>
      </c>
      <c r="S57">
        <f t="shared" si="8"/>
        <v>64.10027396668913</v>
      </c>
      <c r="T57">
        <f>IFERROR(SUM($E$3:$E57),"")</f>
        <v>155759.44100000005</v>
      </c>
      <c r="U57">
        <f>IFERROR(SUM($F$3:$F57),"")</f>
        <v>193417.61500000005</v>
      </c>
      <c r="V57">
        <f>IFERROR(SUM($G$3:$G57),"")</f>
        <v>99916.483999999997</v>
      </c>
      <c r="W57">
        <f t="shared" si="9"/>
        <v>293334.09900000005</v>
      </c>
      <c r="X57">
        <f t="shared" si="10"/>
        <v>53.099670829609217</v>
      </c>
      <c r="Y57">
        <f t="shared" si="11"/>
        <v>65.937651183199137</v>
      </c>
    </row>
    <row r="58" spans="1:25" x14ac:dyDescent="0.35">
      <c r="A58">
        <v>1905</v>
      </c>
      <c r="B58">
        <v>4831.7169999999996</v>
      </c>
      <c r="C58">
        <v>6668.6480000000001</v>
      </c>
      <c r="D58">
        <v>2929.6770000000001</v>
      </c>
      <c r="E58">
        <v>4426.2240000000002</v>
      </c>
      <c r="F58">
        <v>5389.6049999999996</v>
      </c>
      <c r="G58">
        <v>3039.6930000000002</v>
      </c>
      <c r="N58">
        <f>IFERROR(SUM($B$3:$B58),"")</f>
        <v>160434.79400000005</v>
      </c>
      <c r="O58">
        <f>IFERROR(SUM($C$3:$C58),"")</f>
        <v>223814.37199999997</v>
      </c>
      <c r="P58">
        <f>IFERROR(SUM($D$3:$D58),"")</f>
        <v>124543.38499999999</v>
      </c>
      <c r="Q58">
        <f t="shared" si="6"/>
        <v>348357.75699999998</v>
      </c>
      <c r="R58">
        <f t="shared" si="7"/>
        <v>46.054606442996494</v>
      </c>
      <c r="S58">
        <f t="shared" si="8"/>
        <v>64.248424931729019</v>
      </c>
      <c r="T58">
        <f>IFERROR(SUM($E$3:$E58),"")</f>
        <v>160185.66500000004</v>
      </c>
      <c r="U58">
        <f>IFERROR(SUM($F$3:$F58),"")</f>
        <v>198807.22000000006</v>
      </c>
      <c r="V58">
        <f>IFERROR(SUM($G$3:$G58),"")</f>
        <v>102956.177</v>
      </c>
      <c r="W58">
        <f t="shared" si="9"/>
        <v>301763.39700000006</v>
      </c>
      <c r="X58">
        <f t="shared" si="10"/>
        <v>53.083199152878045</v>
      </c>
      <c r="Y58">
        <f t="shared" si="11"/>
        <v>65.881820650368681</v>
      </c>
    </row>
    <row r="59" spans="1:25" x14ac:dyDescent="0.35">
      <c r="A59">
        <v>1906</v>
      </c>
      <c r="B59">
        <v>4925.4979999999996</v>
      </c>
      <c r="C59">
        <v>6805.8379999999997</v>
      </c>
      <c r="D59">
        <v>3004.7579999999998</v>
      </c>
      <c r="E59">
        <v>4508.2860000000001</v>
      </c>
      <c r="F59">
        <v>5499.7939999999999</v>
      </c>
      <c r="G59">
        <v>3204.5630000000001</v>
      </c>
      <c r="N59">
        <f>IFERROR(SUM($B$3:$B59),"")</f>
        <v>165360.29200000004</v>
      </c>
      <c r="O59">
        <f>IFERROR(SUM($C$3:$C59),"")</f>
        <v>230620.20999999996</v>
      </c>
      <c r="P59">
        <f>IFERROR(SUM($D$3:$D59),"")</f>
        <v>127548.143</v>
      </c>
      <c r="Q59">
        <f t="shared" si="6"/>
        <v>358168.35299999994</v>
      </c>
      <c r="R59">
        <f t="shared" si="7"/>
        <v>46.168314597018586</v>
      </c>
      <c r="S59">
        <f t="shared" si="8"/>
        <v>64.388773622330604</v>
      </c>
      <c r="T59">
        <f>IFERROR(SUM($E$3:$E59),"")</f>
        <v>164693.95100000003</v>
      </c>
      <c r="U59">
        <f>IFERROR(SUM($F$3:$F59),"")</f>
        <v>204307.01400000005</v>
      </c>
      <c r="V59">
        <f>IFERROR(SUM($G$3:$G59),"")</f>
        <v>106160.73999999999</v>
      </c>
      <c r="W59">
        <f t="shared" si="9"/>
        <v>310467.75400000007</v>
      </c>
      <c r="X59">
        <f t="shared" si="10"/>
        <v>53.047039145971986</v>
      </c>
      <c r="Y59">
        <f t="shared" si="11"/>
        <v>65.806194481633668</v>
      </c>
    </row>
    <row r="60" spans="1:25" x14ac:dyDescent="0.35">
      <c r="A60">
        <v>1907</v>
      </c>
      <c r="B60">
        <v>5277.2380000000003</v>
      </c>
      <c r="C60">
        <v>7218.9080000000004</v>
      </c>
      <c r="D60">
        <v>3005.0839999999998</v>
      </c>
      <c r="E60">
        <v>4849.12</v>
      </c>
      <c r="F60">
        <v>5873.0020000000004</v>
      </c>
      <c r="G60">
        <v>3269.0929999999998</v>
      </c>
      <c r="N60">
        <f>IFERROR(SUM($B$3:$B60),"")</f>
        <v>170637.53000000006</v>
      </c>
      <c r="O60">
        <f>IFERROR(SUM($C$3:$C60),"")</f>
        <v>237839.11799999996</v>
      </c>
      <c r="P60">
        <f>IFERROR(SUM($D$3:$D60),"")</f>
        <v>130553.227</v>
      </c>
      <c r="Q60">
        <f t="shared" si="6"/>
        <v>368392.34499999997</v>
      </c>
      <c r="R60">
        <f t="shared" si="7"/>
        <v>46.319510249324011</v>
      </c>
      <c r="S60">
        <f t="shared" si="8"/>
        <v>64.56136269606796</v>
      </c>
      <c r="T60">
        <f>IFERROR(SUM($E$3:$E60),"")</f>
        <v>169543.07100000003</v>
      </c>
      <c r="U60">
        <f>IFERROR(SUM($F$3:$F60),"")</f>
        <v>210180.01600000006</v>
      </c>
      <c r="V60">
        <f>IFERROR(SUM($G$3:$G60),"")</f>
        <v>109429.83299999998</v>
      </c>
      <c r="W60">
        <f t="shared" si="9"/>
        <v>319609.84900000005</v>
      </c>
      <c r="X60">
        <f t="shared" si="10"/>
        <v>53.046885610837357</v>
      </c>
      <c r="Y60">
        <f t="shared" si="11"/>
        <v>65.761432777373528</v>
      </c>
    </row>
    <row r="61" spans="1:25" x14ac:dyDescent="0.35">
      <c r="A61">
        <v>1908</v>
      </c>
      <c r="B61">
        <v>5144.0559999999996</v>
      </c>
      <c r="C61">
        <v>7125.6210000000001</v>
      </c>
      <c r="D61">
        <v>3035.25</v>
      </c>
      <c r="E61">
        <v>4696.4799999999996</v>
      </c>
      <c r="F61">
        <v>5735.924</v>
      </c>
      <c r="G61">
        <v>3335.5160000000001</v>
      </c>
      <c r="N61">
        <f>IFERROR(SUM($B$3:$B61),"")</f>
        <v>175781.58600000007</v>
      </c>
      <c r="O61">
        <f>IFERROR(SUM($C$3:$C61),"")</f>
        <v>244964.73899999997</v>
      </c>
      <c r="P61">
        <f>IFERROR(SUM($D$3:$D61),"")</f>
        <v>133588.47700000001</v>
      </c>
      <c r="Q61">
        <f t="shared" si="6"/>
        <v>378553.21600000001</v>
      </c>
      <c r="R61">
        <f t="shared" si="7"/>
        <v>46.435105705191013</v>
      </c>
      <c r="S61">
        <f t="shared" si="8"/>
        <v>64.710780055821786</v>
      </c>
      <c r="T61">
        <f>IFERROR(SUM($E$3:$E61),"")</f>
        <v>174239.55100000004</v>
      </c>
      <c r="U61">
        <f>IFERROR(SUM($F$3:$F61),"")</f>
        <v>215915.94000000006</v>
      </c>
      <c r="V61">
        <f>IFERROR(SUM($G$3:$G61),"")</f>
        <v>112765.34899999999</v>
      </c>
      <c r="W61">
        <f t="shared" si="9"/>
        <v>328681.28900000005</v>
      </c>
      <c r="X61">
        <f t="shared" si="10"/>
        <v>53.011703687215373</v>
      </c>
      <c r="Y61">
        <f t="shared" si="11"/>
        <v>65.691582461817603</v>
      </c>
    </row>
    <row r="62" spans="1:25" x14ac:dyDescent="0.35">
      <c r="A62">
        <v>1909</v>
      </c>
      <c r="B62">
        <v>5280.5540000000001</v>
      </c>
      <c r="C62">
        <v>7311.0559999999996</v>
      </c>
      <c r="D62">
        <v>3078.1390000000001</v>
      </c>
      <c r="E62">
        <v>4803.1970000000001</v>
      </c>
      <c r="F62">
        <v>5859.58</v>
      </c>
      <c r="G62">
        <v>3377.4639999999999</v>
      </c>
      <c r="N62">
        <f>IFERROR(SUM($B$3:$B62),"")</f>
        <v>181062.14000000007</v>
      </c>
      <c r="O62">
        <f>IFERROR(SUM($C$3:$C62),"")</f>
        <v>252275.79499999998</v>
      </c>
      <c r="P62">
        <f>IFERROR(SUM($D$3:$D62),"")</f>
        <v>136666.61600000001</v>
      </c>
      <c r="Q62">
        <f t="shared" si="6"/>
        <v>388942.41099999996</v>
      </c>
      <c r="R62">
        <f t="shared" si="7"/>
        <v>46.552429068991422</v>
      </c>
      <c r="S62">
        <f t="shared" si="8"/>
        <v>64.861991869536695</v>
      </c>
      <c r="T62">
        <f>IFERROR(SUM($E$3:$E62),"")</f>
        <v>179042.74800000002</v>
      </c>
      <c r="U62">
        <f>IFERROR(SUM($F$3:$F62),"")</f>
        <v>221775.52000000005</v>
      </c>
      <c r="V62">
        <f>IFERROR(SUM($G$3:$G62),"")</f>
        <v>116142.81299999999</v>
      </c>
      <c r="W62">
        <f t="shared" si="9"/>
        <v>337918.33300000004</v>
      </c>
      <c r="X62">
        <f t="shared" si="10"/>
        <v>52.984029132269661</v>
      </c>
      <c r="Y62">
        <f t="shared" si="11"/>
        <v>65.629916563301705</v>
      </c>
    </row>
    <row r="63" spans="1:25" x14ac:dyDescent="0.35">
      <c r="A63">
        <v>1910</v>
      </c>
      <c r="B63">
        <v>5392.8249999999998</v>
      </c>
      <c r="C63">
        <v>7125.1530000000002</v>
      </c>
      <c r="D63">
        <v>3237.2150000000001</v>
      </c>
      <c r="E63">
        <v>4957.43</v>
      </c>
      <c r="F63">
        <v>6015.6970000000001</v>
      </c>
      <c r="G63">
        <v>3419.011</v>
      </c>
      <c r="N63">
        <f>IFERROR(SUM($B$3:$B63),"")</f>
        <v>186454.96500000008</v>
      </c>
      <c r="O63">
        <f>IFERROR(SUM($C$3:$C63),"")</f>
        <v>259400.94799999997</v>
      </c>
      <c r="P63">
        <f>IFERROR(SUM($D$3:$D63),"")</f>
        <v>139903.83100000001</v>
      </c>
      <c r="Q63">
        <f t="shared" si="6"/>
        <v>399304.77899999998</v>
      </c>
      <c r="R63">
        <f t="shared" si="7"/>
        <v>46.694899436703238</v>
      </c>
      <c r="S63">
        <f t="shared" si="8"/>
        <v>64.963146358937024</v>
      </c>
      <c r="T63">
        <f>IFERROR(SUM($E$3:$E63),"")</f>
        <v>184000.17800000001</v>
      </c>
      <c r="U63">
        <f>IFERROR(SUM($F$3:$F63),"")</f>
        <v>227791.21700000006</v>
      </c>
      <c r="V63">
        <f>IFERROR(SUM($G$3:$G63),"")</f>
        <v>119561.82399999999</v>
      </c>
      <c r="W63">
        <f t="shared" si="9"/>
        <v>347353.04100000008</v>
      </c>
      <c r="X63">
        <f t="shared" si="10"/>
        <v>52.972093599721781</v>
      </c>
      <c r="Y63">
        <f t="shared" si="11"/>
        <v>65.579163016453919</v>
      </c>
    </row>
    <row r="64" spans="1:25" x14ac:dyDescent="0.35">
      <c r="A64">
        <v>1911</v>
      </c>
      <c r="B64">
        <v>5419.4120000000003</v>
      </c>
      <c r="C64">
        <v>7074.5990000000002</v>
      </c>
      <c r="D64">
        <v>3328.7910000000002</v>
      </c>
      <c r="E64">
        <v>4983.6319999999996</v>
      </c>
      <c r="F64">
        <v>6054.1559999999999</v>
      </c>
      <c r="G64">
        <v>3244.402</v>
      </c>
      <c r="N64">
        <f>IFERROR(SUM($B$3:$B64),"")</f>
        <v>191874.37700000009</v>
      </c>
      <c r="O64">
        <f>IFERROR(SUM($C$3:$C64),"")</f>
        <v>266475.54699999996</v>
      </c>
      <c r="P64">
        <f>IFERROR(SUM($D$3:$D64),"")</f>
        <v>143232.622</v>
      </c>
      <c r="Q64">
        <f t="shared" si="6"/>
        <v>409708.16899999999</v>
      </c>
      <c r="R64">
        <f t="shared" si="7"/>
        <v>46.831962728085145</v>
      </c>
      <c r="S64">
        <f t="shared" si="8"/>
        <v>65.04033045042847</v>
      </c>
      <c r="T64">
        <f>IFERROR(SUM($E$3:$E64),"")</f>
        <v>188983.81000000003</v>
      </c>
      <c r="U64">
        <f>IFERROR(SUM($F$3:$F64),"")</f>
        <v>233845.37300000005</v>
      </c>
      <c r="V64">
        <f>IFERROR(SUM($G$3:$G64),"")</f>
        <v>122806.226</v>
      </c>
      <c r="W64">
        <f t="shared" si="9"/>
        <v>356651.59900000005</v>
      </c>
      <c r="X64">
        <f t="shared" si="10"/>
        <v>52.988353488357696</v>
      </c>
      <c r="Y64">
        <f t="shared" si="11"/>
        <v>65.566893196516986</v>
      </c>
    </row>
    <row r="65" spans="1:25" x14ac:dyDescent="0.35">
      <c r="A65">
        <v>1912</v>
      </c>
      <c r="B65">
        <v>5502.0659999999998</v>
      </c>
      <c r="C65">
        <v>7151.7619999999997</v>
      </c>
      <c r="D65">
        <v>3340.3020000000001</v>
      </c>
      <c r="E65">
        <v>5054.4489999999996</v>
      </c>
      <c r="F65">
        <v>6156.8389999999999</v>
      </c>
      <c r="G65">
        <v>3192.2159999999999</v>
      </c>
      <c r="N65">
        <f>IFERROR(SUM($B$3:$B65),"")</f>
        <v>197376.44300000009</v>
      </c>
      <c r="O65">
        <f>IFERROR(SUM($C$3:$C65),"")</f>
        <v>273627.30899999995</v>
      </c>
      <c r="P65">
        <f>IFERROR(SUM($D$3:$D65),"")</f>
        <v>146572.924</v>
      </c>
      <c r="Q65">
        <f t="shared" si="6"/>
        <v>420200.23299999995</v>
      </c>
      <c r="R65">
        <f t="shared" si="7"/>
        <v>46.971997514337431</v>
      </c>
      <c r="S65">
        <f t="shared" si="8"/>
        <v>65.118314439392506</v>
      </c>
      <c r="T65">
        <f>IFERROR(SUM($E$3:$E65),"")</f>
        <v>194038.25900000002</v>
      </c>
      <c r="U65">
        <f>IFERROR(SUM($F$3:$F65),"")</f>
        <v>240002.21200000006</v>
      </c>
      <c r="V65">
        <f>IFERROR(SUM($G$3:$G65),"")</f>
        <v>125998.442</v>
      </c>
      <c r="W65">
        <f t="shared" si="9"/>
        <v>366000.65400000004</v>
      </c>
      <c r="X65">
        <f t="shared" si="10"/>
        <v>53.015823026370882</v>
      </c>
      <c r="Y65">
        <f t="shared" si="11"/>
        <v>65.574257689714415</v>
      </c>
    </row>
    <row r="66" spans="1:25" x14ac:dyDescent="0.35">
      <c r="A66">
        <v>1913</v>
      </c>
      <c r="B66">
        <v>5757.6</v>
      </c>
      <c r="C66">
        <v>7345.0919999999996</v>
      </c>
      <c r="D66">
        <v>3420.2150000000001</v>
      </c>
      <c r="E66">
        <v>5310.9369999999999</v>
      </c>
      <c r="F66">
        <v>6452.9859999999999</v>
      </c>
      <c r="G66">
        <v>3104.933</v>
      </c>
      <c r="N66">
        <f>IFERROR(SUM($B$3:$B66),"")</f>
        <v>203134.04300000009</v>
      </c>
      <c r="O66">
        <f>IFERROR(SUM($C$3:$C66),"")</f>
        <v>280972.40099999995</v>
      </c>
      <c r="P66">
        <f>IFERROR(SUM($D$3:$D66),"")</f>
        <v>149993.139</v>
      </c>
      <c r="Q66">
        <f t="shared" si="6"/>
        <v>430965.53999999992</v>
      </c>
      <c r="R66">
        <f t="shared" si="7"/>
        <v>47.134637029215867</v>
      </c>
      <c r="S66">
        <f t="shared" si="8"/>
        <v>65.196024953642464</v>
      </c>
      <c r="T66">
        <f>IFERROR(SUM($E$3:$E66),"")</f>
        <v>199349.19600000003</v>
      </c>
      <c r="U66">
        <f>IFERROR(SUM($F$3:$F66),"")</f>
        <v>246455.19800000006</v>
      </c>
      <c r="V66">
        <f>IFERROR(SUM($G$3:$G66),"")</f>
        <v>129103.375</v>
      </c>
      <c r="W66">
        <f t="shared" si="9"/>
        <v>375558.57300000009</v>
      </c>
      <c r="X66">
        <f t="shared" si="10"/>
        <v>53.080720380732728</v>
      </c>
      <c r="Y66">
        <f t="shared" si="11"/>
        <v>65.623637887238431</v>
      </c>
    </row>
    <row r="67" spans="1:25" x14ac:dyDescent="0.35">
      <c r="A67">
        <v>1914</v>
      </c>
      <c r="B67">
        <v>5453.2860000000001</v>
      </c>
      <c r="C67">
        <v>6943.0730000000003</v>
      </c>
      <c r="D67">
        <v>3483.0859999999998</v>
      </c>
      <c r="E67">
        <v>4970.4359999999997</v>
      </c>
      <c r="F67">
        <v>6074.6909999999998</v>
      </c>
      <c r="G67">
        <v>3080.0140000000001</v>
      </c>
      <c r="N67">
        <f>IFERROR(SUM($B$3:$B67),"")</f>
        <v>208587.32900000009</v>
      </c>
      <c r="O67">
        <f>IFERROR(SUM($C$3:$C67),"")</f>
        <v>287915.47399999993</v>
      </c>
      <c r="P67">
        <f>IFERROR(SUM($D$3:$D67),"")</f>
        <v>153476.22500000001</v>
      </c>
      <c r="Q67">
        <f t="shared" ref="Q67:Q98" si="12">IFERROR(O67+P67,"")</f>
        <v>441391.69899999991</v>
      </c>
      <c r="R67">
        <f t="shared" ref="R67:R98" si="13">IFERROR(N67/Q67*100,NA())</f>
        <v>47.256740322160006</v>
      </c>
      <c r="S67">
        <f t="shared" ref="S67:S98" si="14">IFERROR(O67/Q67*100,NA())</f>
        <v>65.229018726969755</v>
      </c>
      <c r="T67">
        <f>IFERROR(SUM($E$3:$E67),"")</f>
        <v>204319.63200000001</v>
      </c>
      <c r="U67">
        <f>IFERROR(SUM($F$3:$F67),"")</f>
        <v>252529.88900000005</v>
      </c>
      <c r="V67">
        <f>IFERROR(SUM($G$3:$G67),"")</f>
        <v>132183.389</v>
      </c>
      <c r="W67">
        <f t="shared" ref="W67:W98" si="15">IFERROR(U67+V67,"")</f>
        <v>384713.27800000005</v>
      </c>
      <c r="X67">
        <f t="shared" ref="X67:X98" si="16">IFERROR(T67/W67*100,NA())</f>
        <v>53.109586719281367</v>
      </c>
      <c r="Y67">
        <f t="shared" ref="Y67:Y98" si="17">IFERROR(U67/W67*100,NA())</f>
        <v>65.641063992597623</v>
      </c>
    </row>
    <row r="68" spans="1:25" x14ac:dyDescent="0.35">
      <c r="A68">
        <v>1915</v>
      </c>
      <c r="B68">
        <v>5378.5060000000003</v>
      </c>
      <c r="C68">
        <v>6801.0379999999996</v>
      </c>
      <c r="D68">
        <v>3520.1089999999999</v>
      </c>
      <c r="E68">
        <v>4919.3860000000004</v>
      </c>
      <c r="F68">
        <v>6014.1239999999998</v>
      </c>
      <c r="G68">
        <v>3058.82</v>
      </c>
      <c r="N68">
        <f>IFERROR(SUM($B$3:$B68),"")</f>
        <v>213965.83500000008</v>
      </c>
      <c r="O68">
        <f>IFERROR(SUM($C$3:$C68),"")</f>
        <v>294716.51199999993</v>
      </c>
      <c r="P68">
        <f>IFERROR(SUM($D$3:$D68),"")</f>
        <v>156996.334</v>
      </c>
      <c r="Q68">
        <f t="shared" si="12"/>
        <v>451712.8459999999</v>
      </c>
      <c r="R68">
        <f t="shared" si="13"/>
        <v>47.367666625978607</v>
      </c>
      <c r="S68">
        <f t="shared" si="14"/>
        <v>65.244217562057116</v>
      </c>
      <c r="T68">
        <f>IFERROR(SUM($E$3:$E68),"")</f>
        <v>209239.01800000001</v>
      </c>
      <c r="U68">
        <f>IFERROR(SUM($F$3:$F68),"")</f>
        <v>258544.01300000006</v>
      </c>
      <c r="V68">
        <f>IFERROR(SUM($G$3:$G68),"")</f>
        <v>135242.209</v>
      </c>
      <c r="W68">
        <f t="shared" si="15"/>
        <v>393786.22200000007</v>
      </c>
      <c r="X68">
        <f t="shared" si="16"/>
        <v>53.135180031768606</v>
      </c>
      <c r="Y68">
        <f t="shared" si="17"/>
        <v>65.655931710073901</v>
      </c>
    </row>
    <row r="69" spans="1:25" x14ac:dyDescent="0.35">
      <c r="A69">
        <v>1916</v>
      </c>
      <c r="B69">
        <v>5606.0619999999999</v>
      </c>
      <c r="C69">
        <v>7059.3050000000003</v>
      </c>
      <c r="D69">
        <v>3552.828</v>
      </c>
      <c r="E69">
        <v>5154.4009999999998</v>
      </c>
      <c r="F69">
        <v>6276.5749999999998</v>
      </c>
      <c r="G69">
        <v>3098.03</v>
      </c>
      <c r="N69">
        <f>IFERROR(SUM($B$3:$B69),"")</f>
        <v>219571.89700000008</v>
      </c>
      <c r="O69">
        <f>IFERROR(SUM($C$3:$C69),"")</f>
        <v>301775.81699999992</v>
      </c>
      <c r="P69">
        <f>IFERROR(SUM($D$3:$D69),"")</f>
        <v>160549.16200000001</v>
      </c>
      <c r="Q69">
        <f t="shared" si="12"/>
        <v>462324.97899999993</v>
      </c>
      <c r="R69">
        <f t="shared" si="13"/>
        <v>47.492977228902902</v>
      </c>
      <c r="S69">
        <f t="shared" si="14"/>
        <v>65.273526352120371</v>
      </c>
      <c r="T69">
        <f>IFERROR(SUM($E$3:$E69),"")</f>
        <v>214393.41900000002</v>
      </c>
      <c r="U69">
        <f>IFERROR(SUM($F$3:$F69),"")</f>
        <v>264820.58800000005</v>
      </c>
      <c r="V69">
        <f>IFERROR(SUM($G$3:$G69),"")</f>
        <v>138340.239</v>
      </c>
      <c r="W69">
        <f t="shared" si="15"/>
        <v>403160.82700000005</v>
      </c>
      <c r="X69">
        <f t="shared" si="16"/>
        <v>53.178137517809986</v>
      </c>
      <c r="Y69">
        <f t="shared" si="17"/>
        <v>65.686091074518018</v>
      </c>
    </row>
    <row r="70" spans="1:25" x14ac:dyDescent="0.35">
      <c r="A70">
        <v>1917</v>
      </c>
      <c r="B70">
        <v>5749.3059999999996</v>
      </c>
      <c r="C70">
        <v>7116.924</v>
      </c>
      <c r="D70">
        <v>3609.44</v>
      </c>
      <c r="E70">
        <v>5287.6660000000002</v>
      </c>
      <c r="F70">
        <v>6410.5959999999995</v>
      </c>
      <c r="G70">
        <v>3141.2570000000001</v>
      </c>
      <c r="N70">
        <f>IFERROR(SUM($B$3:$B70),"")</f>
        <v>225321.2030000001</v>
      </c>
      <c r="O70">
        <f>IFERROR(SUM($C$3:$C70),"")</f>
        <v>308892.74099999992</v>
      </c>
      <c r="P70">
        <f>IFERROR(SUM($D$3:$D70),"")</f>
        <v>164158.60200000001</v>
      </c>
      <c r="Q70">
        <f t="shared" si="12"/>
        <v>473051.34299999994</v>
      </c>
      <c r="R70">
        <f t="shared" si="13"/>
        <v>47.631447692560535</v>
      </c>
      <c r="S70">
        <f t="shared" si="14"/>
        <v>65.297931307215421</v>
      </c>
      <c r="T70">
        <f>IFERROR(SUM($E$3:$E70),"")</f>
        <v>219681.08500000002</v>
      </c>
      <c r="U70">
        <f>IFERROR(SUM($F$3:$F70),"")</f>
        <v>271231.18400000007</v>
      </c>
      <c r="V70">
        <f>IFERROR(SUM($G$3:$G70),"")</f>
        <v>141481.49600000001</v>
      </c>
      <c r="W70">
        <f t="shared" si="15"/>
        <v>412712.68000000005</v>
      </c>
      <c r="X70">
        <f t="shared" si="16"/>
        <v>53.228576597161982</v>
      </c>
      <c r="Y70">
        <f t="shared" si="17"/>
        <v>65.719130316034878</v>
      </c>
    </row>
    <row r="71" spans="1:25" x14ac:dyDescent="0.35">
      <c r="A71">
        <v>1918</v>
      </c>
      <c r="B71">
        <v>5798.7089999999998</v>
      </c>
      <c r="C71">
        <v>6994.5460000000003</v>
      </c>
      <c r="D71">
        <v>3638.5970000000002</v>
      </c>
      <c r="E71">
        <v>5309.5770000000002</v>
      </c>
      <c r="F71">
        <v>6334.5940000000001</v>
      </c>
      <c r="G71">
        <v>3176.529</v>
      </c>
      <c r="N71">
        <f>IFERROR(SUM($B$3:$B71),"")</f>
        <v>231119.9120000001</v>
      </c>
      <c r="O71">
        <f>IFERROR(SUM($C$3:$C71),"")</f>
        <v>315887.28699999989</v>
      </c>
      <c r="P71">
        <f>IFERROR(SUM($D$3:$D71),"")</f>
        <v>167797.19900000002</v>
      </c>
      <c r="Q71">
        <f t="shared" si="12"/>
        <v>483684.48599999992</v>
      </c>
      <c r="R71">
        <f t="shared" si="13"/>
        <v>47.783197247306411</v>
      </c>
      <c r="S71">
        <f t="shared" si="14"/>
        <v>65.3085422715005</v>
      </c>
      <c r="T71">
        <f>IFERROR(SUM($E$3:$E71),"")</f>
        <v>224990.66200000001</v>
      </c>
      <c r="U71">
        <f>IFERROR(SUM($F$3:$F71),"")</f>
        <v>277565.77800000005</v>
      </c>
      <c r="V71">
        <f>IFERROR(SUM($G$3:$G71),"")</f>
        <v>144658.02500000002</v>
      </c>
      <c r="W71">
        <f t="shared" si="15"/>
        <v>422223.80300000007</v>
      </c>
      <c r="X71">
        <f t="shared" si="16"/>
        <v>53.287062548673973</v>
      </c>
      <c r="Y71">
        <f t="shared" si="17"/>
        <v>65.739017087106291</v>
      </c>
    </row>
    <row r="72" spans="1:25" x14ac:dyDescent="0.35">
      <c r="A72">
        <v>1919</v>
      </c>
      <c r="B72">
        <v>5358.1480000000001</v>
      </c>
      <c r="C72">
        <v>6412.8779999999997</v>
      </c>
      <c r="D72">
        <v>3699.377</v>
      </c>
      <c r="E72">
        <v>4877.5510000000004</v>
      </c>
      <c r="F72">
        <v>5784.8370000000004</v>
      </c>
      <c r="G72">
        <v>3235.069</v>
      </c>
      <c r="N72">
        <f>IFERROR(SUM($B$3:$B72),"")</f>
        <v>236478.06000000008</v>
      </c>
      <c r="O72">
        <f>IFERROR(SUM($C$3:$C72),"")</f>
        <v>322300.16499999992</v>
      </c>
      <c r="P72">
        <f>IFERROR(SUM($D$3:$D72),"")</f>
        <v>171496.57600000003</v>
      </c>
      <c r="Q72">
        <f t="shared" si="12"/>
        <v>493796.74099999992</v>
      </c>
      <c r="R72">
        <f t="shared" si="13"/>
        <v>47.889757133897348</v>
      </c>
      <c r="S72">
        <f t="shared" si="14"/>
        <v>65.269803998159631</v>
      </c>
      <c r="T72">
        <f>IFERROR(SUM($E$3:$E72),"")</f>
        <v>229868.21300000002</v>
      </c>
      <c r="U72">
        <f>IFERROR(SUM($F$3:$F72),"")</f>
        <v>283350.61500000005</v>
      </c>
      <c r="V72">
        <f>IFERROR(SUM($G$3:$G72),"")</f>
        <v>147893.09400000001</v>
      </c>
      <c r="W72">
        <f t="shared" si="15"/>
        <v>431243.70900000003</v>
      </c>
      <c r="X72">
        <f t="shared" si="16"/>
        <v>53.303551611926238</v>
      </c>
      <c r="Y72">
        <f t="shared" si="17"/>
        <v>65.705448934444632</v>
      </c>
    </row>
    <row r="73" spans="1:25" x14ac:dyDescent="0.35">
      <c r="A73">
        <v>1920</v>
      </c>
      <c r="B73">
        <v>5814.09</v>
      </c>
      <c r="C73">
        <v>7087.6679999999997</v>
      </c>
      <c r="D73">
        <v>3993.3249999999998</v>
      </c>
      <c r="E73">
        <v>5313.1379999999999</v>
      </c>
      <c r="F73">
        <v>6303.1490000000003</v>
      </c>
      <c r="G73">
        <v>3303.9279999999999</v>
      </c>
      <c r="N73">
        <f>IFERROR(SUM($B$3:$B73),"")</f>
        <v>242292.15000000008</v>
      </c>
      <c r="O73">
        <f>IFERROR(SUM($C$3:$C73),"")</f>
        <v>329387.83299999993</v>
      </c>
      <c r="P73">
        <f>IFERROR(SUM($D$3:$D73),"")</f>
        <v>175489.90100000004</v>
      </c>
      <c r="Q73">
        <f t="shared" si="12"/>
        <v>504877.73399999994</v>
      </c>
      <c r="R73">
        <f t="shared" si="13"/>
        <v>47.990262529581095</v>
      </c>
      <c r="S73">
        <f t="shared" si="14"/>
        <v>65.241109048393881</v>
      </c>
      <c r="T73">
        <f>IFERROR(SUM($E$3:$E73),"")</f>
        <v>235181.35100000002</v>
      </c>
      <c r="U73">
        <f>IFERROR(SUM($F$3:$F73),"")</f>
        <v>289653.76400000002</v>
      </c>
      <c r="V73">
        <f>IFERROR(SUM($G$3:$G73),"")</f>
        <v>151197.022</v>
      </c>
      <c r="W73">
        <f t="shared" si="15"/>
        <v>440850.78600000002</v>
      </c>
      <c r="X73">
        <f t="shared" si="16"/>
        <v>53.347154744553414</v>
      </c>
      <c r="Y73">
        <f t="shared" si="17"/>
        <v>65.703356600117303</v>
      </c>
    </row>
    <row r="74" spans="1:25" x14ac:dyDescent="0.35">
      <c r="A74">
        <v>1921</v>
      </c>
      <c r="B74">
        <v>5340.72</v>
      </c>
      <c r="C74">
        <v>6672.9859999999999</v>
      </c>
      <c r="D74">
        <v>4147.04</v>
      </c>
      <c r="E74">
        <v>4765.9859999999999</v>
      </c>
      <c r="F74">
        <v>5766.0789999999997</v>
      </c>
      <c r="G74">
        <v>3528.7179999999998</v>
      </c>
      <c r="N74">
        <f>IFERROR(SUM($B$3:$B74),"")</f>
        <v>247632.87000000008</v>
      </c>
      <c r="O74">
        <f>IFERROR(SUM($C$3:$C74),"")</f>
        <v>336060.8189999999</v>
      </c>
      <c r="P74">
        <f>IFERROR(SUM($D$3:$D74),"")</f>
        <v>179636.94100000005</v>
      </c>
      <c r="Q74">
        <f t="shared" si="12"/>
        <v>515697.75999999995</v>
      </c>
      <c r="R74">
        <f t="shared" si="13"/>
        <v>48.018992752654214</v>
      </c>
      <c r="S74">
        <f t="shared" si="14"/>
        <v>65.166235936336022</v>
      </c>
      <c r="T74">
        <f>IFERROR(SUM($E$3:$E74),"")</f>
        <v>239947.33700000003</v>
      </c>
      <c r="U74">
        <f>IFERROR(SUM($F$3:$F74),"")</f>
        <v>295419.84300000005</v>
      </c>
      <c r="V74">
        <f>IFERROR(SUM($G$3:$G74),"")</f>
        <v>154725.74</v>
      </c>
      <c r="W74">
        <f t="shared" si="15"/>
        <v>450145.58300000004</v>
      </c>
      <c r="X74">
        <f t="shared" si="16"/>
        <v>53.304385528092588</v>
      </c>
      <c r="Y74">
        <f t="shared" si="17"/>
        <v>65.627622297473494</v>
      </c>
    </row>
    <row r="75" spans="1:25" x14ac:dyDescent="0.35">
      <c r="A75">
        <v>1922</v>
      </c>
      <c r="B75">
        <v>5530.3729999999996</v>
      </c>
      <c r="C75">
        <v>6881.9560000000001</v>
      </c>
      <c r="D75">
        <v>4214.4210000000003</v>
      </c>
      <c r="E75">
        <v>4866.3680000000004</v>
      </c>
      <c r="F75">
        <v>5878.26</v>
      </c>
      <c r="G75">
        <v>3612.3040000000001</v>
      </c>
      <c r="N75">
        <f>IFERROR(SUM($B$3:$B75),"")</f>
        <v>253163.24300000007</v>
      </c>
      <c r="O75">
        <f>IFERROR(SUM($C$3:$C75),"")</f>
        <v>342942.77499999991</v>
      </c>
      <c r="P75">
        <f>IFERROR(SUM($D$3:$D75),"")</f>
        <v>183851.36200000005</v>
      </c>
      <c r="Q75">
        <f t="shared" si="12"/>
        <v>526794.13699999999</v>
      </c>
      <c r="R75">
        <f t="shared" si="13"/>
        <v>48.057338762674966</v>
      </c>
      <c r="S75">
        <f t="shared" si="14"/>
        <v>65.099960480387793</v>
      </c>
      <c r="T75">
        <f>IFERROR(SUM($E$3:$E75),"")</f>
        <v>244813.70500000002</v>
      </c>
      <c r="U75">
        <f>IFERROR(SUM($F$3:$F75),"")</f>
        <v>301298.10300000006</v>
      </c>
      <c r="V75">
        <f>IFERROR(SUM($G$3:$G75),"")</f>
        <v>158338.04399999999</v>
      </c>
      <c r="W75">
        <f t="shared" si="15"/>
        <v>459636.14700000006</v>
      </c>
      <c r="X75">
        <f t="shared" si="16"/>
        <v>53.262500479536911</v>
      </c>
      <c r="Y75">
        <f t="shared" si="17"/>
        <v>65.551437798472364</v>
      </c>
    </row>
    <row r="76" spans="1:25" x14ac:dyDescent="0.35">
      <c r="A76">
        <v>1923</v>
      </c>
      <c r="B76">
        <v>5991.6639999999998</v>
      </c>
      <c r="C76">
        <v>7391.1959999999999</v>
      </c>
      <c r="D76">
        <v>4340.8230000000003</v>
      </c>
      <c r="E76">
        <v>5349.27</v>
      </c>
      <c r="F76">
        <v>6360.643</v>
      </c>
      <c r="G76">
        <v>3697.4580000000001</v>
      </c>
      <c r="N76">
        <f>IFERROR(SUM($B$3:$B76),"")</f>
        <v>259154.90700000006</v>
      </c>
      <c r="O76">
        <f>IFERROR(SUM($C$3:$C76),"")</f>
        <v>350333.9709999999</v>
      </c>
      <c r="P76">
        <f>IFERROR(SUM($D$3:$D76),"")</f>
        <v>188192.18500000006</v>
      </c>
      <c r="Q76">
        <f t="shared" si="12"/>
        <v>538526.15599999996</v>
      </c>
      <c r="R76">
        <f t="shared" si="13"/>
        <v>48.122993491146246</v>
      </c>
      <c r="S76">
        <f t="shared" si="14"/>
        <v>65.054216419527066</v>
      </c>
      <c r="T76">
        <f>IFERROR(SUM($E$3:$E76),"")</f>
        <v>250162.97500000001</v>
      </c>
      <c r="U76">
        <f>IFERROR(SUM($F$3:$F76),"")</f>
        <v>307658.74600000004</v>
      </c>
      <c r="V76">
        <f>IFERROR(SUM($G$3:$G76),"")</f>
        <v>162035.50200000001</v>
      </c>
      <c r="W76">
        <f t="shared" si="15"/>
        <v>469694.24800000002</v>
      </c>
      <c r="X76">
        <f t="shared" si="16"/>
        <v>53.260812978914743</v>
      </c>
      <c r="Y76">
        <f t="shared" si="17"/>
        <v>65.501919027119953</v>
      </c>
    </row>
    <row r="77" spans="1:25" x14ac:dyDescent="0.35">
      <c r="A77">
        <v>1924</v>
      </c>
      <c r="B77">
        <v>5966.78</v>
      </c>
      <c r="C77">
        <v>7319.4129999999996</v>
      </c>
      <c r="D77">
        <v>4405.6530000000002</v>
      </c>
      <c r="E77">
        <v>5317.3140000000003</v>
      </c>
      <c r="F77">
        <v>6356.73</v>
      </c>
      <c r="G77">
        <v>3779.569</v>
      </c>
      <c r="N77">
        <f>IFERROR(SUM($B$3:$B77),"")</f>
        <v>265121.68700000009</v>
      </c>
      <c r="O77">
        <f>IFERROR(SUM($C$3:$C77),"")</f>
        <v>357653.3839999999</v>
      </c>
      <c r="P77">
        <f>IFERROR(SUM($D$3:$D77),"")</f>
        <v>192597.83800000005</v>
      </c>
      <c r="Q77">
        <f t="shared" si="12"/>
        <v>550251.22199999995</v>
      </c>
      <c r="R77">
        <f t="shared" si="13"/>
        <v>48.18193515979145</v>
      </c>
      <c r="S77">
        <f t="shared" si="14"/>
        <v>64.998198949933439</v>
      </c>
      <c r="T77">
        <f>IFERROR(SUM($E$3:$E77),"")</f>
        <v>255480.28900000002</v>
      </c>
      <c r="U77">
        <f>IFERROR(SUM($F$3:$F77),"")</f>
        <v>314015.47600000002</v>
      </c>
      <c r="V77">
        <f>IFERROR(SUM($G$3:$G77),"")</f>
        <v>165815.071</v>
      </c>
      <c r="W77">
        <f t="shared" si="15"/>
        <v>479830.54700000002</v>
      </c>
      <c r="X77">
        <f t="shared" si="16"/>
        <v>53.243856731780767</v>
      </c>
      <c r="Y77">
        <f t="shared" si="17"/>
        <v>65.442993982623619</v>
      </c>
    </row>
    <row r="78" spans="1:25" x14ac:dyDescent="0.35">
      <c r="A78">
        <v>1925</v>
      </c>
      <c r="B78">
        <v>6018.6360000000004</v>
      </c>
      <c r="C78">
        <v>7453.9290000000001</v>
      </c>
      <c r="D78">
        <v>4459.6580000000004</v>
      </c>
      <c r="E78">
        <v>5347.2049999999999</v>
      </c>
      <c r="F78">
        <v>6394.0709999999999</v>
      </c>
      <c r="G78">
        <v>3836.393</v>
      </c>
      <c r="N78">
        <f>IFERROR(SUM($B$3:$B78),"")</f>
        <v>271140.32300000009</v>
      </c>
      <c r="O78">
        <f>IFERROR(SUM($C$3:$C78),"")</f>
        <v>365107.31299999991</v>
      </c>
      <c r="P78">
        <f>IFERROR(SUM($D$3:$D78),"")</f>
        <v>197057.49600000004</v>
      </c>
      <c r="Q78">
        <f t="shared" si="12"/>
        <v>562164.80899999989</v>
      </c>
      <c r="R78">
        <f t="shared" si="13"/>
        <v>48.231464983074055</v>
      </c>
      <c r="S78">
        <f t="shared" si="14"/>
        <v>64.946668157593606</v>
      </c>
      <c r="T78">
        <f>IFERROR(SUM($E$3:$E78),"")</f>
        <v>260827.49400000001</v>
      </c>
      <c r="U78">
        <f>IFERROR(SUM($F$3:$F78),"")</f>
        <v>320409.54700000002</v>
      </c>
      <c r="V78">
        <f>IFERROR(SUM($G$3:$G78),"")</f>
        <v>169651.46400000001</v>
      </c>
      <c r="W78">
        <f t="shared" si="15"/>
        <v>490061.01100000006</v>
      </c>
      <c r="X78">
        <f t="shared" si="16"/>
        <v>53.223473842117173</v>
      </c>
      <c r="Y78">
        <f t="shared" si="17"/>
        <v>65.381562664245479</v>
      </c>
    </row>
    <row r="79" spans="1:25" x14ac:dyDescent="0.35">
      <c r="A79">
        <v>1926</v>
      </c>
      <c r="B79">
        <v>5894.7730000000001</v>
      </c>
      <c r="C79">
        <v>7383.9229999999998</v>
      </c>
      <c r="D79">
        <v>4497.3329999999996</v>
      </c>
      <c r="E79">
        <v>5223.1499999999996</v>
      </c>
      <c r="F79">
        <v>6334.1760000000004</v>
      </c>
      <c r="G79">
        <v>3874.1080000000002</v>
      </c>
      <c r="N79">
        <f>IFERROR(SUM($B$3:$B79),"")</f>
        <v>277035.09600000008</v>
      </c>
      <c r="O79">
        <f>IFERROR(SUM($C$3:$C79),"")</f>
        <v>372491.23599999992</v>
      </c>
      <c r="P79">
        <f>IFERROR(SUM($D$3:$D79),"")</f>
        <v>201554.82900000006</v>
      </c>
      <c r="Q79">
        <f t="shared" si="12"/>
        <v>574046.06499999994</v>
      </c>
      <c r="R79">
        <f t="shared" si="13"/>
        <v>48.260081009352461</v>
      </c>
      <c r="S79">
        <f t="shared" si="14"/>
        <v>64.888736063368</v>
      </c>
      <c r="T79">
        <f>IFERROR(SUM($E$3:$E79),"")</f>
        <v>266050.64400000003</v>
      </c>
      <c r="U79">
        <f>IFERROR(SUM($F$3:$F79),"")</f>
        <v>326743.723</v>
      </c>
      <c r="V79">
        <f>IFERROR(SUM($G$3:$G79),"")</f>
        <v>173525.57200000001</v>
      </c>
      <c r="W79">
        <f t="shared" si="15"/>
        <v>500269.29500000004</v>
      </c>
      <c r="X79">
        <f t="shared" si="16"/>
        <v>53.181485783571823</v>
      </c>
      <c r="Y79">
        <f t="shared" si="17"/>
        <v>65.313567365752476</v>
      </c>
    </row>
    <row r="80" spans="1:25" x14ac:dyDescent="0.35">
      <c r="A80">
        <v>1927</v>
      </c>
      <c r="B80">
        <v>6201.12</v>
      </c>
      <c r="C80">
        <v>7746.2190000000001</v>
      </c>
      <c r="D80">
        <v>4554.3069999999998</v>
      </c>
      <c r="E80">
        <v>5719.0870000000004</v>
      </c>
      <c r="F80">
        <v>6889.6629999999996</v>
      </c>
      <c r="G80">
        <v>3915.4630000000002</v>
      </c>
      <c r="N80">
        <f>IFERROR(SUM($B$3:$B80),"")</f>
        <v>283236.21600000007</v>
      </c>
      <c r="O80">
        <f>IFERROR(SUM($C$3:$C80),"")</f>
        <v>380237.4549999999</v>
      </c>
      <c r="P80">
        <f>IFERROR(SUM($D$3:$D80),"")</f>
        <v>206109.13600000006</v>
      </c>
      <c r="Q80">
        <f t="shared" si="12"/>
        <v>586346.59100000001</v>
      </c>
      <c r="R80">
        <f t="shared" si="13"/>
        <v>48.305255005737735</v>
      </c>
      <c r="S80">
        <f t="shared" si="14"/>
        <v>64.848582875107027</v>
      </c>
      <c r="T80">
        <f>IFERROR(SUM($E$3:$E80),"")</f>
        <v>271769.73100000003</v>
      </c>
      <c r="U80">
        <f>IFERROR(SUM($F$3:$F80),"")</f>
        <v>333633.386</v>
      </c>
      <c r="V80">
        <f>IFERROR(SUM($G$3:$G80),"")</f>
        <v>177441.035</v>
      </c>
      <c r="W80">
        <f t="shared" si="15"/>
        <v>511074.42099999997</v>
      </c>
      <c r="X80">
        <f t="shared" si="16"/>
        <v>53.176155924266077</v>
      </c>
      <c r="Y80">
        <f t="shared" si="17"/>
        <v>65.280783441908937</v>
      </c>
    </row>
    <row r="81" spans="1:25" x14ac:dyDescent="0.35">
      <c r="A81">
        <v>1928</v>
      </c>
      <c r="B81">
        <v>6146.3590000000004</v>
      </c>
      <c r="C81">
        <v>7720.2529999999997</v>
      </c>
      <c r="D81">
        <v>4640.3239999999996</v>
      </c>
      <c r="E81">
        <v>5656.5069999999996</v>
      </c>
      <c r="F81">
        <v>6855.0150000000003</v>
      </c>
      <c r="G81">
        <v>3971.68</v>
      </c>
      <c r="N81">
        <f>IFERROR(SUM($B$3:$B81),"")</f>
        <v>289382.57500000007</v>
      </c>
      <c r="O81">
        <f>IFERROR(SUM($C$3:$C81),"")</f>
        <v>387957.70799999993</v>
      </c>
      <c r="P81">
        <f>IFERROR(SUM($D$3:$D81),"")</f>
        <v>210749.46000000005</v>
      </c>
      <c r="Q81">
        <f t="shared" si="12"/>
        <v>598707.16799999995</v>
      </c>
      <c r="R81">
        <f t="shared" si="13"/>
        <v>48.334576645656611</v>
      </c>
      <c r="S81">
        <f t="shared" si="14"/>
        <v>64.799242223203166</v>
      </c>
      <c r="T81">
        <f>IFERROR(SUM($E$3:$E81),"")</f>
        <v>277426.23800000001</v>
      </c>
      <c r="U81">
        <f>IFERROR(SUM($F$3:$F81),"")</f>
        <v>340488.40100000001</v>
      </c>
      <c r="V81">
        <f>IFERROR(SUM($G$3:$G81),"")</f>
        <v>181412.715</v>
      </c>
      <c r="W81">
        <f t="shared" si="15"/>
        <v>521901.11600000004</v>
      </c>
      <c r="X81">
        <f t="shared" si="16"/>
        <v>53.156858549426822</v>
      </c>
      <c r="Y81">
        <f t="shared" si="17"/>
        <v>65.240021636589105</v>
      </c>
    </row>
    <row r="82" spans="1:25" x14ac:dyDescent="0.35">
      <c r="A82">
        <v>1929</v>
      </c>
      <c r="B82">
        <v>6412.66</v>
      </c>
      <c r="C82">
        <v>8088.2240000000002</v>
      </c>
      <c r="D82">
        <v>4682.6139999999996</v>
      </c>
      <c r="E82">
        <v>6042.5280000000002</v>
      </c>
      <c r="F82">
        <v>7280.5749999999998</v>
      </c>
      <c r="G82">
        <v>4028.1419999999998</v>
      </c>
      <c r="N82">
        <f>IFERROR(SUM($B$3:$B82),"")</f>
        <v>295795.23500000004</v>
      </c>
      <c r="O82">
        <f>IFERROR(SUM($C$3:$C82),"")</f>
        <v>396045.93199999991</v>
      </c>
      <c r="P82">
        <f>IFERROR(SUM($D$3:$D82),"")</f>
        <v>215432.07400000005</v>
      </c>
      <c r="Q82">
        <f t="shared" si="12"/>
        <v>611478.00599999994</v>
      </c>
      <c r="R82">
        <f t="shared" si="13"/>
        <v>48.373814282373402</v>
      </c>
      <c r="S82">
        <f t="shared" si="14"/>
        <v>64.768630778847651</v>
      </c>
      <c r="T82">
        <f>IFERROR(SUM($E$3:$E82),"")</f>
        <v>283468.766</v>
      </c>
      <c r="U82">
        <f>IFERROR(SUM($F$3:$F82),"")</f>
        <v>347768.97600000002</v>
      </c>
      <c r="V82">
        <f>IFERROR(SUM($G$3:$G82),"")</f>
        <v>185440.85699999999</v>
      </c>
      <c r="W82">
        <f t="shared" si="15"/>
        <v>533209.83299999998</v>
      </c>
      <c r="X82">
        <f t="shared" si="16"/>
        <v>53.162704146905718</v>
      </c>
      <c r="Y82">
        <f t="shared" si="17"/>
        <v>65.221785960575119</v>
      </c>
    </row>
    <row r="83" spans="1:25" x14ac:dyDescent="0.35">
      <c r="A83">
        <v>1930</v>
      </c>
      <c r="B83">
        <v>5942.415</v>
      </c>
      <c r="C83">
        <v>7805.951</v>
      </c>
      <c r="D83">
        <v>4695.4930000000004</v>
      </c>
      <c r="E83">
        <v>5917.59</v>
      </c>
      <c r="F83">
        <v>7188.92</v>
      </c>
      <c r="G83">
        <v>4072.1439999999998</v>
      </c>
      <c r="N83">
        <f>IFERROR(SUM($B$3:$B83),"")</f>
        <v>301737.65000000002</v>
      </c>
      <c r="O83">
        <f>IFERROR(SUM($C$3:$C83),"")</f>
        <v>403851.88299999991</v>
      </c>
      <c r="P83">
        <f>IFERROR(SUM($D$3:$D83),"")</f>
        <v>220127.56700000004</v>
      </c>
      <c r="Q83">
        <f t="shared" si="12"/>
        <v>623979.44999999995</v>
      </c>
      <c r="R83">
        <f t="shared" si="13"/>
        <v>48.356985153918139</v>
      </c>
      <c r="S83">
        <f t="shared" si="14"/>
        <v>64.721984514073327</v>
      </c>
      <c r="T83">
        <f>IFERROR(SUM($E$3:$E83),"")</f>
        <v>289386.35600000003</v>
      </c>
      <c r="U83">
        <f>IFERROR(SUM($F$3:$F83),"")</f>
        <v>354957.89600000001</v>
      </c>
      <c r="V83">
        <f>IFERROR(SUM($G$3:$G83),"")</f>
        <v>189513.00099999999</v>
      </c>
      <c r="W83">
        <f t="shared" si="15"/>
        <v>544470.897</v>
      </c>
      <c r="X83">
        <f t="shared" si="16"/>
        <v>53.15001363608237</v>
      </c>
      <c r="Y83">
        <f t="shared" si="17"/>
        <v>65.19318074773058</v>
      </c>
    </row>
    <row r="84" spans="1:25" x14ac:dyDescent="0.35">
      <c r="A84">
        <v>1931</v>
      </c>
      <c r="B84">
        <v>5447.2219999999998</v>
      </c>
      <c r="C84">
        <v>7416.0460000000003</v>
      </c>
      <c r="D84">
        <v>4740.8459999999995</v>
      </c>
      <c r="E84">
        <v>5404.7280000000001</v>
      </c>
      <c r="F84">
        <v>6715.7330000000002</v>
      </c>
      <c r="G84">
        <v>4128.7449999999999</v>
      </c>
      <c r="N84">
        <f>IFERROR(SUM($B$3:$B84),"")</f>
        <v>307184.87200000003</v>
      </c>
      <c r="O84">
        <f>IFERROR(SUM($C$3:$C84),"")</f>
        <v>411267.92899999989</v>
      </c>
      <c r="P84">
        <f>IFERROR(SUM($D$3:$D84),"")</f>
        <v>224868.41300000003</v>
      </c>
      <c r="Q84">
        <f t="shared" si="12"/>
        <v>636136.34199999995</v>
      </c>
      <c r="R84">
        <f t="shared" si="13"/>
        <v>48.289156226197818</v>
      </c>
      <c r="S84">
        <f t="shared" si="14"/>
        <v>64.650909222853343</v>
      </c>
      <c r="T84">
        <f>IFERROR(SUM($E$3:$E84),"")</f>
        <v>294791.08400000003</v>
      </c>
      <c r="U84">
        <f>IFERROR(SUM($F$3:$F84),"")</f>
        <v>361673.62900000002</v>
      </c>
      <c r="V84">
        <f>IFERROR(SUM($G$3:$G84),"")</f>
        <v>193641.74599999998</v>
      </c>
      <c r="W84">
        <f t="shared" si="15"/>
        <v>555315.375</v>
      </c>
      <c r="X84">
        <f t="shared" si="16"/>
        <v>53.085345241881697</v>
      </c>
      <c r="Y84">
        <f t="shared" si="17"/>
        <v>65.129410292304627</v>
      </c>
    </row>
    <row r="85" spans="1:25" x14ac:dyDescent="0.35">
      <c r="A85">
        <v>1932</v>
      </c>
      <c r="B85">
        <v>5005.7389999999996</v>
      </c>
      <c r="C85">
        <v>7028.2280000000001</v>
      </c>
      <c r="D85">
        <v>4821.2520000000004</v>
      </c>
      <c r="E85">
        <v>4620.1980000000003</v>
      </c>
      <c r="F85">
        <v>5939.1509999999998</v>
      </c>
      <c r="G85">
        <v>4176.7929999999997</v>
      </c>
      <c r="N85">
        <f>IFERROR(SUM($B$3:$B85),"")</f>
        <v>312190.61100000003</v>
      </c>
      <c r="O85">
        <f>IFERROR(SUM($C$3:$C85),"")</f>
        <v>418296.15699999989</v>
      </c>
      <c r="P85">
        <f>IFERROR(SUM($D$3:$D85),"")</f>
        <v>229689.66500000004</v>
      </c>
      <c r="Q85">
        <f t="shared" si="12"/>
        <v>647985.82199999993</v>
      </c>
      <c r="R85">
        <f t="shared" si="13"/>
        <v>48.17861755623413</v>
      </c>
      <c r="S85">
        <f t="shared" si="14"/>
        <v>64.55328848229027</v>
      </c>
      <c r="T85">
        <f>IFERROR(SUM($E$3:$E85),"")</f>
        <v>299411.28200000001</v>
      </c>
      <c r="U85">
        <f>IFERROR(SUM($F$3:$F85),"")</f>
        <v>367612.78</v>
      </c>
      <c r="V85">
        <f>IFERROR(SUM($G$3:$G85),"")</f>
        <v>197818.53899999999</v>
      </c>
      <c r="W85">
        <f t="shared" si="15"/>
        <v>565431.31900000002</v>
      </c>
      <c r="X85">
        <f t="shared" si="16"/>
        <v>52.952723335086425</v>
      </c>
      <c r="Y85">
        <f t="shared" si="17"/>
        <v>65.014576951652728</v>
      </c>
    </row>
    <row r="86" spans="1:25" x14ac:dyDescent="0.35">
      <c r="A86">
        <v>1933</v>
      </c>
      <c r="B86">
        <v>5121.2560000000003</v>
      </c>
      <c r="C86">
        <v>7163.9949999999999</v>
      </c>
      <c r="D86">
        <v>4857.4359999999997</v>
      </c>
      <c r="E86">
        <v>4738.4560000000001</v>
      </c>
      <c r="F86">
        <v>6084.8320000000003</v>
      </c>
      <c r="G86">
        <v>4240.3620000000001</v>
      </c>
      <c r="N86">
        <f>IFERROR(SUM($B$3:$B86),"")</f>
        <v>317311.86700000003</v>
      </c>
      <c r="O86">
        <f>IFERROR(SUM($C$3:$C86),"")</f>
        <v>425460.15199999989</v>
      </c>
      <c r="P86">
        <f>IFERROR(SUM($D$3:$D86),"")</f>
        <v>234547.10100000002</v>
      </c>
      <c r="Q86">
        <f t="shared" si="12"/>
        <v>660007.25299999991</v>
      </c>
      <c r="R86">
        <f t="shared" si="13"/>
        <v>48.077027268668523</v>
      </c>
      <c r="S86">
        <f t="shared" si="14"/>
        <v>64.462950985176519</v>
      </c>
      <c r="T86">
        <f>IFERROR(SUM($E$3:$E86),"")</f>
        <v>304149.73800000001</v>
      </c>
      <c r="U86">
        <f>IFERROR(SUM($F$3:$F86),"")</f>
        <v>373697.61200000002</v>
      </c>
      <c r="V86">
        <f>IFERROR(SUM($G$3:$G86),"")</f>
        <v>202058.90099999998</v>
      </c>
      <c r="W86">
        <f t="shared" si="15"/>
        <v>575756.51300000004</v>
      </c>
      <c r="X86">
        <f t="shared" si="16"/>
        <v>52.826104634963976</v>
      </c>
      <c r="Y86">
        <f t="shared" si="17"/>
        <v>64.905494521084123</v>
      </c>
    </row>
    <row r="87" spans="1:25" x14ac:dyDescent="0.35">
      <c r="A87">
        <v>1934</v>
      </c>
      <c r="B87">
        <v>5342.0360000000001</v>
      </c>
      <c r="C87">
        <v>7466.7489999999998</v>
      </c>
      <c r="D87">
        <v>4970.3149999999996</v>
      </c>
      <c r="E87">
        <v>4943.6540000000005</v>
      </c>
      <c r="F87">
        <v>6351.817</v>
      </c>
      <c r="G87">
        <v>4308.18</v>
      </c>
      <c r="N87">
        <f>IFERROR(SUM($B$3:$B87),"")</f>
        <v>322653.90300000005</v>
      </c>
      <c r="O87">
        <f>IFERROR(SUM($C$3:$C87),"")</f>
        <v>432926.9009999999</v>
      </c>
      <c r="P87">
        <f>IFERROR(SUM($D$3:$D87),"")</f>
        <v>239517.41600000003</v>
      </c>
      <c r="Q87">
        <f t="shared" si="12"/>
        <v>672444.31699999992</v>
      </c>
      <c r="R87">
        <f t="shared" si="13"/>
        <v>47.982248469206723</v>
      </c>
      <c r="S87">
        <f t="shared" si="14"/>
        <v>64.381078113862614</v>
      </c>
      <c r="T87">
        <f>IFERROR(SUM($E$3:$E87),"")</f>
        <v>309093.39199999999</v>
      </c>
      <c r="U87">
        <f>IFERROR(SUM($F$3:$F87),"")</f>
        <v>380049.429</v>
      </c>
      <c r="V87">
        <f>IFERROR(SUM($G$3:$G87),"")</f>
        <v>206367.08099999998</v>
      </c>
      <c r="W87">
        <f t="shared" si="15"/>
        <v>586416.51</v>
      </c>
      <c r="X87">
        <f t="shared" si="16"/>
        <v>52.708848869210726</v>
      </c>
      <c r="Y87">
        <f t="shared" si="17"/>
        <v>64.808787358323187</v>
      </c>
    </row>
    <row r="88" spans="1:25" x14ac:dyDescent="0.35">
      <c r="A88">
        <v>1935</v>
      </c>
      <c r="B88">
        <v>5420.1260000000002</v>
      </c>
      <c r="C88">
        <v>7632.7969999999996</v>
      </c>
      <c r="D88">
        <v>4973.9870000000001</v>
      </c>
      <c r="E88">
        <v>5057.7619999999997</v>
      </c>
      <c r="F88">
        <v>6505.6719999999996</v>
      </c>
      <c r="G88">
        <v>4396.7650000000003</v>
      </c>
      <c r="N88">
        <f>IFERROR(SUM($B$3:$B88),"")</f>
        <v>328074.02900000004</v>
      </c>
      <c r="O88">
        <f>IFERROR(SUM($C$3:$C88),"")</f>
        <v>440559.69799999992</v>
      </c>
      <c r="P88">
        <f>IFERROR(SUM($D$3:$D88),"")</f>
        <v>244491.40300000002</v>
      </c>
      <c r="Q88">
        <f t="shared" si="12"/>
        <v>685051.10099999991</v>
      </c>
      <c r="R88">
        <f t="shared" si="13"/>
        <v>47.890446204829921</v>
      </c>
      <c r="S88">
        <f t="shared" si="14"/>
        <v>64.310486817245476</v>
      </c>
      <c r="T88">
        <f>IFERROR(SUM($E$3:$E88),"")</f>
        <v>314151.15399999998</v>
      </c>
      <c r="U88">
        <f>IFERROR(SUM($F$3:$F88),"")</f>
        <v>386555.10100000002</v>
      </c>
      <c r="V88">
        <f>IFERROR(SUM($G$3:$G88),"")</f>
        <v>210763.84599999999</v>
      </c>
      <c r="W88">
        <f t="shared" si="15"/>
        <v>597318.94700000004</v>
      </c>
      <c r="X88">
        <f t="shared" si="16"/>
        <v>52.593535761389468</v>
      </c>
      <c r="Y88">
        <f t="shared" si="17"/>
        <v>64.715024182884335</v>
      </c>
    </row>
    <row r="89" spans="1:25" x14ac:dyDescent="0.35">
      <c r="A89">
        <v>1936</v>
      </c>
      <c r="B89">
        <v>5746.7280000000001</v>
      </c>
      <c r="C89">
        <v>8088.3040000000001</v>
      </c>
      <c r="D89">
        <v>5105.6899999999996</v>
      </c>
      <c r="E89">
        <v>5367.4260000000004</v>
      </c>
      <c r="F89">
        <v>6872.4229999999998</v>
      </c>
      <c r="G89">
        <v>4530.9650000000001</v>
      </c>
      <c r="N89">
        <f>IFERROR(SUM($B$3:$B89),"")</f>
        <v>333820.75700000004</v>
      </c>
      <c r="O89">
        <f>IFERROR(SUM($C$3:$C89),"")</f>
        <v>448648.00199999992</v>
      </c>
      <c r="P89">
        <f>IFERROR(SUM($D$3:$D89),"")</f>
        <v>249597.09300000002</v>
      </c>
      <c r="Q89">
        <f t="shared" si="12"/>
        <v>698245.09499999997</v>
      </c>
      <c r="R89">
        <f t="shared" si="13"/>
        <v>47.808535912450637</v>
      </c>
      <c r="S89">
        <f t="shared" si="14"/>
        <v>64.253656089055653</v>
      </c>
      <c r="T89">
        <f>IFERROR(SUM($E$3:$E89),"")</f>
        <v>319518.57999999996</v>
      </c>
      <c r="U89">
        <f>IFERROR(SUM($F$3:$F89),"")</f>
        <v>393427.52400000003</v>
      </c>
      <c r="V89">
        <f>IFERROR(SUM($G$3:$G89),"")</f>
        <v>215294.81099999999</v>
      </c>
      <c r="W89">
        <f t="shared" si="15"/>
        <v>608722.33499999996</v>
      </c>
      <c r="X89">
        <f t="shared" si="16"/>
        <v>52.490037185837771</v>
      </c>
      <c r="Y89">
        <f t="shared" si="17"/>
        <v>64.631688600681954</v>
      </c>
    </row>
    <row r="90" spans="1:25" x14ac:dyDescent="0.35">
      <c r="A90">
        <v>1937</v>
      </c>
      <c r="B90">
        <v>5969.5010000000002</v>
      </c>
      <c r="C90">
        <v>8340.4330000000009</v>
      </c>
      <c r="D90">
        <v>5189.2960000000003</v>
      </c>
      <c r="E90">
        <v>5546.1390000000001</v>
      </c>
      <c r="F90">
        <v>7066.6149999999998</v>
      </c>
      <c r="G90">
        <v>4631.9570000000003</v>
      </c>
      <c r="N90">
        <f>IFERROR(SUM($B$3:$B90),"")</f>
        <v>339790.25800000003</v>
      </c>
      <c r="O90">
        <f>IFERROR(SUM($C$3:$C90),"")</f>
        <v>456988.43499999994</v>
      </c>
      <c r="P90">
        <f>IFERROR(SUM($D$3:$D90),"")</f>
        <v>254786.38900000002</v>
      </c>
      <c r="Q90">
        <f t="shared" si="12"/>
        <v>711774.82400000002</v>
      </c>
      <c r="R90">
        <f t="shared" si="13"/>
        <v>47.738448529334335</v>
      </c>
      <c r="S90">
        <f t="shared" si="14"/>
        <v>64.204074040134913</v>
      </c>
      <c r="T90">
        <f>IFERROR(SUM($E$3:$E90),"")</f>
        <v>325064.71899999998</v>
      </c>
      <c r="U90">
        <f>IFERROR(SUM($F$3:$F90),"")</f>
        <v>400494.13900000002</v>
      </c>
      <c r="V90">
        <f>IFERROR(SUM($G$3:$G90),"")</f>
        <v>219926.76799999998</v>
      </c>
      <c r="W90">
        <f t="shared" si="15"/>
        <v>620420.90700000001</v>
      </c>
      <c r="X90">
        <f t="shared" si="16"/>
        <v>52.394223878080879</v>
      </c>
      <c r="Y90">
        <f t="shared" si="17"/>
        <v>64.552005659602969</v>
      </c>
    </row>
    <row r="91" spans="1:25" x14ac:dyDescent="0.35">
      <c r="A91">
        <v>1938</v>
      </c>
      <c r="B91">
        <v>5631.9189999999999</v>
      </c>
      <c r="C91">
        <v>8068.9740000000002</v>
      </c>
      <c r="D91">
        <v>5244.4949999999999</v>
      </c>
      <c r="E91">
        <v>5191.951</v>
      </c>
      <c r="F91">
        <v>6741.7619999999997</v>
      </c>
      <c r="G91">
        <v>4696.6970000000001</v>
      </c>
      <c r="N91">
        <f>IFERROR(SUM($B$3:$B91),"")</f>
        <v>345422.17700000003</v>
      </c>
      <c r="O91">
        <f>IFERROR(SUM($C$3:$C91),"")</f>
        <v>465057.40899999993</v>
      </c>
      <c r="P91">
        <f>IFERROR(SUM($D$3:$D91),"")</f>
        <v>260030.88400000002</v>
      </c>
      <c r="Q91">
        <f t="shared" si="12"/>
        <v>725088.29299999995</v>
      </c>
      <c r="R91">
        <f t="shared" si="13"/>
        <v>47.638636609459098</v>
      </c>
      <c r="S91">
        <f t="shared" si="14"/>
        <v>64.13803856573918</v>
      </c>
      <c r="T91">
        <f>IFERROR(SUM($E$3:$E91),"")</f>
        <v>330256.67</v>
      </c>
      <c r="U91">
        <f>IFERROR(SUM($F$3:$F91),"")</f>
        <v>407235.90100000001</v>
      </c>
      <c r="V91">
        <f>IFERROR(SUM($G$3:$G91),"")</f>
        <v>224623.46499999997</v>
      </c>
      <c r="W91">
        <f t="shared" si="15"/>
        <v>631859.36599999992</v>
      </c>
      <c r="X91">
        <f t="shared" si="16"/>
        <v>52.267432876827847</v>
      </c>
      <c r="Y91">
        <f t="shared" si="17"/>
        <v>64.450401926937658</v>
      </c>
    </row>
    <row r="92" spans="1:25" x14ac:dyDescent="0.35">
      <c r="A92">
        <v>1939</v>
      </c>
      <c r="B92">
        <v>5840.942</v>
      </c>
      <c r="C92">
        <v>8282.4940000000006</v>
      </c>
      <c r="D92">
        <v>5302.6639999999998</v>
      </c>
      <c r="E92">
        <v>5427.9589999999998</v>
      </c>
      <c r="F92">
        <v>6972.058</v>
      </c>
      <c r="G92">
        <v>4785.3019999999997</v>
      </c>
      <c r="N92">
        <f>IFERROR(SUM($B$3:$B92),"")</f>
        <v>351263.11900000001</v>
      </c>
      <c r="O92">
        <f>IFERROR(SUM($C$3:$C92),"")</f>
        <v>473339.90299999993</v>
      </c>
      <c r="P92">
        <f>IFERROR(SUM($D$3:$D92),"")</f>
        <v>265333.54800000001</v>
      </c>
      <c r="Q92">
        <f t="shared" si="12"/>
        <v>738673.45099999988</v>
      </c>
      <c r="R92">
        <f t="shared" si="13"/>
        <v>47.553234588906328</v>
      </c>
      <c r="S92">
        <f t="shared" si="14"/>
        <v>64.079723233480607</v>
      </c>
      <c r="T92">
        <f>IFERROR(SUM($E$3:$E92),"")</f>
        <v>335684.62899999996</v>
      </c>
      <c r="U92">
        <f>IFERROR(SUM($F$3:$F92),"")</f>
        <v>414207.95900000003</v>
      </c>
      <c r="V92">
        <f>IFERROR(SUM($G$3:$G92),"")</f>
        <v>229408.76699999996</v>
      </c>
      <c r="W92">
        <f t="shared" si="15"/>
        <v>643616.72600000002</v>
      </c>
      <c r="X92">
        <f t="shared" si="16"/>
        <v>52.155982813908409</v>
      </c>
      <c r="Y92">
        <f t="shared" si="17"/>
        <v>64.356307452457344</v>
      </c>
    </row>
    <row r="93" spans="1:25" x14ac:dyDescent="0.35">
      <c r="A93">
        <v>1940</v>
      </c>
      <c r="B93">
        <v>6057.268</v>
      </c>
      <c r="C93">
        <v>8406.8639999999996</v>
      </c>
      <c r="D93">
        <v>5770.5590000000002</v>
      </c>
      <c r="E93">
        <v>5542.5330000000004</v>
      </c>
      <c r="F93">
        <v>7299.4870000000001</v>
      </c>
      <c r="G93">
        <v>4852.2190000000001</v>
      </c>
      <c r="N93">
        <f>IFERROR(SUM($B$3:$B93),"")</f>
        <v>357320.38699999999</v>
      </c>
      <c r="O93">
        <f>IFERROR(SUM($C$3:$C93),"")</f>
        <v>481746.76699999993</v>
      </c>
      <c r="P93">
        <f>IFERROR(SUM($D$3:$D93),"")</f>
        <v>271104.10700000002</v>
      </c>
      <c r="Q93">
        <f t="shared" si="12"/>
        <v>752850.87399999995</v>
      </c>
      <c r="R93">
        <f t="shared" si="13"/>
        <v>47.462306193723037</v>
      </c>
      <c r="S93">
        <f t="shared" si="14"/>
        <v>63.989666962915678</v>
      </c>
      <c r="T93">
        <f>IFERROR(SUM($E$3:$E93),"")</f>
        <v>341227.16199999995</v>
      </c>
      <c r="U93">
        <f>IFERROR(SUM($F$3:$F93),"")</f>
        <v>421507.44600000005</v>
      </c>
      <c r="V93">
        <f>IFERROR(SUM($G$3:$G93),"")</f>
        <v>234260.98599999998</v>
      </c>
      <c r="W93">
        <f t="shared" si="15"/>
        <v>655768.43200000003</v>
      </c>
      <c r="X93">
        <f t="shared" si="16"/>
        <v>52.034703921215886</v>
      </c>
      <c r="Y93">
        <f t="shared" si="17"/>
        <v>64.276873577836398</v>
      </c>
    </row>
    <row r="94" spans="1:25" x14ac:dyDescent="0.35">
      <c r="A94">
        <v>1941</v>
      </c>
      <c r="B94">
        <v>6264.692</v>
      </c>
      <c r="C94">
        <v>8426.9169999999995</v>
      </c>
      <c r="D94">
        <v>6081.0159999999996</v>
      </c>
      <c r="E94">
        <v>5727.6509999999998</v>
      </c>
      <c r="F94">
        <v>7360.6270000000004</v>
      </c>
      <c r="G94">
        <v>4909.6819999999998</v>
      </c>
      <c r="N94">
        <f>IFERROR(SUM($B$3:$B94),"")</f>
        <v>363585.07899999997</v>
      </c>
      <c r="O94">
        <f>IFERROR(SUM($C$3:$C94),"")</f>
        <v>490173.68399999995</v>
      </c>
      <c r="P94">
        <f>IFERROR(SUM($D$3:$D94),"")</f>
        <v>277185.12300000002</v>
      </c>
      <c r="Q94">
        <f t="shared" si="12"/>
        <v>767358.80700000003</v>
      </c>
      <c r="R94">
        <f t="shared" si="13"/>
        <v>47.381365234008442</v>
      </c>
      <c r="S94">
        <f t="shared" si="14"/>
        <v>63.878029355829092</v>
      </c>
      <c r="T94">
        <f>IFERROR(SUM($E$3:$E94),"")</f>
        <v>346954.81299999997</v>
      </c>
      <c r="U94">
        <f>IFERROR(SUM($F$3:$F94),"")</f>
        <v>428868.07300000003</v>
      </c>
      <c r="V94">
        <f>IFERROR(SUM($G$3:$G94),"")</f>
        <v>239170.66799999998</v>
      </c>
      <c r="W94">
        <f t="shared" si="15"/>
        <v>668038.74100000004</v>
      </c>
      <c r="X94">
        <f t="shared" si="16"/>
        <v>51.936331189511051</v>
      </c>
      <c r="Y94">
        <f t="shared" si="17"/>
        <v>64.198084134764272</v>
      </c>
    </row>
    <row r="95" spans="1:25" x14ac:dyDescent="0.35">
      <c r="A95">
        <v>1942</v>
      </c>
      <c r="B95">
        <v>6471.5479999999998</v>
      </c>
      <c r="C95">
        <v>8350.9120000000003</v>
      </c>
      <c r="D95">
        <v>6227.7089999999998</v>
      </c>
      <c r="E95">
        <v>5976.6909999999998</v>
      </c>
      <c r="F95">
        <v>7474.7359999999999</v>
      </c>
      <c r="G95">
        <v>4956.1400000000003</v>
      </c>
      <c r="N95">
        <f>IFERROR(SUM($B$3:$B95),"")</f>
        <v>370056.62699999998</v>
      </c>
      <c r="O95">
        <f>IFERROR(SUM($C$3:$C95),"")</f>
        <v>498524.59599999996</v>
      </c>
      <c r="P95">
        <f>IFERROR(SUM($D$3:$D95),"")</f>
        <v>283412.83199999999</v>
      </c>
      <c r="Q95">
        <f t="shared" si="12"/>
        <v>781937.42799999996</v>
      </c>
      <c r="R95">
        <f t="shared" si="13"/>
        <v>47.325606084173785</v>
      </c>
      <c r="S95">
        <f t="shared" si="14"/>
        <v>63.75504971991186</v>
      </c>
      <c r="T95">
        <f>IFERROR(SUM($E$3:$E95),"")</f>
        <v>352931.50399999996</v>
      </c>
      <c r="U95">
        <f>IFERROR(SUM($F$3:$F95),"")</f>
        <v>436342.80900000001</v>
      </c>
      <c r="V95">
        <f>IFERROR(SUM($G$3:$G95),"")</f>
        <v>244126.80799999999</v>
      </c>
      <c r="W95">
        <f t="shared" si="15"/>
        <v>680469.61699999997</v>
      </c>
      <c r="X95">
        <f t="shared" si="16"/>
        <v>51.865872506692682</v>
      </c>
      <c r="Y95">
        <f t="shared" si="17"/>
        <v>64.123775419057395</v>
      </c>
    </row>
    <row r="96" spans="1:25" x14ac:dyDescent="0.35">
      <c r="A96">
        <v>1943</v>
      </c>
      <c r="B96">
        <v>6563.65</v>
      </c>
      <c r="C96">
        <v>8402.1110000000008</v>
      </c>
      <c r="D96">
        <v>6374.2349999999997</v>
      </c>
      <c r="E96">
        <v>6015.0749999999998</v>
      </c>
      <c r="F96">
        <v>7601.0910000000003</v>
      </c>
      <c r="G96">
        <v>5097.4830000000002</v>
      </c>
      <c r="N96">
        <f>IFERROR(SUM($B$3:$B96),"")</f>
        <v>376620.277</v>
      </c>
      <c r="O96">
        <f>IFERROR(SUM($C$3:$C96),"")</f>
        <v>506926.70699999994</v>
      </c>
      <c r="P96">
        <f>IFERROR(SUM($D$3:$D96),"")</f>
        <v>289787.06699999998</v>
      </c>
      <c r="Q96">
        <f t="shared" si="12"/>
        <v>796713.77399999998</v>
      </c>
      <c r="R96">
        <f t="shared" si="13"/>
        <v>47.271716555009633</v>
      </c>
      <c r="S96">
        <f t="shared" si="14"/>
        <v>63.627205094611547</v>
      </c>
      <c r="T96">
        <f>IFERROR(SUM($E$3:$E96),"")</f>
        <v>358946.57899999997</v>
      </c>
      <c r="U96">
        <f>IFERROR(SUM($F$3:$F96),"")</f>
        <v>443943.9</v>
      </c>
      <c r="V96">
        <f>IFERROR(SUM($G$3:$G96),"")</f>
        <v>249224.291</v>
      </c>
      <c r="W96">
        <f t="shared" si="15"/>
        <v>693168.19099999999</v>
      </c>
      <c r="X96">
        <f t="shared" si="16"/>
        <v>51.783475303759289</v>
      </c>
      <c r="Y96">
        <f t="shared" si="17"/>
        <v>64.045624967231092</v>
      </c>
    </row>
    <row r="97" spans="1:25" x14ac:dyDescent="0.35">
      <c r="A97">
        <v>1944</v>
      </c>
      <c r="B97">
        <v>6584.0360000000001</v>
      </c>
      <c r="C97">
        <v>8388.5789999999997</v>
      </c>
      <c r="D97">
        <v>6515.723</v>
      </c>
      <c r="E97">
        <v>5987.2370000000001</v>
      </c>
      <c r="F97">
        <v>7511.6549999999997</v>
      </c>
      <c r="G97">
        <v>5252.99</v>
      </c>
      <c r="N97">
        <f>IFERROR(SUM($B$3:$B97),"")</f>
        <v>383204.31300000002</v>
      </c>
      <c r="O97">
        <f>IFERROR(SUM($C$3:$C97),"")</f>
        <v>515315.28599999996</v>
      </c>
      <c r="P97">
        <f>IFERROR(SUM($D$3:$D97),"")</f>
        <v>296302.78999999998</v>
      </c>
      <c r="Q97">
        <f t="shared" si="12"/>
        <v>811618.07599999988</v>
      </c>
      <c r="R97">
        <f t="shared" si="13"/>
        <v>47.21485688054095</v>
      </c>
      <c r="S97">
        <f t="shared" si="14"/>
        <v>63.492337250507468</v>
      </c>
      <c r="T97">
        <f>IFERROR(SUM($E$3:$E97),"")</f>
        <v>364933.81599999999</v>
      </c>
      <c r="U97">
        <f>IFERROR(SUM($F$3:$F97),"")</f>
        <v>451455.55500000005</v>
      </c>
      <c r="V97">
        <f>IFERROR(SUM($G$3:$G97),"")</f>
        <v>254477.28099999999</v>
      </c>
      <c r="W97">
        <f t="shared" si="15"/>
        <v>705932.83600000001</v>
      </c>
      <c r="X97">
        <f t="shared" si="16"/>
        <v>51.695260142283558</v>
      </c>
      <c r="Y97">
        <f t="shared" si="17"/>
        <v>63.951629953646197</v>
      </c>
    </row>
    <row r="98" spans="1:25" x14ac:dyDescent="0.35">
      <c r="A98">
        <v>1945</v>
      </c>
      <c r="B98">
        <v>5891.1469999999999</v>
      </c>
      <c r="C98">
        <v>7481.8459999999995</v>
      </c>
      <c r="D98">
        <v>6618.2870000000003</v>
      </c>
      <c r="E98">
        <v>5232.808</v>
      </c>
      <c r="F98">
        <v>6547.5749999999998</v>
      </c>
      <c r="G98">
        <v>5362.652</v>
      </c>
      <c r="N98">
        <f>IFERROR(SUM($B$3:$B98),"")</f>
        <v>389095.46</v>
      </c>
      <c r="O98">
        <f>IFERROR(SUM($C$3:$C98),"")</f>
        <v>522797.13199999998</v>
      </c>
      <c r="P98">
        <f>IFERROR(SUM($D$3:$D98),"")</f>
        <v>302921.07699999999</v>
      </c>
      <c r="Q98">
        <f t="shared" si="12"/>
        <v>825718.20900000003</v>
      </c>
      <c r="R98">
        <f t="shared" si="13"/>
        <v>47.122063648229414</v>
      </c>
      <c r="S98">
        <f t="shared" si="14"/>
        <v>63.314230726865318</v>
      </c>
      <c r="T98">
        <f>IFERROR(SUM($E$3:$E98),"")</f>
        <v>370166.62400000001</v>
      </c>
      <c r="U98">
        <f>IFERROR(SUM($F$3:$F98),"")</f>
        <v>458003.13000000006</v>
      </c>
      <c r="V98">
        <f>IFERROR(SUM($G$3:$G98),"")</f>
        <v>259839.93299999999</v>
      </c>
      <c r="W98">
        <f t="shared" si="15"/>
        <v>717843.06300000008</v>
      </c>
      <c r="X98">
        <f t="shared" si="16"/>
        <v>51.566511272394919</v>
      </c>
      <c r="Y98">
        <f t="shared" si="17"/>
        <v>63.802682453448746</v>
      </c>
    </row>
    <row r="99" spans="1:25" x14ac:dyDescent="0.35">
      <c r="A99">
        <v>1946</v>
      </c>
      <c r="B99">
        <v>6125.5140000000001</v>
      </c>
      <c r="C99">
        <v>7755.2629999999999</v>
      </c>
      <c r="D99">
        <v>6792.2719999999999</v>
      </c>
      <c r="E99">
        <v>5513.8090000000002</v>
      </c>
      <c r="F99">
        <v>6936.4859999999999</v>
      </c>
      <c r="G99">
        <v>5881.74</v>
      </c>
      <c r="N99">
        <f>IFERROR(SUM($B$3:$B99),"")</f>
        <v>395220.97400000005</v>
      </c>
      <c r="O99">
        <f>IFERROR(SUM($C$3:$C99),"")</f>
        <v>530552.39500000002</v>
      </c>
      <c r="P99">
        <f>IFERROR(SUM($D$3:$D99),"")</f>
        <v>309713.34899999999</v>
      </c>
      <c r="Q99">
        <f t="shared" ref="Q99:Q130" si="18">IFERROR(O99+P99,"")</f>
        <v>840265.74399999995</v>
      </c>
      <c r="R99">
        <f t="shared" ref="R99:R130" si="19">IFERROR(N99/Q99*100,NA())</f>
        <v>47.035235795593742</v>
      </c>
      <c r="S99">
        <f t="shared" ref="S99:S130" si="20">IFERROR(O99/Q99*100,NA())</f>
        <v>63.141023990143772</v>
      </c>
      <c r="T99">
        <f>IFERROR(SUM($E$3:$E99),"")</f>
        <v>375680.43300000002</v>
      </c>
      <c r="U99">
        <f>IFERROR(SUM($F$3:$F99),"")</f>
        <v>464939.61600000004</v>
      </c>
      <c r="V99">
        <f>IFERROR(SUM($G$3:$G99),"")</f>
        <v>265721.67300000001</v>
      </c>
      <c r="W99">
        <f t="shared" ref="W99:W130" si="21">IFERROR(U99+V99,"")</f>
        <v>730661.28900000011</v>
      </c>
      <c r="X99">
        <f t="shared" ref="X99:X130" si="22">IFERROR(T99/W99*100,NA())</f>
        <v>51.416496077705844</v>
      </c>
      <c r="Y99">
        <f t="shared" ref="Y99:Y130" si="23">IFERROR(U99/W99*100,NA())</f>
        <v>63.632715048627674</v>
      </c>
    </row>
    <row r="100" spans="1:25" x14ac:dyDescent="0.35">
      <c r="A100">
        <v>1947</v>
      </c>
      <c r="B100">
        <v>6642.0309999999999</v>
      </c>
      <c r="C100">
        <v>8283.8189999999995</v>
      </c>
      <c r="D100">
        <v>6946.1940000000004</v>
      </c>
      <c r="E100">
        <v>6127.9290000000001</v>
      </c>
      <c r="F100">
        <v>7637.9219999999996</v>
      </c>
      <c r="G100">
        <v>6044.902</v>
      </c>
      <c r="N100">
        <f>IFERROR(SUM($B$3:$B100),"")</f>
        <v>401863.00500000006</v>
      </c>
      <c r="O100">
        <f>IFERROR(SUM($C$3:$C100),"")</f>
        <v>538836.21400000004</v>
      </c>
      <c r="P100">
        <f>IFERROR(SUM($D$3:$D100),"")</f>
        <v>316659.54300000001</v>
      </c>
      <c r="Q100">
        <f t="shared" si="18"/>
        <v>855495.75699999998</v>
      </c>
      <c r="R100">
        <f t="shared" si="19"/>
        <v>46.974283824531007</v>
      </c>
      <c r="S100">
        <f t="shared" si="20"/>
        <v>62.985258499651451</v>
      </c>
      <c r="T100">
        <f>IFERROR(SUM($E$3:$E100),"")</f>
        <v>381808.36200000002</v>
      </c>
      <c r="U100">
        <f>IFERROR(SUM($F$3:$F100),"")</f>
        <v>472577.53800000006</v>
      </c>
      <c r="V100">
        <f>IFERROR(SUM($G$3:$G100),"")</f>
        <v>271766.57500000001</v>
      </c>
      <c r="W100">
        <f t="shared" si="21"/>
        <v>744344.11300000013</v>
      </c>
      <c r="X100">
        <f t="shared" si="22"/>
        <v>51.294603575376165</v>
      </c>
      <c r="Y100">
        <f t="shared" si="23"/>
        <v>63.48912146229334</v>
      </c>
    </row>
    <row r="101" spans="1:25" x14ac:dyDescent="0.35">
      <c r="A101">
        <v>1948</v>
      </c>
      <c r="B101">
        <v>6932.8810000000003</v>
      </c>
      <c r="C101">
        <v>8556.4830000000002</v>
      </c>
      <c r="D101">
        <v>7011.1289999999999</v>
      </c>
      <c r="E101">
        <v>6408.1350000000002</v>
      </c>
      <c r="F101">
        <v>7964.37</v>
      </c>
      <c r="G101">
        <v>6149.4309999999996</v>
      </c>
      <c r="N101">
        <f>IFERROR(SUM($B$3:$B101),"")</f>
        <v>408795.88600000006</v>
      </c>
      <c r="O101">
        <f>IFERROR(SUM($C$3:$C101),"")</f>
        <v>547392.69700000004</v>
      </c>
      <c r="P101">
        <f>IFERROR(SUM($D$3:$D101),"")</f>
        <v>323670.67200000002</v>
      </c>
      <c r="Q101">
        <f t="shared" si="18"/>
        <v>871063.36900000006</v>
      </c>
      <c r="R101">
        <f t="shared" si="19"/>
        <v>46.930671240291822</v>
      </c>
      <c r="S101">
        <f t="shared" si="20"/>
        <v>62.841891472077272</v>
      </c>
      <c r="T101">
        <f>IFERROR(SUM($E$3:$E101),"")</f>
        <v>388216.49700000003</v>
      </c>
      <c r="U101">
        <f>IFERROR(SUM($F$3:$F101),"")</f>
        <v>480541.90800000005</v>
      </c>
      <c r="V101">
        <f>IFERROR(SUM($G$3:$G101),"")</f>
        <v>277916.00599999999</v>
      </c>
      <c r="W101">
        <f t="shared" si="21"/>
        <v>758457.91400000011</v>
      </c>
      <c r="X101">
        <f t="shared" si="22"/>
        <v>51.184975439520564</v>
      </c>
      <c r="Y101">
        <f t="shared" si="23"/>
        <v>63.357755141045303</v>
      </c>
    </row>
    <row r="102" spans="1:25" x14ac:dyDescent="0.35">
      <c r="A102">
        <v>1949</v>
      </c>
      <c r="B102">
        <v>6582.4290000000001</v>
      </c>
      <c r="C102">
        <v>8232.9220000000005</v>
      </c>
      <c r="D102">
        <v>7135.4979999999996</v>
      </c>
      <c r="E102">
        <v>6058.8360000000002</v>
      </c>
      <c r="F102">
        <v>7719.4380000000001</v>
      </c>
      <c r="G102">
        <v>6308.8459999999995</v>
      </c>
      <c r="N102">
        <f>IFERROR(SUM($B$3:$B102),"")</f>
        <v>415378.31500000006</v>
      </c>
      <c r="O102">
        <f>IFERROR(SUM($C$3:$C102),"")</f>
        <v>555625.61900000006</v>
      </c>
      <c r="P102">
        <f>IFERROR(SUM($D$3:$D102),"")</f>
        <v>330806.17000000004</v>
      </c>
      <c r="Q102">
        <f t="shared" si="18"/>
        <v>886431.78900000011</v>
      </c>
      <c r="R102">
        <f t="shared" si="19"/>
        <v>46.859591471623091</v>
      </c>
      <c r="S102">
        <f t="shared" si="20"/>
        <v>62.681147708704302</v>
      </c>
      <c r="T102">
        <f>IFERROR(SUM($E$3:$E102),"")</f>
        <v>394275.33300000004</v>
      </c>
      <c r="U102">
        <f>IFERROR(SUM($F$3:$F102),"")</f>
        <v>488261.34600000008</v>
      </c>
      <c r="V102">
        <f>IFERROR(SUM($G$3:$G102),"")</f>
        <v>284224.85200000001</v>
      </c>
      <c r="W102">
        <f t="shared" si="21"/>
        <v>772486.19800000009</v>
      </c>
      <c r="X102">
        <f t="shared" si="22"/>
        <v>51.039789969166534</v>
      </c>
      <c r="Y102">
        <f t="shared" si="23"/>
        <v>63.206481522146241</v>
      </c>
    </row>
    <row r="103" spans="1:25" x14ac:dyDescent="0.35">
      <c r="A103">
        <v>1950</v>
      </c>
      <c r="B103">
        <v>7105.4</v>
      </c>
      <c r="C103">
        <v>9052.2379999999994</v>
      </c>
      <c r="D103">
        <v>7988.0190000000002</v>
      </c>
      <c r="E103">
        <v>6587.4179999999997</v>
      </c>
      <c r="F103">
        <v>8330.8209999999999</v>
      </c>
      <c r="G103">
        <v>6289.1639999999998</v>
      </c>
      <c r="N103">
        <f>IFERROR(SUM($B$3:$B103),"")</f>
        <v>422483.71500000008</v>
      </c>
      <c r="O103">
        <f>IFERROR(SUM($C$3:$C103),"")</f>
        <v>564677.85700000008</v>
      </c>
      <c r="P103">
        <f>IFERROR(SUM($D$3:$D103),"")</f>
        <v>338794.18900000001</v>
      </c>
      <c r="Q103">
        <f t="shared" si="18"/>
        <v>903472.04600000009</v>
      </c>
      <c r="R103">
        <f t="shared" si="19"/>
        <v>46.762234301602291</v>
      </c>
      <c r="S103">
        <f t="shared" si="20"/>
        <v>62.500866462889995</v>
      </c>
      <c r="T103">
        <f>IFERROR(SUM($E$3:$E103),"")</f>
        <v>400862.75100000005</v>
      </c>
      <c r="U103">
        <f>IFERROR(SUM($F$3:$F103),"")</f>
        <v>496592.16700000007</v>
      </c>
      <c r="V103">
        <f>IFERROR(SUM($G$3:$G103),"")</f>
        <v>290514.016</v>
      </c>
      <c r="W103">
        <f t="shared" si="21"/>
        <v>787106.18300000008</v>
      </c>
      <c r="X103">
        <f t="shared" si="22"/>
        <v>50.928675146743196</v>
      </c>
      <c r="Y103">
        <f t="shared" si="23"/>
        <v>63.090873598181354</v>
      </c>
    </row>
    <row r="104" spans="1:25" x14ac:dyDescent="0.35">
      <c r="A104">
        <v>1951</v>
      </c>
      <c r="B104">
        <v>7403.8019999999997</v>
      </c>
      <c r="C104">
        <v>9564.94</v>
      </c>
      <c r="D104">
        <v>8573.8909999999996</v>
      </c>
      <c r="E104">
        <v>7113.192</v>
      </c>
      <c r="F104">
        <v>9317.3919999999998</v>
      </c>
      <c r="G104">
        <v>6715.7079999999996</v>
      </c>
      <c r="N104">
        <f>IFERROR(SUM($B$3:$B104),"")</f>
        <v>429887.51700000011</v>
      </c>
      <c r="O104">
        <f>IFERROR(SUM($C$3:$C104),"")</f>
        <v>574242.79700000002</v>
      </c>
      <c r="P104">
        <f>IFERROR(SUM($D$3:$D104),"")</f>
        <v>347368.08</v>
      </c>
      <c r="Q104">
        <f t="shared" si="18"/>
        <v>921610.87700000009</v>
      </c>
      <c r="R104">
        <f t="shared" si="19"/>
        <v>46.645230403460189</v>
      </c>
      <c r="S104">
        <f t="shared" si="20"/>
        <v>62.308595886938512</v>
      </c>
      <c r="T104">
        <f>IFERROR(SUM($E$3:$E104),"")</f>
        <v>407975.94300000003</v>
      </c>
      <c r="U104">
        <f>IFERROR(SUM($F$3:$F104),"")</f>
        <v>505909.55900000007</v>
      </c>
      <c r="V104">
        <f>IFERROR(SUM($G$3:$G104),"")</f>
        <v>297229.72399999999</v>
      </c>
      <c r="W104">
        <f t="shared" si="21"/>
        <v>803139.28300000005</v>
      </c>
      <c r="X104">
        <f t="shared" si="22"/>
        <v>50.797657596335014</v>
      </c>
      <c r="Y104">
        <f t="shared" si="23"/>
        <v>62.991509655741751</v>
      </c>
    </row>
    <row r="105" spans="1:25" x14ac:dyDescent="0.35">
      <c r="A105">
        <v>1952</v>
      </c>
      <c r="B105">
        <v>7394.84</v>
      </c>
      <c r="C105">
        <v>9699.0339999999997</v>
      </c>
      <c r="D105">
        <v>8676.4959999999992</v>
      </c>
      <c r="E105">
        <v>6953.8450000000003</v>
      </c>
      <c r="F105">
        <v>9324.0429999999997</v>
      </c>
      <c r="G105">
        <v>6990.2489999999998</v>
      </c>
      <c r="N105">
        <f>IFERROR(SUM($B$3:$B105),"")</f>
        <v>437282.35700000013</v>
      </c>
      <c r="O105">
        <f>IFERROR(SUM($C$3:$C105),"")</f>
        <v>583941.83100000001</v>
      </c>
      <c r="P105">
        <f>IFERROR(SUM($D$3:$D105),"")</f>
        <v>356044.576</v>
      </c>
      <c r="Q105">
        <f t="shared" si="18"/>
        <v>939986.40700000001</v>
      </c>
      <c r="R105">
        <f t="shared" si="19"/>
        <v>46.520072390791512</v>
      </c>
      <c r="S105">
        <f t="shared" si="20"/>
        <v>62.122369712097338</v>
      </c>
      <c r="T105">
        <f>IFERROR(SUM($E$3:$E105),"")</f>
        <v>414929.788</v>
      </c>
      <c r="U105">
        <f>IFERROR(SUM($F$3:$F105),"")</f>
        <v>515233.60200000007</v>
      </c>
      <c r="V105">
        <f>IFERROR(SUM($G$3:$G105),"")</f>
        <v>304219.973</v>
      </c>
      <c r="W105">
        <f t="shared" si="21"/>
        <v>819453.57500000007</v>
      </c>
      <c r="X105">
        <f t="shared" si="22"/>
        <v>50.634935359211774</v>
      </c>
      <c r="Y105">
        <f t="shared" si="23"/>
        <v>62.875264410189438</v>
      </c>
    </row>
    <row r="106" spans="1:25" x14ac:dyDescent="0.35">
      <c r="A106">
        <v>1953</v>
      </c>
      <c r="B106">
        <v>7506.1930000000002</v>
      </c>
      <c r="C106">
        <v>9952.0460000000003</v>
      </c>
      <c r="D106">
        <v>8840.4879999999994</v>
      </c>
      <c r="E106">
        <v>7022.3590000000004</v>
      </c>
      <c r="F106">
        <v>9553.8259999999991</v>
      </c>
      <c r="G106">
        <v>7053.72</v>
      </c>
      <c r="N106">
        <f>IFERROR(SUM($B$3:$B106),"")</f>
        <v>444788.55000000016</v>
      </c>
      <c r="O106">
        <f>IFERROR(SUM($C$3:$C106),"")</f>
        <v>593893.87699999998</v>
      </c>
      <c r="P106">
        <f>IFERROR(SUM($D$3:$D106),"")</f>
        <v>364885.06400000001</v>
      </c>
      <c r="Q106">
        <f t="shared" si="18"/>
        <v>958778.94099999999</v>
      </c>
      <c r="R106">
        <f t="shared" si="19"/>
        <v>46.391147216488577</v>
      </c>
      <c r="S106">
        <f t="shared" si="20"/>
        <v>61.942732740935327</v>
      </c>
      <c r="T106">
        <f>IFERROR(SUM($E$3:$E106),"")</f>
        <v>421952.147</v>
      </c>
      <c r="U106">
        <f>IFERROR(SUM($F$3:$F106),"")</f>
        <v>524787.42800000007</v>
      </c>
      <c r="V106">
        <f>IFERROR(SUM($G$3:$G106),"")</f>
        <v>311273.69299999997</v>
      </c>
      <c r="W106">
        <f t="shared" si="21"/>
        <v>836061.12100000004</v>
      </c>
      <c r="X106">
        <f t="shared" si="22"/>
        <v>50.469055001063737</v>
      </c>
      <c r="Y106">
        <f t="shared" si="23"/>
        <v>62.769026667848138</v>
      </c>
    </row>
    <row r="107" spans="1:25" x14ac:dyDescent="0.35">
      <c r="A107">
        <v>1954</v>
      </c>
      <c r="B107">
        <v>7496.509</v>
      </c>
      <c r="C107">
        <v>10123.982</v>
      </c>
      <c r="D107">
        <v>9341.6569999999992</v>
      </c>
      <c r="E107">
        <v>7047.9279999999999</v>
      </c>
      <c r="F107">
        <v>9767.5830000000005</v>
      </c>
      <c r="G107">
        <v>7328.4250000000002</v>
      </c>
      <c r="N107">
        <f>IFERROR(SUM($B$3:$B107),"")</f>
        <v>452285.05900000018</v>
      </c>
      <c r="O107">
        <f>IFERROR(SUM($C$3:$C107),"")</f>
        <v>604017.85899999994</v>
      </c>
      <c r="P107">
        <f>IFERROR(SUM($D$3:$D107),"")</f>
        <v>374226.72100000002</v>
      </c>
      <c r="Q107">
        <f t="shared" si="18"/>
        <v>978244.58</v>
      </c>
      <c r="R107">
        <f t="shared" si="19"/>
        <v>46.234353682797838</v>
      </c>
      <c r="S107">
        <f t="shared" si="20"/>
        <v>61.745075960451523</v>
      </c>
      <c r="T107">
        <f>IFERROR(SUM($E$3:$E107),"")</f>
        <v>429000.07500000001</v>
      </c>
      <c r="U107">
        <f>IFERROR(SUM($F$3:$F107),"")</f>
        <v>534555.01100000006</v>
      </c>
      <c r="V107">
        <f>IFERROR(SUM($G$3:$G107),"")</f>
        <v>318602.11799999996</v>
      </c>
      <c r="W107">
        <f t="shared" si="21"/>
        <v>853157.12899999996</v>
      </c>
      <c r="X107">
        <f t="shared" si="22"/>
        <v>50.283829369490043</v>
      </c>
      <c r="Y107">
        <f t="shared" si="23"/>
        <v>62.656103176042279</v>
      </c>
    </row>
    <row r="108" spans="1:25" x14ac:dyDescent="0.35">
      <c r="A108">
        <v>1955</v>
      </c>
      <c r="B108">
        <v>7951.7690000000002</v>
      </c>
      <c r="C108">
        <v>10789.407999999999</v>
      </c>
      <c r="D108">
        <v>9707.9779999999992</v>
      </c>
      <c r="E108">
        <v>7502.7650000000003</v>
      </c>
      <c r="F108">
        <v>10457.197</v>
      </c>
      <c r="G108">
        <v>7678.192</v>
      </c>
      <c r="N108">
        <f>IFERROR(SUM($B$3:$B108),"")</f>
        <v>460236.82800000021</v>
      </c>
      <c r="O108">
        <f>IFERROR(SUM($C$3:$C108),"")</f>
        <v>614807.26699999999</v>
      </c>
      <c r="P108">
        <f>IFERROR(SUM($D$3:$D108),"")</f>
        <v>383934.69900000002</v>
      </c>
      <c r="Q108">
        <f t="shared" si="18"/>
        <v>998741.96600000001</v>
      </c>
      <c r="R108">
        <f t="shared" si="19"/>
        <v>46.081655088878101</v>
      </c>
      <c r="S108">
        <f t="shared" si="20"/>
        <v>61.558168969541427</v>
      </c>
      <c r="T108">
        <f>IFERROR(SUM($E$3:$E108),"")</f>
        <v>436502.84</v>
      </c>
      <c r="U108">
        <f>IFERROR(SUM($F$3:$F108),"")</f>
        <v>545012.2080000001</v>
      </c>
      <c r="V108">
        <f>IFERROR(SUM($G$3:$G108),"")</f>
        <v>326280.30999999994</v>
      </c>
      <c r="W108">
        <f t="shared" si="21"/>
        <v>871292.51800000004</v>
      </c>
      <c r="X108">
        <f t="shared" si="22"/>
        <v>50.098311529400739</v>
      </c>
      <c r="Y108">
        <f t="shared" si="23"/>
        <v>62.552150597028323</v>
      </c>
    </row>
    <row r="109" spans="1:25" x14ac:dyDescent="0.35">
      <c r="A109">
        <v>1956</v>
      </c>
      <c r="B109">
        <v>8264.7929999999997</v>
      </c>
      <c r="C109">
        <v>11275.028</v>
      </c>
      <c r="D109">
        <v>9904.7800000000007</v>
      </c>
      <c r="E109">
        <v>7890.9409999999998</v>
      </c>
      <c r="F109">
        <v>11071.411</v>
      </c>
      <c r="G109">
        <v>7941.29</v>
      </c>
      <c r="N109">
        <f>IFERROR(SUM($B$3:$B109),"")</f>
        <v>468501.62100000022</v>
      </c>
      <c r="O109">
        <f>IFERROR(SUM($C$3:$C109),"")</f>
        <v>626082.29500000004</v>
      </c>
      <c r="P109">
        <f>IFERROR(SUM($D$3:$D109),"")</f>
        <v>393839.47900000005</v>
      </c>
      <c r="Q109">
        <f t="shared" si="18"/>
        <v>1019921.7740000001</v>
      </c>
      <c r="R109">
        <f t="shared" si="19"/>
        <v>45.93505432898035</v>
      </c>
      <c r="S109">
        <f t="shared" si="20"/>
        <v>61.385324929831327</v>
      </c>
      <c r="T109">
        <f>IFERROR(SUM($E$3:$E109),"")</f>
        <v>444393.78100000002</v>
      </c>
      <c r="U109">
        <f>IFERROR(SUM($F$3:$F109),"")</f>
        <v>556083.61900000006</v>
      </c>
      <c r="V109">
        <f>IFERROR(SUM($G$3:$G109),"")</f>
        <v>334221.59999999992</v>
      </c>
      <c r="W109">
        <f t="shared" si="21"/>
        <v>890305.21900000004</v>
      </c>
      <c r="X109">
        <f t="shared" si="22"/>
        <v>49.914767600615399</v>
      </c>
      <c r="Y109">
        <f t="shared" si="23"/>
        <v>62.459885344106922</v>
      </c>
    </row>
    <row r="110" spans="1:25" x14ac:dyDescent="0.35">
      <c r="A110">
        <v>1957</v>
      </c>
      <c r="B110">
        <v>8324.7999999999993</v>
      </c>
      <c r="C110">
        <v>11519.003000000001</v>
      </c>
      <c r="D110">
        <v>10273.614</v>
      </c>
      <c r="E110">
        <v>7948.8149999999996</v>
      </c>
      <c r="F110">
        <v>11370.933999999999</v>
      </c>
      <c r="G110">
        <v>8178.2060000000001</v>
      </c>
      <c r="N110">
        <f>IFERROR(SUM($B$3:$B110),"")</f>
        <v>476826.42100000021</v>
      </c>
      <c r="O110">
        <f>IFERROR(SUM($C$3:$C110),"")</f>
        <v>637601.29800000007</v>
      </c>
      <c r="P110">
        <f>IFERROR(SUM($D$3:$D110),"")</f>
        <v>404113.09300000005</v>
      </c>
      <c r="Q110">
        <f t="shared" si="18"/>
        <v>1041714.3910000001</v>
      </c>
      <c r="R110">
        <f t="shared" si="19"/>
        <v>45.77323929856319</v>
      </c>
      <c r="S110">
        <f t="shared" si="20"/>
        <v>61.206920390907804</v>
      </c>
      <c r="T110">
        <f>IFERROR(SUM($E$3:$E110),"")</f>
        <v>452342.59600000002</v>
      </c>
      <c r="U110">
        <f>IFERROR(SUM($F$3:$F110),"")</f>
        <v>567454.55300000007</v>
      </c>
      <c r="V110">
        <f>IFERROR(SUM($G$3:$G110),"")</f>
        <v>342399.80599999992</v>
      </c>
      <c r="W110">
        <f t="shared" si="21"/>
        <v>909854.35899999994</v>
      </c>
      <c r="X110">
        <f t="shared" si="22"/>
        <v>49.715934371865778</v>
      </c>
      <c r="Y110">
        <f t="shared" si="23"/>
        <v>62.367624816753789</v>
      </c>
    </row>
    <row r="111" spans="1:25" x14ac:dyDescent="0.35">
      <c r="A111">
        <v>1958</v>
      </c>
      <c r="B111">
        <v>8167.18</v>
      </c>
      <c r="C111">
        <v>11497.611000000001</v>
      </c>
      <c r="D111">
        <v>10591.391</v>
      </c>
      <c r="E111">
        <v>7957.9520000000002</v>
      </c>
      <c r="F111">
        <v>11574.75</v>
      </c>
      <c r="G111">
        <v>8556.4989999999998</v>
      </c>
      <c r="N111">
        <f>IFERROR(SUM($B$3:$B111),"")</f>
        <v>484993.6010000002</v>
      </c>
      <c r="O111">
        <f>IFERROR(SUM($C$3:$C111),"")</f>
        <v>649098.9090000001</v>
      </c>
      <c r="P111">
        <f>IFERROR(SUM($D$3:$D111),"")</f>
        <v>414704.48400000005</v>
      </c>
      <c r="Q111">
        <f t="shared" si="18"/>
        <v>1063803.3930000002</v>
      </c>
      <c r="R111">
        <f t="shared" si="19"/>
        <v>45.590529621482432</v>
      </c>
      <c r="S111">
        <f t="shared" si="20"/>
        <v>61.01681130847831</v>
      </c>
      <c r="T111">
        <f>IFERROR(SUM($E$3:$E111),"")</f>
        <v>460300.54800000001</v>
      </c>
      <c r="U111">
        <f>IFERROR(SUM($F$3:$F111),"")</f>
        <v>579029.30300000007</v>
      </c>
      <c r="V111">
        <f>IFERROR(SUM($G$3:$G111),"")</f>
        <v>350956.30499999993</v>
      </c>
      <c r="W111">
        <f t="shared" si="21"/>
        <v>929985.60800000001</v>
      </c>
      <c r="X111">
        <f t="shared" si="22"/>
        <v>49.495448536016482</v>
      </c>
      <c r="Y111">
        <f t="shared" si="23"/>
        <v>62.262178900299723</v>
      </c>
    </row>
    <row r="112" spans="1:25" x14ac:dyDescent="0.35">
      <c r="A112">
        <v>1959</v>
      </c>
      <c r="B112">
        <v>8252.5689999999995</v>
      </c>
      <c r="C112">
        <v>11992.004999999999</v>
      </c>
      <c r="D112">
        <v>11234.089</v>
      </c>
      <c r="E112">
        <v>7979.7690000000002</v>
      </c>
      <c r="F112">
        <v>11464.53</v>
      </c>
      <c r="G112">
        <v>8906.0660000000007</v>
      </c>
      <c r="N112">
        <f>IFERROR(SUM($B$3:$B112),"")</f>
        <v>493246.17000000022</v>
      </c>
      <c r="O112">
        <f>IFERROR(SUM($C$3:$C112),"")</f>
        <v>661090.91400000011</v>
      </c>
      <c r="P112">
        <f>IFERROR(SUM($D$3:$D112),"")</f>
        <v>425938.57300000003</v>
      </c>
      <c r="Q112">
        <f t="shared" si="18"/>
        <v>1087029.4870000002</v>
      </c>
      <c r="R112">
        <f t="shared" si="19"/>
        <v>45.375601664796434</v>
      </c>
      <c r="S112">
        <f t="shared" si="20"/>
        <v>60.81628161021542</v>
      </c>
      <c r="T112">
        <f>IFERROR(SUM($E$3:$E112),"")</f>
        <v>468280.31700000004</v>
      </c>
      <c r="U112">
        <f>IFERROR(SUM($F$3:$F112),"")</f>
        <v>590493.8330000001</v>
      </c>
      <c r="V112">
        <f>IFERROR(SUM($G$3:$G112),"")</f>
        <v>359862.37099999993</v>
      </c>
      <c r="W112">
        <f t="shared" si="21"/>
        <v>950356.20400000003</v>
      </c>
      <c r="X112">
        <f t="shared" si="22"/>
        <v>49.274189512209468</v>
      </c>
      <c r="Y112">
        <f t="shared" si="23"/>
        <v>62.133948356904725</v>
      </c>
    </row>
    <row r="113" spans="1:25" x14ac:dyDescent="0.35">
      <c r="A113">
        <v>1960</v>
      </c>
      <c r="B113">
        <v>8525.4699999999993</v>
      </c>
      <c r="C113">
        <v>12105.671</v>
      </c>
      <c r="D113">
        <v>10714.763999999999</v>
      </c>
      <c r="E113">
        <v>8322.8240000000005</v>
      </c>
      <c r="F113">
        <v>11919.21</v>
      </c>
      <c r="G113">
        <v>9095.0229999999992</v>
      </c>
      <c r="N113">
        <f>IFERROR(SUM($B$3:$B113),"")</f>
        <v>501771.64000000019</v>
      </c>
      <c r="O113">
        <f>IFERROR(SUM($C$3:$C113),"")</f>
        <v>673196.58500000008</v>
      </c>
      <c r="P113">
        <f>IFERROR(SUM($D$3:$D113),"")</f>
        <v>436653.33700000006</v>
      </c>
      <c r="Q113">
        <f t="shared" si="18"/>
        <v>1109849.9220000003</v>
      </c>
      <c r="R113">
        <f t="shared" si="19"/>
        <v>45.210764992061698</v>
      </c>
      <c r="S113">
        <f t="shared" si="20"/>
        <v>60.656542083353862</v>
      </c>
      <c r="T113">
        <f>IFERROR(SUM($E$3:$E113),"")</f>
        <v>476603.14100000006</v>
      </c>
      <c r="U113">
        <f>IFERROR(SUM($F$3:$F113),"")</f>
        <v>602413.04300000006</v>
      </c>
      <c r="V113">
        <f>IFERROR(SUM($G$3:$G113),"")</f>
        <v>368957.39399999991</v>
      </c>
      <c r="W113">
        <f t="shared" si="21"/>
        <v>971370.43699999992</v>
      </c>
      <c r="X113">
        <f t="shared" si="22"/>
        <v>49.065024304419929</v>
      </c>
      <c r="Y113">
        <f t="shared" si="23"/>
        <v>62.016818718562682</v>
      </c>
    </row>
    <row r="114" spans="1:25" x14ac:dyDescent="0.35">
      <c r="A114">
        <v>1961</v>
      </c>
      <c r="B114">
        <v>8599.73</v>
      </c>
      <c r="C114">
        <v>12265.846</v>
      </c>
      <c r="D114">
        <v>10690.52</v>
      </c>
      <c r="E114">
        <v>8455.0580000000009</v>
      </c>
      <c r="F114">
        <v>12119.944</v>
      </c>
      <c r="G114">
        <v>9305.2749999999996</v>
      </c>
      <c r="N114">
        <f>IFERROR(SUM($B$3:$B114),"")</f>
        <v>510371.37000000017</v>
      </c>
      <c r="O114">
        <f>IFERROR(SUM($C$3:$C114),"")</f>
        <v>685462.4310000001</v>
      </c>
      <c r="P114">
        <f>IFERROR(SUM($D$3:$D114),"")</f>
        <v>447343.85700000008</v>
      </c>
      <c r="Q114">
        <f t="shared" si="18"/>
        <v>1132806.2880000002</v>
      </c>
      <c r="R114">
        <f t="shared" si="19"/>
        <v>45.053719722996462</v>
      </c>
      <c r="S114">
        <f t="shared" si="20"/>
        <v>60.510118831543771</v>
      </c>
      <c r="T114">
        <f>IFERROR(SUM($E$3:$E114),"")</f>
        <v>485058.19900000008</v>
      </c>
      <c r="U114">
        <f>IFERROR(SUM($F$3:$F114),"")</f>
        <v>614532.98700000008</v>
      </c>
      <c r="V114">
        <f>IFERROR(SUM($G$3:$G114),"")</f>
        <v>378262.66899999994</v>
      </c>
      <c r="W114">
        <f t="shared" si="21"/>
        <v>992795.65599999996</v>
      </c>
      <c r="X114">
        <f t="shared" si="22"/>
        <v>48.857808358500726</v>
      </c>
      <c r="Y114">
        <f t="shared" si="23"/>
        <v>61.899242133670263</v>
      </c>
    </row>
    <row r="115" spans="1:25" x14ac:dyDescent="0.35">
      <c r="A115">
        <v>1962</v>
      </c>
      <c r="B115">
        <v>8955.973</v>
      </c>
      <c r="C115">
        <v>12458.481</v>
      </c>
      <c r="D115">
        <v>10450.813</v>
      </c>
      <c r="E115">
        <v>8836.85</v>
      </c>
      <c r="F115">
        <v>12631.05</v>
      </c>
      <c r="G115">
        <v>9286.8680000000004</v>
      </c>
      <c r="N115">
        <f>IFERROR(SUM($B$3:$B115),"")</f>
        <v>519327.34300000017</v>
      </c>
      <c r="O115">
        <f>IFERROR(SUM($C$3:$C115),"")</f>
        <v>697920.91200000013</v>
      </c>
      <c r="P115">
        <f>IFERROR(SUM($D$3:$D115),"")</f>
        <v>457794.6700000001</v>
      </c>
      <c r="Q115">
        <f t="shared" si="18"/>
        <v>1155715.5820000002</v>
      </c>
      <c r="R115">
        <f t="shared" si="19"/>
        <v>44.93556642208533</v>
      </c>
      <c r="S115">
        <f t="shared" si="20"/>
        <v>60.388639114151879</v>
      </c>
      <c r="T115">
        <f>IFERROR(SUM($E$3:$E115),"")</f>
        <v>493895.04900000006</v>
      </c>
      <c r="U115">
        <f>IFERROR(SUM($F$3:$F115),"")</f>
        <v>627164.03700000013</v>
      </c>
      <c r="V115">
        <f>IFERROR(SUM($G$3:$G115),"")</f>
        <v>387549.53699999995</v>
      </c>
      <c r="W115">
        <f t="shared" si="21"/>
        <v>1014713.574</v>
      </c>
      <c r="X115">
        <f t="shared" si="22"/>
        <v>48.673346021485273</v>
      </c>
      <c r="Y115">
        <f t="shared" si="23"/>
        <v>61.807001805220764</v>
      </c>
    </row>
    <row r="116" spans="1:25" x14ac:dyDescent="0.35">
      <c r="A116">
        <v>1963</v>
      </c>
      <c r="B116">
        <v>9232.9869999999992</v>
      </c>
      <c r="C116">
        <v>12879.036</v>
      </c>
      <c r="D116">
        <v>10519.512000000001</v>
      </c>
      <c r="E116">
        <v>9270.5310000000009</v>
      </c>
      <c r="F116">
        <v>13233.602000000001</v>
      </c>
      <c r="G116">
        <v>9522.1630000000005</v>
      </c>
      <c r="N116">
        <f>IFERROR(SUM($B$3:$B116),"")</f>
        <v>528560.33000000019</v>
      </c>
      <c r="O116">
        <f>IFERROR(SUM($C$3:$C116),"")</f>
        <v>710799.94800000009</v>
      </c>
      <c r="P116">
        <f>IFERROR(SUM($D$3:$D116),"")</f>
        <v>468314.18200000009</v>
      </c>
      <c r="Q116">
        <f t="shared" si="18"/>
        <v>1179114.1300000001</v>
      </c>
      <c r="R116">
        <f t="shared" si="19"/>
        <v>44.826901531576098</v>
      </c>
      <c r="S116">
        <f t="shared" si="20"/>
        <v>60.282540079474757</v>
      </c>
      <c r="T116">
        <f>IFERROR(SUM($E$3:$E116),"")</f>
        <v>503165.58000000007</v>
      </c>
      <c r="U116">
        <f>IFERROR(SUM($F$3:$F116),"")</f>
        <v>640397.63900000008</v>
      </c>
      <c r="V116">
        <f>IFERROR(SUM($G$3:$G116),"")</f>
        <v>397071.69999999995</v>
      </c>
      <c r="W116">
        <f t="shared" si="21"/>
        <v>1037469.339</v>
      </c>
      <c r="X116">
        <f t="shared" si="22"/>
        <v>48.499320518232693</v>
      </c>
      <c r="Y116">
        <f t="shared" si="23"/>
        <v>61.726897839435814</v>
      </c>
    </row>
    <row r="117" spans="1:25" x14ac:dyDescent="0.35">
      <c r="A117">
        <v>1964</v>
      </c>
      <c r="B117">
        <v>9570.4670000000006</v>
      </c>
      <c r="C117">
        <v>13286.556</v>
      </c>
      <c r="D117">
        <v>10498.4</v>
      </c>
      <c r="E117">
        <v>9643.0190000000002</v>
      </c>
      <c r="F117">
        <v>13756.813</v>
      </c>
      <c r="G117">
        <v>9738.8179999999993</v>
      </c>
      <c r="N117">
        <f>IFERROR(SUM($B$3:$B117),"")</f>
        <v>538130.79700000014</v>
      </c>
      <c r="O117">
        <f>IFERROR(SUM($C$3:$C117),"")</f>
        <v>724086.50400000007</v>
      </c>
      <c r="P117">
        <f>IFERROR(SUM($D$3:$D117),"")</f>
        <v>478812.58200000011</v>
      </c>
      <c r="Q117">
        <f t="shared" si="18"/>
        <v>1202899.0860000001</v>
      </c>
      <c r="R117">
        <f t="shared" si="19"/>
        <v>44.736154783311562</v>
      </c>
      <c r="S117">
        <f t="shared" si="20"/>
        <v>60.195116317512941</v>
      </c>
      <c r="T117">
        <f>IFERROR(SUM($E$3:$E117),"")</f>
        <v>512808.59900000005</v>
      </c>
      <c r="U117">
        <f>IFERROR(SUM($F$3:$F117),"")</f>
        <v>654154.45200000005</v>
      </c>
      <c r="V117">
        <f>IFERROR(SUM($G$3:$G117),"")</f>
        <v>406810.51799999992</v>
      </c>
      <c r="W117">
        <f t="shared" si="21"/>
        <v>1060964.97</v>
      </c>
      <c r="X117">
        <f t="shared" si="22"/>
        <v>48.33416875205598</v>
      </c>
      <c r="Y117">
        <f t="shared" si="23"/>
        <v>61.656555164116313</v>
      </c>
    </row>
    <row r="118" spans="1:25" x14ac:dyDescent="0.35">
      <c r="A118">
        <v>1965</v>
      </c>
      <c r="B118">
        <v>9853.6409999999996</v>
      </c>
      <c r="C118">
        <v>13646.052</v>
      </c>
      <c r="D118">
        <v>10535.766</v>
      </c>
      <c r="E118">
        <v>9967.1329999999998</v>
      </c>
      <c r="F118">
        <v>14208.742</v>
      </c>
      <c r="G118">
        <v>10076.523999999999</v>
      </c>
      <c r="N118">
        <f>IFERROR(SUM($B$3:$B118),"")</f>
        <v>547984.43800000008</v>
      </c>
      <c r="O118">
        <f>IFERROR(SUM($C$3:$C118),"")</f>
        <v>737732.5560000001</v>
      </c>
      <c r="P118">
        <f>IFERROR(SUM($D$3:$D118),"")</f>
        <v>489348.34800000011</v>
      </c>
      <c r="Q118">
        <f t="shared" si="18"/>
        <v>1227080.9040000001</v>
      </c>
      <c r="R118">
        <f t="shared" si="19"/>
        <v>44.657563834112118</v>
      </c>
      <c r="S118">
        <f t="shared" si="20"/>
        <v>60.12093852941257</v>
      </c>
      <c r="T118">
        <f>IFERROR(SUM($E$3:$E118),"")</f>
        <v>522775.73200000002</v>
      </c>
      <c r="U118">
        <f>IFERROR(SUM($F$3:$F118),"")</f>
        <v>668363.19400000002</v>
      </c>
      <c r="V118">
        <f>IFERROR(SUM($G$3:$G118),"")</f>
        <v>416887.0419999999</v>
      </c>
      <c r="W118">
        <f t="shared" si="21"/>
        <v>1085250.236</v>
      </c>
      <c r="X118">
        <f t="shared" si="22"/>
        <v>48.170985332087042</v>
      </c>
      <c r="Y118">
        <f t="shared" si="23"/>
        <v>61.586090638730809</v>
      </c>
    </row>
    <row r="119" spans="1:25" x14ac:dyDescent="0.35">
      <c r="A119">
        <v>1966</v>
      </c>
      <c r="B119">
        <v>10099.212</v>
      </c>
      <c r="C119">
        <v>13954.907999999999</v>
      </c>
      <c r="D119">
        <v>10550.011</v>
      </c>
      <c r="E119">
        <v>10423.724</v>
      </c>
      <c r="F119">
        <v>14784.147999999999</v>
      </c>
      <c r="G119">
        <v>10446.643</v>
      </c>
      <c r="N119">
        <f>IFERROR(SUM($B$3:$B119),"")</f>
        <v>558083.65000000014</v>
      </c>
      <c r="O119">
        <f>IFERROR(SUM($C$3:$C119),"")</f>
        <v>751687.46400000015</v>
      </c>
      <c r="P119">
        <f>IFERROR(SUM($D$3:$D119),"")</f>
        <v>499898.35900000011</v>
      </c>
      <c r="Q119">
        <f t="shared" si="18"/>
        <v>1251585.8230000003</v>
      </c>
      <c r="R119">
        <f t="shared" si="19"/>
        <v>44.59012236670246</v>
      </c>
      <c r="S119">
        <f t="shared" si="20"/>
        <v>60.058803015060988</v>
      </c>
      <c r="T119">
        <f>IFERROR(SUM($E$3:$E119),"")</f>
        <v>533199.45600000001</v>
      </c>
      <c r="U119">
        <f>IFERROR(SUM($F$3:$F119),"")</f>
        <v>683147.34200000006</v>
      </c>
      <c r="V119">
        <f>IFERROR(SUM($G$3:$G119),"")</f>
        <v>427333.68499999988</v>
      </c>
      <c r="W119">
        <f t="shared" si="21"/>
        <v>1110481.027</v>
      </c>
      <c r="X119">
        <f t="shared" si="22"/>
        <v>48.015179281401629</v>
      </c>
      <c r="Y119">
        <f t="shared" si="23"/>
        <v>61.518146225833725</v>
      </c>
    </row>
    <row r="120" spans="1:25" x14ac:dyDescent="0.35">
      <c r="A120">
        <v>1967</v>
      </c>
      <c r="B120">
        <v>10892.242</v>
      </c>
      <c r="C120">
        <v>14885.298000000001</v>
      </c>
      <c r="D120">
        <v>10419.719999999999</v>
      </c>
      <c r="E120">
        <v>10785.081</v>
      </c>
      <c r="F120">
        <v>15238.2</v>
      </c>
      <c r="G120">
        <v>10465.718999999999</v>
      </c>
      <c r="N120">
        <f>IFERROR(SUM($B$3:$B120),"")</f>
        <v>568975.89200000011</v>
      </c>
      <c r="O120">
        <f>IFERROR(SUM($C$3:$C120),"")</f>
        <v>766572.7620000001</v>
      </c>
      <c r="P120">
        <f>IFERROR(SUM($D$3:$D120),"")</f>
        <v>510318.07900000009</v>
      </c>
      <c r="Q120">
        <f t="shared" si="18"/>
        <v>1276890.8410000002</v>
      </c>
      <c r="R120">
        <f t="shared" si="19"/>
        <v>44.559477891971191</v>
      </c>
      <c r="S120">
        <f t="shared" si="20"/>
        <v>60.034322229115276</v>
      </c>
      <c r="T120">
        <f>IFERROR(SUM($E$3:$E120),"")</f>
        <v>543984.53700000001</v>
      </c>
      <c r="U120">
        <f>IFERROR(SUM($F$3:$F120),"")</f>
        <v>698385.54200000002</v>
      </c>
      <c r="V120">
        <f>IFERROR(SUM($G$3:$G120),"")</f>
        <v>437799.40399999986</v>
      </c>
      <c r="W120">
        <f t="shared" si="21"/>
        <v>1136184.946</v>
      </c>
      <c r="X120">
        <f t="shared" si="22"/>
        <v>47.878167979176872</v>
      </c>
      <c r="Y120">
        <f t="shared" si="23"/>
        <v>61.467593322610348</v>
      </c>
    </row>
    <row r="121" spans="1:25" x14ac:dyDescent="0.35">
      <c r="A121">
        <v>1968</v>
      </c>
      <c r="B121">
        <v>11447.433999999999</v>
      </c>
      <c r="C121">
        <v>15616.718000000001</v>
      </c>
      <c r="D121">
        <v>10557.741</v>
      </c>
      <c r="E121">
        <v>11277.314</v>
      </c>
      <c r="F121">
        <v>15802.995000000001</v>
      </c>
      <c r="G121">
        <v>10539.215</v>
      </c>
      <c r="N121">
        <f>IFERROR(SUM($B$3:$B121),"")</f>
        <v>580423.32600000012</v>
      </c>
      <c r="O121">
        <f>IFERROR(SUM($C$3:$C121),"")</f>
        <v>782189.4800000001</v>
      </c>
      <c r="P121">
        <f>IFERROR(SUM($D$3:$D121),"")</f>
        <v>520875.82000000007</v>
      </c>
      <c r="Q121">
        <f t="shared" si="18"/>
        <v>1303065.3000000003</v>
      </c>
      <c r="R121">
        <f t="shared" si="19"/>
        <v>44.542919376335163</v>
      </c>
      <c r="S121">
        <f t="shared" si="20"/>
        <v>60.026882766350994</v>
      </c>
      <c r="T121">
        <f>IFERROR(SUM($E$3:$E121),"")</f>
        <v>555261.85100000002</v>
      </c>
      <c r="U121">
        <f>IFERROR(SUM($F$3:$F121),"")</f>
        <v>714188.53700000001</v>
      </c>
      <c r="V121">
        <f>IFERROR(SUM($G$3:$G121),"")</f>
        <v>448338.61899999989</v>
      </c>
      <c r="W121">
        <f t="shared" si="21"/>
        <v>1162527.156</v>
      </c>
      <c r="X121">
        <f t="shared" si="22"/>
        <v>47.763344549346598</v>
      </c>
      <c r="Y121">
        <f t="shared" si="23"/>
        <v>61.434137973805747</v>
      </c>
    </row>
    <row r="122" spans="1:25" x14ac:dyDescent="0.35">
      <c r="A122">
        <v>1969</v>
      </c>
      <c r="B122">
        <v>11668.79</v>
      </c>
      <c r="C122">
        <v>15917.13</v>
      </c>
      <c r="D122">
        <v>11927.9</v>
      </c>
      <c r="E122">
        <v>11904.407999999999</v>
      </c>
      <c r="F122">
        <v>16540.192999999999</v>
      </c>
      <c r="G122">
        <v>10935.757</v>
      </c>
      <c r="N122">
        <f>IFERROR(SUM($B$3:$B122),"")</f>
        <v>592092.11600000015</v>
      </c>
      <c r="O122">
        <f>IFERROR(SUM($C$3:$C122),"")</f>
        <v>798106.6100000001</v>
      </c>
      <c r="P122">
        <f>IFERROR(SUM($D$3:$D122),"")</f>
        <v>532803.72000000009</v>
      </c>
      <c r="Q122">
        <f t="shared" si="18"/>
        <v>1330910.33</v>
      </c>
      <c r="R122">
        <f t="shared" si="19"/>
        <v>44.487754182507558</v>
      </c>
      <c r="S122">
        <f t="shared" si="20"/>
        <v>59.96697087774502</v>
      </c>
      <c r="T122">
        <f>IFERROR(SUM($E$3:$E122),"")</f>
        <v>567166.25900000008</v>
      </c>
      <c r="U122">
        <f>IFERROR(SUM($F$3:$F122),"")</f>
        <v>730728.73</v>
      </c>
      <c r="V122">
        <f>IFERROR(SUM($G$3:$G122),"")</f>
        <v>459274.37599999987</v>
      </c>
      <c r="W122">
        <f t="shared" si="21"/>
        <v>1190003.1059999999</v>
      </c>
      <c r="X122">
        <f t="shared" si="22"/>
        <v>47.660905769098058</v>
      </c>
      <c r="Y122">
        <f t="shared" si="23"/>
        <v>61.405615356435881</v>
      </c>
    </row>
    <row r="123" spans="1:25" x14ac:dyDescent="0.35">
      <c r="A123">
        <v>1970</v>
      </c>
      <c r="B123">
        <v>12039.522999999999</v>
      </c>
      <c r="C123">
        <v>16545.331999999999</v>
      </c>
      <c r="D123">
        <v>12339.508</v>
      </c>
      <c r="E123">
        <v>12435.165000000001</v>
      </c>
      <c r="F123">
        <v>17129.992999999999</v>
      </c>
      <c r="G123">
        <v>11468.986000000001</v>
      </c>
      <c r="N123">
        <f>IFERROR(SUM($B$3:$B123),"")</f>
        <v>604131.6390000002</v>
      </c>
      <c r="O123">
        <f>IFERROR(SUM($C$3:$C123),"")</f>
        <v>814651.94200000016</v>
      </c>
      <c r="P123">
        <f>IFERROR(SUM($D$3:$D123),"")</f>
        <v>545143.22800000012</v>
      </c>
      <c r="Q123">
        <f t="shared" si="18"/>
        <v>1359795.1700000004</v>
      </c>
      <c r="R123">
        <f t="shared" si="19"/>
        <v>44.428135378654126</v>
      </c>
      <c r="S123">
        <f t="shared" si="20"/>
        <v>59.909901136065947</v>
      </c>
      <c r="T123">
        <f>IFERROR(SUM($E$3:$E123),"")</f>
        <v>579601.42400000012</v>
      </c>
      <c r="U123">
        <f>IFERROR(SUM($F$3:$F123),"")</f>
        <v>747858.723</v>
      </c>
      <c r="V123">
        <f>IFERROR(SUM($G$3:$G123),"")</f>
        <v>470743.36199999985</v>
      </c>
      <c r="W123">
        <f t="shared" si="21"/>
        <v>1218602.085</v>
      </c>
      <c r="X123">
        <f t="shared" si="22"/>
        <v>47.562812433559898</v>
      </c>
      <c r="Y123">
        <f t="shared" si="23"/>
        <v>61.370215282374154</v>
      </c>
    </row>
    <row r="124" spans="1:25" x14ac:dyDescent="0.35">
      <c r="A124">
        <v>1971</v>
      </c>
      <c r="B124">
        <v>12184.334000000001</v>
      </c>
      <c r="C124">
        <v>16707.112000000001</v>
      </c>
      <c r="D124">
        <v>12217.963</v>
      </c>
      <c r="E124">
        <v>12326.415000000001</v>
      </c>
      <c r="F124">
        <v>17115.121999999999</v>
      </c>
      <c r="G124">
        <v>11477.143</v>
      </c>
      <c r="N124">
        <f>IFERROR(SUM($B$3:$B124),"")</f>
        <v>616315.97300000023</v>
      </c>
      <c r="O124">
        <f>IFERROR(SUM($C$3:$C124),"")</f>
        <v>831359.05400000012</v>
      </c>
      <c r="P124">
        <f>IFERROR(SUM($D$3:$D124),"")</f>
        <v>557361.19100000011</v>
      </c>
      <c r="Q124">
        <f t="shared" si="18"/>
        <v>1388720.2450000001</v>
      </c>
      <c r="R124">
        <f t="shared" si="19"/>
        <v>44.380138852227951</v>
      </c>
      <c r="S124">
        <f t="shared" si="20"/>
        <v>59.86512092649734</v>
      </c>
      <c r="T124">
        <f>IFERROR(SUM($E$3:$E124),"")</f>
        <v>591927.83900000015</v>
      </c>
      <c r="U124">
        <f>IFERROR(SUM($F$3:$F124),"")</f>
        <v>764973.84499999997</v>
      </c>
      <c r="V124">
        <f>IFERROR(SUM($G$3:$G124),"")</f>
        <v>482220.50499999983</v>
      </c>
      <c r="W124">
        <f t="shared" si="21"/>
        <v>1247194.3499999999</v>
      </c>
      <c r="X124">
        <f t="shared" si="22"/>
        <v>47.460753730964242</v>
      </c>
      <c r="Y124">
        <f t="shared" si="23"/>
        <v>61.33557652822914</v>
      </c>
    </row>
    <row r="125" spans="1:25" x14ac:dyDescent="0.35">
      <c r="A125">
        <v>1972</v>
      </c>
      <c r="B125">
        <v>12487.412</v>
      </c>
      <c r="C125">
        <v>17155.807000000001</v>
      </c>
      <c r="D125">
        <v>12946.379000000001</v>
      </c>
      <c r="E125">
        <v>12768.758</v>
      </c>
      <c r="F125">
        <v>17704.847000000002</v>
      </c>
      <c r="G125">
        <v>11659.407999999999</v>
      </c>
      <c r="N125">
        <f>IFERROR(SUM($B$3:$B125),"")</f>
        <v>628803.38500000024</v>
      </c>
      <c r="O125">
        <f>IFERROR(SUM($C$3:$C125),"")</f>
        <v>848514.86100000015</v>
      </c>
      <c r="P125">
        <f>IFERROR(SUM($D$3:$D125),"")</f>
        <v>570307.57000000007</v>
      </c>
      <c r="Q125">
        <f t="shared" si="18"/>
        <v>1418822.4310000003</v>
      </c>
      <c r="R125">
        <f t="shared" si="19"/>
        <v>44.318680848371791</v>
      </c>
      <c r="S125">
        <f t="shared" si="20"/>
        <v>59.804161709084227</v>
      </c>
      <c r="T125">
        <f>IFERROR(SUM($E$3:$E125),"")</f>
        <v>604696.59700000018</v>
      </c>
      <c r="U125">
        <f>IFERROR(SUM($F$3:$F125),"")</f>
        <v>782678.69199999992</v>
      </c>
      <c r="V125">
        <f>IFERROR(SUM($G$3:$G125),"")</f>
        <v>493879.91299999983</v>
      </c>
      <c r="W125">
        <f t="shared" si="21"/>
        <v>1276558.6049999997</v>
      </c>
      <c r="X125">
        <f t="shared" si="22"/>
        <v>47.369278200901739</v>
      </c>
      <c r="Y125">
        <f t="shared" si="23"/>
        <v>61.311614596808909</v>
      </c>
    </row>
    <row r="126" spans="1:25" x14ac:dyDescent="0.35">
      <c r="A126">
        <v>1973</v>
      </c>
      <c r="B126">
        <v>12918</v>
      </c>
      <c r="C126">
        <v>17781.893</v>
      </c>
      <c r="D126">
        <v>13172.752</v>
      </c>
      <c r="E126">
        <v>13227.263999999999</v>
      </c>
      <c r="F126">
        <v>18296.350999999999</v>
      </c>
      <c r="G126">
        <v>12115.494000000001</v>
      </c>
      <c r="N126">
        <f>IFERROR(SUM($B$3:$B126),"")</f>
        <v>641721.38500000024</v>
      </c>
      <c r="O126">
        <f>IFERROR(SUM($C$3:$C126),"")</f>
        <v>866296.75400000019</v>
      </c>
      <c r="P126">
        <f>IFERROR(SUM($D$3:$D126),"")</f>
        <v>583480.32200000004</v>
      </c>
      <c r="Q126">
        <f t="shared" si="18"/>
        <v>1449777.0760000004</v>
      </c>
      <c r="R126">
        <f t="shared" si="19"/>
        <v>44.263452335067825</v>
      </c>
      <c r="S126">
        <f t="shared" si="20"/>
        <v>59.753790313070176</v>
      </c>
      <c r="T126">
        <f>IFERROR(SUM($E$3:$E126),"")</f>
        <v>617923.86100000015</v>
      </c>
      <c r="U126">
        <f>IFERROR(SUM($F$3:$F126),"")</f>
        <v>800975.04299999995</v>
      </c>
      <c r="V126">
        <f>IFERROR(SUM($G$3:$G126),"")</f>
        <v>505995.40699999983</v>
      </c>
      <c r="W126">
        <f t="shared" si="21"/>
        <v>1306970.4499999997</v>
      </c>
      <c r="X126">
        <f t="shared" si="22"/>
        <v>47.279099615450392</v>
      </c>
      <c r="Y126">
        <f t="shared" si="23"/>
        <v>61.284862484840431</v>
      </c>
    </row>
    <row r="127" spans="1:25" x14ac:dyDescent="0.35">
      <c r="A127">
        <v>1974</v>
      </c>
      <c r="B127">
        <v>12679.605</v>
      </c>
      <c r="C127">
        <v>17683.400000000001</v>
      </c>
      <c r="D127">
        <v>13320.019</v>
      </c>
      <c r="E127">
        <v>12938.991</v>
      </c>
      <c r="F127">
        <v>18098.866000000002</v>
      </c>
      <c r="G127">
        <v>12271.073</v>
      </c>
      <c r="N127">
        <f>IFERROR(SUM($B$3:$B127),"")</f>
        <v>654400.99000000022</v>
      </c>
      <c r="O127">
        <f>IFERROR(SUM($C$3:$C127),"")</f>
        <v>883980.15400000021</v>
      </c>
      <c r="P127">
        <f>IFERROR(SUM($D$3:$D127),"")</f>
        <v>596800.34100000001</v>
      </c>
      <c r="Q127">
        <f t="shared" si="18"/>
        <v>1480780.4950000001</v>
      </c>
      <c r="R127">
        <f t="shared" si="19"/>
        <v>44.192977433836347</v>
      </c>
      <c r="S127">
        <f t="shared" si="20"/>
        <v>59.696906934204328</v>
      </c>
      <c r="T127">
        <f>IFERROR(SUM($E$3:$E127),"")</f>
        <v>630862.85200000019</v>
      </c>
      <c r="U127">
        <f>IFERROR(SUM($F$3:$F127),"")</f>
        <v>819073.90899999999</v>
      </c>
      <c r="V127">
        <f>IFERROR(SUM($G$3:$G127),"")</f>
        <v>518266.47999999981</v>
      </c>
      <c r="W127">
        <f t="shared" si="21"/>
        <v>1337340.3889999997</v>
      </c>
      <c r="X127">
        <f t="shared" si="22"/>
        <v>47.172945436257244</v>
      </c>
      <c r="Y127">
        <f t="shared" si="23"/>
        <v>61.246479635036287</v>
      </c>
    </row>
    <row r="128" spans="1:25" x14ac:dyDescent="0.35">
      <c r="A128">
        <v>1975</v>
      </c>
      <c r="B128">
        <v>12335.092000000001</v>
      </c>
      <c r="C128">
        <v>17506.486000000001</v>
      </c>
      <c r="D128">
        <v>13482.918</v>
      </c>
      <c r="E128">
        <v>12536.319</v>
      </c>
      <c r="F128">
        <v>17877.756000000001</v>
      </c>
      <c r="G128">
        <v>12602.621999999999</v>
      </c>
      <c r="N128">
        <f>IFERROR(SUM($B$3:$B128),"")</f>
        <v>666736.08200000017</v>
      </c>
      <c r="O128">
        <f>IFERROR(SUM($C$3:$C128),"")</f>
        <v>901486.64000000025</v>
      </c>
      <c r="P128">
        <f>IFERROR(SUM($D$3:$D128),"")</f>
        <v>610283.25899999996</v>
      </c>
      <c r="Q128">
        <f t="shared" si="18"/>
        <v>1511769.8990000002</v>
      </c>
      <c r="R128">
        <f t="shared" si="19"/>
        <v>44.103013457340978</v>
      </c>
      <c r="S128">
        <f t="shared" si="20"/>
        <v>59.631207143118289</v>
      </c>
      <c r="T128">
        <f>IFERROR(SUM($E$3:$E128),"")</f>
        <v>643399.17100000021</v>
      </c>
      <c r="U128">
        <f>IFERROR(SUM($F$3:$F128),"")</f>
        <v>836951.66500000004</v>
      </c>
      <c r="V128">
        <f>IFERROR(SUM($G$3:$G128),"")</f>
        <v>530869.10199999984</v>
      </c>
      <c r="W128">
        <f t="shared" si="21"/>
        <v>1367820.767</v>
      </c>
      <c r="X128">
        <f t="shared" si="22"/>
        <v>47.038266015740362</v>
      </c>
      <c r="Y128">
        <f t="shared" si="23"/>
        <v>61.188694103223838</v>
      </c>
    </row>
    <row r="129" spans="1:25" x14ac:dyDescent="0.35">
      <c r="A129">
        <v>1976</v>
      </c>
      <c r="B129">
        <v>12841.450999999999</v>
      </c>
      <c r="C129">
        <v>18224.866000000002</v>
      </c>
      <c r="D129">
        <v>13718.549000000001</v>
      </c>
      <c r="E129">
        <v>13149.370999999999</v>
      </c>
      <c r="F129">
        <v>18671.108</v>
      </c>
      <c r="G129">
        <v>13100.183000000001</v>
      </c>
      <c r="N129">
        <f>IFERROR(SUM($B$3:$B129),"")</f>
        <v>679577.53300000017</v>
      </c>
      <c r="O129">
        <f>IFERROR(SUM($C$3:$C129),"")</f>
        <v>919711.50600000028</v>
      </c>
      <c r="P129">
        <f>IFERROR(SUM($D$3:$D129),"")</f>
        <v>624001.80799999996</v>
      </c>
      <c r="Q129">
        <f t="shared" si="18"/>
        <v>1543713.3140000002</v>
      </c>
      <c r="R129">
        <f t="shared" si="19"/>
        <v>44.022262866873227</v>
      </c>
      <c r="S129">
        <f t="shared" si="20"/>
        <v>59.577869650996618</v>
      </c>
      <c r="T129">
        <f>IFERROR(SUM($E$3:$E129),"")</f>
        <v>656548.54200000025</v>
      </c>
      <c r="U129">
        <f>IFERROR(SUM($F$3:$F129),"")</f>
        <v>855622.77300000004</v>
      </c>
      <c r="V129">
        <f>IFERROR(SUM($G$3:$G129),"")</f>
        <v>543969.2849999998</v>
      </c>
      <c r="W129">
        <f t="shared" si="21"/>
        <v>1399592.0579999997</v>
      </c>
      <c r="X129">
        <f t="shared" si="22"/>
        <v>46.90999339751901</v>
      </c>
      <c r="Y129">
        <f t="shared" si="23"/>
        <v>61.133725938876417</v>
      </c>
    </row>
    <row r="130" spans="1:25" x14ac:dyDescent="0.35">
      <c r="A130">
        <v>1977</v>
      </c>
      <c r="B130">
        <v>13082.07</v>
      </c>
      <c r="C130">
        <v>18598.952000000001</v>
      </c>
      <c r="D130">
        <v>14527.929</v>
      </c>
      <c r="E130">
        <v>13227.078</v>
      </c>
      <c r="F130">
        <v>18870.391</v>
      </c>
      <c r="G130">
        <v>13486.758</v>
      </c>
      <c r="N130">
        <f>IFERROR(SUM($B$3:$B130),"")</f>
        <v>692659.60300000012</v>
      </c>
      <c r="O130">
        <f>IFERROR(SUM($C$3:$C130),"")</f>
        <v>938310.45800000033</v>
      </c>
      <c r="P130">
        <f>IFERROR(SUM($D$3:$D130),"")</f>
        <v>638529.73699999996</v>
      </c>
      <c r="Q130">
        <f t="shared" si="18"/>
        <v>1576840.1950000003</v>
      </c>
      <c r="R130">
        <f t="shared" si="19"/>
        <v>43.927064086541755</v>
      </c>
      <c r="S130">
        <f t="shared" si="20"/>
        <v>59.505741988014215</v>
      </c>
      <c r="T130">
        <f>IFERROR(SUM($E$3:$E130),"")</f>
        <v>669775.62000000023</v>
      </c>
      <c r="U130">
        <f>IFERROR(SUM($F$3:$F130),"")</f>
        <v>874493.16399999999</v>
      </c>
      <c r="V130">
        <f>IFERROR(SUM($G$3:$G130),"")</f>
        <v>557456.04299999983</v>
      </c>
      <c r="W130">
        <f t="shared" si="21"/>
        <v>1431949.2069999999</v>
      </c>
      <c r="X130">
        <f t="shared" si="22"/>
        <v>46.773699564610347</v>
      </c>
      <c r="Y130">
        <f t="shared" si="23"/>
        <v>61.070124535499673</v>
      </c>
    </row>
    <row r="131" spans="1:25" x14ac:dyDescent="0.35">
      <c r="A131">
        <v>1978</v>
      </c>
      <c r="B131">
        <v>13154.111000000001</v>
      </c>
      <c r="C131">
        <v>18845.444</v>
      </c>
      <c r="D131">
        <v>14955.882</v>
      </c>
      <c r="E131">
        <v>13486.94</v>
      </c>
      <c r="F131">
        <v>19276.017</v>
      </c>
      <c r="G131">
        <v>13860.380999999999</v>
      </c>
      <c r="N131">
        <f>IFERROR(SUM($B$3:$B131),"")</f>
        <v>705813.71400000015</v>
      </c>
      <c r="O131">
        <f>IFERROR(SUM($C$3:$C131),"")</f>
        <v>957155.90200000035</v>
      </c>
      <c r="P131">
        <f>IFERROR(SUM($D$3:$D131),"")</f>
        <v>653485.61899999995</v>
      </c>
      <c r="Q131">
        <f t="shared" ref="Q131:Q162" si="24">IFERROR(O131+P131,"")</f>
        <v>1610641.5210000002</v>
      </c>
      <c r="R131">
        <f t="shared" ref="R131:R162" si="25">IFERROR(N131/Q131*100,NA())</f>
        <v>43.821899832917573</v>
      </c>
      <c r="S131">
        <f t="shared" ref="S131:S162" si="26">IFERROR(O131/Q131*100,NA())</f>
        <v>59.42699784653076</v>
      </c>
      <c r="T131">
        <f>IFERROR(SUM($E$3:$E131),"")</f>
        <v>683262.56000000017</v>
      </c>
      <c r="U131">
        <f>IFERROR(SUM($F$3:$F131),"")</f>
        <v>893769.18099999998</v>
      </c>
      <c r="V131">
        <f>IFERROR(SUM($G$3:$G131),"")</f>
        <v>571316.42399999988</v>
      </c>
      <c r="W131">
        <f t="shared" ref="W131:W162" si="27">IFERROR(U131+V131,"")</f>
        <v>1465085.605</v>
      </c>
      <c r="X131">
        <f t="shared" ref="X131:X162" si="28">IFERROR(T131/W131*100,NA())</f>
        <v>46.636357470729514</v>
      </c>
      <c r="Y131">
        <f t="shared" ref="Y131:Y162" si="29">IFERROR(U131/W131*100,NA())</f>
        <v>61.004570514499044</v>
      </c>
    </row>
    <row r="132" spans="1:25" x14ac:dyDescent="0.35">
      <c r="A132">
        <v>1979</v>
      </c>
      <c r="B132">
        <v>13438.103999999999</v>
      </c>
      <c r="C132">
        <v>19117.071</v>
      </c>
      <c r="D132">
        <v>14682.716</v>
      </c>
      <c r="E132">
        <v>13795.673000000001</v>
      </c>
      <c r="F132">
        <v>19613.164000000001</v>
      </c>
      <c r="G132">
        <v>14149.728999999999</v>
      </c>
      <c r="N132">
        <f>IFERROR(SUM($B$3:$B132),"")</f>
        <v>719251.8180000002</v>
      </c>
      <c r="O132">
        <f>IFERROR(SUM($C$3:$C132),"")</f>
        <v>976272.97300000035</v>
      </c>
      <c r="P132">
        <f>IFERROR(SUM($D$3:$D132),"")</f>
        <v>668168.33499999996</v>
      </c>
      <c r="Q132">
        <f t="shared" si="24"/>
        <v>1644441.3080000002</v>
      </c>
      <c r="R132">
        <f t="shared" si="25"/>
        <v>43.738369651803957</v>
      </c>
      <c r="S132">
        <f t="shared" si="26"/>
        <v>59.368064293359403</v>
      </c>
      <c r="T132">
        <f>IFERROR(SUM($E$3:$E132),"")</f>
        <v>697058.23300000012</v>
      </c>
      <c r="U132">
        <f>IFERROR(SUM($F$3:$F132),"")</f>
        <v>913382.34499999997</v>
      </c>
      <c r="V132">
        <f>IFERROR(SUM($G$3:$G132),"")</f>
        <v>585466.15299999993</v>
      </c>
      <c r="W132">
        <f t="shared" si="27"/>
        <v>1498848.4979999999</v>
      </c>
      <c r="X132">
        <f t="shared" si="28"/>
        <v>46.506250226765758</v>
      </c>
      <c r="Y132">
        <f t="shared" si="29"/>
        <v>60.938937205379915</v>
      </c>
    </row>
    <row r="133" spans="1:25" x14ac:dyDescent="0.35">
      <c r="A133">
        <v>1980</v>
      </c>
      <c r="B133">
        <v>13179.019</v>
      </c>
      <c r="C133">
        <v>19122.404999999999</v>
      </c>
      <c r="D133">
        <v>14713.674999999999</v>
      </c>
      <c r="E133">
        <v>13409.076999999999</v>
      </c>
      <c r="F133">
        <v>19350.901000000002</v>
      </c>
      <c r="G133">
        <v>14089.218999999999</v>
      </c>
      <c r="N133">
        <f>IFERROR(SUM($B$3:$B133),"")</f>
        <v>732430.83700000017</v>
      </c>
      <c r="O133">
        <f>IFERROR(SUM($C$3:$C133),"")</f>
        <v>995395.37800000038</v>
      </c>
      <c r="P133">
        <f>IFERROR(SUM($D$3:$D133),"")</f>
        <v>682882.01</v>
      </c>
      <c r="Q133">
        <f t="shared" si="24"/>
        <v>1678277.3880000003</v>
      </c>
      <c r="R133">
        <f t="shared" si="25"/>
        <v>43.641822397001754</v>
      </c>
      <c r="S133">
        <f t="shared" si="26"/>
        <v>59.310539790219721</v>
      </c>
      <c r="T133">
        <f>IFERROR(SUM($E$3:$E133),"")</f>
        <v>710467.31000000017</v>
      </c>
      <c r="U133">
        <f>IFERROR(SUM($F$3:$F133),"")</f>
        <v>932733.24599999993</v>
      </c>
      <c r="V133">
        <f>IFERROR(SUM($G$3:$G133),"")</f>
        <v>599555.37199999997</v>
      </c>
      <c r="W133">
        <f t="shared" si="27"/>
        <v>1532288.6179999998</v>
      </c>
      <c r="X133">
        <f t="shared" si="28"/>
        <v>46.366415677441275</v>
      </c>
      <c r="Y133">
        <f t="shared" si="29"/>
        <v>60.871903311364285</v>
      </c>
    </row>
    <row r="134" spans="1:25" x14ac:dyDescent="0.35">
      <c r="A134">
        <v>1981</v>
      </c>
      <c r="B134">
        <v>12710.737999999999</v>
      </c>
      <c r="C134">
        <v>18391.236000000001</v>
      </c>
      <c r="D134">
        <v>14560.887000000001</v>
      </c>
      <c r="E134">
        <v>13018.56</v>
      </c>
      <c r="F134">
        <v>18823.841</v>
      </c>
      <c r="G134">
        <v>14120.948</v>
      </c>
      <c r="N134">
        <f>IFERROR(SUM($B$3:$B134),"")</f>
        <v>745141.57500000019</v>
      </c>
      <c r="O134">
        <f>IFERROR(SUM($C$3:$C134),"")</f>
        <v>1013786.6140000004</v>
      </c>
      <c r="P134">
        <f>IFERROR(SUM($D$3:$D134),"")</f>
        <v>697442.897</v>
      </c>
      <c r="Q134">
        <f t="shared" si="24"/>
        <v>1711229.5110000004</v>
      </c>
      <c r="R134">
        <f t="shared" si="25"/>
        <v>43.544221871475195</v>
      </c>
      <c r="S134">
        <f t="shared" si="26"/>
        <v>59.243170333567264</v>
      </c>
      <c r="T134">
        <f>IFERROR(SUM($E$3:$E134),"")</f>
        <v>723485.87000000023</v>
      </c>
      <c r="U134">
        <f>IFERROR(SUM($F$3:$F134),"")</f>
        <v>951557.08699999994</v>
      </c>
      <c r="V134">
        <f>IFERROR(SUM($G$3:$G134),"")</f>
        <v>613676.31999999995</v>
      </c>
      <c r="W134">
        <f t="shared" si="27"/>
        <v>1565233.4069999999</v>
      </c>
      <c r="X134">
        <f t="shared" si="28"/>
        <v>46.222235403642919</v>
      </c>
      <c r="Y134">
        <f t="shared" si="29"/>
        <v>60.793302950503659</v>
      </c>
    </row>
    <row r="135" spans="1:25" x14ac:dyDescent="0.35">
      <c r="A135">
        <v>1982</v>
      </c>
      <c r="B135">
        <v>12246.287</v>
      </c>
      <c r="C135">
        <v>18048.564999999999</v>
      </c>
      <c r="D135">
        <v>14620.4</v>
      </c>
      <c r="E135">
        <v>12535.825999999999</v>
      </c>
      <c r="F135">
        <v>18425.731</v>
      </c>
      <c r="G135">
        <v>15106.401</v>
      </c>
      <c r="N135">
        <f>IFERROR(SUM($B$3:$B135),"")</f>
        <v>757387.8620000002</v>
      </c>
      <c r="O135">
        <f>IFERROR(SUM($C$3:$C135),"")</f>
        <v>1031835.1790000004</v>
      </c>
      <c r="P135">
        <f>IFERROR(SUM($D$3:$D135),"")</f>
        <v>712063.29700000002</v>
      </c>
      <c r="Q135">
        <f t="shared" si="24"/>
        <v>1743898.4760000003</v>
      </c>
      <c r="R135">
        <f t="shared" si="25"/>
        <v>43.43073134264268</v>
      </c>
      <c r="S135">
        <f t="shared" si="26"/>
        <v>59.168305563677791</v>
      </c>
      <c r="T135">
        <f>IFERROR(SUM($E$3:$E135),"")</f>
        <v>736021.69600000023</v>
      </c>
      <c r="U135">
        <f>IFERROR(SUM($F$3:$F135),"")</f>
        <v>969982.81799999997</v>
      </c>
      <c r="V135">
        <f>IFERROR(SUM($G$3:$G135),"")</f>
        <v>628782.7209999999</v>
      </c>
      <c r="W135">
        <f t="shared" si="27"/>
        <v>1598765.5389999999</v>
      </c>
      <c r="X135">
        <f t="shared" si="28"/>
        <v>46.036875204376059</v>
      </c>
      <c r="Y135">
        <f t="shared" si="29"/>
        <v>60.670735910827013</v>
      </c>
    </row>
    <row r="136" spans="1:25" x14ac:dyDescent="0.35">
      <c r="A136">
        <v>1983</v>
      </c>
      <c r="B136">
        <v>12218.709000000001</v>
      </c>
      <c r="C136">
        <v>18083.766</v>
      </c>
      <c r="D136">
        <v>15125.017</v>
      </c>
      <c r="E136">
        <v>12464.137000000001</v>
      </c>
      <c r="F136">
        <v>18413.732</v>
      </c>
      <c r="G136">
        <v>15560.825999999999</v>
      </c>
      <c r="N136">
        <f>IFERROR(SUM($B$3:$B136),"")</f>
        <v>769606.57100000023</v>
      </c>
      <c r="O136">
        <f>IFERROR(SUM($C$3:$C136),"")</f>
        <v>1049918.9450000003</v>
      </c>
      <c r="P136">
        <f>IFERROR(SUM($D$3:$D136),"")</f>
        <v>727188.31400000001</v>
      </c>
      <c r="Q136">
        <f t="shared" si="24"/>
        <v>1777107.2590000003</v>
      </c>
      <c r="R136">
        <f t="shared" si="25"/>
        <v>43.306703470057691</v>
      </c>
      <c r="S136">
        <f t="shared" si="26"/>
        <v>59.080223755925822</v>
      </c>
      <c r="T136">
        <f>IFERROR(SUM($E$3:$E136),"")</f>
        <v>748485.83300000022</v>
      </c>
      <c r="U136">
        <f>IFERROR(SUM($F$3:$F136),"")</f>
        <v>988396.54999999993</v>
      </c>
      <c r="V136">
        <f>IFERROR(SUM($G$3:$G136),"")</f>
        <v>644343.5469999999</v>
      </c>
      <c r="W136">
        <f t="shared" si="27"/>
        <v>1632740.0969999998</v>
      </c>
      <c r="X136">
        <f t="shared" si="28"/>
        <v>45.842313444452657</v>
      </c>
      <c r="Y136">
        <f t="shared" si="29"/>
        <v>60.536061545623944</v>
      </c>
    </row>
    <row r="137" spans="1:25" x14ac:dyDescent="0.35">
      <c r="A137">
        <v>1984</v>
      </c>
      <c r="B137">
        <v>12426.436</v>
      </c>
      <c r="C137">
        <v>18365.352999999999</v>
      </c>
      <c r="D137">
        <v>16070.306</v>
      </c>
      <c r="E137">
        <v>12718.941999999999</v>
      </c>
      <c r="F137">
        <v>18735.654999999999</v>
      </c>
      <c r="G137">
        <v>16137.922</v>
      </c>
      <c r="N137">
        <f>IFERROR(SUM($B$3:$B137),"")</f>
        <v>782033.00700000022</v>
      </c>
      <c r="O137">
        <f>IFERROR(SUM($C$3:$C137),"")</f>
        <v>1068284.2980000002</v>
      </c>
      <c r="P137">
        <f>IFERROR(SUM($D$3:$D137),"")</f>
        <v>743258.62</v>
      </c>
      <c r="Q137">
        <f t="shared" si="24"/>
        <v>1811542.9180000001</v>
      </c>
      <c r="R137">
        <f t="shared" si="25"/>
        <v>43.169444081589248</v>
      </c>
      <c r="S137">
        <f t="shared" si="26"/>
        <v>58.970962674150684</v>
      </c>
      <c r="T137">
        <f>IFERROR(SUM($E$3:$E137),"")</f>
        <v>761204.77500000026</v>
      </c>
      <c r="U137">
        <f>IFERROR(SUM($F$3:$F137),"")</f>
        <v>1007132.205</v>
      </c>
      <c r="V137">
        <f>IFERROR(SUM($G$3:$G137),"")</f>
        <v>660481.46899999992</v>
      </c>
      <c r="W137">
        <f t="shared" si="27"/>
        <v>1667613.6739999999</v>
      </c>
      <c r="X137">
        <f t="shared" si="28"/>
        <v>45.646350043061609</v>
      </c>
      <c r="Y137">
        <f t="shared" si="29"/>
        <v>60.393616381440154</v>
      </c>
    </row>
    <row r="138" spans="1:25" x14ac:dyDescent="0.35">
      <c r="A138">
        <v>1985</v>
      </c>
      <c r="B138">
        <v>12472.437</v>
      </c>
      <c r="C138">
        <v>18705.612000000001</v>
      </c>
      <c r="D138">
        <v>16859.393</v>
      </c>
      <c r="E138">
        <v>12763.718999999999</v>
      </c>
      <c r="F138">
        <v>19030.951000000001</v>
      </c>
      <c r="G138">
        <v>16633.281999999999</v>
      </c>
      <c r="N138">
        <f>IFERROR(SUM($B$3:$B138),"")</f>
        <v>794505.44400000025</v>
      </c>
      <c r="O138">
        <f>IFERROR(SUM($C$3:$C138),"")</f>
        <v>1086989.9100000001</v>
      </c>
      <c r="P138">
        <f>IFERROR(SUM($D$3:$D138),"")</f>
        <v>760118.01300000004</v>
      </c>
      <c r="Q138">
        <f t="shared" si="24"/>
        <v>1847107.9230000002</v>
      </c>
      <c r="R138">
        <f t="shared" si="25"/>
        <v>43.013482542459982</v>
      </c>
      <c r="S138">
        <f t="shared" si="26"/>
        <v>58.848207864029611</v>
      </c>
      <c r="T138">
        <f>IFERROR(SUM($E$3:$E138),"")</f>
        <v>773968.4940000003</v>
      </c>
      <c r="U138">
        <f>IFERROR(SUM($F$3:$F138),"")</f>
        <v>1026163.156</v>
      </c>
      <c r="V138">
        <f>IFERROR(SUM($G$3:$G138),"")</f>
        <v>677114.75099999993</v>
      </c>
      <c r="W138">
        <f t="shared" si="27"/>
        <v>1703277.9069999999</v>
      </c>
      <c r="X138">
        <f t="shared" si="28"/>
        <v>45.439942056384595</v>
      </c>
      <c r="Y138">
        <f t="shared" si="29"/>
        <v>60.246372701879949</v>
      </c>
    </row>
    <row r="139" spans="1:25" x14ac:dyDescent="0.35">
      <c r="A139">
        <v>1986</v>
      </c>
      <c r="B139">
        <v>12350.242</v>
      </c>
      <c r="C139">
        <v>18611.277999999998</v>
      </c>
      <c r="D139">
        <v>17480.02</v>
      </c>
      <c r="E139">
        <v>12720.044</v>
      </c>
      <c r="F139">
        <v>19058.894</v>
      </c>
      <c r="G139">
        <v>17041.917000000001</v>
      </c>
      <c r="N139">
        <f>IFERROR(SUM($B$3:$B139),"")</f>
        <v>806855.68600000022</v>
      </c>
      <c r="O139">
        <f>IFERROR(SUM($C$3:$C139),"")</f>
        <v>1105601.1880000001</v>
      </c>
      <c r="P139">
        <f>IFERROR(SUM($D$3:$D139),"")</f>
        <v>777598.03300000005</v>
      </c>
      <c r="Q139">
        <f t="shared" si="24"/>
        <v>1883199.2210000001</v>
      </c>
      <c r="R139">
        <f t="shared" si="25"/>
        <v>42.844945824242146</v>
      </c>
      <c r="S139">
        <f t="shared" si="26"/>
        <v>58.708668507886983</v>
      </c>
      <c r="T139">
        <f>IFERROR(SUM($E$3:$E139),"")</f>
        <v>786688.53800000029</v>
      </c>
      <c r="U139">
        <f>IFERROR(SUM($F$3:$F139),"")</f>
        <v>1045222.0499999999</v>
      </c>
      <c r="V139">
        <f>IFERROR(SUM($G$3:$G139),"")</f>
        <v>694156.66799999995</v>
      </c>
      <c r="W139">
        <f t="shared" si="27"/>
        <v>1739378.7179999999</v>
      </c>
      <c r="X139">
        <f t="shared" si="28"/>
        <v>45.228134037684619</v>
      </c>
      <c r="Y139">
        <f t="shared" si="29"/>
        <v>60.091689014215021</v>
      </c>
    </row>
    <row r="140" spans="1:25" x14ac:dyDescent="0.35">
      <c r="A140">
        <v>1987</v>
      </c>
      <c r="B140">
        <v>12542.266</v>
      </c>
      <c r="C140">
        <v>18798.812000000002</v>
      </c>
      <c r="D140">
        <v>17489.823</v>
      </c>
      <c r="E140">
        <v>12955.128000000001</v>
      </c>
      <c r="F140">
        <v>19330.481</v>
      </c>
      <c r="G140">
        <v>17495.941999999999</v>
      </c>
      <c r="N140">
        <f>IFERROR(SUM($B$3:$B140),"")</f>
        <v>819397.95200000016</v>
      </c>
      <c r="O140">
        <f>IFERROR(SUM($C$3:$C140),"")</f>
        <v>1124400</v>
      </c>
      <c r="P140">
        <f>IFERROR(SUM($D$3:$D140),"")</f>
        <v>795087.85600000003</v>
      </c>
      <c r="Q140">
        <f t="shared" si="24"/>
        <v>1919487.8560000001</v>
      </c>
      <c r="R140">
        <f t="shared" si="25"/>
        <v>42.688363431875764</v>
      </c>
      <c r="S140">
        <f t="shared" si="26"/>
        <v>58.578125226753187</v>
      </c>
      <c r="T140">
        <f>IFERROR(SUM($E$3:$E140),"")</f>
        <v>799643.66600000032</v>
      </c>
      <c r="U140">
        <f>IFERROR(SUM($F$3:$F140),"")</f>
        <v>1064552.531</v>
      </c>
      <c r="V140">
        <f>IFERROR(SUM($G$3:$G140),"")</f>
        <v>711652.61</v>
      </c>
      <c r="W140">
        <f t="shared" si="27"/>
        <v>1776205.1409999998</v>
      </c>
      <c r="X140">
        <f t="shared" si="28"/>
        <v>45.019781079442353</v>
      </c>
      <c r="Y140">
        <f t="shared" si="29"/>
        <v>59.934098062606608</v>
      </c>
    </row>
    <row r="141" spans="1:25" x14ac:dyDescent="0.35">
      <c r="A141">
        <v>1988</v>
      </c>
      <c r="B141">
        <v>12852.85</v>
      </c>
      <c r="C141">
        <v>19131.101999999999</v>
      </c>
      <c r="D141">
        <v>17717.401000000002</v>
      </c>
      <c r="E141">
        <v>13317.812</v>
      </c>
      <c r="F141">
        <v>19696.288</v>
      </c>
      <c r="G141">
        <v>18079.927</v>
      </c>
      <c r="N141">
        <f>IFERROR(SUM($B$3:$B141),"")</f>
        <v>832250.80200000014</v>
      </c>
      <c r="O141">
        <f>IFERROR(SUM($C$3:$C141),"")</f>
        <v>1143531.102</v>
      </c>
      <c r="P141">
        <f>IFERROR(SUM($D$3:$D141),"")</f>
        <v>812805.25699999998</v>
      </c>
      <c r="Q141">
        <f t="shared" si="24"/>
        <v>1956336.3589999999</v>
      </c>
      <c r="R141">
        <f t="shared" si="25"/>
        <v>42.541293994321769</v>
      </c>
      <c r="S141">
        <f t="shared" si="26"/>
        <v>58.452683596011411</v>
      </c>
      <c r="T141">
        <f>IFERROR(SUM($E$3:$E141),"")</f>
        <v>812961.47800000035</v>
      </c>
      <c r="U141">
        <f>IFERROR(SUM($F$3:$F141),"")</f>
        <v>1084248.8189999999</v>
      </c>
      <c r="V141">
        <f>IFERROR(SUM($G$3:$G141),"")</f>
        <v>729732.53700000001</v>
      </c>
      <c r="W141">
        <f t="shared" si="27"/>
        <v>1813981.3559999999</v>
      </c>
      <c r="X141">
        <f t="shared" si="28"/>
        <v>44.816418609321161</v>
      </c>
      <c r="Y141">
        <f t="shared" si="29"/>
        <v>59.771773034694853</v>
      </c>
    </row>
    <row r="142" spans="1:25" x14ac:dyDescent="0.35">
      <c r="A142">
        <v>1989</v>
      </c>
      <c r="B142">
        <v>13065.592000000001</v>
      </c>
      <c r="C142">
        <v>19183.045999999998</v>
      </c>
      <c r="D142">
        <v>17926.701000000001</v>
      </c>
      <c r="E142">
        <v>13533.434999999999</v>
      </c>
      <c r="F142">
        <v>19784.856</v>
      </c>
      <c r="G142">
        <v>18507.54</v>
      </c>
      <c r="N142">
        <f>IFERROR(SUM($B$3:$B142),"")</f>
        <v>845316.39400000009</v>
      </c>
      <c r="O142">
        <f>IFERROR(SUM($C$3:$C142),"")</f>
        <v>1162714.148</v>
      </c>
      <c r="P142">
        <f>IFERROR(SUM($D$3:$D142),"")</f>
        <v>830731.95799999998</v>
      </c>
      <c r="Q142">
        <f t="shared" si="24"/>
        <v>1993446.1060000001</v>
      </c>
      <c r="R142">
        <f t="shared" si="25"/>
        <v>42.404777909757044</v>
      </c>
      <c r="S142">
        <f t="shared" si="26"/>
        <v>58.326841367839819</v>
      </c>
      <c r="T142">
        <f>IFERROR(SUM($E$3:$E142),"")</f>
        <v>826494.91300000041</v>
      </c>
      <c r="U142">
        <f>IFERROR(SUM($F$3:$F142),"")</f>
        <v>1104033.6749999998</v>
      </c>
      <c r="V142">
        <f>IFERROR(SUM($G$3:$G142),"")</f>
        <v>748240.07700000005</v>
      </c>
      <c r="W142">
        <f t="shared" si="27"/>
        <v>1852273.7519999999</v>
      </c>
      <c r="X142">
        <f t="shared" si="28"/>
        <v>44.620559574824689</v>
      </c>
      <c r="Y142">
        <f t="shared" si="29"/>
        <v>59.604239049865882</v>
      </c>
    </row>
    <row r="143" spans="1:25" x14ac:dyDescent="0.35">
      <c r="A143">
        <v>1990</v>
      </c>
      <c r="B143">
        <v>13567.904</v>
      </c>
      <c r="C143">
        <v>19712.12</v>
      </c>
      <c r="D143">
        <v>17852.914000000001</v>
      </c>
      <c r="E143">
        <v>12359.763999999999</v>
      </c>
      <c r="F143">
        <v>17237.502</v>
      </c>
      <c r="G143">
        <v>15440.382</v>
      </c>
      <c r="N143">
        <f>IFERROR(SUM($B$3:$B143),"")</f>
        <v>858884.29800000007</v>
      </c>
      <c r="O143">
        <f>IFERROR(SUM($C$3:$C143),"")</f>
        <v>1182426.2680000002</v>
      </c>
      <c r="P143">
        <f>IFERROR(SUM($D$3:$D143),"")</f>
        <v>848584.87199999997</v>
      </c>
      <c r="Q143">
        <f t="shared" si="24"/>
        <v>2031011.1400000001</v>
      </c>
      <c r="R143">
        <f t="shared" si="25"/>
        <v>42.288507486965337</v>
      </c>
      <c r="S143">
        <f t="shared" si="26"/>
        <v>58.218600809840957</v>
      </c>
      <c r="T143">
        <f>IFERROR(SUM($E$3:$E143),"")</f>
        <v>838854.67700000037</v>
      </c>
      <c r="U143">
        <f>IFERROR(SUM($F$3:$F143),"")</f>
        <v>1121271.1769999999</v>
      </c>
      <c r="V143">
        <f>IFERROR(SUM($G$3:$G143),"")</f>
        <v>763680.45900000003</v>
      </c>
      <c r="W143">
        <f t="shared" si="27"/>
        <v>1884951.6359999999</v>
      </c>
      <c r="X143">
        <f t="shared" si="28"/>
        <v>44.502716195950207</v>
      </c>
      <c r="Y143">
        <f t="shared" si="29"/>
        <v>59.485408303600629</v>
      </c>
    </row>
    <row r="144" spans="1:25" x14ac:dyDescent="0.35">
      <c r="A144">
        <v>1991</v>
      </c>
      <c r="B144">
        <v>13491.061</v>
      </c>
      <c r="C144">
        <v>19277.760999999999</v>
      </c>
      <c r="D144">
        <v>18603.04</v>
      </c>
      <c r="E144">
        <v>12198.771000000001</v>
      </c>
      <c r="F144">
        <v>16499.663</v>
      </c>
      <c r="G144">
        <v>16181.271000000001</v>
      </c>
      <c r="N144">
        <f>IFERROR(SUM($B$3:$B144),"")</f>
        <v>872375.35900000005</v>
      </c>
      <c r="O144">
        <f>IFERROR(SUM($C$3:$C144),"")</f>
        <v>1201704.0290000001</v>
      </c>
      <c r="P144">
        <f>IFERROR(SUM($D$3:$D144),"")</f>
        <v>867187.91200000001</v>
      </c>
      <c r="Q144">
        <f t="shared" si="24"/>
        <v>2068891.9410000001</v>
      </c>
      <c r="R144">
        <f t="shared" si="25"/>
        <v>42.166308530272339</v>
      </c>
      <c r="S144">
        <f t="shared" si="26"/>
        <v>58.084426991346675</v>
      </c>
      <c r="T144">
        <f>IFERROR(SUM($E$3:$E144),"")</f>
        <v>851053.44800000032</v>
      </c>
      <c r="U144">
        <f>IFERROR(SUM($F$3:$F144),"")</f>
        <v>1137770.8399999999</v>
      </c>
      <c r="V144">
        <f>IFERROR(SUM($G$3:$G144),"")</f>
        <v>779861.73</v>
      </c>
      <c r="W144">
        <f t="shared" si="27"/>
        <v>1917632.5699999998</v>
      </c>
      <c r="X144">
        <f t="shared" si="28"/>
        <v>44.380423096380781</v>
      </c>
      <c r="Y144">
        <f t="shared" si="29"/>
        <v>59.332056505485816</v>
      </c>
    </row>
    <row r="145" spans="1:25" x14ac:dyDescent="0.35">
      <c r="A145">
        <v>1992</v>
      </c>
      <c r="B145">
        <v>13522.205</v>
      </c>
      <c r="C145">
        <v>18589.396000000001</v>
      </c>
      <c r="D145">
        <v>18858.056</v>
      </c>
      <c r="E145">
        <v>12202.289000000001</v>
      </c>
      <c r="F145">
        <v>15824.74</v>
      </c>
      <c r="G145">
        <v>16275.291999999999</v>
      </c>
      <c r="N145">
        <f>IFERROR(SUM($B$3:$B145),"")</f>
        <v>885897.56400000001</v>
      </c>
      <c r="O145">
        <f>IFERROR(SUM($C$3:$C145),"")</f>
        <v>1220293.425</v>
      </c>
      <c r="P145">
        <f>IFERROR(SUM($D$3:$D145),"")</f>
        <v>886045.96799999999</v>
      </c>
      <c r="Q145">
        <f t="shared" si="24"/>
        <v>2106339.3930000002</v>
      </c>
      <c r="R145">
        <f t="shared" si="25"/>
        <v>42.058633425558305</v>
      </c>
      <c r="S145">
        <f t="shared" si="26"/>
        <v>57.934320986228641</v>
      </c>
      <c r="T145">
        <f>IFERROR(SUM($E$3:$E145),"")</f>
        <v>863255.73700000031</v>
      </c>
      <c r="U145">
        <f>IFERROR(SUM($F$3:$F145),"")</f>
        <v>1153595.5799999998</v>
      </c>
      <c r="V145">
        <f>IFERROR(SUM($G$3:$G145),"")</f>
        <v>796137.022</v>
      </c>
      <c r="W145">
        <f t="shared" si="27"/>
        <v>1949732.602</v>
      </c>
      <c r="X145">
        <f t="shared" si="28"/>
        <v>44.275596362008223</v>
      </c>
      <c r="Y145">
        <f t="shared" si="29"/>
        <v>59.166861077086295</v>
      </c>
    </row>
    <row r="146" spans="1:25" x14ac:dyDescent="0.35">
      <c r="A146">
        <v>1993</v>
      </c>
      <c r="B146">
        <v>13522.06</v>
      </c>
      <c r="C146">
        <v>18278.925999999999</v>
      </c>
      <c r="D146">
        <v>19139.017</v>
      </c>
      <c r="E146">
        <v>12223.611000000001</v>
      </c>
      <c r="F146">
        <v>15433.86</v>
      </c>
      <c r="G146">
        <v>16683.197</v>
      </c>
      <c r="N146">
        <f>IFERROR(SUM($B$3:$B146),"")</f>
        <v>899419.62400000007</v>
      </c>
      <c r="O146">
        <f>IFERROR(SUM($C$3:$C146),"")</f>
        <v>1238572.351</v>
      </c>
      <c r="P146">
        <f>IFERROR(SUM($D$3:$D146),"")</f>
        <v>905184.98499999999</v>
      </c>
      <c r="Q146">
        <f t="shared" si="24"/>
        <v>2143757.3360000001</v>
      </c>
      <c r="R146">
        <f t="shared" si="25"/>
        <v>41.955290782967616</v>
      </c>
      <c r="S146">
        <f t="shared" si="26"/>
        <v>57.775772014897484</v>
      </c>
      <c r="T146">
        <f>IFERROR(SUM($E$3:$E146),"")</f>
        <v>875479.34800000035</v>
      </c>
      <c r="U146">
        <f>IFERROR(SUM($F$3:$F146),"")</f>
        <v>1169029.44</v>
      </c>
      <c r="V146">
        <f>IFERROR(SUM($G$3:$G146),"")</f>
        <v>812820.21900000004</v>
      </c>
      <c r="W146">
        <f t="shared" si="27"/>
        <v>1981849.659</v>
      </c>
      <c r="X146">
        <f t="shared" si="28"/>
        <v>44.174861802673213</v>
      </c>
      <c r="Y146">
        <f t="shared" si="29"/>
        <v>58.986787150639252</v>
      </c>
    </row>
    <row r="147" spans="1:25" x14ac:dyDescent="0.35">
      <c r="A147">
        <v>1994</v>
      </c>
      <c r="B147">
        <v>13674.412</v>
      </c>
      <c r="C147">
        <v>17965.23</v>
      </c>
      <c r="D147">
        <v>20691.273000000001</v>
      </c>
      <c r="E147">
        <v>12394.957</v>
      </c>
      <c r="F147">
        <v>14986.861999999999</v>
      </c>
      <c r="G147">
        <v>14755.968000000001</v>
      </c>
      <c r="N147">
        <f>IFERROR(SUM($B$3:$B147),"")</f>
        <v>913094.03600000008</v>
      </c>
      <c r="O147">
        <f>IFERROR(SUM($C$3:$C147),"")</f>
        <v>1256537.581</v>
      </c>
      <c r="P147">
        <f>IFERROR(SUM($D$3:$D147),"")</f>
        <v>925876.25800000003</v>
      </c>
      <c r="Q147">
        <f t="shared" si="24"/>
        <v>2182413.8390000002</v>
      </c>
      <c r="R147">
        <f t="shared" si="25"/>
        <v>41.83872094663711</v>
      </c>
      <c r="S147">
        <f t="shared" si="26"/>
        <v>57.575587111184909</v>
      </c>
      <c r="T147">
        <f>IFERROR(SUM($E$3:$E147),"")</f>
        <v>887874.3050000004</v>
      </c>
      <c r="U147">
        <f>IFERROR(SUM($F$3:$F147),"")</f>
        <v>1184016.3019999999</v>
      </c>
      <c r="V147">
        <f>IFERROR(SUM($G$3:$G147),"")</f>
        <v>827576.18700000003</v>
      </c>
      <c r="W147">
        <f t="shared" si="27"/>
        <v>2011592.4890000001</v>
      </c>
      <c r="X147">
        <f t="shared" si="28"/>
        <v>44.13788129828319</v>
      </c>
      <c r="Y147">
        <f t="shared" si="29"/>
        <v>58.859650176393153</v>
      </c>
    </row>
    <row r="148" spans="1:25" x14ac:dyDescent="0.35">
      <c r="A148">
        <v>1995</v>
      </c>
      <c r="B148">
        <v>13839.907999999999</v>
      </c>
      <c r="C148">
        <v>17977.053</v>
      </c>
      <c r="D148">
        <v>20947.259999999998</v>
      </c>
      <c r="E148">
        <v>12565.603999999999</v>
      </c>
      <c r="F148">
        <v>14976.334000000001</v>
      </c>
      <c r="G148">
        <v>16035.243</v>
      </c>
      <c r="N148">
        <f>IFERROR(SUM($B$3:$B148),"")</f>
        <v>926933.94400000013</v>
      </c>
      <c r="O148">
        <f>IFERROR(SUM($C$3:$C148),"")</f>
        <v>1274514.6340000001</v>
      </c>
      <c r="P148">
        <f>IFERROR(SUM($D$3:$D148),"")</f>
        <v>946823.51800000004</v>
      </c>
      <c r="Q148">
        <f t="shared" si="24"/>
        <v>2221338.1520000002</v>
      </c>
      <c r="R148">
        <f t="shared" si="25"/>
        <v>41.728628447020888</v>
      </c>
      <c r="S148">
        <f t="shared" si="26"/>
        <v>57.375984509719068</v>
      </c>
      <c r="T148">
        <f>IFERROR(SUM($E$3:$E148),"")</f>
        <v>900439.90900000045</v>
      </c>
      <c r="U148">
        <f>IFERROR(SUM($F$3:$F148),"")</f>
        <v>1198992.6359999999</v>
      </c>
      <c r="V148">
        <f>IFERROR(SUM($G$3:$G148),"")</f>
        <v>843611.43</v>
      </c>
      <c r="W148">
        <f t="shared" si="27"/>
        <v>2042604.0660000001</v>
      </c>
      <c r="X148">
        <f t="shared" si="28"/>
        <v>44.082939223915183</v>
      </c>
      <c r="Y148">
        <f t="shared" si="29"/>
        <v>58.699219097706425</v>
      </c>
    </row>
    <row r="149" spans="1:25" x14ac:dyDescent="0.35">
      <c r="A149">
        <v>1996</v>
      </c>
      <c r="B149">
        <v>14139.195</v>
      </c>
      <c r="C149">
        <v>18597.606</v>
      </c>
      <c r="D149">
        <v>21390.793000000001</v>
      </c>
      <c r="E149">
        <v>12825.447</v>
      </c>
      <c r="F149">
        <v>15432.814</v>
      </c>
      <c r="G149">
        <v>15886.050999999999</v>
      </c>
      <c r="N149">
        <f>IFERROR(SUM($B$3:$B149),"")</f>
        <v>941073.13900000008</v>
      </c>
      <c r="O149">
        <f>IFERROR(SUM($C$3:$C149),"")</f>
        <v>1293112.24</v>
      </c>
      <c r="P149">
        <f>IFERROR(SUM($D$3:$D149),"")</f>
        <v>968214.31099999999</v>
      </c>
      <c r="Q149">
        <f t="shared" si="24"/>
        <v>2261326.551</v>
      </c>
      <c r="R149">
        <f t="shared" si="25"/>
        <v>41.615977072565677</v>
      </c>
      <c r="S149">
        <f t="shared" si="26"/>
        <v>57.183790612999353</v>
      </c>
      <c r="T149">
        <f>IFERROR(SUM($E$3:$E149),"")</f>
        <v>913265.35600000049</v>
      </c>
      <c r="U149">
        <f>IFERROR(SUM($F$3:$F149),"")</f>
        <v>1214425.45</v>
      </c>
      <c r="V149">
        <f>IFERROR(SUM($G$3:$G149),"")</f>
        <v>859497.48100000003</v>
      </c>
      <c r="W149">
        <f t="shared" si="27"/>
        <v>2073922.9309999999</v>
      </c>
      <c r="X149">
        <f t="shared" si="28"/>
        <v>44.035645797100287</v>
      </c>
      <c r="Y149">
        <f t="shared" si="29"/>
        <v>58.556922817494993</v>
      </c>
    </row>
    <row r="150" spans="1:25" x14ac:dyDescent="0.35">
      <c r="A150">
        <v>1997</v>
      </c>
      <c r="B150">
        <v>14059.181</v>
      </c>
      <c r="C150">
        <v>17971.185000000001</v>
      </c>
      <c r="D150">
        <v>23539.388999999999</v>
      </c>
      <c r="E150">
        <v>12841.267</v>
      </c>
      <c r="F150">
        <v>15041.124</v>
      </c>
      <c r="G150">
        <v>15774.950999999999</v>
      </c>
      <c r="N150">
        <f>IFERROR(SUM($B$3:$B150),"")</f>
        <v>955132.32000000007</v>
      </c>
      <c r="O150">
        <f>IFERROR(SUM($C$3:$C150),"")</f>
        <v>1311083.425</v>
      </c>
      <c r="P150">
        <f>IFERROR(SUM($D$3:$D150),"")</f>
        <v>991753.7</v>
      </c>
      <c r="Q150">
        <f t="shared" si="24"/>
        <v>2302837.125</v>
      </c>
      <c r="R150">
        <f t="shared" si="25"/>
        <v>41.476329768654395</v>
      </c>
      <c r="S150">
        <f t="shared" si="26"/>
        <v>56.933397970991983</v>
      </c>
      <c r="T150">
        <f>IFERROR(SUM($E$3:$E150),"")</f>
        <v>926106.62300000049</v>
      </c>
      <c r="U150">
        <f>IFERROR(SUM($F$3:$F150),"")</f>
        <v>1229466.574</v>
      </c>
      <c r="V150">
        <f>IFERROR(SUM($G$3:$G150),"")</f>
        <v>875272.43200000003</v>
      </c>
      <c r="W150">
        <f t="shared" si="27"/>
        <v>2104739.0060000001</v>
      </c>
      <c r="X150">
        <f t="shared" si="28"/>
        <v>44.001019620957244</v>
      </c>
      <c r="Y150">
        <f t="shared" si="29"/>
        <v>58.414205775402436</v>
      </c>
    </row>
    <row r="151" spans="1:25" x14ac:dyDescent="0.35">
      <c r="A151">
        <v>1998</v>
      </c>
      <c r="B151">
        <v>14144.731</v>
      </c>
      <c r="C151">
        <v>17979.267</v>
      </c>
      <c r="D151">
        <v>22144.786</v>
      </c>
      <c r="E151">
        <v>12865.704</v>
      </c>
      <c r="F151">
        <v>15244.956</v>
      </c>
      <c r="G151">
        <v>16165.741</v>
      </c>
      <c r="N151">
        <f>IFERROR(SUM($B$3:$B151),"")</f>
        <v>969277.05100000009</v>
      </c>
      <c r="O151">
        <f>IFERROR(SUM($C$3:$C151),"")</f>
        <v>1329062.692</v>
      </c>
      <c r="P151">
        <f>IFERROR(SUM($D$3:$D151),"")</f>
        <v>1013898.4859999999</v>
      </c>
      <c r="Q151">
        <f t="shared" si="24"/>
        <v>2342961.1779999998</v>
      </c>
      <c r="R151">
        <f t="shared" si="25"/>
        <v>41.369744411531187</v>
      </c>
      <c r="S151">
        <f t="shared" si="26"/>
        <v>56.725766712639924</v>
      </c>
      <c r="T151">
        <f>IFERROR(SUM($E$3:$E151),"")</f>
        <v>938972.32700000051</v>
      </c>
      <c r="U151">
        <f>IFERROR(SUM($F$3:$F151),"")</f>
        <v>1244711.53</v>
      </c>
      <c r="V151">
        <f>IFERROR(SUM($G$3:$G151),"")</f>
        <v>891438.17300000007</v>
      </c>
      <c r="W151">
        <f t="shared" si="27"/>
        <v>2136149.7030000002</v>
      </c>
      <c r="X151">
        <f t="shared" si="28"/>
        <v>43.956297898097283</v>
      </c>
      <c r="Y151">
        <f t="shared" si="29"/>
        <v>58.268927887026457</v>
      </c>
    </row>
    <row r="152" spans="1:25" x14ac:dyDescent="0.35">
      <c r="A152">
        <v>1999</v>
      </c>
      <c r="B152">
        <v>14247.844999999999</v>
      </c>
      <c r="C152">
        <v>18043.091</v>
      </c>
      <c r="D152">
        <v>22401.091</v>
      </c>
      <c r="E152">
        <v>12956.491</v>
      </c>
      <c r="F152">
        <v>14902.096</v>
      </c>
      <c r="G152">
        <v>16551.743999999999</v>
      </c>
      <c r="N152">
        <f>IFERROR(SUM($B$3:$B152),"")</f>
        <v>983524.89600000007</v>
      </c>
      <c r="O152">
        <f>IFERROR(SUM($C$3:$C152),"")</f>
        <v>1347105.7830000001</v>
      </c>
      <c r="P152">
        <f>IFERROR(SUM($D$3:$D152),"")</f>
        <v>1036299.5769999999</v>
      </c>
      <c r="Q152">
        <f t="shared" si="24"/>
        <v>2383405.36</v>
      </c>
      <c r="R152">
        <f t="shared" si="25"/>
        <v>41.265531768376995</v>
      </c>
      <c r="S152">
        <f t="shared" si="26"/>
        <v>56.520212868867603</v>
      </c>
      <c r="T152">
        <f>IFERROR(SUM($E$3:$E152),"")</f>
        <v>951928.81800000055</v>
      </c>
      <c r="U152">
        <f>IFERROR(SUM($F$3:$F152),"")</f>
        <v>1259613.6259999999</v>
      </c>
      <c r="V152">
        <f>IFERROR(SUM($G$3:$G152),"")</f>
        <v>907989.91700000002</v>
      </c>
      <c r="W152">
        <f t="shared" si="27"/>
        <v>2167603.5430000001</v>
      </c>
      <c r="X152">
        <f t="shared" si="28"/>
        <v>43.916186660338951</v>
      </c>
      <c r="Y152">
        <f t="shared" si="29"/>
        <v>58.110886101278162</v>
      </c>
    </row>
    <row r="153" spans="1:25" x14ac:dyDescent="0.35">
      <c r="A153">
        <v>2000</v>
      </c>
      <c r="B153">
        <v>14590.566999999999</v>
      </c>
      <c r="C153">
        <v>18264.277999999998</v>
      </c>
      <c r="D153">
        <v>22515.535</v>
      </c>
      <c r="E153">
        <v>13262.195</v>
      </c>
      <c r="F153">
        <v>15297.981</v>
      </c>
      <c r="G153">
        <v>16364.483</v>
      </c>
      <c r="N153">
        <f>IFERROR(SUM($B$3:$B153),"")</f>
        <v>998115.46300000011</v>
      </c>
      <c r="O153">
        <f>IFERROR(SUM($C$3:$C153),"")</f>
        <v>1365370.061</v>
      </c>
      <c r="P153">
        <f>IFERROR(SUM($D$3:$D153),"")</f>
        <v>1058815.112</v>
      </c>
      <c r="Q153">
        <f t="shared" si="24"/>
        <v>2424185.173</v>
      </c>
      <c r="R153">
        <f t="shared" si="25"/>
        <v>41.173235201533842</v>
      </c>
      <c r="S153">
        <f t="shared" si="26"/>
        <v>56.322845144305319</v>
      </c>
      <c r="T153">
        <f>IFERROR(SUM($E$3:$E153),"")</f>
        <v>965191.0130000005</v>
      </c>
      <c r="U153">
        <f>IFERROR(SUM($F$3:$F153),"")</f>
        <v>1274911.6069999998</v>
      </c>
      <c r="V153">
        <f>IFERROR(SUM($G$3:$G153),"")</f>
        <v>924354.4</v>
      </c>
      <c r="W153">
        <f t="shared" si="27"/>
        <v>2199266.0069999998</v>
      </c>
      <c r="X153">
        <f t="shared" si="28"/>
        <v>43.886960919139085</v>
      </c>
      <c r="Y153">
        <f t="shared" si="29"/>
        <v>57.969868262507099</v>
      </c>
    </row>
    <row r="154" spans="1:25" x14ac:dyDescent="0.35">
      <c r="A154">
        <v>2001</v>
      </c>
      <c r="B154">
        <v>14331.77</v>
      </c>
      <c r="C154">
        <v>18038.995999999999</v>
      </c>
      <c r="D154">
        <v>22204.716</v>
      </c>
      <c r="E154">
        <v>13092.569</v>
      </c>
      <c r="F154">
        <v>15079.125</v>
      </c>
      <c r="G154">
        <v>16773.487000000001</v>
      </c>
      <c r="N154">
        <f>IFERROR(SUM($B$3:$B154),"")</f>
        <v>1012447.2330000001</v>
      </c>
      <c r="O154">
        <f>IFERROR(SUM($C$3:$C154),"")</f>
        <v>1383409.057</v>
      </c>
      <c r="P154">
        <f>IFERROR(SUM($D$3:$D154),"")</f>
        <v>1081019.828</v>
      </c>
      <c r="Q154">
        <f t="shared" si="24"/>
        <v>2464428.8849999998</v>
      </c>
      <c r="R154">
        <f t="shared" si="25"/>
        <v>41.082428434529575</v>
      </c>
      <c r="S154">
        <f t="shared" si="26"/>
        <v>56.135077194568758</v>
      </c>
      <c r="T154">
        <f>IFERROR(SUM($E$3:$E154),"")</f>
        <v>978283.58200000052</v>
      </c>
      <c r="U154">
        <f>IFERROR(SUM($F$3:$F154),"")</f>
        <v>1289990.7319999998</v>
      </c>
      <c r="V154">
        <f>IFERROR(SUM($G$3:$G154),"")</f>
        <v>941127.88699999999</v>
      </c>
      <c r="W154">
        <f t="shared" si="27"/>
        <v>2231118.6189999999</v>
      </c>
      <c r="X154">
        <f t="shared" si="28"/>
        <v>43.847224153347469</v>
      </c>
      <c r="Y154">
        <f t="shared" si="29"/>
        <v>57.818115138054871</v>
      </c>
    </row>
    <row r="155" spans="1:25" x14ac:dyDescent="0.35">
      <c r="A155">
        <v>2002</v>
      </c>
      <c r="B155">
        <v>14364.741</v>
      </c>
      <c r="C155">
        <v>17996.098000000002</v>
      </c>
      <c r="D155">
        <v>23410.516</v>
      </c>
      <c r="E155">
        <v>13251.282999999999</v>
      </c>
      <c r="F155">
        <v>15254.338</v>
      </c>
      <c r="G155">
        <v>17851.576000000001</v>
      </c>
      <c r="N155">
        <f>IFERROR(SUM($B$3:$B155),"")</f>
        <v>1026811.9740000002</v>
      </c>
      <c r="O155">
        <f>IFERROR(SUM($C$3:$C155),"")</f>
        <v>1401405.155</v>
      </c>
      <c r="P155">
        <f>IFERROR(SUM($D$3:$D155),"")</f>
        <v>1104430.344</v>
      </c>
      <c r="Q155">
        <f t="shared" si="24"/>
        <v>2505835.4989999998</v>
      </c>
      <c r="R155">
        <f t="shared" si="25"/>
        <v>40.976830857802462</v>
      </c>
      <c r="S155">
        <f t="shared" si="26"/>
        <v>55.925664536209851</v>
      </c>
      <c r="T155">
        <f>IFERROR(SUM($E$3:$E155),"")</f>
        <v>991534.86500000057</v>
      </c>
      <c r="U155">
        <f>IFERROR(SUM($F$3:$F155),"")</f>
        <v>1305245.0699999998</v>
      </c>
      <c r="V155">
        <f>IFERROR(SUM($G$3:$G155),"")</f>
        <v>958979.46299999999</v>
      </c>
      <c r="W155">
        <f t="shared" si="27"/>
        <v>2264224.5329999998</v>
      </c>
      <c r="X155">
        <f t="shared" si="28"/>
        <v>43.791366560553058</v>
      </c>
      <c r="Y155">
        <f t="shared" si="29"/>
        <v>57.646450295748998</v>
      </c>
    </row>
    <row r="156" spans="1:25" x14ac:dyDescent="0.35">
      <c r="A156">
        <v>2003</v>
      </c>
      <c r="B156">
        <v>14667.239</v>
      </c>
      <c r="C156">
        <v>18473.633000000002</v>
      </c>
      <c r="D156">
        <v>25715.633999999998</v>
      </c>
      <c r="E156">
        <v>13364.656000000001</v>
      </c>
      <c r="F156">
        <v>15583.972</v>
      </c>
      <c r="G156">
        <v>20248.030999999999</v>
      </c>
      <c r="N156">
        <f>IFERROR(SUM($B$3:$B156),"")</f>
        <v>1041479.2130000001</v>
      </c>
      <c r="O156">
        <f>IFERROR(SUM($C$3:$C156),"")</f>
        <v>1419878.7879999999</v>
      </c>
      <c r="P156">
        <f>IFERROR(SUM($D$3:$D156),"")</f>
        <v>1130145.9780000001</v>
      </c>
      <c r="Q156">
        <f t="shared" si="24"/>
        <v>2550024.7659999998</v>
      </c>
      <c r="R156">
        <f t="shared" si="25"/>
        <v>40.841925415245171</v>
      </c>
      <c r="S156">
        <f t="shared" si="26"/>
        <v>55.680980315624119</v>
      </c>
      <c r="T156">
        <f>IFERROR(SUM($E$3:$E156),"")</f>
        <v>1004899.5210000005</v>
      </c>
      <c r="U156">
        <f>IFERROR(SUM($F$3:$F156),"")</f>
        <v>1320829.0419999999</v>
      </c>
      <c r="V156">
        <f>IFERROR(SUM($G$3:$G156),"")</f>
        <v>979227.49399999995</v>
      </c>
      <c r="W156">
        <f t="shared" si="27"/>
        <v>2300056.5359999998</v>
      </c>
      <c r="X156">
        <f t="shared" si="28"/>
        <v>43.690209578396235</v>
      </c>
      <c r="Y156">
        <f t="shared" si="29"/>
        <v>57.425938072680481</v>
      </c>
    </row>
    <row r="157" spans="1:25" x14ac:dyDescent="0.35">
      <c r="A157">
        <v>2004</v>
      </c>
      <c r="B157">
        <v>14741.705</v>
      </c>
      <c r="C157">
        <v>18532.89</v>
      </c>
      <c r="D157">
        <v>25870.444</v>
      </c>
      <c r="E157">
        <v>13493.121999999999</v>
      </c>
      <c r="F157">
        <v>15335.022999999999</v>
      </c>
      <c r="G157">
        <v>22014.905999999999</v>
      </c>
      <c r="N157">
        <f>IFERROR(SUM($B$3:$B157),"")</f>
        <v>1056220.9180000001</v>
      </c>
      <c r="O157">
        <f>IFERROR(SUM($C$3:$C157),"")</f>
        <v>1438411.6779999998</v>
      </c>
      <c r="P157">
        <f>IFERROR(SUM($D$3:$D157),"")</f>
        <v>1156016.422</v>
      </c>
      <c r="Q157">
        <f t="shared" si="24"/>
        <v>2594428.0999999996</v>
      </c>
      <c r="R157">
        <f t="shared" si="25"/>
        <v>40.711126972453009</v>
      </c>
      <c r="S157">
        <f t="shared" si="26"/>
        <v>55.442341146397546</v>
      </c>
      <c r="T157">
        <f>IFERROR(SUM($E$3:$E157),"")</f>
        <v>1018392.6430000005</v>
      </c>
      <c r="U157">
        <f>IFERROR(SUM($F$3:$F157),"")</f>
        <v>1336164.0649999999</v>
      </c>
      <c r="V157">
        <f>IFERROR(SUM($G$3:$G157),"")</f>
        <v>1001242.3999999999</v>
      </c>
      <c r="W157">
        <f t="shared" si="27"/>
        <v>2337406.4649999999</v>
      </c>
      <c r="X157">
        <f t="shared" si="28"/>
        <v>43.56934312663504</v>
      </c>
      <c r="Y157">
        <f t="shared" si="29"/>
        <v>57.164386468829242</v>
      </c>
    </row>
    <row r="158" spans="1:25" x14ac:dyDescent="0.35">
      <c r="A158">
        <v>2005</v>
      </c>
      <c r="B158">
        <v>14715.933999999999</v>
      </c>
      <c r="C158">
        <v>18584.277999999998</v>
      </c>
      <c r="D158">
        <v>26404.707999999999</v>
      </c>
      <c r="E158">
        <v>13476.358</v>
      </c>
      <c r="F158">
        <v>15415.919</v>
      </c>
      <c r="G158">
        <v>22204.800999999999</v>
      </c>
      <c r="N158">
        <f>IFERROR(SUM($B$3:$B158),"")</f>
        <v>1070936.852</v>
      </c>
      <c r="O158">
        <f>IFERROR(SUM($C$3:$C158),"")</f>
        <v>1456995.9559999998</v>
      </c>
      <c r="P158">
        <f>IFERROR(SUM($D$3:$D158),"")</f>
        <v>1182421.1300000001</v>
      </c>
      <c r="Q158">
        <f t="shared" si="24"/>
        <v>2639417.0860000001</v>
      </c>
      <c r="R158">
        <f t="shared" si="25"/>
        <v>40.574748783754742</v>
      </c>
      <c r="S158">
        <f t="shared" si="26"/>
        <v>55.201429274978928</v>
      </c>
      <c r="T158">
        <f>IFERROR(SUM($E$3:$E158),"")</f>
        <v>1031869.0010000005</v>
      </c>
      <c r="U158">
        <f>IFERROR(SUM($F$3:$F158),"")</f>
        <v>1351579.9839999999</v>
      </c>
      <c r="V158">
        <f>IFERROR(SUM($G$3:$G158),"")</f>
        <v>1023447.2009999999</v>
      </c>
      <c r="W158">
        <f t="shared" si="27"/>
        <v>2375027.1849999996</v>
      </c>
      <c r="X158">
        <f t="shared" si="28"/>
        <v>43.446618527863322</v>
      </c>
      <c r="Y158">
        <f t="shared" si="29"/>
        <v>56.907979518558662</v>
      </c>
    </row>
    <row r="159" spans="1:25" x14ac:dyDescent="0.35">
      <c r="A159">
        <v>2006</v>
      </c>
      <c r="B159">
        <v>14292</v>
      </c>
      <c r="C159">
        <v>18282.004000000001</v>
      </c>
      <c r="D159">
        <v>27917.294999999998</v>
      </c>
      <c r="E159">
        <v>13339.402</v>
      </c>
      <c r="F159">
        <v>15367.998</v>
      </c>
      <c r="G159">
        <v>22797.88</v>
      </c>
      <c r="N159">
        <f>IFERROR(SUM($B$3:$B159),"")</f>
        <v>1085228.852</v>
      </c>
      <c r="O159">
        <f>IFERROR(SUM($C$3:$C159),"")</f>
        <v>1475277.9599999997</v>
      </c>
      <c r="P159">
        <f>IFERROR(SUM($D$3:$D159),"")</f>
        <v>1210338.425</v>
      </c>
      <c r="Q159">
        <f t="shared" si="24"/>
        <v>2685616.3849999998</v>
      </c>
      <c r="R159">
        <f t="shared" si="25"/>
        <v>40.408930257550537</v>
      </c>
      <c r="S159">
        <f t="shared" si="26"/>
        <v>54.932564763898696</v>
      </c>
      <c r="T159">
        <f>IFERROR(SUM($E$3:$E159),"")</f>
        <v>1045208.4030000005</v>
      </c>
      <c r="U159">
        <f>IFERROR(SUM($F$3:$F159),"")</f>
        <v>1366947.9819999998</v>
      </c>
      <c r="V159">
        <f>IFERROR(SUM($G$3:$G159),"")</f>
        <v>1046245.0809999999</v>
      </c>
      <c r="W159">
        <f t="shared" si="27"/>
        <v>2413193.0629999996</v>
      </c>
      <c r="X159">
        <f t="shared" si="28"/>
        <v>43.312257897038414</v>
      </c>
      <c r="Y159">
        <f t="shared" si="29"/>
        <v>56.644783335348095</v>
      </c>
    </row>
    <row r="160" spans="1:25" x14ac:dyDescent="0.35">
      <c r="A160">
        <v>2007</v>
      </c>
      <c r="B160">
        <v>14435.58</v>
      </c>
      <c r="C160">
        <v>18569.150000000001</v>
      </c>
      <c r="D160">
        <v>28146.095000000001</v>
      </c>
      <c r="E160">
        <v>13476.138000000001</v>
      </c>
      <c r="F160">
        <v>15499.503000000001</v>
      </c>
      <c r="G160">
        <v>22937.248</v>
      </c>
      <c r="N160">
        <f>IFERROR(SUM($B$3:$B160),"")</f>
        <v>1099664.432</v>
      </c>
      <c r="O160">
        <f>IFERROR(SUM($C$3:$C160),"")</f>
        <v>1493847.1099999996</v>
      </c>
      <c r="P160">
        <f>IFERROR(SUM($D$3:$D160),"")</f>
        <v>1238484.52</v>
      </c>
      <c r="Q160">
        <f t="shared" si="24"/>
        <v>2732331.63</v>
      </c>
      <c r="R160">
        <f t="shared" si="25"/>
        <v>40.246374924847608</v>
      </c>
      <c r="S160">
        <f t="shared" si="26"/>
        <v>54.672979428928237</v>
      </c>
      <c r="T160">
        <f>IFERROR(SUM($E$3:$E160),"")</f>
        <v>1058684.5410000004</v>
      </c>
      <c r="U160">
        <f>IFERROR(SUM($F$3:$F160),"")</f>
        <v>1382447.4849999999</v>
      </c>
      <c r="V160">
        <f>IFERROR(SUM($G$3:$G160),"")</f>
        <v>1069182.3289999999</v>
      </c>
      <c r="W160">
        <f t="shared" si="27"/>
        <v>2451629.8139999998</v>
      </c>
      <c r="X160">
        <f t="shared" si="28"/>
        <v>43.182887357397767</v>
      </c>
      <c r="Y160">
        <f t="shared" si="29"/>
        <v>56.38891634885298</v>
      </c>
    </row>
    <row r="161" spans="1:25" x14ac:dyDescent="0.35">
      <c r="A161">
        <v>2008</v>
      </c>
      <c r="B161">
        <v>14223.795</v>
      </c>
      <c r="C161">
        <v>18297.382000000001</v>
      </c>
      <c r="D161">
        <v>29348.887999999999</v>
      </c>
      <c r="E161">
        <v>13027.143</v>
      </c>
      <c r="F161">
        <v>15141.92</v>
      </c>
      <c r="G161">
        <v>23721.710999999999</v>
      </c>
      <c r="N161">
        <f>IFERROR(SUM($B$3:$B161),"")</f>
        <v>1113888.227</v>
      </c>
      <c r="O161">
        <f>IFERROR(SUM($C$3:$C161),"")</f>
        <v>1512144.4919999996</v>
      </c>
      <c r="P161">
        <f>IFERROR(SUM($D$3:$D161),"")</f>
        <v>1267833.4080000001</v>
      </c>
      <c r="Q161">
        <f t="shared" si="24"/>
        <v>2779977.8999999994</v>
      </c>
      <c r="R161">
        <f t="shared" si="25"/>
        <v>40.068240362630227</v>
      </c>
      <c r="S161">
        <f t="shared" si="26"/>
        <v>54.394119176271147</v>
      </c>
      <c r="T161">
        <f>IFERROR(SUM($E$3:$E161),"")</f>
        <v>1071711.6840000004</v>
      </c>
      <c r="U161">
        <f>IFERROR(SUM($F$3:$F161),"")</f>
        <v>1397589.4049999998</v>
      </c>
      <c r="V161">
        <f>IFERROR(SUM($G$3:$G161),"")</f>
        <v>1092904.0399999998</v>
      </c>
      <c r="W161">
        <f t="shared" si="27"/>
        <v>2490493.4449999994</v>
      </c>
      <c r="X161">
        <f t="shared" si="28"/>
        <v>43.032102178450046</v>
      </c>
      <c r="Y161">
        <f t="shared" si="29"/>
        <v>56.116967816391906</v>
      </c>
    </row>
    <row r="162" spans="1:25" x14ac:dyDescent="0.35">
      <c r="A162">
        <v>2009</v>
      </c>
      <c r="B162">
        <v>13170.375</v>
      </c>
      <c r="C162">
        <v>17220.52</v>
      </c>
      <c r="D162">
        <v>30440.955999999998</v>
      </c>
      <c r="E162">
        <v>12185.001</v>
      </c>
      <c r="F162">
        <v>13962.259</v>
      </c>
      <c r="G162">
        <v>23758.166000000001</v>
      </c>
      <c r="N162">
        <f>IFERROR(SUM($B$3:$B162),"")</f>
        <v>1127058.602</v>
      </c>
      <c r="O162">
        <f>IFERROR(SUM($C$3:$C162),"")</f>
        <v>1529365.0119999996</v>
      </c>
      <c r="P162">
        <f>IFERROR(SUM($D$3:$D162),"")</f>
        <v>1298274.3640000001</v>
      </c>
      <c r="Q162">
        <f t="shared" si="24"/>
        <v>2827639.3759999997</v>
      </c>
      <c r="R162">
        <f t="shared" si="25"/>
        <v>39.858640092724471</v>
      </c>
      <c r="S162">
        <f t="shared" si="26"/>
        <v>54.086282182258017</v>
      </c>
      <c r="T162">
        <f>IFERROR(SUM($E$3:$E162),"")</f>
        <v>1083896.6850000003</v>
      </c>
      <c r="U162">
        <f>IFERROR(SUM($F$3:$F162),"")</f>
        <v>1411551.6639999999</v>
      </c>
      <c r="V162">
        <f>IFERROR(SUM($G$3:$G162),"")</f>
        <v>1116662.2059999998</v>
      </c>
      <c r="W162">
        <f t="shared" si="27"/>
        <v>2528213.8699999996</v>
      </c>
      <c r="X162">
        <f t="shared" si="28"/>
        <v>42.872033013567815</v>
      </c>
      <c r="Y162">
        <f t="shared" si="29"/>
        <v>55.831972158273146</v>
      </c>
    </row>
    <row r="163" spans="1:25" x14ac:dyDescent="0.35">
      <c r="A163">
        <v>2010</v>
      </c>
      <c r="B163">
        <v>13746.319</v>
      </c>
      <c r="C163">
        <v>18065.312000000002</v>
      </c>
      <c r="D163">
        <v>31517.054</v>
      </c>
      <c r="E163">
        <v>12524.359</v>
      </c>
      <c r="F163">
        <v>14443.476000000001</v>
      </c>
      <c r="G163">
        <v>24617.62</v>
      </c>
      <c r="N163">
        <f>IFERROR(SUM($B$3:$B163),"")</f>
        <v>1140804.9209999999</v>
      </c>
      <c r="O163">
        <f>IFERROR(SUM($C$3:$C163),"")</f>
        <v>1547430.3239999996</v>
      </c>
      <c r="P163">
        <f>IFERROR(SUM($D$3:$D163),"")</f>
        <v>1329791.4180000001</v>
      </c>
      <c r="Q163">
        <f t="shared" ref="Q163:Q177" si="30">IFERROR(O163+P163,"")</f>
        <v>2877221.7419999996</v>
      </c>
      <c r="R163">
        <f t="shared" ref="R163:R177" si="31">IFERROR(N163/Q163*100,NA())</f>
        <v>39.649530807695392</v>
      </c>
      <c r="S163">
        <f t="shared" ref="S163:S177" si="32">IFERROR(O163/Q163*100,NA())</f>
        <v>53.782101720264272</v>
      </c>
      <c r="T163">
        <f>IFERROR(SUM($E$3:$E163),"")</f>
        <v>1096421.0440000002</v>
      </c>
      <c r="U163">
        <f>IFERROR(SUM($F$3:$F163),"")</f>
        <v>1425995.14</v>
      </c>
      <c r="V163">
        <f>IFERROR(SUM($G$3:$G163),"")</f>
        <v>1141279.8259999999</v>
      </c>
      <c r="W163">
        <f t="shared" ref="W163:W177" si="33">IFERROR(U163+V163,"")</f>
        <v>2567274.966</v>
      </c>
      <c r="X163">
        <f t="shared" ref="X163:X177" si="34">IFERROR(T163/W163*100,NA())</f>
        <v>42.707581327305327</v>
      </c>
      <c r="Y163">
        <f t="shared" ref="Y163:Y177" si="35">IFERROR(U163/W163*100,NA())</f>
        <v>55.545088036354883</v>
      </c>
    </row>
    <row r="164" spans="1:25" x14ac:dyDescent="0.35">
      <c r="A164">
        <v>2011</v>
      </c>
      <c r="B164">
        <v>13376.062</v>
      </c>
      <c r="C164">
        <v>17565.224999999999</v>
      </c>
      <c r="D164">
        <v>33348.186000000002</v>
      </c>
      <c r="E164">
        <v>12180.875</v>
      </c>
      <c r="F164">
        <v>14580.798000000001</v>
      </c>
      <c r="G164">
        <v>26777.878000000001</v>
      </c>
      <c r="N164">
        <f>IFERROR(SUM($B$3:$B164),"")</f>
        <v>1154180.9829999998</v>
      </c>
      <c r="O164">
        <f>IFERROR(SUM($C$3:$C164),"")</f>
        <v>1564995.5489999996</v>
      </c>
      <c r="P164">
        <f>IFERROR(SUM($D$3:$D164),"")</f>
        <v>1363139.6040000001</v>
      </c>
      <c r="Q164">
        <f t="shared" si="30"/>
        <v>2928135.1529999999</v>
      </c>
      <c r="R164">
        <f t="shared" si="31"/>
        <v>39.416929980758979</v>
      </c>
      <c r="S164">
        <f t="shared" si="32"/>
        <v>53.446834494527842</v>
      </c>
      <c r="T164">
        <f>IFERROR(SUM($E$3:$E164),"")</f>
        <v>1108601.9190000002</v>
      </c>
      <c r="U164">
        <f>IFERROR(SUM($F$3:$F164),"")</f>
        <v>1440575.9379999998</v>
      </c>
      <c r="V164">
        <f>IFERROR(SUM($G$3:$G164),"")</f>
        <v>1168057.7039999999</v>
      </c>
      <c r="W164">
        <f t="shared" si="33"/>
        <v>2608633.642</v>
      </c>
      <c r="X164">
        <f t="shared" si="34"/>
        <v>42.497417082685935</v>
      </c>
      <c r="Y164">
        <f t="shared" si="35"/>
        <v>55.223390314614363</v>
      </c>
    </row>
    <row r="165" spans="1:25" x14ac:dyDescent="0.35">
      <c r="A165">
        <v>2012</v>
      </c>
      <c r="B165">
        <v>13174.028</v>
      </c>
      <c r="C165">
        <v>17632.703000000001</v>
      </c>
      <c r="D165">
        <v>34132.99</v>
      </c>
      <c r="E165">
        <v>11929.063</v>
      </c>
      <c r="F165">
        <v>14736.448</v>
      </c>
      <c r="G165">
        <v>27569.804</v>
      </c>
      <c r="N165">
        <f>IFERROR(SUM($B$3:$B165),"")</f>
        <v>1167355.0109999997</v>
      </c>
      <c r="O165">
        <f>IFERROR(SUM($C$3:$C165),"")</f>
        <v>1582628.2519999996</v>
      </c>
      <c r="P165">
        <f>IFERROR(SUM($D$3:$D165),"")</f>
        <v>1397272.594</v>
      </c>
      <c r="Q165">
        <f t="shared" si="30"/>
        <v>2979900.8459999999</v>
      </c>
      <c r="R165">
        <f t="shared" si="31"/>
        <v>39.174290398520185</v>
      </c>
      <c r="S165">
        <f t="shared" si="32"/>
        <v>53.110097744507293</v>
      </c>
      <c r="T165">
        <f>IFERROR(SUM($E$3:$E165),"")</f>
        <v>1120530.9820000003</v>
      </c>
      <c r="U165">
        <f>IFERROR(SUM($F$3:$F165),"")</f>
        <v>1455312.3859999999</v>
      </c>
      <c r="V165">
        <f>IFERROR(SUM($G$3:$G165),"")</f>
        <v>1195627.5079999999</v>
      </c>
      <c r="W165">
        <f t="shared" si="33"/>
        <v>2650939.8939999999</v>
      </c>
      <c r="X165">
        <f t="shared" si="34"/>
        <v>42.269196089136244</v>
      </c>
      <c r="Y165">
        <f t="shared" si="35"/>
        <v>54.897977479379243</v>
      </c>
    </row>
    <row r="166" spans="1:25" x14ac:dyDescent="0.35">
      <c r="A166">
        <v>2013</v>
      </c>
      <c r="B166">
        <v>13125.269</v>
      </c>
      <c r="C166">
        <v>17384.099999999999</v>
      </c>
      <c r="D166">
        <v>34283.438999999998</v>
      </c>
      <c r="E166">
        <v>12110.896000000001</v>
      </c>
      <c r="F166">
        <v>14331.868</v>
      </c>
      <c r="G166">
        <v>27878.397000000001</v>
      </c>
      <c r="N166">
        <f>IFERROR(SUM($B$3:$B166),"")</f>
        <v>1180480.2799999998</v>
      </c>
      <c r="O166">
        <f>IFERROR(SUM($C$3:$C166),"")</f>
        <v>1600012.3519999997</v>
      </c>
      <c r="P166">
        <f>IFERROR(SUM($D$3:$D166),"")</f>
        <v>1431556.0330000001</v>
      </c>
      <c r="Q166">
        <f t="shared" si="30"/>
        <v>3031568.3849999998</v>
      </c>
      <c r="R166">
        <f t="shared" si="31"/>
        <v>38.939589350546676</v>
      </c>
      <c r="S166">
        <f t="shared" si="32"/>
        <v>52.778369108107711</v>
      </c>
      <c r="T166">
        <f>IFERROR(SUM($E$3:$E166),"")</f>
        <v>1132641.8780000003</v>
      </c>
      <c r="U166">
        <f>IFERROR(SUM($F$3:$F166),"")</f>
        <v>1469644.254</v>
      </c>
      <c r="V166">
        <f>IFERROR(SUM($G$3:$G166),"")</f>
        <v>1223505.905</v>
      </c>
      <c r="W166">
        <f t="shared" si="33"/>
        <v>2693150.159</v>
      </c>
      <c r="X166">
        <f t="shared" si="34"/>
        <v>42.056395341155586</v>
      </c>
      <c r="Y166">
        <f t="shared" si="35"/>
        <v>54.569710830594644</v>
      </c>
    </row>
    <row r="167" spans="1:25" x14ac:dyDescent="0.35">
      <c r="A167">
        <v>2014</v>
      </c>
      <c r="B167">
        <v>13018.089</v>
      </c>
      <c r="C167">
        <v>17124.001</v>
      </c>
      <c r="D167">
        <v>34939.535000000003</v>
      </c>
      <c r="E167">
        <v>11887.377</v>
      </c>
      <c r="F167">
        <v>14240.411</v>
      </c>
      <c r="G167">
        <v>28455.205000000002</v>
      </c>
      <c r="N167">
        <f>IFERROR(SUM($B$3:$B167),"")</f>
        <v>1193498.3689999997</v>
      </c>
      <c r="O167">
        <f>IFERROR(SUM($C$3:$C167),"")</f>
        <v>1617136.3529999997</v>
      </c>
      <c r="P167">
        <f>IFERROR(SUM($D$3:$D167),"")</f>
        <v>1466495.568</v>
      </c>
      <c r="Q167">
        <f t="shared" si="30"/>
        <v>3083631.9209999996</v>
      </c>
      <c r="R167">
        <f t="shared" si="31"/>
        <v>38.704307114999537</v>
      </c>
      <c r="S167">
        <f t="shared" si="32"/>
        <v>52.442587002263686</v>
      </c>
      <c r="T167">
        <f>IFERROR(SUM($E$3:$E167),"")</f>
        <v>1144529.2550000004</v>
      </c>
      <c r="U167">
        <f>IFERROR(SUM($F$3:$F167),"")</f>
        <v>1483884.665</v>
      </c>
      <c r="V167">
        <f>IFERROR(SUM($G$3:$G167),"")</f>
        <v>1251961.1100000001</v>
      </c>
      <c r="W167">
        <f t="shared" si="33"/>
        <v>2735845.7750000004</v>
      </c>
      <c r="X167">
        <f t="shared" si="34"/>
        <v>41.834567776394493</v>
      </c>
      <c r="Y167">
        <f t="shared" si="35"/>
        <v>54.238607985861329</v>
      </c>
    </row>
    <row r="168" spans="1:25" x14ac:dyDescent="0.35">
      <c r="A168">
        <v>2015</v>
      </c>
      <c r="B168">
        <v>12782.51</v>
      </c>
      <c r="C168">
        <v>17155.285</v>
      </c>
      <c r="D168">
        <v>34939.697</v>
      </c>
      <c r="E168">
        <v>11805.423000000001</v>
      </c>
      <c r="F168">
        <v>14175.657999999999</v>
      </c>
      <c r="G168">
        <v>29732.957999999999</v>
      </c>
      <c r="N168">
        <f>IFERROR(SUM($B$3:$B168),"")</f>
        <v>1206280.8789999997</v>
      </c>
      <c r="O168">
        <f>IFERROR(SUM($C$3:$C168),"")</f>
        <v>1634291.6379999996</v>
      </c>
      <c r="P168">
        <f>IFERROR(SUM($D$3:$D168),"")</f>
        <v>1501435.2649999999</v>
      </c>
      <c r="Q168">
        <f t="shared" si="30"/>
        <v>3135726.9029999995</v>
      </c>
      <c r="R168">
        <f t="shared" si="31"/>
        <v>38.468939302269334</v>
      </c>
      <c r="S168">
        <f t="shared" si="32"/>
        <v>52.118430225427062</v>
      </c>
      <c r="T168">
        <f>IFERROR(SUM($E$3:$E168),"")</f>
        <v>1156334.6780000003</v>
      </c>
      <c r="U168">
        <f>IFERROR(SUM($F$3:$F168),"")</f>
        <v>1498060.3230000001</v>
      </c>
      <c r="V168">
        <f>IFERROR(SUM($G$3:$G168),"")</f>
        <v>1281694.0680000002</v>
      </c>
      <c r="W168">
        <f t="shared" si="33"/>
        <v>2779754.3910000003</v>
      </c>
      <c r="X168">
        <f t="shared" si="34"/>
        <v>41.598447752933154</v>
      </c>
      <c r="Y168">
        <f t="shared" si="35"/>
        <v>53.891823243458639</v>
      </c>
    </row>
    <row r="169" spans="1:25" x14ac:dyDescent="0.35">
      <c r="A169">
        <v>2016</v>
      </c>
      <c r="B169">
        <v>12637.306</v>
      </c>
      <c r="C169">
        <v>17051.407999999999</v>
      </c>
      <c r="D169">
        <v>33937.006000000001</v>
      </c>
      <c r="E169">
        <v>11467.754999999999</v>
      </c>
      <c r="F169">
        <v>14015.956</v>
      </c>
      <c r="G169">
        <v>29439.946</v>
      </c>
      <c r="N169">
        <f>IFERROR(SUM($B$3:$B169),"")</f>
        <v>1218918.1849999998</v>
      </c>
      <c r="O169">
        <f>IFERROR(SUM($C$3:$C169),"")</f>
        <v>1651343.0459999996</v>
      </c>
      <c r="P169">
        <f>IFERROR(SUM($D$3:$D169),"")</f>
        <v>1535372.2709999999</v>
      </c>
      <c r="Q169">
        <f t="shared" si="30"/>
        <v>3186715.3169999998</v>
      </c>
      <c r="R169">
        <f t="shared" si="31"/>
        <v>38.249986702530414</v>
      </c>
      <c r="S169">
        <f t="shared" si="32"/>
        <v>51.819597351249683</v>
      </c>
      <c r="T169">
        <f>IFERROR(SUM($E$3:$E169),"")</f>
        <v>1167802.4330000002</v>
      </c>
      <c r="U169">
        <f>IFERROR(SUM($F$3:$F169),"")</f>
        <v>1512076.2790000001</v>
      </c>
      <c r="V169">
        <f>IFERROR(SUM($G$3:$G169),"")</f>
        <v>1311134.0140000002</v>
      </c>
      <c r="W169">
        <f t="shared" si="33"/>
        <v>2823210.2930000005</v>
      </c>
      <c r="X169">
        <f t="shared" si="34"/>
        <v>41.364344551148172</v>
      </c>
      <c r="Y169">
        <f t="shared" si="35"/>
        <v>53.558754824219534</v>
      </c>
    </row>
    <row r="170" spans="1:25" x14ac:dyDescent="0.35">
      <c r="A170">
        <v>2017</v>
      </c>
      <c r="B170">
        <v>12702.748</v>
      </c>
      <c r="C170">
        <v>17168.690999999999</v>
      </c>
      <c r="D170">
        <v>34511.152999999998</v>
      </c>
      <c r="E170">
        <v>11487.383</v>
      </c>
      <c r="F170">
        <v>13986.623</v>
      </c>
      <c r="G170">
        <v>29973.044999999998</v>
      </c>
      <c r="N170">
        <f>IFERROR(SUM($B$3:$B170),"")</f>
        <v>1231620.9329999997</v>
      </c>
      <c r="O170">
        <f>IFERROR(SUM($C$3:$C170),"")</f>
        <v>1668511.7369999997</v>
      </c>
      <c r="P170">
        <f>IFERROR(SUM($D$3:$D170),"")</f>
        <v>1569883.4239999999</v>
      </c>
      <c r="Q170">
        <f t="shared" si="30"/>
        <v>3238395.1609999994</v>
      </c>
      <c r="R170">
        <f t="shared" si="31"/>
        <v>38.031829710975778</v>
      </c>
      <c r="S170">
        <f t="shared" si="32"/>
        <v>51.522796139701867</v>
      </c>
      <c r="T170">
        <f>IFERROR(SUM($E$3:$E170),"")</f>
        <v>1179289.8160000001</v>
      </c>
      <c r="U170">
        <f>IFERROR(SUM($F$3:$F170),"")</f>
        <v>1526062.902</v>
      </c>
      <c r="V170">
        <f>IFERROR(SUM($G$3:$G170),"")</f>
        <v>1341107.0590000001</v>
      </c>
      <c r="W170">
        <f t="shared" si="33"/>
        <v>2867169.9610000001</v>
      </c>
      <c r="X170">
        <f t="shared" si="34"/>
        <v>41.130795594297176</v>
      </c>
      <c r="Y170">
        <f t="shared" si="35"/>
        <v>53.225407728105026</v>
      </c>
    </row>
    <row r="171" spans="1:25" x14ac:dyDescent="0.35">
      <c r="A171">
        <v>2018</v>
      </c>
      <c r="B171">
        <v>12716.782999999999</v>
      </c>
      <c r="C171">
        <v>17152.135999999999</v>
      </c>
      <c r="D171">
        <v>34964.718999999997</v>
      </c>
      <c r="E171">
        <v>11611.688</v>
      </c>
      <c r="F171">
        <v>14319.224</v>
      </c>
      <c r="G171">
        <v>30178.387999999999</v>
      </c>
      <c r="N171">
        <f>IFERROR(SUM($B$3:$B171),"")</f>
        <v>1244337.7159999998</v>
      </c>
      <c r="O171">
        <f>IFERROR(SUM($C$3:$C171),"")</f>
        <v>1685663.8729999997</v>
      </c>
      <c r="P171">
        <f>IFERROR(SUM($D$3:$D171),"")</f>
        <v>1604848.1429999999</v>
      </c>
      <c r="Q171">
        <f t="shared" si="30"/>
        <v>3290512.0159999998</v>
      </c>
      <c r="R171">
        <f t="shared" si="31"/>
        <v>37.815929859834917</v>
      </c>
      <c r="S171">
        <f t="shared" si="32"/>
        <v>51.228011470662253</v>
      </c>
      <c r="T171">
        <f>IFERROR(SUM($E$3:$E171),"")</f>
        <v>1190901.5040000002</v>
      </c>
      <c r="U171">
        <f>IFERROR(SUM($F$3:$F171),"")</f>
        <v>1540382.1259999999</v>
      </c>
      <c r="V171">
        <f>IFERROR(SUM($G$3:$G171),"")</f>
        <v>1371285.4470000002</v>
      </c>
      <c r="W171">
        <f t="shared" si="33"/>
        <v>2911667.5729999999</v>
      </c>
      <c r="X171">
        <f t="shared" si="34"/>
        <v>40.90101201947892</v>
      </c>
      <c r="Y171">
        <f t="shared" si="35"/>
        <v>52.903777212894077</v>
      </c>
    </row>
    <row r="172" spans="1:25" x14ac:dyDescent="0.35">
      <c r="A172">
        <v>2019</v>
      </c>
      <c r="B172">
        <v>12386.691999999999</v>
      </c>
      <c r="C172">
        <v>16741.491000000002</v>
      </c>
      <c r="D172">
        <v>35809.362999999998</v>
      </c>
      <c r="E172">
        <v>11306.42</v>
      </c>
      <c r="F172">
        <v>14085.705</v>
      </c>
      <c r="G172">
        <v>31086.960999999999</v>
      </c>
      <c r="N172">
        <f>IFERROR(SUM($B$3:$B172),"")</f>
        <v>1256724.4079999998</v>
      </c>
      <c r="O172">
        <f>IFERROR(SUM($C$3:$C172),"")</f>
        <v>1702405.3639999996</v>
      </c>
      <c r="P172">
        <f>IFERROR(SUM($D$3:$D172),"")</f>
        <v>1640657.5059999998</v>
      </c>
      <c r="Q172">
        <f t="shared" si="30"/>
        <v>3343062.8699999992</v>
      </c>
      <c r="R172">
        <f t="shared" si="31"/>
        <v>37.592006398611346</v>
      </c>
      <c r="S172">
        <f t="shared" si="32"/>
        <v>50.923522236959904</v>
      </c>
      <c r="T172">
        <f>IFERROR(SUM($E$3:$E172),"")</f>
        <v>1202207.9240000001</v>
      </c>
      <c r="U172">
        <f>IFERROR(SUM($F$3:$F172),"")</f>
        <v>1554467.831</v>
      </c>
      <c r="V172">
        <f>IFERROR(SUM($G$3:$G172),"")</f>
        <v>1402372.4080000001</v>
      </c>
      <c r="W172">
        <f t="shared" si="33"/>
        <v>2956840.2390000001</v>
      </c>
      <c r="X172">
        <f t="shared" si="34"/>
        <v>40.658535017995611</v>
      </c>
      <c r="Y172">
        <f t="shared" si="35"/>
        <v>52.571924938552627</v>
      </c>
    </row>
    <row r="173" spans="1:25" x14ac:dyDescent="0.35">
      <c r="A173">
        <v>2020</v>
      </c>
      <c r="B173">
        <v>11344.105</v>
      </c>
      <c r="C173">
        <v>15516.697</v>
      </c>
      <c r="D173">
        <v>35065.239000000001</v>
      </c>
      <c r="E173">
        <v>10245.014999999999</v>
      </c>
      <c r="F173">
        <v>12704.348</v>
      </c>
      <c r="G173">
        <v>30136.681</v>
      </c>
      <c r="N173">
        <f>IFERROR(SUM($B$3:$B173),"")</f>
        <v>1268068.5129999998</v>
      </c>
      <c r="O173">
        <f>IFERROR(SUM($C$3:$C173),"")</f>
        <v>1717922.0609999995</v>
      </c>
      <c r="P173">
        <f>IFERROR(SUM($D$3:$D173),"")</f>
        <v>1675722.7449999999</v>
      </c>
      <c r="Q173">
        <f t="shared" si="30"/>
        <v>3393644.8059999994</v>
      </c>
      <c r="R173">
        <f t="shared" si="31"/>
        <v>37.365976273004222</v>
      </c>
      <c r="S173">
        <f t="shared" si="32"/>
        <v>50.621740317746145</v>
      </c>
      <c r="T173">
        <f>IFERROR(SUM($E$3:$E173),"")</f>
        <v>1212452.939</v>
      </c>
      <c r="U173">
        <f>IFERROR(SUM($F$3:$F173),"")</f>
        <v>1567172.179</v>
      </c>
      <c r="V173">
        <f>IFERROR(SUM($G$3:$G173),"")</f>
        <v>1432509.0890000002</v>
      </c>
      <c r="W173">
        <f t="shared" si="33"/>
        <v>2999681.2680000002</v>
      </c>
      <c r="X173">
        <f t="shared" si="34"/>
        <v>40.419392284580546</v>
      </c>
      <c r="Y173">
        <f t="shared" si="35"/>
        <v>52.244623311092397</v>
      </c>
    </row>
    <row r="174" spans="1:25" x14ac:dyDescent="0.35">
      <c r="A174">
        <v>2021</v>
      </c>
      <c r="B174">
        <v>11925.713</v>
      </c>
      <c r="C174">
        <v>16310.691999999999</v>
      </c>
      <c r="D174">
        <v>36309.713000000003</v>
      </c>
      <c r="E174">
        <v>10688.112999999999</v>
      </c>
      <c r="F174">
        <v>13663.715</v>
      </c>
      <c r="G174">
        <v>32096.237000000001</v>
      </c>
      <c r="N174">
        <f>IFERROR(SUM($B$3:$B174),"")</f>
        <v>1279994.2259999998</v>
      </c>
      <c r="O174">
        <f>IFERROR(SUM($C$3:$C174),"")</f>
        <v>1734232.7529999996</v>
      </c>
      <c r="P174">
        <f>IFERROR(SUM($D$3:$D174),"")</f>
        <v>1712032.4579999999</v>
      </c>
      <c r="Q174">
        <f t="shared" si="30"/>
        <v>3446265.2109999992</v>
      </c>
      <c r="R174">
        <f t="shared" si="31"/>
        <v>37.141489340821373</v>
      </c>
      <c r="S174">
        <f t="shared" si="32"/>
        <v>50.322092085791013</v>
      </c>
      <c r="T174">
        <f>IFERROR(SUM($E$3:$E174),"")</f>
        <v>1223141.0519999999</v>
      </c>
      <c r="U174">
        <f>IFERROR(SUM($F$3:$F174),"")</f>
        <v>1580835.8940000001</v>
      </c>
      <c r="V174">
        <f>IFERROR(SUM($G$3:$G174),"")</f>
        <v>1464605.3260000001</v>
      </c>
      <c r="W174">
        <f t="shared" si="33"/>
        <v>3045441.22</v>
      </c>
      <c r="X174">
        <f t="shared" si="34"/>
        <v>40.163016247609598</v>
      </c>
      <c r="Y174">
        <f t="shared" si="35"/>
        <v>51.908271406400672</v>
      </c>
    </row>
    <row r="175" spans="1:25" x14ac:dyDescent="0.35">
      <c r="A175">
        <v>2022</v>
      </c>
      <c r="B175">
        <v>11837.419</v>
      </c>
      <c r="C175">
        <v>16193.2</v>
      </c>
      <c r="D175">
        <v>37302.514000000003</v>
      </c>
      <c r="E175">
        <v>10714.416999999999</v>
      </c>
      <c r="F175">
        <v>13085.791999999999</v>
      </c>
      <c r="G175">
        <v>33963.822</v>
      </c>
      <c r="N175">
        <f>IFERROR(SUM($B$3:$B175),"")</f>
        <v>1291831.6449999998</v>
      </c>
      <c r="O175">
        <f>IFERROR(SUM($C$3:$C175),"")</f>
        <v>1750425.9529999995</v>
      </c>
      <c r="P175">
        <f>IFERROR(SUM($D$3:$D175),"")</f>
        <v>1749334.9719999998</v>
      </c>
      <c r="Q175">
        <f t="shared" si="30"/>
        <v>3499760.9249999993</v>
      </c>
      <c r="R175">
        <f t="shared" si="31"/>
        <v>36.911996924475638</v>
      </c>
      <c r="S175">
        <f t="shared" si="32"/>
        <v>50.015586507526933</v>
      </c>
      <c r="T175">
        <f>IFERROR(SUM($E$3:$E175),"")</f>
        <v>1233855.4689999998</v>
      </c>
      <c r="U175">
        <f>IFERROR(SUM($F$3:$F175),"")</f>
        <v>1593921.686</v>
      </c>
      <c r="V175">
        <f>IFERROR(SUM($G$3:$G175),"")</f>
        <v>1498569.148</v>
      </c>
      <c r="W175">
        <f t="shared" si="33"/>
        <v>3092490.8339999998</v>
      </c>
      <c r="X175">
        <f t="shared" si="34"/>
        <v>39.898435766875416</v>
      </c>
      <c r="Y175">
        <f t="shared" si="35"/>
        <v>51.541678587235552</v>
      </c>
    </row>
    <row r="176" spans="1:25" x14ac:dyDescent="0.35">
      <c r="A176">
        <v>2023</v>
      </c>
      <c r="B176">
        <v>11483.51</v>
      </c>
      <c r="C176">
        <v>15874.977000000001</v>
      </c>
      <c r="D176">
        <v>38197.728000000003</v>
      </c>
      <c r="E176">
        <v>10210.924000000001</v>
      </c>
      <c r="F176">
        <v>12545.828</v>
      </c>
      <c r="G176">
        <v>34525.696000000004</v>
      </c>
      <c r="N176">
        <f>IFERROR(SUM($B$3:$B176),"")</f>
        <v>1303315.1549999998</v>
      </c>
      <c r="O176">
        <f>IFERROR(SUM($C$3:$C176),"")</f>
        <v>1766300.9299999995</v>
      </c>
      <c r="P176">
        <f>IFERROR(SUM($D$3:$D176),"")</f>
        <v>1787532.6999999997</v>
      </c>
      <c r="Q176">
        <f t="shared" si="30"/>
        <v>3553833.629999999</v>
      </c>
      <c r="R176">
        <f t="shared" si="31"/>
        <v>36.673499400702113</v>
      </c>
      <c r="S176">
        <f t="shared" si="32"/>
        <v>49.701283568527657</v>
      </c>
      <c r="T176">
        <f>IFERROR(SUM($E$3:$E176),"")</f>
        <v>1244066.3929999999</v>
      </c>
      <c r="U176">
        <f>IFERROR(SUM($F$3:$F176),"")</f>
        <v>1606467.514</v>
      </c>
      <c r="V176">
        <f>IFERROR(SUM($G$3:$G176),"")</f>
        <v>1533094.844</v>
      </c>
      <c r="W176">
        <f t="shared" si="33"/>
        <v>3139562.358</v>
      </c>
      <c r="X176">
        <f t="shared" si="34"/>
        <v>39.625471678559343</v>
      </c>
      <c r="Y176">
        <f t="shared" si="35"/>
        <v>51.168517481633025</v>
      </c>
    </row>
    <row r="177" spans="1:25" x14ac:dyDescent="0.35">
      <c r="A177">
        <v>2024</v>
      </c>
      <c r="B177">
        <v>11369.645</v>
      </c>
      <c r="C177">
        <v>15810.797</v>
      </c>
      <c r="D177">
        <v>38602.845000000001</v>
      </c>
      <c r="E177">
        <v>8641.1509999999998</v>
      </c>
      <c r="F177">
        <v>11449.105</v>
      </c>
      <c r="G177">
        <v>24074.701000000001</v>
      </c>
      <c r="N177">
        <f>IFERROR(SUM($B$3:$B177),"")</f>
        <v>1314684.7999999998</v>
      </c>
      <c r="O177">
        <f>IFERROR(SUM($C$3:$C177),"")</f>
        <v>1782111.7269999995</v>
      </c>
      <c r="P177">
        <f>IFERROR(SUM($D$3:$D177),"")</f>
        <v>1826135.5449999997</v>
      </c>
      <c r="Q177">
        <f t="shared" si="30"/>
        <v>3608247.2719999989</v>
      </c>
      <c r="R177">
        <f t="shared" si="31"/>
        <v>36.435551692977214</v>
      </c>
      <c r="S177">
        <f t="shared" si="32"/>
        <v>49.389955639381689</v>
      </c>
      <c r="T177">
        <f>IFERROR(SUM($E$3:$E177),"")</f>
        <v>1252707.544</v>
      </c>
      <c r="U177">
        <f>IFERROR(SUM($F$3:$F177),"")</f>
        <v>1617916.6189999999</v>
      </c>
      <c r="V177">
        <f>IFERROR(SUM($G$3:$G177),"")</f>
        <v>1557169.5449999999</v>
      </c>
      <c r="W177">
        <f t="shared" si="33"/>
        <v>3175086.1639999999</v>
      </c>
      <c r="X177">
        <f t="shared" si="34"/>
        <v>39.454284995586661</v>
      </c>
      <c r="Y177">
        <f t="shared" si="35"/>
        <v>50.956620873612302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F7453-71E5-4D7A-8436-8BEC6B50975E}">
  <sheetPr>
    <tabColor rgb="FF5DBDD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34E0-C381-44BA-B966-BB2DE0E8B4EB}">
  <sheetPr>
    <tabColor rgb="FF0B4C5B"/>
  </sheetPr>
  <dimension ref="A1:S177"/>
  <sheetViews>
    <sheetView workbookViewId="0">
      <selection sqref="A1:Q1"/>
    </sheetView>
  </sheetViews>
  <sheetFormatPr defaultRowHeight="14.5" x14ac:dyDescent="0.35"/>
  <cols>
    <col min="1" max="1" width="8.6328125" customWidth="1"/>
    <col min="2" max="8" width="11.6328125" customWidth="1"/>
    <col min="9" max="16" width="12.6328125" customWidth="1"/>
    <col min="17" max="17" width="11.6328125" customWidth="1"/>
  </cols>
  <sheetData>
    <row r="1" spans="1:19" ht="30" customHeight="1" x14ac:dyDescent="0.35">
      <c r="A1" s="10" t="s">
        <v>59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35">
      <c r="A2" s="1" t="s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1" t="s">
        <v>14</v>
      </c>
      <c r="J2" s="1" t="s">
        <v>20</v>
      </c>
      <c r="K2" s="1"/>
      <c r="L2" s="1"/>
      <c r="M2" s="1" t="s">
        <v>15</v>
      </c>
      <c r="N2" s="1" t="s">
        <v>21</v>
      </c>
      <c r="O2" s="1"/>
      <c r="P2" s="1"/>
      <c r="Q2" s="2" t="s">
        <v>35</v>
      </c>
      <c r="R2" t="s">
        <v>55</v>
      </c>
      <c r="S2" t="s">
        <v>56</v>
      </c>
    </row>
    <row r="3" spans="1:19" x14ac:dyDescent="0.35">
      <c r="A3" s="6">
        <f>vals_ghg_incLUC!$A3</f>
        <v>1850</v>
      </c>
      <c r="B3" s="7">
        <f t="shared" ref="B3:B34" si="0">IFERROR(_xlfn.AGGREGATE(5,6,I3:L3),"")</f>
        <v>36.117602475106047</v>
      </c>
      <c r="C3" s="7">
        <f t="shared" ref="C3:C34" si="1">IFERROR(_xlfn.AGGREGATE(4,6,I3:L3),"")</f>
        <v>41.506022950518393</v>
      </c>
      <c r="D3" s="7">
        <f t="shared" ref="D3:D34" si="2">IFERROR(_xlfn.AGGREGATE(5,6,M3:P3),"")</f>
        <v>54.173690189226917</v>
      </c>
      <c r="E3" s="7">
        <f t="shared" ref="E3:E34" si="3">IFERROR(_xlfn.AGGREGATE(4,6,M3:P3),"")</f>
        <v>55.77461415368591</v>
      </c>
      <c r="F3" s="7">
        <f t="shared" ref="F3:F34" si="4">IFERROR(MIN(C3,D3)-B3,"")</f>
        <v>5.3884204754123459</v>
      </c>
      <c r="G3" s="7">
        <f t="shared" ref="G3:G34" si="5">IFERROR(MAX(0,C3-D3),"")</f>
        <v>0</v>
      </c>
      <c r="H3" s="7">
        <f t="shared" ref="H3:H34" si="6">IFERROR(MAX(0,D3-C3),"")</f>
        <v>12.667667238708525</v>
      </c>
      <c r="I3" s="8">
        <f>vals_ghg_incLUC!$R3</f>
        <v>36.117602475106047</v>
      </c>
      <c r="J3" s="8">
        <f>vals_ghg_incLUC!$X3</f>
        <v>41.506022950518393</v>
      </c>
      <c r="K3" s="8"/>
      <c r="L3" s="8"/>
      <c r="M3" s="8">
        <f>vals_ghg_incLUC!$S3</f>
        <v>54.173690189226917</v>
      </c>
      <c r="N3" s="8">
        <f>vals_ghg_incLUC!$Y3</f>
        <v>55.77461415368591</v>
      </c>
      <c r="O3" s="8"/>
      <c r="P3" s="8"/>
      <c r="Q3" s="9">
        <f t="shared" ref="Q3:Q34" si="7">IFERROR(MAX(0,$E3-MAX($C3,$D3)),"")</f>
        <v>1.6009239644589925</v>
      </c>
      <c r="R3" s="9"/>
      <c r="S3" s="9"/>
    </row>
    <row r="4" spans="1:19" x14ac:dyDescent="0.35">
      <c r="A4" s="3">
        <f>vals_ghg_incLUC!$A4</f>
        <v>1851</v>
      </c>
      <c r="B4" s="4">
        <f t="shared" si="0"/>
        <v>36.199508645811314</v>
      </c>
      <c r="C4" s="4">
        <f t="shared" si="1"/>
        <v>41.756645128955668</v>
      </c>
      <c r="D4" s="4">
        <f t="shared" si="2"/>
        <v>54.032792950974887</v>
      </c>
      <c r="E4" s="4">
        <f t="shared" si="3"/>
        <v>56.099087347721742</v>
      </c>
      <c r="F4" s="4">
        <f t="shared" si="4"/>
        <v>5.5571364831443546</v>
      </c>
      <c r="G4" s="4">
        <f t="shared" si="5"/>
        <v>0</v>
      </c>
      <c r="H4" s="4">
        <f t="shared" si="6"/>
        <v>12.276147822019219</v>
      </c>
      <c r="I4" s="5">
        <f>vals_ghg_incLUC!$R4</f>
        <v>36.199508645811314</v>
      </c>
      <c r="J4" s="5">
        <f>vals_ghg_incLUC!$X4</f>
        <v>41.756645128955668</v>
      </c>
      <c r="K4" s="5"/>
      <c r="L4" s="5"/>
      <c r="M4" s="5">
        <f>vals_ghg_incLUC!$S4</f>
        <v>54.032792950974887</v>
      </c>
      <c r="N4" s="5">
        <f>vals_ghg_incLUC!$Y4</f>
        <v>56.099087347721742</v>
      </c>
      <c r="O4" s="5"/>
      <c r="P4" s="5"/>
      <c r="Q4" s="9">
        <f t="shared" si="7"/>
        <v>2.066294396746855</v>
      </c>
      <c r="R4" s="9">
        <v>39.591999999999999</v>
      </c>
      <c r="S4" s="9">
        <v>58.146000000000001</v>
      </c>
    </row>
    <row r="5" spans="1:19" x14ac:dyDescent="0.35">
      <c r="A5" s="6">
        <f>vals_ghg_incLUC!$A5</f>
        <v>1852</v>
      </c>
      <c r="B5" s="7">
        <f t="shared" si="0"/>
        <v>36.147776786226665</v>
      </c>
      <c r="C5" s="7">
        <f t="shared" si="1"/>
        <v>43.230946903317246</v>
      </c>
      <c r="D5" s="7">
        <f t="shared" si="2"/>
        <v>54.054270046455557</v>
      </c>
      <c r="E5" s="7">
        <f t="shared" si="3"/>
        <v>57.353464140298016</v>
      </c>
      <c r="F5" s="7">
        <f t="shared" si="4"/>
        <v>7.0831701170905816</v>
      </c>
      <c r="G5" s="7">
        <f t="shared" si="5"/>
        <v>0</v>
      </c>
      <c r="H5" s="7">
        <f t="shared" si="6"/>
        <v>10.82332314313831</v>
      </c>
      <c r="I5" s="8">
        <f>vals_ghg_incLUC!$R5</f>
        <v>36.147776786226665</v>
      </c>
      <c r="J5" s="8">
        <f>vals_ghg_incLUC!$X5</f>
        <v>43.230946903317246</v>
      </c>
      <c r="K5" s="8"/>
      <c r="L5" s="8"/>
      <c r="M5" s="8">
        <f>vals_ghg_incLUC!$S5</f>
        <v>54.054270046455557</v>
      </c>
      <c r="N5" s="8">
        <f>vals_ghg_incLUC!$Y5</f>
        <v>57.353464140298016</v>
      </c>
      <c r="O5" s="8"/>
      <c r="P5" s="8"/>
      <c r="Q5" s="9">
        <f t="shared" si="7"/>
        <v>3.2991940938424591</v>
      </c>
      <c r="R5" s="9">
        <v>39.462000000000003</v>
      </c>
      <c r="S5" s="9">
        <v>58.249000000000002</v>
      </c>
    </row>
    <row r="6" spans="1:19" x14ac:dyDescent="0.35">
      <c r="A6" s="3">
        <f>vals_ghg_incLUC!$A6</f>
        <v>1853</v>
      </c>
      <c r="B6" s="4">
        <f t="shared" si="0"/>
        <v>36.340561031595627</v>
      </c>
      <c r="C6" s="4">
        <f t="shared" si="1"/>
        <v>44.198697288482855</v>
      </c>
      <c r="D6" s="4">
        <f t="shared" si="2"/>
        <v>54.109308793377849</v>
      </c>
      <c r="E6" s="4">
        <f t="shared" si="3"/>
        <v>58.225704461509117</v>
      </c>
      <c r="F6" s="4">
        <f t="shared" si="4"/>
        <v>7.8581362568872279</v>
      </c>
      <c r="G6" s="4">
        <f t="shared" si="5"/>
        <v>0</v>
      </c>
      <c r="H6" s="4">
        <f t="shared" si="6"/>
        <v>9.9106115048949945</v>
      </c>
      <c r="I6" s="5">
        <f>vals_ghg_incLUC!$R6</f>
        <v>36.340561031595627</v>
      </c>
      <c r="J6" s="5">
        <f>vals_ghg_incLUC!$X6</f>
        <v>44.198697288482855</v>
      </c>
      <c r="K6" s="5"/>
      <c r="L6" s="5"/>
      <c r="M6" s="5">
        <f>vals_ghg_incLUC!$S6</f>
        <v>54.109308793377849</v>
      </c>
      <c r="N6" s="5">
        <f>vals_ghg_incLUC!$Y6</f>
        <v>58.225704461509117</v>
      </c>
      <c r="O6" s="5"/>
      <c r="P6" s="5"/>
      <c r="Q6" s="9">
        <f t="shared" si="7"/>
        <v>4.1163956681312683</v>
      </c>
      <c r="R6" s="9">
        <v>39.752000000000002</v>
      </c>
      <c r="S6" s="9">
        <v>58.375999999999998</v>
      </c>
    </row>
    <row r="7" spans="1:19" x14ac:dyDescent="0.35">
      <c r="A7" s="6">
        <f>vals_ghg_incLUC!$A7</f>
        <v>1854</v>
      </c>
      <c r="B7" s="7">
        <f t="shared" si="0"/>
        <v>36.624606494935144</v>
      </c>
      <c r="C7" s="7">
        <f t="shared" si="1"/>
        <v>45.061972334755573</v>
      </c>
      <c r="D7" s="7">
        <f t="shared" si="2"/>
        <v>54.361148117073235</v>
      </c>
      <c r="E7" s="7">
        <f t="shared" si="3"/>
        <v>59.020360708998133</v>
      </c>
      <c r="F7" s="7">
        <f t="shared" si="4"/>
        <v>8.4373658398204299</v>
      </c>
      <c r="G7" s="7">
        <f t="shared" si="5"/>
        <v>0</v>
      </c>
      <c r="H7" s="7">
        <f t="shared" si="6"/>
        <v>9.2991757823176613</v>
      </c>
      <c r="I7" s="8">
        <f>vals_ghg_incLUC!$R7</f>
        <v>36.624606494935144</v>
      </c>
      <c r="J7" s="8">
        <f>vals_ghg_incLUC!$X7</f>
        <v>45.061972334755573</v>
      </c>
      <c r="K7" s="8"/>
      <c r="L7" s="8"/>
      <c r="M7" s="8">
        <f>vals_ghg_incLUC!$S7</f>
        <v>54.361148117073235</v>
      </c>
      <c r="N7" s="8">
        <f>vals_ghg_incLUC!$Y7</f>
        <v>59.020360708998133</v>
      </c>
      <c r="O7" s="8"/>
      <c r="P7" s="8"/>
      <c r="Q7" s="9">
        <f t="shared" si="7"/>
        <v>4.6592125919248986</v>
      </c>
      <c r="R7" s="9">
        <v>40.186</v>
      </c>
      <c r="S7" s="9">
        <v>58.776000000000003</v>
      </c>
    </row>
    <row r="8" spans="1:19" x14ac:dyDescent="0.35">
      <c r="A8" s="3">
        <f>vals_ghg_incLUC!$A8</f>
        <v>1855</v>
      </c>
      <c r="B8" s="4">
        <f t="shared" si="0"/>
        <v>36.796073543703685</v>
      </c>
      <c r="C8" s="4">
        <f t="shared" si="1"/>
        <v>45.775607949651722</v>
      </c>
      <c r="D8" s="4">
        <f t="shared" si="2"/>
        <v>54.4919993825104</v>
      </c>
      <c r="E8" s="4">
        <f t="shared" si="3"/>
        <v>59.706023101797456</v>
      </c>
      <c r="F8" s="4">
        <f t="shared" si="4"/>
        <v>8.9795344059480371</v>
      </c>
      <c r="G8" s="4">
        <f t="shared" si="5"/>
        <v>0</v>
      </c>
      <c r="H8" s="4">
        <f t="shared" si="6"/>
        <v>8.7163914328586785</v>
      </c>
      <c r="I8" s="5">
        <f>vals_ghg_incLUC!$R8</f>
        <v>36.796073543703685</v>
      </c>
      <c r="J8" s="5">
        <f>vals_ghg_incLUC!$X8</f>
        <v>45.775607949651722</v>
      </c>
      <c r="K8" s="5"/>
      <c r="L8" s="5"/>
      <c r="M8" s="5">
        <f>vals_ghg_incLUC!$S8</f>
        <v>54.4919993825104</v>
      </c>
      <c r="N8" s="5">
        <f>vals_ghg_incLUC!$Y8</f>
        <v>59.706023101797456</v>
      </c>
      <c r="O8" s="5"/>
      <c r="P8" s="5"/>
      <c r="Q8" s="9">
        <f t="shared" si="7"/>
        <v>5.2140237192870558</v>
      </c>
      <c r="R8" s="9">
        <v>40.423999999999999</v>
      </c>
      <c r="S8" s="9">
        <v>58.975000000000001</v>
      </c>
    </row>
    <row r="9" spans="1:19" x14ac:dyDescent="0.35">
      <c r="A9" s="6">
        <f>vals_ghg_incLUC!$A9</f>
        <v>1856</v>
      </c>
      <c r="B9" s="7">
        <f t="shared" si="0"/>
        <v>36.964209248762295</v>
      </c>
      <c r="C9" s="7">
        <f t="shared" si="1"/>
        <v>46.378246573129161</v>
      </c>
      <c r="D9" s="7">
        <f t="shared" si="2"/>
        <v>54.631743448701755</v>
      </c>
      <c r="E9" s="7">
        <f t="shared" si="3"/>
        <v>60.279378090772241</v>
      </c>
      <c r="F9" s="7">
        <f t="shared" si="4"/>
        <v>9.4140373243668662</v>
      </c>
      <c r="G9" s="7">
        <f t="shared" si="5"/>
        <v>0</v>
      </c>
      <c r="H9" s="7">
        <f t="shared" si="6"/>
        <v>8.2534968755725941</v>
      </c>
      <c r="I9" s="8">
        <f>vals_ghg_incLUC!$R9</f>
        <v>36.964209248762295</v>
      </c>
      <c r="J9" s="8">
        <f>vals_ghg_incLUC!$X9</f>
        <v>46.378246573129161</v>
      </c>
      <c r="K9" s="8"/>
      <c r="L9" s="8"/>
      <c r="M9" s="8">
        <f>vals_ghg_incLUC!$S9</f>
        <v>54.631743448701755</v>
      </c>
      <c r="N9" s="8">
        <f>vals_ghg_incLUC!$Y9</f>
        <v>60.279378090772241</v>
      </c>
      <c r="O9" s="8"/>
      <c r="P9" s="8"/>
      <c r="Q9" s="9">
        <f t="shared" si="7"/>
        <v>5.6476346420704857</v>
      </c>
      <c r="R9" s="9">
        <v>40.637</v>
      </c>
      <c r="S9" s="9">
        <v>59.167999999999999</v>
      </c>
    </row>
    <row r="10" spans="1:19" x14ac:dyDescent="0.35">
      <c r="A10" s="3">
        <f>vals_ghg_incLUC!$A10</f>
        <v>1857</v>
      </c>
      <c r="B10" s="4">
        <f t="shared" si="0"/>
        <v>37.099803773937332</v>
      </c>
      <c r="C10" s="4">
        <f t="shared" si="1"/>
        <v>46.877214338952186</v>
      </c>
      <c r="D10" s="4">
        <f t="shared" si="2"/>
        <v>54.753305680291575</v>
      </c>
      <c r="E10" s="4">
        <f t="shared" si="3"/>
        <v>60.755482311510036</v>
      </c>
      <c r="F10" s="4">
        <f t="shared" si="4"/>
        <v>9.7774105650148542</v>
      </c>
      <c r="G10" s="4">
        <f t="shared" si="5"/>
        <v>0</v>
      </c>
      <c r="H10" s="4">
        <f t="shared" si="6"/>
        <v>7.8760913413393894</v>
      </c>
      <c r="I10" s="5">
        <f>vals_ghg_incLUC!$R10</f>
        <v>37.099803773937332</v>
      </c>
      <c r="J10" s="5">
        <f>vals_ghg_incLUC!$X10</f>
        <v>46.877214338952186</v>
      </c>
      <c r="K10" s="5"/>
      <c r="L10" s="5"/>
      <c r="M10" s="5">
        <f>vals_ghg_incLUC!$S10</f>
        <v>54.753305680291575</v>
      </c>
      <c r="N10" s="5">
        <f>vals_ghg_incLUC!$Y10</f>
        <v>60.755482311510036</v>
      </c>
      <c r="O10" s="5"/>
      <c r="P10" s="5"/>
      <c r="Q10" s="9">
        <f t="shared" si="7"/>
        <v>6.002176631218461</v>
      </c>
      <c r="R10" s="9">
        <v>40.802</v>
      </c>
      <c r="S10" s="9">
        <v>59.33</v>
      </c>
    </row>
    <row r="11" spans="1:19" x14ac:dyDescent="0.35">
      <c r="A11" s="6">
        <f>vals_ghg_incLUC!$A11</f>
        <v>1858</v>
      </c>
      <c r="B11" s="7">
        <f t="shared" si="0"/>
        <v>37.249017671989279</v>
      </c>
      <c r="C11" s="7">
        <f t="shared" si="1"/>
        <v>47.30340974183521</v>
      </c>
      <c r="D11" s="7">
        <f t="shared" si="2"/>
        <v>54.887817810677944</v>
      </c>
      <c r="E11" s="7">
        <f t="shared" si="3"/>
        <v>61.164526307747202</v>
      </c>
      <c r="F11" s="7">
        <f t="shared" si="4"/>
        <v>10.054392069845932</v>
      </c>
      <c r="G11" s="7">
        <f t="shared" si="5"/>
        <v>0</v>
      </c>
      <c r="H11" s="7">
        <f t="shared" si="6"/>
        <v>7.584408068842734</v>
      </c>
      <c r="I11" s="8">
        <f>vals_ghg_incLUC!$R11</f>
        <v>37.249017671989279</v>
      </c>
      <c r="J11" s="8">
        <f>vals_ghg_incLUC!$X11</f>
        <v>47.30340974183521</v>
      </c>
      <c r="K11" s="8"/>
      <c r="L11" s="8"/>
      <c r="M11" s="8">
        <f>vals_ghg_incLUC!$S11</f>
        <v>54.887817810677944</v>
      </c>
      <c r="N11" s="8">
        <f>vals_ghg_incLUC!$Y11</f>
        <v>61.164526307747202</v>
      </c>
      <c r="O11" s="8"/>
      <c r="P11" s="8"/>
      <c r="Q11" s="9">
        <f t="shared" si="7"/>
        <v>6.2767084970692579</v>
      </c>
      <c r="R11" s="9">
        <v>40.972999999999999</v>
      </c>
      <c r="S11" s="9">
        <v>59.500999999999998</v>
      </c>
    </row>
    <row r="12" spans="1:19" x14ac:dyDescent="0.35">
      <c r="A12" s="3">
        <f>vals_ghg_incLUC!$A12</f>
        <v>1859</v>
      </c>
      <c r="B12" s="4">
        <f t="shared" si="0"/>
        <v>37.419861445132952</v>
      </c>
      <c r="C12" s="4">
        <f t="shared" si="1"/>
        <v>47.701547103335955</v>
      </c>
      <c r="D12" s="4">
        <f t="shared" si="2"/>
        <v>55.037884813678041</v>
      </c>
      <c r="E12" s="4">
        <f t="shared" si="3"/>
        <v>61.540280126569627</v>
      </c>
      <c r="F12" s="4">
        <f t="shared" si="4"/>
        <v>10.281685658203003</v>
      </c>
      <c r="G12" s="4">
        <f t="shared" si="5"/>
        <v>0</v>
      </c>
      <c r="H12" s="4">
        <f t="shared" si="6"/>
        <v>7.3363377103420859</v>
      </c>
      <c r="I12" s="5">
        <f>vals_ghg_incLUC!$R12</f>
        <v>37.419861445132952</v>
      </c>
      <c r="J12" s="5">
        <f>vals_ghg_incLUC!$X12</f>
        <v>47.701547103335955</v>
      </c>
      <c r="K12" s="5"/>
      <c r="L12" s="5"/>
      <c r="M12" s="5">
        <f>vals_ghg_incLUC!$S12</f>
        <v>55.037884813678041</v>
      </c>
      <c r="N12" s="5">
        <f>vals_ghg_incLUC!$Y12</f>
        <v>61.540280126569627</v>
      </c>
      <c r="O12" s="5"/>
      <c r="P12" s="5"/>
      <c r="Q12" s="9">
        <f t="shared" si="7"/>
        <v>6.5023953128915863</v>
      </c>
      <c r="R12" s="9">
        <v>41.18</v>
      </c>
      <c r="S12" s="9">
        <v>59.695</v>
      </c>
    </row>
    <row r="13" spans="1:19" x14ac:dyDescent="0.35">
      <c r="A13" s="6">
        <f>vals_ghg_incLUC!$A13</f>
        <v>1860</v>
      </c>
      <c r="B13" s="7">
        <f t="shared" si="0"/>
        <v>37.673572147850273</v>
      </c>
      <c r="C13" s="7">
        <f t="shared" si="1"/>
        <v>48.092976188322986</v>
      </c>
      <c r="D13" s="7">
        <f t="shared" si="2"/>
        <v>55.290470225180769</v>
      </c>
      <c r="E13" s="7">
        <f t="shared" si="3"/>
        <v>61.904433644688005</v>
      </c>
      <c r="F13" s="7">
        <f t="shared" si="4"/>
        <v>10.419404040472713</v>
      </c>
      <c r="G13" s="7">
        <f t="shared" si="5"/>
        <v>0</v>
      </c>
      <c r="H13" s="7">
        <f t="shared" si="6"/>
        <v>7.1974940368577833</v>
      </c>
      <c r="I13" s="8">
        <f>vals_ghg_incLUC!$R13</f>
        <v>37.673572147850273</v>
      </c>
      <c r="J13" s="8">
        <f>vals_ghg_incLUC!$X13</f>
        <v>48.092976188322986</v>
      </c>
      <c r="K13" s="8"/>
      <c r="L13" s="8"/>
      <c r="M13" s="8">
        <f>vals_ghg_incLUC!$S13</f>
        <v>55.290470225180769</v>
      </c>
      <c r="N13" s="8">
        <f>vals_ghg_incLUC!$Y13</f>
        <v>61.904433644688005</v>
      </c>
      <c r="O13" s="8"/>
      <c r="P13" s="8"/>
      <c r="Q13" s="9">
        <f t="shared" si="7"/>
        <v>6.6139634195072361</v>
      </c>
      <c r="R13" s="9">
        <v>41.52</v>
      </c>
      <c r="S13" s="9">
        <v>60.043999999999997</v>
      </c>
    </row>
    <row r="14" spans="1:19" x14ac:dyDescent="0.35">
      <c r="A14" s="3">
        <f>vals_ghg_incLUC!$A14</f>
        <v>1861</v>
      </c>
      <c r="B14" s="4">
        <f t="shared" si="0"/>
        <v>37.873267423898092</v>
      </c>
      <c r="C14" s="4">
        <f t="shared" si="1"/>
        <v>48.434068292311608</v>
      </c>
      <c r="D14" s="4">
        <f t="shared" si="2"/>
        <v>55.529580270578968</v>
      </c>
      <c r="E14" s="4">
        <f t="shared" si="3"/>
        <v>62.239511908925785</v>
      </c>
      <c r="F14" s="4">
        <f t="shared" si="4"/>
        <v>10.560800868413516</v>
      </c>
      <c r="G14" s="4">
        <f t="shared" si="5"/>
        <v>0</v>
      </c>
      <c r="H14" s="4">
        <f t="shared" si="6"/>
        <v>7.0955119782673606</v>
      </c>
      <c r="I14" s="5">
        <f>vals_ghg_incLUC!$R14</f>
        <v>37.873267423898092</v>
      </c>
      <c r="J14" s="5">
        <f>vals_ghg_incLUC!$X14</f>
        <v>48.434068292311608</v>
      </c>
      <c r="K14" s="5"/>
      <c r="L14" s="5"/>
      <c r="M14" s="5">
        <f>vals_ghg_incLUC!$S14</f>
        <v>55.529580270578968</v>
      </c>
      <c r="N14" s="5">
        <f>vals_ghg_incLUC!$Y14</f>
        <v>62.239511908925785</v>
      </c>
      <c r="O14" s="5"/>
      <c r="P14" s="5"/>
      <c r="Q14" s="9">
        <f t="shared" si="7"/>
        <v>6.7099316383468164</v>
      </c>
      <c r="R14" s="9">
        <v>41.801000000000002</v>
      </c>
      <c r="S14" s="9">
        <v>60.384999999999998</v>
      </c>
    </row>
    <row r="15" spans="1:19" x14ac:dyDescent="0.35">
      <c r="A15" s="6">
        <f>vals_ghg_incLUC!$A15</f>
        <v>1862</v>
      </c>
      <c r="B15" s="7">
        <f t="shared" si="0"/>
        <v>38.094748602434159</v>
      </c>
      <c r="C15" s="7">
        <f t="shared" si="1"/>
        <v>48.563021729486479</v>
      </c>
      <c r="D15" s="7">
        <f t="shared" si="2"/>
        <v>55.792763358259798</v>
      </c>
      <c r="E15" s="7">
        <f t="shared" si="3"/>
        <v>62.37343526184177</v>
      </c>
      <c r="F15" s="7">
        <f t="shared" si="4"/>
        <v>10.468273127052321</v>
      </c>
      <c r="G15" s="7">
        <f t="shared" si="5"/>
        <v>0</v>
      </c>
      <c r="H15" s="7">
        <f t="shared" si="6"/>
        <v>7.2297416287733185</v>
      </c>
      <c r="I15" s="8">
        <f>vals_ghg_incLUC!$R15</f>
        <v>38.094748602434159</v>
      </c>
      <c r="J15" s="8">
        <f>vals_ghg_incLUC!$X15</f>
        <v>48.563021729486479</v>
      </c>
      <c r="K15" s="8"/>
      <c r="L15" s="8"/>
      <c r="M15" s="8">
        <f>vals_ghg_incLUC!$S15</f>
        <v>55.792763358259798</v>
      </c>
      <c r="N15" s="8">
        <f>vals_ghg_incLUC!$Y15</f>
        <v>62.37343526184177</v>
      </c>
      <c r="O15" s="8"/>
      <c r="P15" s="8"/>
      <c r="Q15" s="9">
        <f t="shared" si="7"/>
        <v>6.5806719035819725</v>
      </c>
      <c r="R15" s="9">
        <v>42.097000000000001</v>
      </c>
      <c r="S15" s="9">
        <v>60.75</v>
      </c>
    </row>
    <row r="16" spans="1:19" x14ac:dyDescent="0.35">
      <c r="A16" s="3">
        <f>vals_ghg_incLUC!$A16</f>
        <v>1863</v>
      </c>
      <c r="B16" s="4">
        <f t="shared" si="0"/>
        <v>38.328860079746974</v>
      </c>
      <c r="C16" s="4">
        <f t="shared" si="1"/>
        <v>48.690583379888224</v>
      </c>
      <c r="D16" s="4">
        <f t="shared" si="2"/>
        <v>56.045363741170007</v>
      </c>
      <c r="E16" s="4">
        <f t="shared" si="3"/>
        <v>62.507935886487488</v>
      </c>
      <c r="F16" s="4">
        <f t="shared" si="4"/>
        <v>10.36172330014125</v>
      </c>
      <c r="G16" s="4">
        <f t="shared" si="5"/>
        <v>0</v>
      </c>
      <c r="H16" s="4">
        <f t="shared" si="6"/>
        <v>7.354780361281783</v>
      </c>
      <c r="I16" s="5">
        <f>vals_ghg_incLUC!$R16</f>
        <v>38.328860079746974</v>
      </c>
      <c r="J16" s="5">
        <f>vals_ghg_incLUC!$X16</f>
        <v>48.690583379888224</v>
      </c>
      <c r="K16" s="5"/>
      <c r="L16" s="5"/>
      <c r="M16" s="5">
        <f>vals_ghg_incLUC!$S16</f>
        <v>56.045363741170007</v>
      </c>
      <c r="N16" s="5">
        <f>vals_ghg_incLUC!$Y16</f>
        <v>62.507935886487488</v>
      </c>
      <c r="O16" s="5"/>
      <c r="P16" s="5"/>
      <c r="Q16" s="9">
        <f t="shared" si="7"/>
        <v>6.4625721453174805</v>
      </c>
      <c r="R16" s="9">
        <v>42.405000000000001</v>
      </c>
      <c r="S16" s="9">
        <v>61.095999999999997</v>
      </c>
    </row>
    <row r="17" spans="1:19" x14ac:dyDescent="0.35">
      <c r="A17" s="6">
        <f>vals_ghg_incLUC!$A17</f>
        <v>1864</v>
      </c>
      <c r="B17" s="7">
        <f t="shared" si="0"/>
        <v>38.519813300272077</v>
      </c>
      <c r="C17" s="7">
        <f t="shared" si="1"/>
        <v>48.823288004247942</v>
      </c>
      <c r="D17" s="7">
        <f t="shared" si="2"/>
        <v>56.295154231516641</v>
      </c>
      <c r="E17" s="7">
        <f t="shared" si="3"/>
        <v>62.645585703911891</v>
      </c>
      <c r="F17" s="7">
        <f t="shared" si="4"/>
        <v>10.303474703975866</v>
      </c>
      <c r="G17" s="7">
        <f t="shared" si="5"/>
        <v>0</v>
      </c>
      <c r="H17" s="7">
        <f t="shared" si="6"/>
        <v>7.4718662272686984</v>
      </c>
      <c r="I17" s="8">
        <f>vals_ghg_incLUC!$R17</f>
        <v>38.519813300272077</v>
      </c>
      <c r="J17" s="8">
        <f>vals_ghg_incLUC!$X17</f>
        <v>48.823288004247942</v>
      </c>
      <c r="K17" s="8"/>
      <c r="L17" s="8"/>
      <c r="M17" s="8">
        <f>vals_ghg_incLUC!$S17</f>
        <v>56.295154231516641</v>
      </c>
      <c r="N17" s="8">
        <f>vals_ghg_incLUC!$Y17</f>
        <v>62.645585703911891</v>
      </c>
      <c r="O17" s="8"/>
      <c r="P17" s="8"/>
      <c r="Q17" s="9">
        <f t="shared" si="7"/>
        <v>6.3504314723952504</v>
      </c>
      <c r="R17" s="9">
        <v>42.661999999999999</v>
      </c>
      <c r="S17" s="9">
        <v>61.436</v>
      </c>
    </row>
    <row r="18" spans="1:19" x14ac:dyDescent="0.35">
      <c r="A18" s="3">
        <f>vals_ghg_incLUC!$A18</f>
        <v>1865</v>
      </c>
      <c r="B18" s="4">
        <f t="shared" si="0"/>
        <v>38.717656293011188</v>
      </c>
      <c r="C18" s="4">
        <f t="shared" si="1"/>
        <v>48.955631373621586</v>
      </c>
      <c r="D18" s="4">
        <f t="shared" si="2"/>
        <v>56.533422537780908</v>
      </c>
      <c r="E18" s="4">
        <f t="shared" si="3"/>
        <v>62.782195367053461</v>
      </c>
      <c r="F18" s="4">
        <f t="shared" si="4"/>
        <v>10.237975080610397</v>
      </c>
      <c r="G18" s="4">
        <f t="shared" si="5"/>
        <v>0</v>
      </c>
      <c r="H18" s="4">
        <f t="shared" si="6"/>
        <v>7.5777911641593221</v>
      </c>
      <c r="I18" s="5">
        <f>vals_ghg_incLUC!$R18</f>
        <v>38.717656293011188</v>
      </c>
      <c r="J18" s="5">
        <f>vals_ghg_incLUC!$X18</f>
        <v>48.955631373621586</v>
      </c>
      <c r="K18" s="5"/>
      <c r="L18" s="5"/>
      <c r="M18" s="5">
        <f>vals_ghg_incLUC!$S18</f>
        <v>56.533422537780908</v>
      </c>
      <c r="N18" s="5">
        <f>vals_ghg_incLUC!$Y18</f>
        <v>62.782195367053461</v>
      </c>
      <c r="O18" s="5"/>
      <c r="P18" s="5"/>
      <c r="Q18" s="9">
        <f t="shared" si="7"/>
        <v>6.2487728292725535</v>
      </c>
      <c r="R18" s="9">
        <v>42.926000000000002</v>
      </c>
      <c r="S18" s="9">
        <v>61.762999999999998</v>
      </c>
    </row>
    <row r="19" spans="1:19" x14ac:dyDescent="0.35">
      <c r="A19" s="6">
        <f>vals_ghg_incLUC!$A19</f>
        <v>1866</v>
      </c>
      <c r="B19" s="7">
        <f t="shared" si="0"/>
        <v>38.88246724416036</v>
      </c>
      <c r="C19" s="7">
        <f t="shared" si="1"/>
        <v>49.080904868086222</v>
      </c>
      <c r="D19" s="7">
        <f t="shared" si="2"/>
        <v>56.777198149484065</v>
      </c>
      <c r="E19" s="7">
        <f t="shared" si="3"/>
        <v>62.91372004216106</v>
      </c>
      <c r="F19" s="7">
        <f t="shared" si="4"/>
        <v>10.198437623925862</v>
      </c>
      <c r="G19" s="7">
        <f t="shared" si="5"/>
        <v>0</v>
      </c>
      <c r="H19" s="7">
        <f t="shared" si="6"/>
        <v>7.6962932813978426</v>
      </c>
      <c r="I19" s="8">
        <f>vals_ghg_incLUC!$R19</f>
        <v>38.88246724416036</v>
      </c>
      <c r="J19" s="8">
        <f>vals_ghg_incLUC!$X19</f>
        <v>49.080904868086222</v>
      </c>
      <c r="K19" s="8"/>
      <c r="L19" s="8"/>
      <c r="M19" s="8">
        <f>vals_ghg_incLUC!$S19</f>
        <v>56.777198149484065</v>
      </c>
      <c r="N19" s="8">
        <f>vals_ghg_incLUC!$Y19</f>
        <v>62.91372004216106</v>
      </c>
      <c r="O19" s="8"/>
      <c r="P19" s="8"/>
      <c r="Q19" s="9">
        <f t="shared" si="7"/>
        <v>6.1365218926769955</v>
      </c>
      <c r="R19" s="9">
        <v>43.156999999999996</v>
      </c>
      <c r="S19" s="9">
        <v>62.098999999999997</v>
      </c>
    </row>
    <row r="20" spans="1:19" x14ac:dyDescent="0.35">
      <c r="A20" s="3">
        <f>vals_ghg_incLUC!$A20</f>
        <v>1867</v>
      </c>
      <c r="B20" s="4">
        <f t="shared" si="0"/>
        <v>39.090834412268762</v>
      </c>
      <c r="C20" s="4">
        <f t="shared" si="1"/>
        <v>49.208614747045829</v>
      </c>
      <c r="D20" s="4">
        <f t="shared" si="2"/>
        <v>57.003459933957579</v>
      </c>
      <c r="E20" s="4">
        <f t="shared" si="3"/>
        <v>63.047077211882765</v>
      </c>
      <c r="F20" s="4">
        <f t="shared" si="4"/>
        <v>10.117780334777066</v>
      </c>
      <c r="G20" s="4">
        <f t="shared" si="5"/>
        <v>0</v>
      </c>
      <c r="H20" s="4">
        <f t="shared" si="6"/>
        <v>7.7948451869117505</v>
      </c>
      <c r="I20" s="5">
        <f>vals_ghg_incLUC!$R20</f>
        <v>39.090834412268762</v>
      </c>
      <c r="J20" s="5">
        <f>vals_ghg_incLUC!$X20</f>
        <v>49.208614747045829</v>
      </c>
      <c r="K20" s="5"/>
      <c r="L20" s="5"/>
      <c r="M20" s="5">
        <f>vals_ghg_incLUC!$S20</f>
        <v>57.003459933957579</v>
      </c>
      <c r="N20" s="5">
        <f>vals_ghg_incLUC!$Y20</f>
        <v>63.047077211882765</v>
      </c>
      <c r="O20" s="5"/>
      <c r="P20" s="5"/>
      <c r="Q20" s="9">
        <f t="shared" si="7"/>
        <v>6.0436172779251862</v>
      </c>
      <c r="R20" s="9">
        <v>43.427999999999997</v>
      </c>
      <c r="S20" s="9">
        <v>62.411000000000001</v>
      </c>
    </row>
    <row r="21" spans="1:19" x14ac:dyDescent="0.35">
      <c r="A21" s="6">
        <f>vals_ghg_incLUC!$A21</f>
        <v>1868</v>
      </c>
      <c r="B21" s="7">
        <f t="shared" si="0"/>
        <v>39.277927064583835</v>
      </c>
      <c r="C21" s="7">
        <f t="shared" si="1"/>
        <v>49.325925088726102</v>
      </c>
      <c r="D21" s="7">
        <f t="shared" si="2"/>
        <v>57.226503276693933</v>
      </c>
      <c r="E21" s="7">
        <f t="shared" si="3"/>
        <v>63.172559037872411</v>
      </c>
      <c r="F21" s="7">
        <f t="shared" si="4"/>
        <v>10.047998024142267</v>
      </c>
      <c r="G21" s="7">
        <f t="shared" si="5"/>
        <v>0</v>
      </c>
      <c r="H21" s="7">
        <f t="shared" si="6"/>
        <v>7.900578187967831</v>
      </c>
      <c r="I21" s="8">
        <f>vals_ghg_incLUC!$R21</f>
        <v>39.277927064583835</v>
      </c>
      <c r="J21" s="8">
        <f>vals_ghg_incLUC!$X21</f>
        <v>49.325925088726102</v>
      </c>
      <c r="K21" s="8"/>
      <c r="L21" s="8"/>
      <c r="M21" s="8">
        <f>vals_ghg_incLUC!$S21</f>
        <v>57.226503276693933</v>
      </c>
      <c r="N21" s="8">
        <f>vals_ghg_incLUC!$Y21</f>
        <v>63.172559037872411</v>
      </c>
      <c r="O21" s="8"/>
      <c r="P21" s="8"/>
      <c r="Q21" s="9">
        <f t="shared" si="7"/>
        <v>5.9460557611784779</v>
      </c>
      <c r="R21" s="9">
        <v>43.673999999999999</v>
      </c>
      <c r="S21" s="9">
        <v>62.716000000000001</v>
      </c>
    </row>
    <row r="22" spans="1:19" x14ac:dyDescent="0.35">
      <c r="A22" s="3">
        <f>vals_ghg_incLUC!$A22</f>
        <v>1869</v>
      </c>
      <c r="B22" s="4">
        <f t="shared" si="0"/>
        <v>39.448727858653108</v>
      </c>
      <c r="C22" s="4">
        <f t="shared" si="1"/>
        <v>49.446805983852755</v>
      </c>
      <c r="D22" s="4">
        <f t="shared" si="2"/>
        <v>57.433904647845999</v>
      </c>
      <c r="E22" s="4">
        <f t="shared" si="3"/>
        <v>63.300721305397857</v>
      </c>
      <c r="F22" s="4">
        <f t="shared" si="4"/>
        <v>9.9980781251996476</v>
      </c>
      <c r="G22" s="4">
        <f t="shared" si="5"/>
        <v>0</v>
      </c>
      <c r="H22" s="4">
        <f t="shared" si="6"/>
        <v>7.987098663993244</v>
      </c>
      <c r="I22" s="5">
        <f>vals_ghg_incLUC!$R22</f>
        <v>39.448727858653108</v>
      </c>
      <c r="J22" s="5">
        <f>vals_ghg_incLUC!$X22</f>
        <v>49.446805983852755</v>
      </c>
      <c r="K22" s="5"/>
      <c r="L22" s="5"/>
      <c r="M22" s="5">
        <f>vals_ghg_incLUC!$S22</f>
        <v>57.433904647845999</v>
      </c>
      <c r="N22" s="5">
        <f>vals_ghg_incLUC!$Y22</f>
        <v>63.300721305397857</v>
      </c>
      <c r="O22" s="5"/>
      <c r="P22" s="5"/>
      <c r="Q22" s="9">
        <f t="shared" si="7"/>
        <v>5.8668166575518583</v>
      </c>
      <c r="R22" s="9">
        <v>43.9</v>
      </c>
      <c r="S22" s="9">
        <v>63.003</v>
      </c>
    </row>
    <row r="23" spans="1:19" x14ac:dyDescent="0.35">
      <c r="A23" s="6">
        <f>vals_ghg_incLUC!$A23</f>
        <v>1870</v>
      </c>
      <c r="B23" s="7">
        <f t="shared" si="0"/>
        <v>39.708992137858402</v>
      </c>
      <c r="C23" s="7">
        <f t="shared" si="1"/>
        <v>49.556279874584988</v>
      </c>
      <c r="D23" s="7">
        <f t="shared" si="2"/>
        <v>57.730496981435728</v>
      </c>
      <c r="E23" s="7">
        <f t="shared" si="3"/>
        <v>63.419621264524686</v>
      </c>
      <c r="F23" s="7">
        <f t="shared" si="4"/>
        <v>9.8472877367265852</v>
      </c>
      <c r="G23" s="7">
        <f t="shared" si="5"/>
        <v>0</v>
      </c>
      <c r="H23" s="7">
        <f t="shared" si="6"/>
        <v>8.1742171068507403</v>
      </c>
      <c r="I23" s="8">
        <f>vals_ghg_incLUC!$R23</f>
        <v>39.708992137858402</v>
      </c>
      <c r="J23" s="8">
        <f>vals_ghg_incLUC!$X23</f>
        <v>49.556279874584988</v>
      </c>
      <c r="K23" s="8"/>
      <c r="L23" s="8"/>
      <c r="M23" s="8">
        <f>vals_ghg_incLUC!$S23</f>
        <v>57.730496981435728</v>
      </c>
      <c r="N23" s="8">
        <f>vals_ghg_incLUC!$Y23</f>
        <v>63.419621264524686</v>
      </c>
      <c r="O23" s="8"/>
      <c r="P23" s="8"/>
      <c r="Q23" s="9">
        <f t="shared" si="7"/>
        <v>5.6891242830889581</v>
      </c>
      <c r="R23" s="9">
        <v>44.192999999999998</v>
      </c>
      <c r="S23" s="9">
        <v>63.354999999999997</v>
      </c>
    </row>
    <row r="24" spans="1:19" x14ac:dyDescent="0.35">
      <c r="A24" s="3">
        <f>vals_ghg_incLUC!$A24</f>
        <v>1871</v>
      </c>
      <c r="B24" s="4">
        <f t="shared" si="0"/>
        <v>40.034475924731019</v>
      </c>
      <c r="C24" s="4">
        <f t="shared" si="1"/>
        <v>49.632562988634959</v>
      </c>
      <c r="D24" s="4">
        <f t="shared" si="2"/>
        <v>58.049098827821474</v>
      </c>
      <c r="E24" s="4">
        <f t="shared" si="3"/>
        <v>63.484080838391485</v>
      </c>
      <c r="F24" s="4">
        <f t="shared" si="4"/>
        <v>9.5980870639039395</v>
      </c>
      <c r="G24" s="4">
        <f t="shared" si="5"/>
        <v>0</v>
      </c>
      <c r="H24" s="4">
        <f t="shared" si="6"/>
        <v>8.4165358391865155</v>
      </c>
      <c r="I24" s="5">
        <f>vals_ghg_incLUC!$R24</f>
        <v>40.034475924731019</v>
      </c>
      <c r="J24" s="5">
        <f>vals_ghg_incLUC!$X24</f>
        <v>49.632562988634959</v>
      </c>
      <c r="K24" s="5"/>
      <c r="L24" s="5"/>
      <c r="M24" s="5">
        <f>vals_ghg_incLUC!$S24</f>
        <v>58.049098827821474</v>
      </c>
      <c r="N24" s="5">
        <f>vals_ghg_incLUC!$Y24</f>
        <v>63.484080838391485</v>
      </c>
      <c r="O24" s="5"/>
      <c r="P24" s="5"/>
      <c r="Q24" s="9">
        <f t="shared" si="7"/>
        <v>5.4349820105700104</v>
      </c>
      <c r="R24" s="9">
        <v>44.552</v>
      </c>
      <c r="S24" s="9">
        <v>63.716000000000001</v>
      </c>
    </row>
    <row r="25" spans="1:19" x14ac:dyDescent="0.35">
      <c r="A25" s="6">
        <f>vals_ghg_incLUC!$A25</f>
        <v>1872</v>
      </c>
      <c r="B25" s="7">
        <f t="shared" si="0"/>
        <v>40.360673859377016</v>
      </c>
      <c r="C25" s="7">
        <f t="shared" si="1"/>
        <v>49.882872407343278</v>
      </c>
      <c r="D25" s="7">
        <f t="shared" si="2"/>
        <v>58.374916867064208</v>
      </c>
      <c r="E25" s="7">
        <f t="shared" si="3"/>
        <v>63.671655093279625</v>
      </c>
      <c r="F25" s="7">
        <f t="shared" si="4"/>
        <v>9.5221985479662621</v>
      </c>
      <c r="G25" s="7">
        <f t="shared" si="5"/>
        <v>0</v>
      </c>
      <c r="H25" s="7">
        <f t="shared" si="6"/>
        <v>8.4920444597209297</v>
      </c>
      <c r="I25" s="8">
        <f>vals_ghg_incLUC!$R25</f>
        <v>40.360673859377016</v>
      </c>
      <c r="J25" s="8">
        <f>vals_ghg_incLUC!$X25</f>
        <v>49.882872407343278</v>
      </c>
      <c r="K25" s="8"/>
      <c r="L25" s="8"/>
      <c r="M25" s="8">
        <f>vals_ghg_incLUC!$S25</f>
        <v>58.374916867064208</v>
      </c>
      <c r="N25" s="8">
        <f>vals_ghg_incLUC!$Y25</f>
        <v>63.671655093279625</v>
      </c>
      <c r="O25" s="8"/>
      <c r="P25" s="8"/>
      <c r="Q25" s="9">
        <f t="shared" si="7"/>
        <v>5.2967382262154175</v>
      </c>
      <c r="R25" s="9">
        <v>44.906999999999996</v>
      </c>
      <c r="S25" s="9">
        <v>64.070999999999998</v>
      </c>
    </row>
    <row r="26" spans="1:19" x14ac:dyDescent="0.35">
      <c r="A26" s="3">
        <f>vals_ghg_incLUC!$A26</f>
        <v>1873</v>
      </c>
      <c r="B26" s="4">
        <f t="shared" si="0"/>
        <v>40.721328850299379</v>
      </c>
      <c r="C26" s="4">
        <f t="shared" si="1"/>
        <v>50.133122083539106</v>
      </c>
      <c r="D26" s="4">
        <f t="shared" si="2"/>
        <v>58.709304254282877</v>
      </c>
      <c r="E26" s="4">
        <f t="shared" si="3"/>
        <v>63.85722675563057</v>
      </c>
      <c r="F26" s="4">
        <f t="shared" si="4"/>
        <v>9.4117932332397274</v>
      </c>
      <c r="G26" s="4">
        <f t="shared" si="5"/>
        <v>0</v>
      </c>
      <c r="H26" s="4">
        <f t="shared" si="6"/>
        <v>8.5761821707437704</v>
      </c>
      <c r="I26" s="5">
        <f>vals_ghg_incLUC!$R26</f>
        <v>40.721328850299379</v>
      </c>
      <c r="J26" s="5">
        <f>vals_ghg_incLUC!$X26</f>
        <v>50.133122083539106</v>
      </c>
      <c r="K26" s="5"/>
      <c r="L26" s="5"/>
      <c r="M26" s="5">
        <f>vals_ghg_incLUC!$S26</f>
        <v>58.709304254282877</v>
      </c>
      <c r="N26" s="5">
        <f>vals_ghg_incLUC!$Y26</f>
        <v>63.85722675563057</v>
      </c>
      <c r="O26" s="5"/>
      <c r="P26" s="5"/>
      <c r="Q26" s="9">
        <f t="shared" si="7"/>
        <v>5.1479225013476935</v>
      </c>
      <c r="R26" s="9">
        <v>45.293999999999997</v>
      </c>
      <c r="S26" s="9">
        <v>64.424999999999997</v>
      </c>
    </row>
    <row r="27" spans="1:19" x14ac:dyDescent="0.35">
      <c r="A27" s="6">
        <f>vals_ghg_incLUC!$A27</f>
        <v>1874</v>
      </c>
      <c r="B27" s="7">
        <f t="shared" si="0"/>
        <v>41.034048026297995</v>
      </c>
      <c r="C27" s="7">
        <f t="shared" si="1"/>
        <v>50.339155874184385</v>
      </c>
      <c r="D27" s="7">
        <f t="shared" si="2"/>
        <v>59.0239312796813</v>
      </c>
      <c r="E27" s="7">
        <f t="shared" si="3"/>
        <v>64.012929168108499</v>
      </c>
      <c r="F27" s="7">
        <f t="shared" si="4"/>
        <v>9.30510784788639</v>
      </c>
      <c r="G27" s="7">
        <f t="shared" si="5"/>
        <v>0</v>
      </c>
      <c r="H27" s="7">
        <f t="shared" si="6"/>
        <v>8.6847754054969144</v>
      </c>
      <c r="I27" s="8">
        <f>vals_ghg_incLUC!$R27</f>
        <v>41.034048026297995</v>
      </c>
      <c r="J27" s="8">
        <f>vals_ghg_incLUC!$X27</f>
        <v>50.339155874184385</v>
      </c>
      <c r="K27" s="8"/>
      <c r="L27" s="8"/>
      <c r="M27" s="8">
        <f>vals_ghg_incLUC!$S27</f>
        <v>59.0239312796813</v>
      </c>
      <c r="N27" s="8">
        <f>vals_ghg_incLUC!$Y27</f>
        <v>64.012929168108499</v>
      </c>
      <c r="O27" s="8"/>
      <c r="P27" s="8"/>
      <c r="Q27" s="9">
        <f t="shared" si="7"/>
        <v>4.9889978884271997</v>
      </c>
      <c r="R27" s="9">
        <v>45.593000000000004</v>
      </c>
      <c r="S27" s="9">
        <v>64.73</v>
      </c>
    </row>
    <row r="28" spans="1:19" x14ac:dyDescent="0.35">
      <c r="A28" s="3">
        <f>vals_ghg_incLUC!$A28</f>
        <v>1875</v>
      </c>
      <c r="B28" s="4">
        <f t="shared" si="0"/>
        <v>41.369031589133655</v>
      </c>
      <c r="C28" s="4">
        <f t="shared" si="1"/>
        <v>50.557865617376166</v>
      </c>
      <c r="D28" s="4">
        <f t="shared" si="2"/>
        <v>59.339808748608412</v>
      </c>
      <c r="E28" s="4">
        <f t="shared" si="3"/>
        <v>64.177440712214306</v>
      </c>
      <c r="F28" s="4">
        <f t="shared" si="4"/>
        <v>9.1888340282425105</v>
      </c>
      <c r="G28" s="4">
        <f t="shared" si="5"/>
        <v>0</v>
      </c>
      <c r="H28" s="4">
        <f t="shared" si="6"/>
        <v>8.7819431312322465</v>
      </c>
      <c r="I28" s="5">
        <f>vals_ghg_incLUC!$R28</f>
        <v>41.369031589133655</v>
      </c>
      <c r="J28" s="5">
        <f>vals_ghg_incLUC!$X28</f>
        <v>50.557865617376166</v>
      </c>
      <c r="K28" s="5"/>
      <c r="L28" s="5"/>
      <c r="M28" s="5">
        <f>vals_ghg_incLUC!$S28</f>
        <v>59.339808748608412</v>
      </c>
      <c r="N28" s="5">
        <f>vals_ghg_incLUC!$Y28</f>
        <v>64.177440712214306</v>
      </c>
      <c r="O28" s="5"/>
      <c r="P28" s="5"/>
      <c r="Q28" s="9">
        <f t="shared" si="7"/>
        <v>4.8376319636058938</v>
      </c>
      <c r="R28" s="9">
        <v>45.917999999999999</v>
      </c>
      <c r="S28" s="9">
        <v>65.031999999999996</v>
      </c>
    </row>
    <row r="29" spans="1:19" x14ac:dyDescent="0.35">
      <c r="A29" s="6">
        <f>vals_ghg_incLUC!$A29</f>
        <v>1876</v>
      </c>
      <c r="B29" s="7">
        <f t="shared" si="0"/>
        <v>41.684277062365396</v>
      </c>
      <c r="C29" s="7">
        <f t="shared" si="1"/>
        <v>50.756986263190029</v>
      </c>
      <c r="D29" s="7">
        <f t="shared" si="2"/>
        <v>59.645982625198336</v>
      </c>
      <c r="E29" s="7">
        <f t="shared" si="3"/>
        <v>64.334793614391259</v>
      </c>
      <c r="F29" s="7">
        <f t="shared" si="4"/>
        <v>9.0727092008246331</v>
      </c>
      <c r="G29" s="7">
        <f t="shared" si="5"/>
        <v>0</v>
      </c>
      <c r="H29" s="7">
        <f t="shared" si="6"/>
        <v>8.8889963620083066</v>
      </c>
      <c r="I29" s="8">
        <f>vals_ghg_incLUC!$R29</f>
        <v>41.684277062365396</v>
      </c>
      <c r="J29" s="8">
        <f>vals_ghg_incLUC!$X29</f>
        <v>50.756986263190029</v>
      </c>
      <c r="K29" s="8"/>
      <c r="L29" s="8"/>
      <c r="M29" s="8">
        <f>vals_ghg_incLUC!$S29</f>
        <v>59.645982625198336</v>
      </c>
      <c r="N29" s="8">
        <f>vals_ghg_incLUC!$Y29</f>
        <v>64.334793614391259</v>
      </c>
      <c r="O29" s="8"/>
      <c r="P29" s="8"/>
      <c r="Q29" s="9">
        <f t="shared" si="7"/>
        <v>4.6888109891929233</v>
      </c>
      <c r="R29" s="9">
        <v>46.207000000000001</v>
      </c>
      <c r="S29" s="9">
        <v>65.313000000000002</v>
      </c>
    </row>
    <row r="30" spans="1:19" x14ac:dyDescent="0.35">
      <c r="A30" s="3">
        <f>vals_ghg_incLUC!$A30</f>
        <v>1877</v>
      </c>
      <c r="B30" s="4">
        <f t="shared" si="0"/>
        <v>41.987680785717515</v>
      </c>
      <c r="C30" s="4">
        <f t="shared" si="1"/>
        <v>50.95102102987947</v>
      </c>
      <c r="D30" s="4">
        <f t="shared" si="2"/>
        <v>59.935822451777909</v>
      </c>
      <c r="E30" s="4">
        <f t="shared" si="3"/>
        <v>64.486934997276592</v>
      </c>
      <c r="F30" s="4">
        <f t="shared" si="4"/>
        <v>8.9633402441619552</v>
      </c>
      <c r="G30" s="4">
        <f t="shared" si="5"/>
        <v>0</v>
      </c>
      <c r="H30" s="4">
        <f t="shared" si="6"/>
        <v>8.9848014218984389</v>
      </c>
      <c r="I30" s="5">
        <f>vals_ghg_incLUC!$R30</f>
        <v>41.987680785717515</v>
      </c>
      <c r="J30" s="5">
        <f>vals_ghg_incLUC!$X30</f>
        <v>50.95102102987947</v>
      </c>
      <c r="K30" s="5"/>
      <c r="L30" s="5"/>
      <c r="M30" s="5">
        <f>vals_ghg_incLUC!$S30</f>
        <v>59.935822451777909</v>
      </c>
      <c r="N30" s="5">
        <f>vals_ghg_incLUC!$Y30</f>
        <v>64.486934997276592</v>
      </c>
      <c r="O30" s="5"/>
      <c r="P30" s="5"/>
      <c r="Q30" s="9">
        <f t="shared" si="7"/>
        <v>4.5511125454986825</v>
      </c>
      <c r="R30" s="9">
        <v>46.48</v>
      </c>
      <c r="S30" s="9">
        <v>65.569000000000003</v>
      </c>
    </row>
    <row r="31" spans="1:19" x14ac:dyDescent="0.35">
      <c r="A31" s="6">
        <f>vals_ghg_incLUC!$A31</f>
        <v>1878</v>
      </c>
      <c r="B31" s="7">
        <f t="shared" si="0"/>
        <v>42.277611374038557</v>
      </c>
      <c r="C31" s="7">
        <f t="shared" si="1"/>
        <v>51.130508707906465</v>
      </c>
      <c r="D31" s="7">
        <f t="shared" si="2"/>
        <v>60.220262072004893</v>
      </c>
      <c r="E31" s="7">
        <f t="shared" si="3"/>
        <v>64.62979478077952</v>
      </c>
      <c r="F31" s="7">
        <f t="shared" si="4"/>
        <v>8.852897333867908</v>
      </c>
      <c r="G31" s="7">
        <f t="shared" si="5"/>
        <v>0</v>
      </c>
      <c r="H31" s="7">
        <f t="shared" si="6"/>
        <v>9.0897533640984278</v>
      </c>
      <c r="I31" s="8">
        <f>vals_ghg_incLUC!$R31</f>
        <v>42.277611374038557</v>
      </c>
      <c r="J31" s="8">
        <f>vals_ghg_incLUC!$X31</f>
        <v>51.130508707906465</v>
      </c>
      <c r="K31" s="8"/>
      <c r="L31" s="8"/>
      <c r="M31" s="8">
        <f>vals_ghg_incLUC!$S31</f>
        <v>60.220262072004893</v>
      </c>
      <c r="N31" s="8">
        <f>vals_ghg_incLUC!$Y31</f>
        <v>64.62979478077952</v>
      </c>
      <c r="O31" s="8"/>
      <c r="P31" s="8"/>
      <c r="Q31" s="9">
        <f t="shared" si="7"/>
        <v>4.409532708774627</v>
      </c>
      <c r="R31" s="9">
        <v>46.731999999999999</v>
      </c>
      <c r="S31" s="9">
        <v>65.813000000000002</v>
      </c>
    </row>
    <row r="32" spans="1:19" x14ac:dyDescent="0.35">
      <c r="A32" s="3">
        <f>vals_ghg_incLUC!$A32</f>
        <v>1879</v>
      </c>
      <c r="B32" s="4">
        <f t="shared" si="0"/>
        <v>42.577370445922433</v>
      </c>
      <c r="C32" s="4">
        <f t="shared" si="1"/>
        <v>51.31838275400122</v>
      </c>
      <c r="D32" s="4">
        <f t="shared" si="2"/>
        <v>60.511713613163252</v>
      </c>
      <c r="E32" s="4">
        <f t="shared" si="3"/>
        <v>64.779365416258713</v>
      </c>
      <c r="F32" s="4">
        <f t="shared" si="4"/>
        <v>8.7410123080787869</v>
      </c>
      <c r="G32" s="4">
        <f t="shared" si="5"/>
        <v>0</v>
      </c>
      <c r="H32" s="4">
        <f t="shared" si="6"/>
        <v>9.1933308591620317</v>
      </c>
      <c r="I32" s="5">
        <f>vals_ghg_incLUC!$R32</f>
        <v>42.577370445922433</v>
      </c>
      <c r="J32" s="5">
        <f>vals_ghg_incLUC!$X32</f>
        <v>51.31838275400122</v>
      </c>
      <c r="K32" s="5"/>
      <c r="L32" s="5"/>
      <c r="M32" s="5">
        <f>vals_ghg_incLUC!$S32</f>
        <v>60.511713613163252</v>
      </c>
      <c r="N32" s="5">
        <f>vals_ghg_incLUC!$Y32</f>
        <v>64.779365416258713</v>
      </c>
      <c r="O32" s="5"/>
      <c r="P32" s="5"/>
      <c r="Q32" s="9">
        <f t="shared" si="7"/>
        <v>4.2676518030954611</v>
      </c>
      <c r="R32" s="9">
        <v>46.991</v>
      </c>
      <c r="S32" s="9">
        <v>66.06</v>
      </c>
    </row>
    <row r="33" spans="1:19" x14ac:dyDescent="0.35">
      <c r="A33" s="6">
        <f>vals_ghg_incLUC!$A33</f>
        <v>1880</v>
      </c>
      <c r="B33" s="7">
        <f t="shared" si="0"/>
        <v>42.823472456786341</v>
      </c>
      <c r="C33" s="7">
        <f t="shared" si="1"/>
        <v>51.533895907220639</v>
      </c>
      <c r="D33" s="7">
        <f t="shared" si="2"/>
        <v>60.750214079800124</v>
      </c>
      <c r="E33" s="7">
        <f t="shared" si="3"/>
        <v>64.949353570368402</v>
      </c>
      <c r="F33" s="7">
        <f t="shared" si="4"/>
        <v>8.7104234504342983</v>
      </c>
      <c r="G33" s="7">
        <f t="shared" si="5"/>
        <v>0</v>
      </c>
      <c r="H33" s="7">
        <f t="shared" si="6"/>
        <v>9.2163181725794843</v>
      </c>
      <c r="I33" s="8">
        <f>vals_ghg_incLUC!$R33</f>
        <v>42.823472456786341</v>
      </c>
      <c r="J33" s="8">
        <f>vals_ghg_incLUC!$X33</f>
        <v>51.533895907220639</v>
      </c>
      <c r="K33" s="8"/>
      <c r="L33" s="8"/>
      <c r="M33" s="8">
        <f>vals_ghg_incLUC!$S33</f>
        <v>60.750214079800124</v>
      </c>
      <c r="N33" s="8">
        <f>vals_ghg_incLUC!$Y33</f>
        <v>64.949353570368402</v>
      </c>
      <c r="O33" s="8"/>
      <c r="P33" s="8"/>
      <c r="Q33" s="9">
        <f t="shared" si="7"/>
        <v>4.1991394905682782</v>
      </c>
      <c r="R33" s="9">
        <v>47.192999999999998</v>
      </c>
      <c r="S33" s="9">
        <v>66.245999999999995</v>
      </c>
    </row>
    <row r="34" spans="1:19" x14ac:dyDescent="0.35">
      <c r="A34" s="3">
        <f>vals_ghg_incLUC!$A34</f>
        <v>1881</v>
      </c>
      <c r="B34" s="4">
        <f t="shared" si="0"/>
        <v>43.01672779108489</v>
      </c>
      <c r="C34" s="4">
        <f t="shared" si="1"/>
        <v>51.701975118686086</v>
      </c>
      <c r="D34" s="4">
        <f t="shared" si="2"/>
        <v>60.938167796209839</v>
      </c>
      <c r="E34" s="4">
        <f t="shared" si="3"/>
        <v>65.062505218631671</v>
      </c>
      <c r="F34" s="4">
        <f t="shared" si="4"/>
        <v>8.6852473276011963</v>
      </c>
      <c r="G34" s="4">
        <f t="shared" si="5"/>
        <v>0</v>
      </c>
      <c r="H34" s="4">
        <f t="shared" si="6"/>
        <v>9.2361926775237535</v>
      </c>
      <c r="I34" s="5">
        <f>vals_ghg_incLUC!$R34</f>
        <v>43.01672779108489</v>
      </c>
      <c r="J34" s="5">
        <f>vals_ghg_incLUC!$X34</f>
        <v>51.701975118686086</v>
      </c>
      <c r="K34" s="5"/>
      <c r="L34" s="5"/>
      <c r="M34" s="5">
        <f>vals_ghg_incLUC!$S34</f>
        <v>60.938167796209839</v>
      </c>
      <c r="N34" s="5">
        <f>vals_ghg_incLUC!$Y34</f>
        <v>65.062505218631671</v>
      </c>
      <c r="O34" s="5"/>
      <c r="P34" s="5"/>
      <c r="Q34" s="9">
        <f t="shared" si="7"/>
        <v>4.1243374224218314</v>
      </c>
      <c r="R34" s="9">
        <v>47.337000000000003</v>
      </c>
      <c r="S34" s="9">
        <v>66.376999999999995</v>
      </c>
    </row>
    <row r="35" spans="1:19" x14ac:dyDescent="0.35">
      <c r="A35" s="6">
        <f>vals_ghg_incLUC!$A35</f>
        <v>1882</v>
      </c>
      <c r="B35" s="7">
        <f t="shared" ref="B35:B66" si="8">IFERROR(_xlfn.AGGREGATE(5,6,I35:L35),"")</f>
        <v>43.200278418399492</v>
      </c>
      <c r="C35" s="7">
        <f t="shared" ref="C35:C66" si="9">IFERROR(_xlfn.AGGREGATE(4,6,I35:L35),"")</f>
        <v>51.794606137927559</v>
      </c>
      <c r="D35" s="7">
        <f t="shared" ref="D35:D66" si="10">IFERROR(_xlfn.AGGREGATE(5,6,M35:P35),"")</f>
        <v>61.113346048269626</v>
      </c>
      <c r="E35" s="7">
        <f t="shared" ref="E35:E66" si="11">IFERROR(_xlfn.AGGREGATE(4,6,M35:P35),"")</f>
        <v>65.116951314374376</v>
      </c>
      <c r="F35" s="7">
        <f t="shared" ref="F35:F66" si="12">IFERROR(MIN(C35,D35)-B35,"")</f>
        <v>8.5943277195280672</v>
      </c>
      <c r="G35" s="7">
        <f t="shared" ref="G35:G66" si="13">IFERROR(MAX(0,C35-D35),"")</f>
        <v>0</v>
      </c>
      <c r="H35" s="7">
        <f t="shared" ref="H35:H66" si="14">IFERROR(MAX(0,D35-C35),"")</f>
        <v>9.3187399103420674</v>
      </c>
      <c r="I35" s="8">
        <f>vals_ghg_incLUC!$R35</f>
        <v>43.200278418399492</v>
      </c>
      <c r="J35" s="8">
        <f>vals_ghg_incLUC!$X35</f>
        <v>51.794606137927559</v>
      </c>
      <c r="K35" s="8"/>
      <c r="L35" s="8"/>
      <c r="M35" s="8">
        <f>vals_ghg_incLUC!$S35</f>
        <v>61.113346048269626</v>
      </c>
      <c r="N35" s="8">
        <f>vals_ghg_incLUC!$Y35</f>
        <v>65.116951314374376</v>
      </c>
      <c r="O35" s="8"/>
      <c r="P35" s="8"/>
      <c r="Q35" s="9">
        <f t="shared" ref="Q35:Q66" si="15">IFERROR(MAX(0,$E35-MAX($C35,$D35)),"")</f>
        <v>4.0036052661047492</v>
      </c>
      <c r="R35" s="9">
        <v>47.470999999999997</v>
      </c>
      <c r="S35" s="9">
        <v>66.489999999999995</v>
      </c>
    </row>
    <row r="36" spans="1:19" x14ac:dyDescent="0.35">
      <c r="A36" s="3">
        <f>vals_ghg_incLUC!$A36</f>
        <v>1883</v>
      </c>
      <c r="B36" s="4">
        <f t="shared" si="8"/>
        <v>43.38598082234337</v>
      </c>
      <c r="C36" s="4">
        <f t="shared" si="9"/>
        <v>51.883710162801137</v>
      </c>
      <c r="D36" s="4">
        <f t="shared" si="10"/>
        <v>61.288246931244004</v>
      </c>
      <c r="E36" s="4">
        <f t="shared" si="11"/>
        <v>65.168697174896835</v>
      </c>
      <c r="F36" s="4">
        <f t="shared" si="12"/>
        <v>8.4977293404577665</v>
      </c>
      <c r="G36" s="4">
        <f t="shared" si="13"/>
        <v>0</v>
      </c>
      <c r="H36" s="4">
        <f t="shared" si="14"/>
        <v>9.4045367684428669</v>
      </c>
      <c r="I36" s="5">
        <f>vals_ghg_incLUC!$R36</f>
        <v>43.38598082234337</v>
      </c>
      <c r="J36" s="5">
        <f>vals_ghg_incLUC!$X36</f>
        <v>51.883710162801137</v>
      </c>
      <c r="K36" s="5"/>
      <c r="L36" s="5"/>
      <c r="M36" s="5">
        <f>vals_ghg_incLUC!$S36</f>
        <v>61.288246931244004</v>
      </c>
      <c r="N36" s="5">
        <f>vals_ghg_incLUC!$Y36</f>
        <v>65.168697174896835</v>
      </c>
      <c r="O36" s="5"/>
      <c r="P36" s="5"/>
      <c r="Q36" s="9">
        <f t="shared" si="15"/>
        <v>3.880450243652831</v>
      </c>
      <c r="R36" s="9">
        <v>47.606000000000002</v>
      </c>
      <c r="S36" s="9">
        <v>66.602999999999994</v>
      </c>
    </row>
    <row r="37" spans="1:19" x14ac:dyDescent="0.35">
      <c r="A37" s="6">
        <f>vals_ghg_incLUC!$A37</f>
        <v>1884</v>
      </c>
      <c r="B37" s="7">
        <f t="shared" si="8"/>
        <v>43.547939975174636</v>
      </c>
      <c r="C37" s="7">
        <f t="shared" si="9"/>
        <v>51.956427760190515</v>
      </c>
      <c r="D37" s="7">
        <f t="shared" si="10"/>
        <v>61.452441527586366</v>
      </c>
      <c r="E37" s="7">
        <f t="shared" si="11"/>
        <v>65.207053934262021</v>
      </c>
      <c r="F37" s="7">
        <f t="shared" si="12"/>
        <v>8.408487785015879</v>
      </c>
      <c r="G37" s="7">
        <f t="shared" si="13"/>
        <v>0</v>
      </c>
      <c r="H37" s="7">
        <f t="shared" si="14"/>
        <v>9.4960137673958513</v>
      </c>
      <c r="I37" s="8">
        <f>vals_ghg_incLUC!$R37</f>
        <v>43.547939975174636</v>
      </c>
      <c r="J37" s="8">
        <f>vals_ghg_incLUC!$X37</f>
        <v>51.956427760190515</v>
      </c>
      <c r="K37" s="8"/>
      <c r="L37" s="8"/>
      <c r="M37" s="8">
        <f>vals_ghg_incLUC!$S37</f>
        <v>61.452441527586366</v>
      </c>
      <c r="N37" s="8">
        <f>vals_ghg_incLUC!$Y37</f>
        <v>65.207053934262021</v>
      </c>
      <c r="O37" s="8"/>
      <c r="P37" s="8"/>
      <c r="Q37" s="9">
        <f t="shared" si="15"/>
        <v>3.7546124066756548</v>
      </c>
      <c r="R37" s="9">
        <v>47.706000000000003</v>
      </c>
      <c r="S37" s="9">
        <v>66.697000000000003</v>
      </c>
    </row>
    <row r="38" spans="1:19" x14ac:dyDescent="0.35">
      <c r="A38" s="3">
        <f>vals_ghg_incLUC!$A38</f>
        <v>1885</v>
      </c>
      <c r="B38" s="4">
        <f t="shared" si="8"/>
        <v>43.684647572494804</v>
      </c>
      <c r="C38" s="4">
        <f t="shared" si="9"/>
        <v>52.013859679244675</v>
      </c>
      <c r="D38" s="4">
        <f t="shared" si="10"/>
        <v>61.59982181204218</v>
      </c>
      <c r="E38" s="4">
        <f t="shared" si="11"/>
        <v>65.234373615639257</v>
      </c>
      <c r="F38" s="4">
        <f t="shared" si="12"/>
        <v>8.3292121067498712</v>
      </c>
      <c r="G38" s="4">
        <f t="shared" si="13"/>
        <v>0</v>
      </c>
      <c r="H38" s="4">
        <f t="shared" si="14"/>
        <v>9.5859621327975049</v>
      </c>
      <c r="I38" s="5">
        <f>vals_ghg_incLUC!$R38</f>
        <v>43.684647572494804</v>
      </c>
      <c r="J38" s="5">
        <f>vals_ghg_incLUC!$X38</f>
        <v>52.013859679244675</v>
      </c>
      <c r="K38" s="5"/>
      <c r="L38" s="5"/>
      <c r="M38" s="5">
        <f>vals_ghg_incLUC!$S38</f>
        <v>61.59982181204218</v>
      </c>
      <c r="N38" s="5">
        <f>vals_ghg_incLUC!$Y38</f>
        <v>65.234373615639257</v>
      </c>
      <c r="O38" s="5"/>
      <c r="P38" s="5"/>
      <c r="Q38" s="9">
        <f t="shared" si="15"/>
        <v>3.634551803597077</v>
      </c>
      <c r="R38" s="9">
        <v>47.771999999999998</v>
      </c>
      <c r="S38" s="9">
        <v>66.769000000000005</v>
      </c>
    </row>
    <row r="39" spans="1:19" x14ac:dyDescent="0.35">
      <c r="A39" s="6">
        <f>vals_ghg_incLUC!$A39</f>
        <v>1886</v>
      </c>
      <c r="B39" s="7">
        <f t="shared" si="8"/>
        <v>43.81520658536926</v>
      </c>
      <c r="C39" s="7">
        <f t="shared" si="9"/>
        <v>52.063074087770374</v>
      </c>
      <c r="D39" s="7">
        <f t="shared" si="10"/>
        <v>61.732255096675893</v>
      </c>
      <c r="E39" s="7">
        <f t="shared" si="11"/>
        <v>65.256257492172182</v>
      </c>
      <c r="F39" s="7">
        <f t="shared" si="12"/>
        <v>8.2478675024011139</v>
      </c>
      <c r="G39" s="7">
        <f t="shared" si="13"/>
        <v>0</v>
      </c>
      <c r="H39" s="7">
        <f t="shared" si="14"/>
        <v>9.6691810089055181</v>
      </c>
      <c r="I39" s="8">
        <f>vals_ghg_incLUC!$R39</f>
        <v>43.81520658536926</v>
      </c>
      <c r="J39" s="8">
        <f>vals_ghg_incLUC!$X39</f>
        <v>52.063074087770374</v>
      </c>
      <c r="K39" s="8"/>
      <c r="L39" s="8"/>
      <c r="M39" s="8">
        <f>vals_ghg_incLUC!$S39</f>
        <v>61.732255096675893</v>
      </c>
      <c r="N39" s="8">
        <f>vals_ghg_incLUC!$Y39</f>
        <v>65.256257492172182</v>
      </c>
      <c r="O39" s="8"/>
      <c r="P39" s="8"/>
      <c r="Q39" s="9">
        <f t="shared" si="15"/>
        <v>3.5240023954962894</v>
      </c>
      <c r="R39" s="9">
        <v>47.826999999999998</v>
      </c>
      <c r="S39" s="9">
        <v>66.822000000000003</v>
      </c>
    </row>
    <row r="40" spans="1:19" x14ac:dyDescent="0.35">
      <c r="A40" s="3">
        <f>vals_ghg_incLUC!$A40</f>
        <v>1887</v>
      </c>
      <c r="B40" s="4">
        <f t="shared" si="8"/>
        <v>43.953303832937287</v>
      </c>
      <c r="C40" s="4">
        <f t="shared" si="9"/>
        <v>52.113948697604364</v>
      </c>
      <c r="D40" s="4">
        <f t="shared" si="10"/>
        <v>61.856728642226365</v>
      </c>
      <c r="E40" s="4">
        <f t="shared" si="11"/>
        <v>65.280634725509472</v>
      </c>
      <c r="F40" s="4">
        <f t="shared" si="12"/>
        <v>8.1606448646670771</v>
      </c>
      <c r="G40" s="4">
        <f t="shared" si="13"/>
        <v>0</v>
      </c>
      <c r="H40" s="4">
        <f t="shared" si="14"/>
        <v>9.7427799446220007</v>
      </c>
      <c r="I40" s="5">
        <f>vals_ghg_incLUC!$R40</f>
        <v>43.953303832937287</v>
      </c>
      <c r="J40" s="5">
        <f>vals_ghg_incLUC!$X40</f>
        <v>52.113948697604364</v>
      </c>
      <c r="K40" s="5"/>
      <c r="L40" s="5"/>
      <c r="M40" s="5">
        <f>vals_ghg_incLUC!$S40</f>
        <v>61.856728642226365</v>
      </c>
      <c r="N40" s="5">
        <f>vals_ghg_incLUC!$Y40</f>
        <v>65.280634725509472</v>
      </c>
      <c r="O40" s="5"/>
      <c r="P40" s="5"/>
      <c r="Q40" s="9">
        <f t="shared" si="15"/>
        <v>3.4239060832831072</v>
      </c>
      <c r="R40" s="9">
        <v>47.89</v>
      </c>
      <c r="S40" s="9">
        <v>66.864000000000004</v>
      </c>
    </row>
    <row r="41" spans="1:19" x14ac:dyDescent="0.35">
      <c r="A41" s="6">
        <f>vals_ghg_incLUC!$A41</f>
        <v>1888</v>
      </c>
      <c r="B41" s="7">
        <f t="shared" si="8"/>
        <v>44.107044646915526</v>
      </c>
      <c r="C41" s="7">
        <f t="shared" si="9"/>
        <v>52.184564169183389</v>
      </c>
      <c r="D41" s="7">
        <f t="shared" si="10"/>
        <v>61.996961762452585</v>
      </c>
      <c r="E41" s="7">
        <f t="shared" si="11"/>
        <v>65.322818852986117</v>
      </c>
      <c r="F41" s="7">
        <f t="shared" si="12"/>
        <v>8.0775195222678633</v>
      </c>
      <c r="G41" s="7">
        <f t="shared" si="13"/>
        <v>0</v>
      </c>
      <c r="H41" s="7">
        <f t="shared" si="14"/>
        <v>9.8123975932691962</v>
      </c>
      <c r="I41" s="8">
        <f>vals_ghg_incLUC!$R41</f>
        <v>44.107044646915526</v>
      </c>
      <c r="J41" s="8">
        <f>vals_ghg_incLUC!$X41</f>
        <v>52.184564169183389</v>
      </c>
      <c r="K41" s="8"/>
      <c r="L41" s="8"/>
      <c r="M41" s="8">
        <f>vals_ghg_incLUC!$S41</f>
        <v>61.996961762452585</v>
      </c>
      <c r="N41" s="8">
        <f>vals_ghg_incLUC!$Y41</f>
        <v>65.322818852986117</v>
      </c>
      <c r="O41" s="8"/>
      <c r="P41" s="8"/>
      <c r="Q41" s="9">
        <f t="shared" si="15"/>
        <v>3.3258570905335318</v>
      </c>
      <c r="R41" s="9">
        <v>47.978000000000002</v>
      </c>
      <c r="S41" s="9">
        <v>66.927999999999997</v>
      </c>
    </row>
    <row r="42" spans="1:19" x14ac:dyDescent="0.35">
      <c r="A42" s="3">
        <f>vals_ghg_incLUC!$A42</f>
        <v>1889</v>
      </c>
      <c r="B42" s="4">
        <f t="shared" si="8"/>
        <v>44.228022568502816</v>
      </c>
      <c r="C42" s="4">
        <f t="shared" si="9"/>
        <v>52.239285394950905</v>
      </c>
      <c r="D42" s="4">
        <f t="shared" si="10"/>
        <v>62.111859608407094</v>
      </c>
      <c r="E42" s="4">
        <f t="shared" si="11"/>
        <v>65.356350368130649</v>
      </c>
      <c r="F42" s="4">
        <f t="shared" si="12"/>
        <v>8.011262826448089</v>
      </c>
      <c r="G42" s="4">
        <f t="shared" si="13"/>
        <v>0</v>
      </c>
      <c r="H42" s="4">
        <f t="shared" si="14"/>
        <v>9.8725742134561898</v>
      </c>
      <c r="I42" s="5">
        <f>vals_ghg_incLUC!$R42</f>
        <v>44.228022568502816</v>
      </c>
      <c r="J42" s="5">
        <f>vals_ghg_incLUC!$X42</f>
        <v>52.239285394950905</v>
      </c>
      <c r="K42" s="5"/>
      <c r="L42" s="5"/>
      <c r="M42" s="5">
        <f>vals_ghg_incLUC!$S42</f>
        <v>62.111859608407094</v>
      </c>
      <c r="N42" s="5">
        <f>vals_ghg_incLUC!$Y42</f>
        <v>65.356350368130649</v>
      </c>
      <c r="O42" s="5"/>
      <c r="P42" s="5"/>
      <c r="Q42" s="9">
        <f t="shared" si="15"/>
        <v>3.2444907597235542</v>
      </c>
      <c r="R42" s="9">
        <v>48.024999999999999</v>
      </c>
      <c r="S42" s="9">
        <v>66.959999999999994</v>
      </c>
    </row>
    <row r="43" spans="1:19" x14ac:dyDescent="0.35">
      <c r="A43" s="6">
        <f>vals_ghg_incLUC!$A43</f>
        <v>1890</v>
      </c>
      <c r="B43" s="7">
        <f t="shared" si="8"/>
        <v>44.348405637685588</v>
      </c>
      <c r="C43" s="7">
        <f t="shared" si="9"/>
        <v>52.309213570287191</v>
      </c>
      <c r="D43" s="7">
        <f t="shared" si="10"/>
        <v>62.245928350185999</v>
      </c>
      <c r="E43" s="7">
        <f t="shared" si="11"/>
        <v>65.40389698594818</v>
      </c>
      <c r="F43" s="7">
        <f t="shared" si="12"/>
        <v>7.9608079326016039</v>
      </c>
      <c r="G43" s="7">
        <f t="shared" si="13"/>
        <v>0</v>
      </c>
      <c r="H43" s="7">
        <f t="shared" si="14"/>
        <v>9.9367147798988071</v>
      </c>
      <c r="I43" s="8">
        <f>vals_ghg_incLUC!$R43</f>
        <v>44.348405637685588</v>
      </c>
      <c r="J43" s="8">
        <f>vals_ghg_incLUC!$X43</f>
        <v>52.309213570287191</v>
      </c>
      <c r="K43" s="8"/>
      <c r="L43" s="8"/>
      <c r="M43" s="8">
        <f>vals_ghg_incLUC!$S43</f>
        <v>62.245928350185999</v>
      </c>
      <c r="N43" s="8">
        <f>vals_ghg_incLUC!$Y43</f>
        <v>65.40389698594818</v>
      </c>
      <c r="O43" s="8"/>
      <c r="P43" s="8"/>
      <c r="Q43" s="9">
        <f t="shared" si="15"/>
        <v>3.157968635762181</v>
      </c>
      <c r="R43" s="9">
        <v>48.076000000000001</v>
      </c>
      <c r="S43" s="9">
        <v>67.013000000000005</v>
      </c>
    </row>
    <row r="44" spans="1:19" x14ac:dyDescent="0.35">
      <c r="A44" s="3">
        <f>vals_ghg_incLUC!$A44</f>
        <v>1891</v>
      </c>
      <c r="B44" s="4">
        <f t="shared" si="8"/>
        <v>44.468442971709372</v>
      </c>
      <c r="C44" s="4">
        <f t="shared" si="9"/>
        <v>52.382204758790785</v>
      </c>
      <c r="D44" s="4">
        <f t="shared" si="10"/>
        <v>62.378567430782681</v>
      </c>
      <c r="E44" s="4">
        <f t="shared" si="11"/>
        <v>65.458134105823788</v>
      </c>
      <c r="F44" s="4">
        <f t="shared" si="12"/>
        <v>7.9137617870814125</v>
      </c>
      <c r="G44" s="4">
        <f t="shared" si="13"/>
        <v>0</v>
      </c>
      <c r="H44" s="4">
        <f t="shared" si="14"/>
        <v>9.9963626719918963</v>
      </c>
      <c r="I44" s="5">
        <f>vals_ghg_incLUC!$R44</f>
        <v>44.468442971709372</v>
      </c>
      <c r="J44" s="5">
        <f>vals_ghg_incLUC!$X44</f>
        <v>52.382204758790785</v>
      </c>
      <c r="K44" s="5"/>
      <c r="L44" s="5"/>
      <c r="M44" s="5">
        <f>vals_ghg_incLUC!$S44</f>
        <v>62.378567430782681</v>
      </c>
      <c r="N44" s="5">
        <f>vals_ghg_incLUC!$Y44</f>
        <v>65.458134105823788</v>
      </c>
      <c r="O44" s="5"/>
      <c r="P44" s="5"/>
      <c r="Q44" s="9">
        <f t="shared" si="15"/>
        <v>3.0795666750411073</v>
      </c>
      <c r="R44" s="9">
        <v>48.127000000000002</v>
      </c>
      <c r="S44" s="9">
        <v>67.066999999999993</v>
      </c>
    </row>
    <row r="45" spans="1:19" x14ac:dyDescent="0.35">
      <c r="A45" s="6">
        <f>vals_ghg_incLUC!$A45</f>
        <v>1892</v>
      </c>
      <c r="B45" s="7">
        <f t="shared" si="8"/>
        <v>44.583151294246306</v>
      </c>
      <c r="C45" s="7">
        <f t="shared" si="9"/>
        <v>52.461129653682988</v>
      </c>
      <c r="D45" s="7">
        <f t="shared" si="10"/>
        <v>62.512135991749894</v>
      </c>
      <c r="E45" s="7">
        <f t="shared" si="11"/>
        <v>65.516648652791801</v>
      </c>
      <c r="F45" s="7">
        <f t="shared" si="12"/>
        <v>7.8779783594366819</v>
      </c>
      <c r="G45" s="7">
        <f t="shared" si="13"/>
        <v>0</v>
      </c>
      <c r="H45" s="7">
        <f t="shared" si="14"/>
        <v>10.051006338066905</v>
      </c>
      <c r="I45" s="8">
        <f>vals_ghg_incLUC!$R45</f>
        <v>44.583151294246306</v>
      </c>
      <c r="J45" s="8">
        <f>vals_ghg_incLUC!$X45</f>
        <v>52.461129653682988</v>
      </c>
      <c r="K45" s="8"/>
      <c r="L45" s="8"/>
      <c r="M45" s="8">
        <f>vals_ghg_incLUC!$S45</f>
        <v>62.512135991749894</v>
      </c>
      <c r="N45" s="8">
        <f>vals_ghg_incLUC!$Y45</f>
        <v>65.516648652791801</v>
      </c>
      <c r="O45" s="8"/>
      <c r="P45" s="8"/>
      <c r="Q45" s="9">
        <f t="shared" si="15"/>
        <v>3.0045126610419075</v>
      </c>
      <c r="R45" s="9">
        <v>48.167000000000002</v>
      </c>
      <c r="S45" s="9">
        <v>67.117999999999995</v>
      </c>
    </row>
    <row r="46" spans="1:19" x14ac:dyDescent="0.35">
      <c r="A46" s="3">
        <f>vals_ghg_incLUC!$A46</f>
        <v>1893</v>
      </c>
      <c r="B46" s="4">
        <f t="shared" si="8"/>
        <v>44.687741006476706</v>
      </c>
      <c r="C46" s="4">
        <f t="shared" si="9"/>
        <v>52.523453561187154</v>
      </c>
      <c r="D46" s="4">
        <f t="shared" si="10"/>
        <v>62.635638896758039</v>
      </c>
      <c r="E46" s="4">
        <f t="shared" si="11"/>
        <v>65.566496482030047</v>
      </c>
      <c r="F46" s="4">
        <f t="shared" si="12"/>
        <v>7.8357125547104474</v>
      </c>
      <c r="G46" s="4">
        <f t="shared" si="13"/>
        <v>0</v>
      </c>
      <c r="H46" s="4">
        <f t="shared" si="14"/>
        <v>10.112185335570885</v>
      </c>
      <c r="I46" s="5">
        <f>vals_ghg_incLUC!$R46</f>
        <v>44.687741006476706</v>
      </c>
      <c r="J46" s="5">
        <f>vals_ghg_incLUC!$X46</f>
        <v>52.523453561187154</v>
      </c>
      <c r="K46" s="5"/>
      <c r="L46" s="5"/>
      <c r="M46" s="5">
        <f>vals_ghg_incLUC!$S46</f>
        <v>62.635638896758039</v>
      </c>
      <c r="N46" s="5">
        <f>vals_ghg_incLUC!$Y46</f>
        <v>65.566496482030047</v>
      </c>
      <c r="O46" s="5"/>
      <c r="P46" s="5"/>
      <c r="Q46" s="9">
        <f t="shared" si="15"/>
        <v>2.9308575852720082</v>
      </c>
      <c r="R46" s="9">
        <v>48.189</v>
      </c>
      <c r="S46" s="9">
        <v>67.156000000000006</v>
      </c>
    </row>
    <row r="47" spans="1:19" x14ac:dyDescent="0.35">
      <c r="A47" s="6">
        <f>vals_ghg_incLUC!$A47</f>
        <v>1894</v>
      </c>
      <c r="B47" s="7">
        <f t="shared" si="8"/>
        <v>44.784010476898679</v>
      </c>
      <c r="C47" s="7">
        <f t="shared" si="9"/>
        <v>52.579307489319895</v>
      </c>
      <c r="D47" s="7">
        <f t="shared" si="10"/>
        <v>62.76054371874649</v>
      </c>
      <c r="E47" s="7">
        <f t="shared" si="11"/>
        <v>65.605374304966759</v>
      </c>
      <c r="F47" s="7">
        <f t="shared" si="12"/>
        <v>7.7952970124212158</v>
      </c>
      <c r="G47" s="7">
        <f t="shared" si="13"/>
        <v>0</v>
      </c>
      <c r="H47" s="7">
        <f t="shared" si="14"/>
        <v>10.181236229426595</v>
      </c>
      <c r="I47" s="8">
        <f>vals_ghg_incLUC!$R47</f>
        <v>44.784010476898679</v>
      </c>
      <c r="J47" s="8">
        <f>vals_ghg_incLUC!$X47</f>
        <v>52.579307489319895</v>
      </c>
      <c r="K47" s="8"/>
      <c r="L47" s="8"/>
      <c r="M47" s="8">
        <f>vals_ghg_incLUC!$S47</f>
        <v>62.76054371874649</v>
      </c>
      <c r="N47" s="8">
        <f>vals_ghg_incLUC!$Y47</f>
        <v>65.605374304966759</v>
      </c>
      <c r="O47" s="8"/>
      <c r="P47" s="8"/>
      <c r="Q47" s="9">
        <f t="shared" si="15"/>
        <v>2.8448305862202687</v>
      </c>
      <c r="R47" s="9">
        <v>48.213999999999999</v>
      </c>
      <c r="S47" s="9">
        <v>67.203000000000003</v>
      </c>
    </row>
    <row r="48" spans="1:19" x14ac:dyDescent="0.35">
      <c r="A48" s="3">
        <f>vals_ghg_incLUC!$A48</f>
        <v>1895</v>
      </c>
      <c r="B48" s="4">
        <f t="shared" si="8"/>
        <v>44.889767213773048</v>
      </c>
      <c r="C48" s="4">
        <f t="shared" si="9"/>
        <v>52.642764473369127</v>
      </c>
      <c r="D48" s="4">
        <f t="shared" si="10"/>
        <v>62.884089254443296</v>
      </c>
      <c r="E48" s="4">
        <f t="shared" si="11"/>
        <v>65.652826153757275</v>
      </c>
      <c r="F48" s="4">
        <f t="shared" si="12"/>
        <v>7.7529972595960785</v>
      </c>
      <c r="G48" s="4">
        <f t="shared" si="13"/>
        <v>0</v>
      </c>
      <c r="H48" s="4">
        <f t="shared" si="14"/>
        <v>10.241324781074169</v>
      </c>
      <c r="I48" s="5">
        <f>vals_ghg_incLUC!$R48</f>
        <v>44.889767213773048</v>
      </c>
      <c r="J48" s="5">
        <f>vals_ghg_incLUC!$X48</f>
        <v>52.642764473369127</v>
      </c>
      <c r="K48" s="5"/>
      <c r="L48" s="5"/>
      <c r="M48" s="5">
        <f>vals_ghg_incLUC!$S48</f>
        <v>62.884089254443296</v>
      </c>
      <c r="N48" s="5">
        <f>vals_ghg_incLUC!$Y48</f>
        <v>65.652826153757275</v>
      </c>
      <c r="O48" s="5"/>
      <c r="P48" s="5"/>
      <c r="Q48" s="9">
        <f t="shared" si="15"/>
        <v>2.7687368993139785</v>
      </c>
      <c r="R48" s="9">
        <v>48.25</v>
      </c>
      <c r="S48" s="9">
        <v>67.251000000000005</v>
      </c>
    </row>
    <row r="49" spans="1:19" x14ac:dyDescent="0.35">
      <c r="A49" s="6">
        <f>vals_ghg_incLUC!$A49</f>
        <v>1896</v>
      </c>
      <c r="B49" s="7">
        <f t="shared" si="8"/>
        <v>44.998917016951232</v>
      </c>
      <c r="C49" s="7">
        <f t="shared" si="9"/>
        <v>52.70695116650618</v>
      </c>
      <c r="D49" s="7">
        <f t="shared" si="10"/>
        <v>63.007929224581993</v>
      </c>
      <c r="E49" s="7">
        <f t="shared" si="11"/>
        <v>65.702070450558708</v>
      </c>
      <c r="F49" s="7">
        <f t="shared" si="12"/>
        <v>7.7080341495549476</v>
      </c>
      <c r="G49" s="7">
        <f t="shared" si="13"/>
        <v>0</v>
      </c>
      <c r="H49" s="7">
        <f t="shared" si="14"/>
        <v>10.300978058075813</v>
      </c>
      <c r="I49" s="8">
        <f>vals_ghg_incLUC!$R49</f>
        <v>44.998917016951232</v>
      </c>
      <c r="J49" s="8">
        <f>vals_ghg_incLUC!$X49</f>
        <v>52.70695116650618</v>
      </c>
      <c r="K49" s="8"/>
      <c r="L49" s="8"/>
      <c r="M49" s="8">
        <f>vals_ghg_incLUC!$S49</f>
        <v>63.007929224581993</v>
      </c>
      <c r="N49" s="8">
        <f>vals_ghg_incLUC!$Y49</f>
        <v>65.702070450558708</v>
      </c>
      <c r="O49" s="8"/>
      <c r="P49" s="8"/>
      <c r="Q49" s="9">
        <f t="shared" si="15"/>
        <v>2.6941412259767148</v>
      </c>
      <c r="R49" s="9">
        <v>48.295000000000002</v>
      </c>
      <c r="S49" s="9">
        <v>67.301000000000002</v>
      </c>
    </row>
    <row r="50" spans="1:19" x14ac:dyDescent="0.35">
      <c r="A50" s="3">
        <f>vals_ghg_incLUC!$A50</f>
        <v>1897</v>
      </c>
      <c r="B50" s="4">
        <f t="shared" si="8"/>
        <v>45.106058860071379</v>
      </c>
      <c r="C50" s="4">
        <f t="shared" si="9"/>
        <v>52.775297767873873</v>
      </c>
      <c r="D50" s="4">
        <f t="shared" si="10"/>
        <v>63.130810657874783</v>
      </c>
      <c r="E50" s="4">
        <f t="shared" si="11"/>
        <v>65.757372014924314</v>
      </c>
      <c r="F50" s="4">
        <f t="shared" si="12"/>
        <v>7.6692389078024945</v>
      </c>
      <c r="G50" s="4">
        <f t="shared" si="13"/>
        <v>0</v>
      </c>
      <c r="H50" s="4">
        <f t="shared" si="14"/>
        <v>10.355512890000909</v>
      </c>
      <c r="I50" s="5">
        <f>vals_ghg_incLUC!$R50</f>
        <v>45.106058860071379</v>
      </c>
      <c r="J50" s="5">
        <f>vals_ghg_incLUC!$X50</f>
        <v>52.775297767873873</v>
      </c>
      <c r="K50" s="5"/>
      <c r="L50" s="5"/>
      <c r="M50" s="5">
        <f>vals_ghg_incLUC!$S50</f>
        <v>63.130810657874783</v>
      </c>
      <c r="N50" s="5">
        <f>vals_ghg_incLUC!$Y50</f>
        <v>65.757372014924314</v>
      </c>
      <c r="O50" s="5"/>
      <c r="P50" s="5"/>
      <c r="Q50" s="9">
        <f t="shared" si="15"/>
        <v>2.6265613570495319</v>
      </c>
      <c r="R50" s="9">
        <v>48.34</v>
      </c>
      <c r="S50" s="9">
        <v>67.353999999999999</v>
      </c>
    </row>
    <row r="51" spans="1:19" x14ac:dyDescent="0.35">
      <c r="A51" s="6">
        <f>vals_ghg_incLUC!$A51</f>
        <v>1898</v>
      </c>
      <c r="B51" s="7">
        <f t="shared" si="8"/>
        <v>45.221738963250921</v>
      </c>
      <c r="C51" s="7">
        <f t="shared" si="9"/>
        <v>52.847356002286681</v>
      </c>
      <c r="D51" s="7">
        <f t="shared" si="10"/>
        <v>63.265432463831161</v>
      </c>
      <c r="E51" s="7">
        <f t="shared" si="11"/>
        <v>65.818604798909973</v>
      </c>
      <c r="F51" s="7">
        <f t="shared" si="12"/>
        <v>7.6256170390357596</v>
      </c>
      <c r="G51" s="7">
        <f t="shared" si="13"/>
        <v>0</v>
      </c>
      <c r="H51" s="7">
        <f t="shared" si="14"/>
        <v>10.41807646154448</v>
      </c>
      <c r="I51" s="8">
        <f>vals_ghg_incLUC!$R51</f>
        <v>45.221738963250921</v>
      </c>
      <c r="J51" s="8">
        <f>vals_ghg_incLUC!$X51</f>
        <v>52.847356002286681</v>
      </c>
      <c r="K51" s="8"/>
      <c r="L51" s="8"/>
      <c r="M51" s="8">
        <f>vals_ghg_incLUC!$S51</f>
        <v>63.265432463831161</v>
      </c>
      <c r="N51" s="8">
        <f>vals_ghg_incLUC!$Y51</f>
        <v>65.818604798909973</v>
      </c>
      <c r="O51" s="8"/>
      <c r="P51" s="8"/>
      <c r="Q51" s="9">
        <f t="shared" si="15"/>
        <v>2.5531723350788127</v>
      </c>
      <c r="R51" s="9">
        <v>48.4</v>
      </c>
      <c r="S51" s="9">
        <v>67.423000000000002</v>
      </c>
    </row>
    <row r="52" spans="1:19" x14ac:dyDescent="0.35">
      <c r="A52" s="3">
        <f>vals_ghg_incLUC!$A52</f>
        <v>1899</v>
      </c>
      <c r="B52" s="4">
        <f t="shared" si="8"/>
        <v>45.358346099170333</v>
      </c>
      <c r="C52" s="4">
        <f t="shared" si="9"/>
        <v>52.939772539588169</v>
      </c>
      <c r="D52" s="4">
        <f t="shared" si="10"/>
        <v>63.410922221634635</v>
      </c>
      <c r="E52" s="4">
        <f t="shared" si="11"/>
        <v>65.897307204116288</v>
      </c>
      <c r="F52" s="4">
        <f t="shared" si="12"/>
        <v>7.581426440417836</v>
      </c>
      <c r="G52" s="4">
        <f t="shared" si="13"/>
        <v>0</v>
      </c>
      <c r="H52" s="4">
        <f t="shared" si="14"/>
        <v>10.471149682046466</v>
      </c>
      <c r="I52" s="5">
        <f>vals_ghg_incLUC!$R52</f>
        <v>45.358346099170333</v>
      </c>
      <c r="J52" s="5">
        <f>vals_ghg_incLUC!$X52</f>
        <v>52.939772539588169</v>
      </c>
      <c r="K52" s="5"/>
      <c r="L52" s="5"/>
      <c r="M52" s="5">
        <f>vals_ghg_incLUC!$S52</f>
        <v>63.410922221634635</v>
      </c>
      <c r="N52" s="5">
        <f>vals_ghg_incLUC!$Y52</f>
        <v>65.897307204116288</v>
      </c>
      <c r="O52" s="5"/>
      <c r="P52" s="5"/>
      <c r="Q52" s="9">
        <f t="shared" si="15"/>
        <v>2.4863849824816526</v>
      </c>
      <c r="R52" s="9">
        <v>48.485999999999997</v>
      </c>
      <c r="S52" s="9">
        <v>67.507999999999996</v>
      </c>
    </row>
    <row r="53" spans="1:19" x14ac:dyDescent="0.35">
      <c r="A53" s="6">
        <f>vals_ghg_incLUC!$A53</f>
        <v>1900</v>
      </c>
      <c r="B53" s="7">
        <f t="shared" si="8"/>
        <v>45.493397178025411</v>
      </c>
      <c r="C53" s="7">
        <f t="shared" si="9"/>
        <v>53.040570670893736</v>
      </c>
      <c r="D53" s="7">
        <f t="shared" si="10"/>
        <v>63.561700508299715</v>
      </c>
      <c r="E53" s="7">
        <f t="shared" si="11"/>
        <v>65.984769770050278</v>
      </c>
      <c r="F53" s="7">
        <f t="shared" si="12"/>
        <v>7.5471734928683247</v>
      </c>
      <c r="G53" s="7">
        <f t="shared" si="13"/>
        <v>0</v>
      </c>
      <c r="H53" s="7">
        <f t="shared" si="14"/>
        <v>10.521129837405979</v>
      </c>
      <c r="I53" s="8">
        <f>vals_ghg_incLUC!$R53</f>
        <v>45.493397178025411</v>
      </c>
      <c r="J53" s="8">
        <f>vals_ghg_incLUC!$X53</f>
        <v>53.040570670893736</v>
      </c>
      <c r="K53" s="8"/>
      <c r="L53" s="8"/>
      <c r="M53" s="8">
        <f>vals_ghg_incLUC!$S53</f>
        <v>63.561700508299715</v>
      </c>
      <c r="N53" s="8">
        <f>vals_ghg_incLUC!$Y53</f>
        <v>65.984769770050278</v>
      </c>
      <c r="O53" s="8"/>
      <c r="P53" s="8"/>
      <c r="Q53" s="9">
        <f t="shared" si="15"/>
        <v>2.4230692617505625</v>
      </c>
      <c r="R53" s="9">
        <v>48.567</v>
      </c>
      <c r="S53" s="9">
        <v>67.597999999999999</v>
      </c>
    </row>
    <row r="54" spans="1:19" x14ac:dyDescent="0.35">
      <c r="A54" s="3">
        <f>vals_ghg_incLUC!$A54</f>
        <v>1901</v>
      </c>
      <c r="B54" s="4">
        <f t="shared" si="8"/>
        <v>45.599152856235889</v>
      </c>
      <c r="C54" s="4">
        <f t="shared" si="9"/>
        <v>53.09170938850373</v>
      </c>
      <c r="D54" s="4">
        <f t="shared" si="10"/>
        <v>63.6947512763711</v>
      </c>
      <c r="E54" s="4">
        <f t="shared" si="11"/>
        <v>66.015625443545815</v>
      </c>
      <c r="F54" s="4">
        <f t="shared" si="12"/>
        <v>7.4925565322678409</v>
      </c>
      <c r="G54" s="4">
        <f t="shared" si="13"/>
        <v>0</v>
      </c>
      <c r="H54" s="4">
        <f t="shared" si="14"/>
        <v>10.60304188786737</v>
      </c>
      <c r="I54" s="5">
        <f>vals_ghg_incLUC!$R54</f>
        <v>45.599152856235889</v>
      </c>
      <c r="J54" s="5">
        <f>vals_ghg_incLUC!$X54</f>
        <v>53.09170938850373</v>
      </c>
      <c r="K54" s="5"/>
      <c r="L54" s="5"/>
      <c r="M54" s="5">
        <f>vals_ghg_incLUC!$S54</f>
        <v>63.6947512763711</v>
      </c>
      <c r="N54" s="5">
        <f>vals_ghg_incLUC!$Y54</f>
        <v>66.015625443545815</v>
      </c>
      <c r="O54" s="5"/>
      <c r="P54" s="5"/>
      <c r="Q54" s="9">
        <f t="shared" si="15"/>
        <v>2.3208741671747148</v>
      </c>
      <c r="R54" s="9">
        <v>48.616999999999997</v>
      </c>
      <c r="S54" s="9">
        <v>67.671000000000006</v>
      </c>
    </row>
    <row r="55" spans="1:19" x14ac:dyDescent="0.35">
      <c r="A55" s="6">
        <f>vals_ghg_incLUC!$A55</f>
        <v>1902</v>
      </c>
      <c r="B55" s="7">
        <f t="shared" si="8"/>
        <v>45.70419497079898</v>
      </c>
      <c r="C55" s="7">
        <f t="shared" si="9"/>
        <v>53.102688963222775</v>
      </c>
      <c r="D55" s="7">
        <f t="shared" si="10"/>
        <v>63.823822565864873</v>
      </c>
      <c r="E55" s="7">
        <f t="shared" si="11"/>
        <v>66.004277049396961</v>
      </c>
      <c r="F55" s="7">
        <f t="shared" si="12"/>
        <v>7.3984939924237949</v>
      </c>
      <c r="G55" s="7">
        <f t="shared" si="13"/>
        <v>0</v>
      </c>
      <c r="H55" s="7">
        <f t="shared" si="14"/>
        <v>10.721133602642098</v>
      </c>
      <c r="I55" s="8">
        <f>vals_ghg_incLUC!$R55</f>
        <v>45.70419497079898</v>
      </c>
      <c r="J55" s="8">
        <f>vals_ghg_incLUC!$X55</f>
        <v>53.102688963222775</v>
      </c>
      <c r="K55" s="8"/>
      <c r="L55" s="8"/>
      <c r="M55" s="8">
        <f>vals_ghg_incLUC!$S55</f>
        <v>63.823822565864873</v>
      </c>
      <c r="N55" s="8">
        <f>vals_ghg_incLUC!$Y55</f>
        <v>66.004277049396961</v>
      </c>
      <c r="O55" s="8"/>
      <c r="P55" s="8"/>
      <c r="Q55" s="9">
        <f t="shared" si="15"/>
        <v>2.1804544835320883</v>
      </c>
      <c r="R55" s="9">
        <v>48.668999999999997</v>
      </c>
      <c r="S55" s="9">
        <v>67.742999999999995</v>
      </c>
    </row>
    <row r="56" spans="1:19" x14ac:dyDescent="0.35">
      <c r="A56" s="3">
        <f>vals_ghg_incLUC!$A56</f>
        <v>1903</v>
      </c>
      <c r="B56" s="4">
        <f t="shared" si="8"/>
        <v>45.825175371201475</v>
      </c>
      <c r="C56" s="4">
        <f t="shared" si="9"/>
        <v>53.11649579849734</v>
      </c>
      <c r="D56" s="4">
        <f t="shared" si="10"/>
        <v>63.966915828739488</v>
      </c>
      <c r="E56" s="4">
        <f t="shared" si="11"/>
        <v>65.985186415233571</v>
      </c>
      <c r="F56" s="4">
        <f t="shared" si="12"/>
        <v>7.2913204272958652</v>
      </c>
      <c r="G56" s="4">
        <f t="shared" si="13"/>
        <v>0</v>
      </c>
      <c r="H56" s="4">
        <f t="shared" si="14"/>
        <v>10.850420030242148</v>
      </c>
      <c r="I56" s="5">
        <f>vals_ghg_incLUC!$R56</f>
        <v>45.825175371201475</v>
      </c>
      <c r="J56" s="5">
        <f>vals_ghg_incLUC!$X56</f>
        <v>53.11649579849734</v>
      </c>
      <c r="K56" s="5"/>
      <c r="L56" s="5"/>
      <c r="M56" s="5">
        <f>vals_ghg_incLUC!$S56</f>
        <v>63.966915828739488</v>
      </c>
      <c r="N56" s="5">
        <f>vals_ghg_incLUC!$Y56</f>
        <v>65.985186415233571</v>
      </c>
      <c r="O56" s="5"/>
      <c r="P56" s="5"/>
      <c r="Q56" s="9">
        <f t="shared" si="15"/>
        <v>2.0182705864940829</v>
      </c>
      <c r="R56" s="9">
        <v>48.747</v>
      </c>
      <c r="S56" s="9">
        <v>67.834999999999994</v>
      </c>
    </row>
    <row r="57" spans="1:19" x14ac:dyDescent="0.35">
      <c r="A57" s="6">
        <f>vals_ghg_incLUC!$A57</f>
        <v>1904</v>
      </c>
      <c r="B57" s="7">
        <f t="shared" si="8"/>
        <v>45.933208732030245</v>
      </c>
      <c r="C57" s="7">
        <f t="shared" si="9"/>
        <v>53.099670829609217</v>
      </c>
      <c r="D57" s="7">
        <f t="shared" si="10"/>
        <v>64.10027396668913</v>
      </c>
      <c r="E57" s="7">
        <f t="shared" si="11"/>
        <v>65.937651183199137</v>
      </c>
      <c r="F57" s="7">
        <f t="shared" si="12"/>
        <v>7.1664620975789717</v>
      </c>
      <c r="G57" s="7">
        <f t="shared" si="13"/>
        <v>0</v>
      </c>
      <c r="H57" s="7">
        <f t="shared" si="14"/>
        <v>11.000603137079914</v>
      </c>
      <c r="I57" s="8">
        <f>vals_ghg_incLUC!$R57</f>
        <v>45.933208732030245</v>
      </c>
      <c r="J57" s="8">
        <f>vals_ghg_incLUC!$X57</f>
        <v>53.099670829609217</v>
      </c>
      <c r="K57" s="8"/>
      <c r="L57" s="8"/>
      <c r="M57" s="8">
        <f>vals_ghg_incLUC!$S57</f>
        <v>64.10027396668913</v>
      </c>
      <c r="N57" s="8">
        <f>vals_ghg_incLUC!$Y57</f>
        <v>65.937651183199137</v>
      </c>
      <c r="O57" s="8"/>
      <c r="P57" s="8"/>
      <c r="Q57" s="9">
        <f t="shared" si="15"/>
        <v>1.8373772165100064</v>
      </c>
      <c r="R57" s="9">
        <v>48.813000000000002</v>
      </c>
      <c r="S57" s="9">
        <v>67.92</v>
      </c>
    </row>
    <row r="58" spans="1:19" x14ac:dyDescent="0.35">
      <c r="A58" s="3">
        <f>vals_ghg_incLUC!$A58</f>
        <v>1905</v>
      </c>
      <c r="B58" s="4">
        <f t="shared" si="8"/>
        <v>46.054606442996494</v>
      </c>
      <c r="C58" s="4">
        <f t="shared" si="9"/>
        <v>53.083199152878045</v>
      </c>
      <c r="D58" s="4">
        <f t="shared" si="10"/>
        <v>64.248424931729019</v>
      </c>
      <c r="E58" s="4">
        <f t="shared" si="11"/>
        <v>65.881820650368681</v>
      </c>
      <c r="F58" s="4">
        <f t="shared" si="12"/>
        <v>7.0285927098815506</v>
      </c>
      <c r="G58" s="4">
        <f t="shared" si="13"/>
        <v>0</v>
      </c>
      <c r="H58" s="4">
        <f t="shared" si="14"/>
        <v>11.165225778850974</v>
      </c>
      <c r="I58" s="5">
        <f>vals_ghg_incLUC!$R58</f>
        <v>46.054606442996494</v>
      </c>
      <c r="J58" s="5">
        <f>vals_ghg_incLUC!$X58</f>
        <v>53.083199152878045</v>
      </c>
      <c r="K58" s="5"/>
      <c r="L58" s="5"/>
      <c r="M58" s="5">
        <f>vals_ghg_incLUC!$S58</f>
        <v>64.248424931729019</v>
      </c>
      <c r="N58" s="5">
        <f>vals_ghg_incLUC!$Y58</f>
        <v>65.881820650368681</v>
      </c>
      <c r="O58" s="5"/>
      <c r="P58" s="5"/>
      <c r="Q58" s="9">
        <f t="shared" si="15"/>
        <v>1.6333957186396617</v>
      </c>
      <c r="R58" s="9">
        <v>48.905000000000001</v>
      </c>
      <c r="S58" s="9">
        <v>68.027000000000001</v>
      </c>
    </row>
    <row r="59" spans="1:19" x14ac:dyDescent="0.35">
      <c r="A59" s="6">
        <f>vals_ghg_incLUC!$A59</f>
        <v>1906</v>
      </c>
      <c r="B59" s="7">
        <f t="shared" si="8"/>
        <v>46.168314597018586</v>
      </c>
      <c r="C59" s="7">
        <f t="shared" si="9"/>
        <v>53.047039145971986</v>
      </c>
      <c r="D59" s="7">
        <f t="shared" si="10"/>
        <v>64.388773622330604</v>
      </c>
      <c r="E59" s="7">
        <f t="shared" si="11"/>
        <v>65.806194481633668</v>
      </c>
      <c r="F59" s="7">
        <f t="shared" si="12"/>
        <v>6.8787245489534001</v>
      </c>
      <c r="G59" s="7">
        <f t="shared" si="13"/>
        <v>0</v>
      </c>
      <c r="H59" s="7">
        <f t="shared" si="14"/>
        <v>11.341734476358617</v>
      </c>
      <c r="I59" s="8">
        <f>vals_ghg_incLUC!$R59</f>
        <v>46.168314597018586</v>
      </c>
      <c r="J59" s="8">
        <f>vals_ghg_incLUC!$X59</f>
        <v>53.047039145971986</v>
      </c>
      <c r="K59" s="8"/>
      <c r="L59" s="8"/>
      <c r="M59" s="8">
        <f>vals_ghg_incLUC!$S59</f>
        <v>64.388773622330604</v>
      </c>
      <c r="N59" s="8">
        <f>vals_ghg_incLUC!$Y59</f>
        <v>65.806194481633668</v>
      </c>
      <c r="O59" s="8"/>
      <c r="P59" s="8"/>
      <c r="Q59" s="9">
        <f t="shared" si="15"/>
        <v>1.4174208593030642</v>
      </c>
      <c r="R59" s="9">
        <v>48.991999999999997</v>
      </c>
      <c r="S59" s="9">
        <v>68.13</v>
      </c>
    </row>
    <row r="60" spans="1:19" x14ac:dyDescent="0.35">
      <c r="A60" s="3">
        <f>vals_ghg_incLUC!$A60</f>
        <v>1907</v>
      </c>
      <c r="B60" s="4">
        <f t="shared" si="8"/>
        <v>46.319510249324011</v>
      </c>
      <c r="C60" s="4">
        <f t="shared" si="9"/>
        <v>53.046885610837357</v>
      </c>
      <c r="D60" s="4">
        <f t="shared" si="10"/>
        <v>64.56136269606796</v>
      </c>
      <c r="E60" s="4">
        <f t="shared" si="11"/>
        <v>65.761432777373528</v>
      </c>
      <c r="F60" s="4">
        <f t="shared" si="12"/>
        <v>6.7273753615133458</v>
      </c>
      <c r="G60" s="4">
        <f t="shared" si="13"/>
        <v>0</v>
      </c>
      <c r="H60" s="4">
        <f t="shared" si="14"/>
        <v>11.514477085230602</v>
      </c>
      <c r="I60" s="5">
        <f>vals_ghg_incLUC!$R60</f>
        <v>46.319510249324011</v>
      </c>
      <c r="J60" s="5">
        <f>vals_ghg_incLUC!$X60</f>
        <v>53.046885610837357</v>
      </c>
      <c r="K60" s="5"/>
      <c r="L60" s="5"/>
      <c r="M60" s="5">
        <f>vals_ghg_incLUC!$S60</f>
        <v>64.56136269606796</v>
      </c>
      <c r="N60" s="5">
        <f>vals_ghg_incLUC!$Y60</f>
        <v>65.761432777373528</v>
      </c>
      <c r="O60" s="5"/>
      <c r="P60" s="5"/>
      <c r="Q60" s="9">
        <f t="shared" si="15"/>
        <v>1.2000700813055687</v>
      </c>
      <c r="R60" s="9">
        <v>49.128</v>
      </c>
      <c r="S60" s="9">
        <v>68.274000000000001</v>
      </c>
    </row>
    <row r="61" spans="1:19" x14ac:dyDescent="0.35">
      <c r="A61" s="6">
        <f>vals_ghg_incLUC!$A61</f>
        <v>1908</v>
      </c>
      <c r="B61" s="7">
        <f t="shared" si="8"/>
        <v>46.435105705191013</v>
      </c>
      <c r="C61" s="7">
        <f t="shared" si="9"/>
        <v>53.011703687215373</v>
      </c>
      <c r="D61" s="7">
        <f t="shared" si="10"/>
        <v>64.710780055821786</v>
      </c>
      <c r="E61" s="7">
        <f t="shared" si="11"/>
        <v>65.691582461817603</v>
      </c>
      <c r="F61" s="7">
        <f t="shared" si="12"/>
        <v>6.5765979820243601</v>
      </c>
      <c r="G61" s="7">
        <f t="shared" si="13"/>
        <v>0</v>
      </c>
      <c r="H61" s="7">
        <f t="shared" si="14"/>
        <v>11.699076368606413</v>
      </c>
      <c r="I61" s="8">
        <f>vals_ghg_incLUC!$R61</f>
        <v>46.435105705191013</v>
      </c>
      <c r="J61" s="8">
        <f>vals_ghg_incLUC!$X61</f>
        <v>53.011703687215373</v>
      </c>
      <c r="K61" s="8"/>
      <c r="L61" s="8"/>
      <c r="M61" s="8">
        <f>vals_ghg_incLUC!$S61</f>
        <v>64.710780055821786</v>
      </c>
      <c r="N61" s="8">
        <f>vals_ghg_incLUC!$Y61</f>
        <v>65.691582461817603</v>
      </c>
      <c r="O61" s="8"/>
      <c r="P61" s="8"/>
      <c r="Q61" s="9">
        <f t="shared" si="15"/>
        <v>0.98080240599581714</v>
      </c>
      <c r="R61" s="9">
        <v>49.213000000000001</v>
      </c>
      <c r="S61" s="9">
        <v>68.387</v>
      </c>
    </row>
    <row r="62" spans="1:19" x14ac:dyDescent="0.35">
      <c r="A62" s="3">
        <f>vals_ghg_incLUC!$A62</f>
        <v>1909</v>
      </c>
      <c r="B62" s="4">
        <f t="shared" si="8"/>
        <v>46.552429068991422</v>
      </c>
      <c r="C62" s="4">
        <f t="shared" si="9"/>
        <v>52.984029132269661</v>
      </c>
      <c r="D62" s="4">
        <f t="shared" si="10"/>
        <v>64.861991869536695</v>
      </c>
      <c r="E62" s="4">
        <f t="shared" si="11"/>
        <v>65.629916563301705</v>
      </c>
      <c r="F62" s="4">
        <f t="shared" si="12"/>
        <v>6.4316000632782391</v>
      </c>
      <c r="G62" s="4">
        <f t="shared" si="13"/>
        <v>0</v>
      </c>
      <c r="H62" s="4">
        <f t="shared" si="14"/>
        <v>11.877962737267033</v>
      </c>
      <c r="I62" s="5">
        <f>vals_ghg_incLUC!$R62</f>
        <v>46.552429068991422</v>
      </c>
      <c r="J62" s="5">
        <f>vals_ghg_incLUC!$X62</f>
        <v>52.984029132269661</v>
      </c>
      <c r="K62" s="5"/>
      <c r="L62" s="5"/>
      <c r="M62" s="5">
        <f>vals_ghg_incLUC!$S62</f>
        <v>64.861991869536695</v>
      </c>
      <c r="N62" s="5">
        <f>vals_ghg_incLUC!$Y62</f>
        <v>65.629916563301705</v>
      </c>
      <c r="O62" s="5"/>
      <c r="P62" s="5"/>
      <c r="Q62" s="9">
        <f t="shared" si="15"/>
        <v>0.7679246937650106</v>
      </c>
      <c r="R62" s="9">
        <v>49.308</v>
      </c>
      <c r="S62" s="9">
        <v>68.509</v>
      </c>
    </row>
    <row r="63" spans="1:19" x14ac:dyDescent="0.35">
      <c r="A63" s="6">
        <f>vals_ghg_incLUC!$A63</f>
        <v>1910</v>
      </c>
      <c r="B63" s="7">
        <f t="shared" si="8"/>
        <v>46.694899436703238</v>
      </c>
      <c r="C63" s="7">
        <f t="shared" si="9"/>
        <v>52.972093599721781</v>
      </c>
      <c r="D63" s="7">
        <f t="shared" si="10"/>
        <v>64.963146358937024</v>
      </c>
      <c r="E63" s="7">
        <f t="shared" si="11"/>
        <v>65.579163016453919</v>
      </c>
      <c r="F63" s="7">
        <f t="shared" si="12"/>
        <v>6.2771941630185424</v>
      </c>
      <c r="G63" s="7">
        <f t="shared" si="13"/>
        <v>0</v>
      </c>
      <c r="H63" s="7">
        <f t="shared" si="14"/>
        <v>11.991052759215243</v>
      </c>
      <c r="I63" s="8">
        <f>vals_ghg_incLUC!$R63</f>
        <v>46.694899436703238</v>
      </c>
      <c r="J63" s="8">
        <f>vals_ghg_incLUC!$X63</f>
        <v>52.972093599721781</v>
      </c>
      <c r="K63" s="8"/>
      <c r="L63" s="8"/>
      <c r="M63" s="8">
        <f>vals_ghg_incLUC!$S63</f>
        <v>64.963146358937024</v>
      </c>
      <c r="N63" s="8">
        <f>vals_ghg_incLUC!$Y63</f>
        <v>65.579163016453919</v>
      </c>
      <c r="O63" s="8"/>
      <c r="P63" s="8"/>
      <c r="Q63" s="9">
        <f t="shared" si="15"/>
        <v>0.61601665751689438</v>
      </c>
      <c r="R63" s="9">
        <v>49.43</v>
      </c>
      <c r="S63" s="9">
        <v>68.581999999999994</v>
      </c>
    </row>
    <row r="64" spans="1:19" x14ac:dyDescent="0.35">
      <c r="A64" s="3">
        <f>vals_ghg_incLUC!$A64</f>
        <v>1911</v>
      </c>
      <c r="B64" s="4">
        <f t="shared" si="8"/>
        <v>46.831962728085145</v>
      </c>
      <c r="C64" s="4">
        <f t="shared" si="9"/>
        <v>52.988353488357696</v>
      </c>
      <c r="D64" s="4">
        <f t="shared" si="10"/>
        <v>65.04033045042847</v>
      </c>
      <c r="E64" s="4">
        <f t="shared" si="11"/>
        <v>65.566893196516986</v>
      </c>
      <c r="F64" s="4">
        <f t="shared" si="12"/>
        <v>6.1563907602725507</v>
      </c>
      <c r="G64" s="4">
        <f t="shared" si="13"/>
        <v>0</v>
      </c>
      <c r="H64" s="4">
        <f t="shared" si="14"/>
        <v>12.051976962070775</v>
      </c>
      <c r="I64" s="5">
        <f>vals_ghg_incLUC!$R64</f>
        <v>46.831962728085145</v>
      </c>
      <c r="J64" s="5">
        <f>vals_ghg_incLUC!$X64</f>
        <v>52.988353488357696</v>
      </c>
      <c r="K64" s="5"/>
      <c r="L64" s="5"/>
      <c r="M64" s="5">
        <f>vals_ghg_incLUC!$S64</f>
        <v>65.04033045042847</v>
      </c>
      <c r="N64" s="5">
        <f>vals_ghg_incLUC!$Y64</f>
        <v>65.566893196516986</v>
      </c>
      <c r="O64" s="5"/>
      <c r="P64" s="5"/>
      <c r="Q64" s="9">
        <f t="shared" si="15"/>
        <v>0.52656274608851561</v>
      </c>
      <c r="R64" s="9">
        <v>49.545999999999999</v>
      </c>
      <c r="S64" s="9">
        <v>68.626000000000005</v>
      </c>
    </row>
    <row r="65" spans="1:19" x14ac:dyDescent="0.35">
      <c r="A65" s="6">
        <f>vals_ghg_incLUC!$A65</f>
        <v>1912</v>
      </c>
      <c r="B65" s="7">
        <f t="shared" si="8"/>
        <v>46.971997514337431</v>
      </c>
      <c r="C65" s="7">
        <f t="shared" si="9"/>
        <v>53.015823026370882</v>
      </c>
      <c r="D65" s="7">
        <f t="shared" si="10"/>
        <v>65.118314439392506</v>
      </c>
      <c r="E65" s="7">
        <f t="shared" si="11"/>
        <v>65.574257689714415</v>
      </c>
      <c r="F65" s="7">
        <f t="shared" si="12"/>
        <v>6.0438255120334503</v>
      </c>
      <c r="G65" s="7">
        <f t="shared" si="13"/>
        <v>0</v>
      </c>
      <c r="H65" s="7">
        <f t="shared" si="14"/>
        <v>12.102491413021625</v>
      </c>
      <c r="I65" s="8">
        <f>vals_ghg_incLUC!$R65</f>
        <v>46.971997514337431</v>
      </c>
      <c r="J65" s="8">
        <f>vals_ghg_incLUC!$X65</f>
        <v>53.015823026370882</v>
      </c>
      <c r="K65" s="8"/>
      <c r="L65" s="8"/>
      <c r="M65" s="8">
        <f>vals_ghg_incLUC!$S65</f>
        <v>65.118314439392506</v>
      </c>
      <c r="N65" s="8">
        <f>vals_ghg_incLUC!$Y65</f>
        <v>65.574257689714415</v>
      </c>
      <c r="O65" s="8"/>
      <c r="P65" s="8"/>
      <c r="Q65" s="9">
        <f t="shared" si="15"/>
        <v>0.45594325032190852</v>
      </c>
      <c r="R65" s="9">
        <v>49.668999999999997</v>
      </c>
      <c r="S65" s="9">
        <v>68.673000000000002</v>
      </c>
    </row>
    <row r="66" spans="1:19" x14ac:dyDescent="0.35">
      <c r="A66" s="3">
        <f>vals_ghg_incLUC!$A66</f>
        <v>1913</v>
      </c>
      <c r="B66" s="4">
        <f t="shared" si="8"/>
        <v>47.134637029215867</v>
      </c>
      <c r="C66" s="4">
        <f t="shared" si="9"/>
        <v>53.080720380732728</v>
      </c>
      <c r="D66" s="4">
        <f t="shared" si="10"/>
        <v>65.196024953642464</v>
      </c>
      <c r="E66" s="4">
        <f t="shared" si="11"/>
        <v>65.623637887238431</v>
      </c>
      <c r="F66" s="4">
        <f t="shared" si="12"/>
        <v>5.9460833515168616</v>
      </c>
      <c r="G66" s="4">
        <f t="shared" si="13"/>
        <v>0</v>
      </c>
      <c r="H66" s="4">
        <f t="shared" si="14"/>
        <v>12.115304572909736</v>
      </c>
      <c r="I66" s="5">
        <f>vals_ghg_incLUC!$R66</f>
        <v>47.134637029215867</v>
      </c>
      <c r="J66" s="5">
        <f>vals_ghg_incLUC!$X66</f>
        <v>53.080720380732728</v>
      </c>
      <c r="K66" s="5"/>
      <c r="L66" s="5"/>
      <c r="M66" s="5">
        <f>vals_ghg_incLUC!$S66</f>
        <v>65.196024953642464</v>
      </c>
      <c r="N66" s="5">
        <f>vals_ghg_incLUC!$Y66</f>
        <v>65.623637887238431</v>
      </c>
      <c r="O66" s="5"/>
      <c r="P66" s="5"/>
      <c r="Q66" s="9">
        <f t="shared" si="15"/>
        <v>0.42761293359596664</v>
      </c>
      <c r="R66" s="9">
        <v>49.828000000000003</v>
      </c>
      <c r="S66" s="9">
        <v>68.724999999999994</v>
      </c>
    </row>
    <row r="67" spans="1:19" x14ac:dyDescent="0.35">
      <c r="A67" s="6">
        <f>vals_ghg_incLUC!$A67</f>
        <v>1914</v>
      </c>
      <c r="B67" s="7">
        <f t="shared" ref="B67:B98" si="16">IFERROR(_xlfn.AGGREGATE(5,6,I67:L67),"")</f>
        <v>47.256740322160006</v>
      </c>
      <c r="C67" s="7">
        <f t="shared" ref="C67:C98" si="17">IFERROR(_xlfn.AGGREGATE(4,6,I67:L67),"")</f>
        <v>53.109586719281367</v>
      </c>
      <c r="D67" s="7">
        <f t="shared" ref="D67:D98" si="18">IFERROR(_xlfn.AGGREGATE(5,6,M67:P67),"")</f>
        <v>65.229018726969755</v>
      </c>
      <c r="E67" s="7">
        <f t="shared" ref="E67:E98" si="19">IFERROR(_xlfn.AGGREGATE(4,6,M67:P67),"")</f>
        <v>65.641063992597623</v>
      </c>
      <c r="F67" s="7">
        <f t="shared" ref="F67:F98" si="20">IFERROR(MIN(C67,D67)-B67,"")</f>
        <v>5.8528463971213611</v>
      </c>
      <c r="G67" s="7">
        <f t="shared" ref="G67:G98" si="21">IFERROR(MAX(0,C67-D67),"")</f>
        <v>0</v>
      </c>
      <c r="H67" s="7">
        <f t="shared" ref="H67:H98" si="22">IFERROR(MAX(0,D67-C67),"")</f>
        <v>12.119432007688388</v>
      </c>
      <c r="I67" s="8">
        <f>vals_ghg_incLUC!$R67</f>
        <v>47.256740322160006</v>
      </c>
      <c r="J67" s="8">
        <f>vals_ghg_incLUC!$X67</f>
        <v>53.109586719281367</v>
      </c>
      <c r="K67" s="8"/>
      <c r="L67" s="8"/>
      <c r="M67" s="8">
        <f>vals_ghg_incLUC!$S67</f>
        <v>65.229018726969755</v>
      </c>
      <c r="N67" s="8">
        <f>vals_ghg_incLUC!$Y67</f>
        <v>65.641063992597623</v>
      </c>
      <c r="O67" s="8"/>
      <c r="P67" s="8"/>
      <c r="Q67" s="9">
        <f t="shared" ref="Q67:Q98" si="23">IFERROR(MAX(0,$E67-MAX($C67,$D67)),"")</f>
        <v>0.41204526562786725</v>
      </c>
      <c r="R67" s="9">
        <v>49.929000000000002</v>
      </c>
      <c r="S67" s="9">
        <v>68.716999999999999</v>
      </c>
    </row>
    <row r="68" spans="1:19" x14ac:dyDescent="0.35">
      <c r="A68" s="3">
        <f>vals_ghg_incLUC!$A68</f>
        <v>1915</v>
      </c>
      <c r="B68" s="4">
        <f t="shared" si="16"/>
        <v>47.367666625978607</v>
      </c>
      <c r="C68" s="4">
        <f t="shared" si="17"/>
        <v>53.135180031768606</v>
      </c>
      <c r="D68" s="4">
        <f t="shared" si="18"/>
        <v>65.244217562057116</v>
      </c>
      <c r="E68" s="4">
        <f t="shared" si="19"/>
        <v>65.655931710073901</v>
      </c>
      <c r="F68" s="4">
        <f t="shared" si="20"/>
        <v>5.7675134057899982</v>
      </c>
      <c r="G68" s="4">
        <f t="shared" si="21"/>
        <v>0</v>
      </c>
      <c r="H68" s="4">
        <f t="shared" si="22"/>
        <v>12.109037530288511</v>
      </c>
      <c r="I68" s="5">
        <f>vals_ghg_incLUC!$R68</f>
        <v>47.367666625978607</v>
      </c>
      <c r="J68" s="5">
        <f>vals_ghg_incLUC!$X68</f>
        <v>53.135180031768606</v>
      </c>
      <c r="K68" s="5"/>
      <c r="L68" s="5"/>
      <c r="M68" s="5">
        <f>vals_ghg_incLUC!$S68</f>
        <v>65.244217562057116</v>
      </c>
      <c r="N68" s="5">
        <f>vals_ghg_incLUC!$Y68</f>
        <v>65.655931710073901</v>
      </c>
      <c r="O68" s="5"/>
      <c r="P68" s="5"/>
      <c r="Q68" s="9">
        <f t="shared" si="23"/>
        <v>0.41171414801678452</v>
      </c>
      <c r="R68" s="9">
        <v>50.015999999999998</v>
      </c>
      <c r="S68" s="9">
        <v>68.685000000000002</v>
      </c>
    </row>
    <row r="69" spans="1:19" x14ac:dyDescent="0.35">
      <c r="A69" s="6">
        <f>vals_ghg_incLUC!$A69</f>
        <v>1916</v>
      </c>
      <c r="B69" s="7">
        <f t="shared" si="16"/>
        <v>47.492977228902902</v>
      </c>
      <c r="C69" s="7">
        <f t="shared" si="17"/>
        <v>53.178137517809986</v>
      </c>
      <c r="D69" s="7">
        <f t="shared" si="18"/>
        <v>65.273526352120371</v>
      </c>
      <c r="E69" s="7">
        <f t="shared" si="19"/>
        <v>65.686091074518018</v>
      </c>
      <c r="F69" s="7">
        <f t="shared" si="20"/>
        <v>5.6851602889070847</v>
      </c>
      <c r="G69" s="7">
        <f t="shared" si="21"/>
        <v>0</v>
      </c>
      <c r="H69" s="7">
        <f t="shared" si="22"/>
        <v>12.095388834310384</v>
      </c>
      <c r="I69" s="8">
        <f>vals_ghg_incLUC!$R69</f>
        <v>47.492977228902902</v>
      </c>
      <c r="J69" s="8">
        <f>vals_ghg_incLUC!$X69</f>
        <v>53.178137517809986</v>
      </c>
      <c r="K69" s="8"/>
      <c r="L69" s="8"/>
      <c r="M69" s="8">
        <f>vals_ghg_incLUC!$S69</f>
        <v>65.273526352120371</v>
      </c>
      <c r="N69" s="8">
        <f>vals_ghg_incLUC!$Y69</f>
        <v>65.686091074518018</v>
      </c>
      <c r="O69" s="8"/>
      <c r="P69" s="8"/>
      <c r="Q69" s="9">
        <f t="shared" si="23"/>
        <v>0.41256472239764719</v>
      </c>
      <c r="R69" s="9">
        <v>50.122999999999998</v>
      </c>
      <c r="S69" s="9">
        <v>68.667000000000002</v>
      </c>
    </row>
    <row r="70" spans="1:19" x14ac:dyDescent="0.35">
      <c r="A70" s="3">
        <f>vals_ghg_incLUC!$A70</f>
        <v>1917</v>
      </c>
      <c r="B70" s="4">
        <f t="shared" si="16"/>
        <v>47.631447692560535</v>
      </c>
      <c r="C70" s="4">
        <f t="shared" si="17"/>
        <v>53.228576597161982</v>
      </c>
      <c r="D70" s="4">
        <f t="shared" si="18"/>
        <v>65.297931307215421</v>
      </c>
      <c r="E70" s="4">
        <f t="shared" si="19"/>
        <v>65.719130316034878</v>
      </c>
      <c r="F70" s="4">
        <f t="shared" si="20"/>
        <v>5.5971289046014476</v>
      </c>
      <c r="G70" s="4">
        <f t="shared" si="21"/>
        <v>0</v>
      </c>
      <c r="H70" s="4">
        <f t="shared" si="22"/>
        <v>12.069354710053439</v>
      </c>
      <c r="I70" s="5">
        <f>vals_ghg_incLUC!$R70</f>
        <v>47.631447692560535</v>
      </c>
      <c r="J70" s="5">
        <f>vals_ghg_incLUC!$X70</f>
        <v>53.228576597161982</v>
      </c>
      <c r="K70" s="5"/>
      <c r="L70" s="5"/>
      <c r="M70" s="5">
        <f>vals_ghg_incLUC!$S70</f>
        <v>65.297931307215421</v>
      </c>
      <c r="N70" s="5">
        <f>vals_ghg_incLUC!$Y70</f>
        <v>65.719130316034878</v>
      </c>
      <c r="O70" s="5"/>
      <c r="P70" s="5"/>
      <c r="Q70" s="9">
        <f t="shared" si="23"/>
        <v>0.42119900881945682</v>
      </c>
      <c r="R70" s="9">
        <v>50.25</v>
      </c>
      <c r="S70" s="9">
        <v>68.641999999999996</v>
      </c>
    </row>
    <row r="71" spans="1:19" x14ac:dyDescent="0.35">
      <c r="A71" s="6">
        <f>vals_ghg_incLUC!$A71</f>
        <v>1918</v>
      </c>
      <c r="B71" s="7">
        <f t="shared" si="16"/>
        <v>47.783197247306411</v>
      </c>
      <c r="C71" s="7">
        <f t="shared" si="17"/>
        <v>53.287062548673973</v>
      </c>
      <c r="D71" s="7">
        <f t="shared" si="18"/>
        <v>65.3085422715005</v>
      </c>
      <c r="E71" s="7">
        <f t="shared" si="19"/>
        <v>65.739017087106291</v>
      </c>
      <c r="F71" s="7">
        <f t="shared" si="20"/>
        <v>5.5038653013675614</v>
      </c>
      <c r="G71" s="7">
        <f t="shared" si="21"/>
        <v>0</v>
      </c>
      <c r="H71" s="7">
        <f t="shared" si="22"/>
        <v>12.021479722826527</v>
      </c>
      <c r="I71" s="8">
        <f>vals_ghg_incLUC!$R71</f>
        <v>47.783197247306411</v>
      </c>
      <c r="J71" s="8">
        <f>vals_ghg_incLUC!$X71</f>
        <v>53.287062548673973</v>
      </c>
      <c r="K71" s="8"/>
      <c r="L71" s="8"/>
      <c r="M71" s="8">
        <f>vals_ghg_incLUC!$S71</f>
        <v>65.3085422715005</v>
      </c>
      <c r="N71" s="8">
        <f>vals_ghg_incLUC!$Y71</f>
        <v>65.739017087106291</v>
      </c>
      <c r="O71" s="8"/>
      <c r="P71" s="8"/>
      <c r="Q71" s="9">
        <f t="shared" si="23"/>
        <v>0.43047481560579115</v>
      </c>
      <c r="R71" s="9">
        <v>50.393999999999998</v>
      </c>
      <c r="S71" s="9">
        <v>68.593999999999994</v>
      </c>
    </row>
    <row r="72" spans="1:19" x14ac:dyDescent="0.35">
      <c r="A72" s="3">
        <f>vals_ghg_incLUC!$A72</f>
        <v>1919</v>
      </c>
      <c r="B72" s="4">
        <f t="shared" si="16"/>
        <v>47.889757133897348</v>
      </c>
      <c r="C72" s="4">
        <f t="shared" si="17"/>
        <v>53.303551611926238</v>
      </c>
      <c r="D72" s="4">
        <f t="shared" si="18"/>
        <v>65.269803998159631</v>
      </c>
      <c r="E72" s="4">
        <f t="shared" si="19"/>
        <v>65.705448934444632</v>
      </c>
      <c r="F72" s="4">
        <f t="shared" si="20"/>
        <v>5.4137944780288905</v>
      </c>
      <c r="G72" s="4">
        <f t="shared" si="21"/>
        <v>0</v>
      </c>
      <c r="H72" s="4">
        <f t="shared" si="22"/>
        <v>11.966252386233393</v>
      </c>
      <c r="I72" s="5">
        <f>vals_ghg_incLUC!$R72</f>
        <v>47.889757133897348</v>
      </c>
      <c r="J72" s="5">
        <f>vals_ghg_incLUC!$X72</f>
        <v>53.303551611926238</v>
      </c>
      <c r="K72" s="5"/>
      <c r="L72" s="5"/>
      <c r="M72" s="5">
        <f>vals_ghg_incLUC!$S72</f>
        <v>65.269803998159631</v>
      </c>
      <c r="N72" s="5">
        <f>vals_ghg_incLUC!$Y72</f>
        <v>65.705448934444632</v>
      </c>
      <c r="O72" s="5"/>
      <c r="P72" s="5"/>
      <c r="Q72" s="9">
        <f t="shared" si="23"/>
        <v>0.43564493628500145</v>
      </c>
      <c r="R72" s="9">
        <v>50.476999999999997</v>
      </c>
      <c r="S72" s="9">
        <v>68.480999999999995</v>
      </c>
    </row>
    <row r="73" spans="1:19" x14ac:dyDescent="0.35">
      <c r="A73" s="6">
        <f>vals_ghg_incLUC!$A73</f>
        <v>1920</v>
      </c>
      <c r="B73" s="7">
        <f t="shared" si="16"/>
        <v>47.990262529581095</v>
      </c>
      <c r="C73" s="7">
        <f t="shared" si="17"/>
        <v>53.347154744553414</v>
      </c>
      <c r="D73" s="7">
        <f t="shared" si="18"/>
        <v>65.241109048393881</v>
      </c>
      <c r="E73" s="7">
        <f t="shared" si="19"/>
        <v>65.703356600117303</v>
      </c>
      <c r="F73" s="7">
        <f t="shared" si="20"/>
        <v>5.3568922149723193</v>
      </c>
      <c r="G73" s="7">
        <f t="shared" si="21"/>
        <v>0</v>
      </c>
      <c r="H73" s="7">
        <f t="shared" si="22"/>
        <v>11.893954303840466</v>
      </c>
      <c r="I73" s="8">
        <f>vals_ghg_incLUC!$R73</f>
        <v>47.990262529581095</v>
      </c>
      <c r="J73" s="8">
        <f>vals_ghg_incLUC!$X73</f>
        <v>53.347154744553414</v>
      </c>
      <c r="K73" s="8"/>
      <c r="L73" s="8"/>
      <c r="M73" s="8">
        <f>vals_ghg_incLUC!$S73</f>
        <v>65.241109048393881</v>
      </c>
      <c r="N73" s="8">
        <f>vals_ghg_incLUC!$Y73</f>
        <v>65.703356600117303</v>
      </c>
      <c r="O73" s="8"/>
      <c r="P73" s="8"/>
      <c r="Q73" s="9">
        <f t="shared" si="23"/>
        <v>0.46224755172342213</v>
      </c>
      <c r="R73" s="9">
        <v>50.561999999999998</v>
      </c>
      <c r="S73" s="9">
        <v>68.38</v>
      </c>
    </row>
    <row r="74" spans="1:19" x14ac:dyDescent="0.35">
      <c r="A74" s="3">
        <f>vals_ghg_incLUC!$A74</f>
        <v>1921</v>
      </c>
      <c r="B74" s="4">
        <f t="shared" si="16"/>
        <v>48.018992752654214</v>
      </c>
      <c r="C74" s="4">
        <f t="shared" si="17"/>
        <v>53.304385528092588</v>
      </c>
      <c r="D74" s="4">
        <f t="shared" si="18"/>
        <v>65.166235936336022</v>
      </c>
      <c r="E74" s="4">
        <f t="shared" si="19"/>
        <v>65.627622297473494</v>
      </c>
      <c r="F74" s="4">
        <f t="shared" si="20"/>
        <v>5.2853927754383747</v>
      </c>
      <c r="G74" s="4">
        <f t="shared" si="21"/>
        <v>0</v>
      </c>
      <c r="H74" s="4">
        <f t="shared" si="22"/>
        <v>11.861850408243434</v>
      </c>
      <c r="I74" s="5">
        <f>vals_ghg_incLUC!$R74</f>
        <v>48.018992752654214</v>
      </c>
      <c r="J74" s="5">
        <f>vals_ghg_incLUC!$X74</f>
        <v>53.304385528092588</v>
      </c>
      <c r="K74" s="5"/>
      <c r="L74" s="5"/>
      <c r="M74" s="5">
        <f>vals_ghg_incLUC!$S74</f>
        <v>65.166235936336022</v>
      </c>
      <c r="N74" s="5">
        <f>vals_ghg_incLUC!$Y74</f>
        <v>65.627622297473494</v>
      </c>
      <c r="O74" s="5"/>
      <c r="P74" s="5"/>
      <c r="Q74" s="9">
        <f t="shared" si="23"/>
        <v>0.46138636113747111</v>
      </c>
      <c r="R74" s="9">
        <v>50.552999999999997</v>
      </c>
      <c r="S74" s="9">
        <v>68.215999999999994</v>
      </c>
    </row>
    <row r="75" spans="1:19" x14ac:dyDescent="0.35">
      <c r="A75" s="6">
        <f>vals_ghg_incLUC!$A75</f>
        <v>1922</v>
      </c>
      <c r="B75" s="7">
        <f t="shared" si="16"/>
        <v>48.057338762674966</v>
      </c>
      <c r="C75" s="7">
        <f t="shared" si="17"/>
        <v>53.262500479536911</v>
      </c>
      <c r="D75" s="7">
        <f t="shared" si="18"/>
        <v>65.099960480387793</v>
      </c>
      <c r="E75" s="7">
        <f t="shared" si="19"/>
        <v>65.551437798472364</v>
      </c>
      <c r="F75" s="7">
        <f t="shared" si="20"/>
        <v>5.2051617168619444</v>
      </c>
      <c r="G75" s="7">
        <f t="shared" si="21"/>
        <v>0</v>
      </c>
      <c r="H75" s="7">
        <f t="shared" si="22"/>
        <v>11.837460000850882</v>
      </c>
      <c r="I75" s="8">
        <f>vals_ghg_incLUC!$R75</f>
        <v>48.057338762674966</v>
      </c>
      <c r="J75" s="8">
        <f>vals_ghg_incLUC!$X75</f>
        <v>53.262500479536911</v>
      </c>
      <c r="K75" s="8"/>
      <c r="L75" s="8"/>
      <c r="M75" s="8">
        <f>vals_ghg_incLUC!$S75</f>
        <v>65.099960480387793</v>
      </c>
      <c r="N75" s="8">
        <f>vals_ghg_incLUC!$Y75</f>
        <v>65.551437798472364</v>
      </c>
      <c r="O75" s="8"/>
      <c r="P75" s="8"/>
      <c r="Q75" s="9">
        <f t="shared" si="23"/>
        <v>0.45147731808457081</v>
      </c>
      <c r="R75" s="9">
        <v>50.557000000000002</v>
      </c>
      <c r="S75" s="9">
        <v>68.063000000000002</v>
      </c>
    </row>
    <row r="76" spans="1:19" x14ac:dyDescent="0.35">
      <c r="A76" s="3">
        <f>vals_ghg_incLUC!$A76</f>
        <v>1923</v>
      </c>
      <c r="B76" s="4">
        <f t="shared" si="16"/>
        <v>48.122993491146246</v>
      </c>
      <c r="C76" s="4">
        <f t="shared" si="17"/>
        <v>53.260812978914743</v>
      </c>
      <c r="D76" s="4">
        <f t="shared" si="18"/>
        <v>65.054216419527066</v>
      </c>
      <c r="E76" s="4">
        <f t="shared" si="19"/>
        <v>65.501919027119953</v>
      </c>
      <c r="F76" s="4">
        <f t="shared" si="20"/>
        <v>5.1378194877684962</v>
      </c>
      <c r="G76" s="4">
        <f t="shared" si="21"/>
        <v>0</v>
      </c>
      <c r="H76" s="4">
        <f t="shared" si="22"/>
        <v>11.793403440612323</v>
      </c>
      <c r="I76" s="5">
        <f>vals_ghg_incLUC!$R76</f>
        <v>48.122993491146246</v>
      </c>
      <c r="J76" s="5">
        <f>vals_ghg_incLUC!$X76</f>
        <v>53.260812978914743</v>
      </c>
      <c r="K76" s="5"/>
      <c r="L76" s="5"/>
      <c r="M76" s="5">
        <f>vals_ghg_incLUC!$S76</f>
        <v>65.054216419527066</v>
      </c>
      <c r="N76" s="5">
        <f>vals_ghg_incLUC!$Y76</f>
        <v>65.501919027119953</v>
      </c>
      <c r="O76" s="5"/>
      <c r="P76" s="5"/>
      <c r="Q76" s="9">
        <f t="shared" si="23"/>
        <v>0.4477026075928876</v>
      </c>
      <c r="R76" s="9">
        <v>50.593000000000004</v>
      </c>
      <c r="S76" s="9">
        <v>67.932000000000002</v>
      </c>
    </row>
    <row r="77" spans="1:19" x14ac:dyDescent="0.35">
      <c r="A77" s="6">
        <f>vals_ghg_incLUC!$A77</f>
        <v>1924</v>
      </c>
      <c r="B77" s="7">
        <f t="shared" si="16"/>
        <v>48.18193515979145</v>
      </c>
      <c r="C77" s="7">
        <f t="shared" si="17"/>
        <v>53.243856731780767</v>
      </c>
      <c r="D77" s="7">
        <f t="shared" si="18"/>
        <v>64.998198949933439</v>
      </c>
      <c r="E77" s="7">
        <f t="shared" si="19"/>
        <v>65.442993982623619</v>
      </c>
      <c r="F77" s="7">
        <f t="shared" si="20"/>
        <v>5.0619215719893162</v>
      </c>
      <c r="G77" s="7">
        <f t="shared" si="21"/>
        <v>0</v>
      </c>
      <c r="H77" s="7">
        <f t="shared" si="22"/>
        <v>11.754342218152672</v>
      </c>
      <c r="I77" s="8">
        <f>vals_ghg_incLUC!$R77</f>
        <v>48.18193515979145</v>
      </c>
      <c r="J77" s="8">
        <f>vals_ghg_incLUC!$X77</f>
        <v>53.243856731780767</v>
      </c>
      <c r="K77" s="8"/>
      <c r="L77" s="8"/>
      <c r="M77" s="8">
        <f>vals_ghg_incLUC!$S77</f>
        <v>64.998198949933439</v>
      </c>
      <c r="N77" s="8">
        <f>vals_ghg_incLUC!$Y77</f>
        <v>65.442993982623619</v>
      </c>
      <c r="O77" s="8"/>
      <c r="P77" s="8"/>
      <c r="Q77" s="9">
        <f t="shared" si="23"/>
        <v>0.44479503269018039</v>
      </c>
      <c r="R77" s="9">
        <v>50.622</v>
      </c>
      <c r="S77" s="9">
        <v>67.790000000000006</v>
      </c>
    </row>
    <row r="78" spans="1:19" x14ac:dyDescent="0.35">
      <c r="A78" s="3">
        <f>vals_ghg_incLUC!$A78</f>
        <v>1925</v>
      </c>
      <c r="B78" s="4">
        <f t="shared" si="16"/>
        <v>48.231464983074055</v>
      </c>
      <c r="C78" s="4">
        <f t="shared" si="17"/>
        <v>53.223473842117173</v>
      </c>
      <c r="D78" s="4">
        <f t="shared" si="18"/>
        <v>64.946668157593606</v>
      </c>
      <c r="E78" s="4">
        <f t="shared" si="19"/>
        <v>65.381562664245479</v>
      </c>
      <c r="F78" s="4">
        <f t="shared" si="20"/>
        <v>4.9920088590431178</v>
      </c>
      <c r="G78" s="4">
        <f t="shared" si="21"/>
        <v>0</v>
      </c>
      <c r="H78" s="4">
        <f t="shared" si="22"/>
        <v>11.723194315476434</v>
      </c>
      <c r="I78" s="5">
        <f>vals_ghg_incLUC!$R78</f>
        <v>48.231464983074055</v>
      </c>
      <c r="J78" s="5">
        <f>vals_ghg_incLUC!$X78</f>
        <v>53.223473842117173</v>
      </c>
      <c r="K78" s="5"/>
      <c r="L78" s="5"/>
      <c r="M78" s="5">
        <f>vals_ghg_incLUC!$S78</f>
        <v>64.946668157593606</v>
      </c>
      <c r="N78" s="5">
        <f>vals_ghg_incLUC!$Y78</f>
        <v>65.381562664245479</v>
      </c>
      <c r="O78" s="5"/>
      <c r="P78" s="5"/>
      <c r="Q78" s="9">
        <f t="shared" si="23"/>
        <v>0.43489450665187235</v>
      </c>
      <c r="R78" s="9">
        <v>50.631999999999998</v>
      </c>
      <c r="S78" s="9">
        <v>67.647999999999996</v>
      </c>
    </row>
    <row r="79" spans="1:19" x14ac:dyDescent="0.35">
      <c r="A79" s="6">
        <f>vals_ghg_incLUC!$A79</f>
        <v>1926</v>
      </c>
      <c r="B79" s="7">
        <f t="shared" si="16"/>
        <v>48.260081009352461</v>
      </c>
      <c r="C79" s="7">
        <f t="shared" si="17"/>
        <v>53.181485783571823</v>
      </c>
      <c r="D79" s="7">
        <f t="shared" si="18"/>
        <v>64.888736063368</v>
      </c>
      <c r="E79" s="7">
        <f t="shared" si="19"/>
        <v>65.313567365752476</v>
      </c>
      <c r="F79" s="7">
        <f t="shared" si="20"/>
        <v>4.9214047742193614</v>
      </c>
      <c r="G79" s="7">
        <f t="shared" si="21"/>
        <v>0</v>
      </c>
      <c r="H79" s="7">
        <f t="shared" si="22"/>
        <v>11.707250279796177</v>
      </c>
      <c r="I79" s="8">
        <f>vals_ghg_incLUC!$R79</f>
        <v>48.260081009352461</v>
      </c>
      <c r="J79" s="8">
        <f>vals_ghg_incLUC!$X79</f>
        <v>53.181485783571823</v>
      </c>
      <c r="K79" s="8"/>
      <c r="L79" s="8"/>
      <c r="M79" s="8">
        <f>vals_ghg_incLUC!$S79</f>
        <v>64.888736063368</v>
      </c>
      <c r="N79" s="8">
        <f>vals_ghg_incLUC!$Y79</f>
        <v>65.313567365752476</v>
      </c>
      <c r="O79" s="8"/>
      <c r="P79" s="8"/>
      <c r="Q79" s="9">
        <f t="shared" si="23"/>
        <v>0.42483130238447586</v>
      </c>
      <c r="R79" s="9">
        <v>50.610999999999997</v>
      </c>
      <c r="S79" s="9">
        <v>67.494</v>
      </c>
    </row>
    <row r="80" spans="1:19" x14ac:dyDescent="0.35">
      <c r="A80" s="3">
        <f>vals_ghg_incLUC!$A80</f>
        <v>1927</v>
      </c>
      <c r="B80" s="4">
        <f t="shared" si="16"/>
        <v>48.305255005737735</v>
      </c>
      <c r="C80" s="4">
        <f t="shared" si="17"/>
        <v>53.176155924266077</v>
      </c>
      <c r="D80" s="4">
        <f t="shared" si="18"/>
        <v>64.848582875107027</v>
      </c>
      <c r="E80" s="4">
        <f t="shared" si="19"/>
        <v>65.280783441908937</v>
      </c>
      <c r="F80" s="4">
        <f t="shared" si="20"/>
        <v>4.8709009185283421</v>
      </c>
      <c r="G80" s="4">
        <f t="shared" si="21"/>
        <v>0</v>
      </c>
      <c r="H80" s="4">
        <f t="shared" si="22"/>
        <v>11.672426950840951</v>
      </c>
      <c r="I80" s="5">
        <f>vals_ghg_incLUC!$R80</f>
        <v>48.305255005737735</v>
      </c>
      <c r="J80" s="5">
        <f>vals_ghg_incLUC!$X80</f>
        <v>53.176155924266077</v>
      </c>
      <c r="K80" s="5"/>
      <c r="L80" s="5"/>
      <c r="M80" s="5">
        <f>vals_ghg_incLUC!$S80</f>
        <v>64.848582875107027</v>
      </c>
      <c r="N80" s="5">
        <f>vals_ghg_incLUC!$Y80</f>
        <v>65.280783441908937</v>
      </c>
      <c r="O80" s="5"/>
      <c r="P80" s="5"/>
      <c r="Q80" s="9">
        <f t="shared" si="23"/>
        <v>0.43220056680191021</v>
      </c>
      <c r="R80" s="9">
        <v>50.603999999999999</v>
      </c>
      <c r="S80" s="9">
        <v>67.355000000000004</v>
      </c>
    </row>
    <row r="81" spans="1:19" x14ac:dyDescent="0.35">
      <c r="A81" s="6">
        <f>vals_ghg_incLUC!$A81</f>
        <v>1928</v>
      </c>
      <c r="B81" s="7">
        <f t="shared" si="16"/>
        <v>48.334576645656611</v>
      </c>
      <c r="C81" s="7">
        <f t="shared" si="17"/>
        <v>53.156858549426822</v>
      </c>
      <c r="D81" s="7">
        <f t="shared" si="18"/>
        <v>64.799242223203166</v>
      </c>
      <c r="E81" s="7">
        <f t="shared" si="19"/>
        <v>65.240021636589105</v>
      </c>
      <c r="F81" s="7">
        <f t="shared" si="20"/>
        <v>4.8222819037702109</v>
      </c>
      <c r="G81" s="7">
        <f t="shared" si="21"/>
        <v>0</v>
      </c>
      <c r="H81" s="7">
        <f t="shared" si="22"/>
        <v>11.642383673776344</v>
      </c>
      <c r="I81" s="8">
        <f>vals_ghg_incLUC!$R81</f>
        <v>48.334576645656611</v>
      </c>
      <c r="J81" s="8">
        <f>vals_ghg_incLUC!$X81</f>
        <v>53.156858549426822</v>
      </c>
      <c r="K81" s="8"/>
      <c r="L81" s="8"/>
      <c r="M81" s="8">
        <f>vals_ghg_incLUC!$S81</f>
        <v>64.799242223203166</v>
      </c>
      <c r="N81" s="8">
        <f>vals_ghg_incLUC!$Y81</f>
        <v>65.240021636589105</v>
      </c>
      <c r="O81" s="8"/>
      <c r="P81" s="8"/>
      <c r="Q81" s="9">
        <f t="shared" si="23"/>
        <v>0.44077941338593973</v>
      </c>
      <c r="R81" s="9">
        <v>50.582999999999998</v>
      </c>
      <c r="S81" s="9">
        <v>67.209999999999994</v>
      </c>
    </row>
    <row r="82" spans="1:19" x14ac:dyDescent="0.35">
      <c r="A82" s="3">
        <f>vals_ghg_incLUC!$A82</f>
        <v>1929</v>
      </c>
      <c r="B82" s="4">
        <f t="shared" si="16"/>
        <v>48.373814282373402</v>
      </c>
      <c r="C82" s="4">
        <f t="shared" si="17"/>
        <v>53.162704146905718</v>
      </c>
      <c r="D82" s="4">
        <f t="shared" si="18"/>
        <v>64.768630778847651</v>
      </c>
      <c r="E82" s="4">
        <f t="shared" si="19"/>
        <v>65.221785960575119</v>
      </c>
      <c r="F82" s="4">
        <f t="shared" si="20"/>
        <v>4.7888898645323152</v>
      </c>
      <c r="G82" s="4">
        <f t="shared" si="21"/>
        <v>0</v>
      </c>
      <c r="H82" s="4">
        <f t="shared" si="22"/>
        <v>11.605926631941934</v>
      </c>
      <c r="I82" s="5">
        <f>vals_ghg_incLUC!$R82</f>
        <v>48.373814282373402</v>
      </c>
      <c r="J82" s="5">
        <f>vals_ghg_incLUC!$X82</f>
        <v>53.162704146905718</v>
      </c>
      <c r="K82" s="5"/>
      <c r="L82" s="5"/>
      <c r="M82" s="5">
        <f>vals_ghg_incLUC!$S82</f>
        <v>64.768630778847651</v>
      </c>
      <c r="N82" s="5">
        <f>vals_ghg_incLUC!$Y82</f>
        <v>65.221785960575119</v>
      </c>
      <c r="O82" s="5"/>
      <c r="P82" s="5"/>
      <c r="Q82" s="9">
        <f t="shared" si="23"/>
        <v>0.45315518172746749</v>
      </c>
      <c r="R82" s="9">
        <v>50.573</v>
      </c>
      <c r="S82" s="9">
        <v>67.082999999999998</v>
      </c>
    </row>
    <row r="83" spans="1:19" x14ac:dyDescent="0.35">
      <c r="A83" s="6">
        <f>vals_ghg_incLUC!$A83</f>
        <v>1930</v>
      </c>
      <c r="B83" s="7">
        <f t="shared" si="16"/>
        <v>48.356985153918139</v>
      </c>
      <c r="C83" s="7">
        <f t="shared" si="17"/>
        <v>53.15001363608237</v>
      </c>
      <c r="D83" s="7">
        <f t="shared" si="18"/>
        <v>64.721984514073327</v>
      </c>
      <c r="E83" s="7">
        <f t="shared" si="19"/>
        <v>65.19318074773058</v>
      </c>
      <c r="F83" s="7">
        <f t="shared" si="20"/>
        <v>4.7930284821642317</v>
      </c>
      <c r="G83" s="7">
        <f t="shared" si="21"/>
        <v>0</v>
      </c>
      <c r="H83" s="7">
        <f t="shared" si="22"/>
        <v>11.571970877990957</v>
      </c>
      <c r="I83" s="8">
        <f>vals_ghg_incLUC!$R83</f>
        <v>48.356985153918139</v>
      </c>
      <c r="J83" s="8">
        <f>vals_ghg_incLUC!$X83</f>
        <v>53.15001363608237</v>
      </c>
      <c r="K83" s="8"/>
      <c r="L83" s="8"/>
      <c r="M83" s="8">
        <f>vals_ghg_incLUC!$S83</f>
        <v>64.721984514073327</v>
      </c>
      <c r="N83" s="8">
        <f>vals_ghg_incLUC!$Y83</f>
        <v>65.19318074773058</v>
      </c>
      <c r="O83" s="8"/>
      <c r="P83" s="8"/>
      <c r="Q83" s="9">
        <f t="shared" si="23"/>
        <v>0.47119623365725261</v>
      </c>
      <c r="R83" s="9">
        <v>50.488999999999997</v>
      </c>
      <c r="S83" s="9">
        <v>66.935000000000002</v>
      </c>
    </row>
    <row r="84" spans="1:19" x14ac:dyDescent="0.35">
      <c r="A84" s="3">
        <f>vals_ghg_incLUC!$A84</f>
        <v>1931</v>
      </c>
      <c r="B84" s="4">
        <f t="shared" si="16"/>
        <v>48.289156226197818</v>
      </c>
      <c r="C84" s="4">
        <f t="shared" si="17"/>
        <v>53.085345241881697</v>
      </c>
      <c r="D84" s="4">
        <f t="shared" si="18"/>
        <v>64.650909222853343</v>
      </c>
      <c r="E84" s="4">
        <f t="shared" si="19"/>
        <v>65.129410292304627</v>
      </c>
      <c r="F84" s="4">
        <f t="shared" si="20"/>
        <v>4.7961890156838791</v>
      </c>
      <c r="G84" s="4">
        <f t="shared" si="21"/>
        <v>0</v>
      </c>
      <c r="H84" s="4">
        <f t="shared" si="22"/>
        <v>11.565563980971646</v>
      </c>
      <c r="I84" s="5">
        <f>vals_ghg_incLUC!$R84</f>
        <v>48.289156226197818</v>
      </c>
      <c r="J84" s="5">
        <f>vals_ghg_incLUC!$X84</f>
        <v>53.085345241881697</v>
      </c>
      <c r="K84" s="5"/>
      <c r="L84" s="5"/>
      <c r="M84" s="5">
        <f>vals_ghg_incLUC!$S84</f>
        <v>64.650909222853343</v>
      </c>
      <c r="N84" s="5">
        <f>vals_ghg_incLUC!$Y84</f>
        <v>65.129410292304627</v>
      </c>
      <c r="O84" s="5"/>
      <c r="P84" s="5"/>
      <c r="Q84" s="9">
        <f t="shared" si="23"/>
        <v>0.47850106945128346</v>
      </c>
      <c r="R84" s="9">
        <v>50.338999999999999</v>
      </c>
      <c r="S84" s="9">
        <v>66.759</v>
      </c>
    </row>
    <row r="85" spans="1:19" x14ac:dyDescent="0.35">
      <c r="A85" s="6">
        <f>vals_ghg_incLUC!$A85</f>
        <v>1932</v>
      </c>
      <c r="B85" s="7">
        <f t="shared" si="16"/>
        <v>48.17861755623413</v>
      </c>
      <c r="C85" s="7">
        <f t="shared" si="17"/>
        <v>52.952723335086425</v>
      </c>
      <c r="D85" s="7">
        <f t="shared" si="18"/>
        <v>64.55328848229027</v>
      </c>
      <c r="E85" s="7">
        <f t="shared" si="19"/>
        <v>65.014576951652728</v>
      </c>
      <c r="F85" s="7">
        <f t="shared" si="20"/>
        <v>4.7741057788522951</v>
      </c>
      <c r="G85" s="7">
        <f t="shared" si="21"/>
        <v>0</v>
      </c>
      <c r="H85" s="7">
        <f t="shared" si="22"/>
        <v>11.600565147203845</v>
      </c>
      <c r="I85" s="8">
        <f>vals_ghg_incLUC!$R85</f>
        <v>48.17861755623413</v>
      </c>
      <c r="J85" s="8">
        <f>vals_ghg_incLUC!$X85</f>
        <v>52.952723335086425</v>
      </c>
      <c r="K85" s="8"/>
      <c r="L85" s="8"/>
      <c r="M85" s="8">
        <f>vals_ghg_incLUC!$S85</f>
        <v>64.55328848229027</v>
      </c>
      <c r="N85" s="8">
        <f>vals_ghg_incLUC!$Y85</f>
        <v>65.014576951652728</v>
      </c>
      <c r="O85" s="8"/>
      <c r="P85" s="8"/>
      <c r="Q85" s="9">
        <f t="shared" si="23"/>
        <v>0.46128846936245793</v>
      </c>
      <c r="R85" s="9">
        <v>50.13</v>
      </c>
      <c r="S85" s="9">
        <v>66.545000000000002</v>
      </c>
    </row>
    <row r="86" spans="1:19" x14ac:dyDescent="0.35">
      <c r="A86" s="3">
        <f>vals_ghg_incLUC!$A86</f>
        <v>1933</v>
      </c>
      <c r="B86" s="4">
        <f t="shared" si="16"/>
        <v>48.077027268668523</v>
      </c>
      <c r="C86" s="4">
        <f t="shared" si="17"/>
        <v>52.826104634963976</v>
      </c>
      <c r="D86" s="4">
        <f t="shared" si="18"/>
        <v>64.462950985176519</v>
      </c>
      <c r="E86" s="4">
        <f t="shared" si="19"/>
        <v>64.905494521084123</v>
      </c>
      <c r="F86" s="4">
        <f t="shared" si="20"/>
        <v>4.7490773662954524</v>
      </c>
      <c r="G86" s="4">
        <f t="shared" si="21"/>
        <v>0</v>
      </c>
      <c r="H86" s="4">
        <f t="shared" si="22"/>
        <v>11.636846350212544</v>
      </c>
      <c r="I86" s="5">
        <f>vals_ghg_incLUC!$R86</f>
        <v>48.077027268668523</v>
      </c>
      <c r="J86" s="5">
        <f>vals_ghg_incLUC!$X86</f>
        <v>52.826104634963976</v>
      </c>
      <c r="K86" s="5"/>
      <c r="L86" s="5"/>
      <c r="M86" s="5">
        <f>vals_ghg_incLUC!$S86</f>
        <v>64.462950985176519</v>
      </c>
      <c r="N86" s="5">
        <f>vals_ghg_incLUC!$Y86</f>
        <v>64.905494521084123</v>
      </c>
      <c r="O86" s="5"/>
      <c r="P86" s="5"/>
      <c r="Q86" s="9">
        <f t="shared" si="23"/>
        <v>0.44254353590760331</v>
      </c>
      <c r="R86" s="9">
        <v>49.923999999999999</v>
      </c>
      <c r="S86" s="9">
        <v>66.337999999999994</v>
      </c>
    </row>
    <row r="87" spans="1:19" x14ac:dyDescent="0.35">
      <c r="A87" s="6">
        <f>vals_ghg_incLUC!$A87</f>
        <v>1934</v>
      </c>
      <c r="B87" s="7">
        <f t="shared" si="16"/>
        <v>47.982248469206723</v>
      </c>
      <c r="C87" s="7">
        <f t="shared" si="17"/>
        <v>52.708848869210726</v>
      </c>
      <c r="D87" s="7">
        <f t="shared" si="18"/>
        <v>64.381078113862614</v>
      </c>
      <c r="E87" s="7">
        <f t="shared" si="19"/>
        <v>64.808787358323187</v>
      </c>
      <c r="F87" s="7">
        <f t="shared" si="20"/>
        <v>4.7266004000040027</v>
      </c>
      <c r="G87" s="7">
        <f t="shared" si="21"/>
        <v>0</v>
      </c>
      <c r="H87" s="7">
        <f t="shared" si="22"/>
        <v>11.672229244651888</v>
      </c>
      <c r="I87" s="8">
        <f>vals_ghg_incLUC!$R87</f>
        <v>47.982248469206723</v>
      </c>
      <c r="J87" s="8">
        <f>vals_ghg_incLUC!$X87</f>
        <v>52.708848869210726</v>
      </c>
      <c r="K87" s="8"/>
      <c r="L87" s="8"/>
      <c r="M87" s="8">
        <f>vals_ghg_incLUC!$S87</f>
        <v>64.381078113862614</v>
      </c>
      <c r="N87" s="8">
        <f>vals_ghg_incLUC!$Y87</f>
        <v>64.808787358323187</v>
      </c>
      <c r="O87" s="8"/>
      <c r="P87" s="8"/>
      <c r="Q87" s="9">
        <f t="shared" si="23"/>
        <v>0.42770924446057279</v>
      </c>
      <c r="R87" s="9">
        <v>49.737000000000002</v>
      </c>
      <c r="S87" s="9">
        <v>66.153999999999996</v>
      </c>
    </row>
    <row r="88" spans="1:19" x14ac:dyDescent="0.35">
      <c r="A88" s="3">
        <f>vals_ghg_incLUC!$A88</f>
        <v>1935</v>
      </c>
      <c r="B88" s="4">
        <f t="shared" si="16"/>
        <v>47.890446204829921</v>
      </c>
      <c r="C88" s="4">
        <f t="shared" si="17"/>
        <v>52.593535761389468</v>
      </c>
      <c r="D88" s="4">
        <f t="shared" si="18"/>
        <v>64.310486817245476</v>
      </c>
      <c r="E88" s="4">
        <f t="shared" si="19"/>
        <v>64.715024182884335</v>
      </c>
      <c r="F88" s="4">
        <f t="shared" si="20"/>
        <v>4.7030895565595472</v>
      </c>
      <c r="G88" s="4">
        <f t="shared" si="21"/>
        <v>0</v>
      </c>
      <c r="H88" s="4">
        <f t="shared" si="22"/>
        <v>11.716951055856008</v>
      </c>
      <c r="I88" s="5">
        <f>vals_ghg_incLUC!$R88</f>
        <v>47.890446204829921</v>
      </c>
      <c r="J88" s="5">
        <f>vals_ghg_incLUC!$X88</f>
        <v>52.593535761389468</v>
      </c>
      <c r="K88" s="5"/>
      <c r="L88" s="5"/>
      <c r="M88" s="5">
        <f>vals_ghg_incLUC!$S88</f>
        <v>64.310486817245476</v>
      </c>
      <c r="N88" s="5">
        <f>vals_ghg_incLUC!$Y88</f>
        <v>64.715024182884335</v>
      </c>
      <c r="O88" s="5"/>
      <c r="P88" s="5"/>
      <c r="Q88" s="9">
        <f t="shared" si="23"/>
        <v>0.40453736563885911</v>
      </c>
      <c r="R88" s="9">
        <v>49.552</v>
      </c>
      <c r="S88" s="9">
        <v>65.984999999999999</v>
      </c>
    </row>
    <row r="89" spans="1:19" x14ac:dyDescent="0.35">
      <c r="A89" s="6">
        <f>vals_ghg_incLUC!$A89</f>
        <v>1936</v>
      </c>
      <c r="B89" s="7">
        <f t="shared" si="16"/>
        <v>47.808535912450637</v>
      </c>
      <c r="C89" s="7">
        <f t="shared" si="17"/>
        <v>52.490037185837771</v>
      </c>
      <c r="D89" s="7">
        <f t="shared" si="18"/>
        <v>64.253656089055653</v>
      </c>
      <c r="E89" s="7">
        <f t="shared" si="19"/>
        <v>64.631688600681954</v>
      </c>
      <c r="F89" s="7">
        <f t="shared" si="20"/>
        <v>4.6815012733871342</v>
      </c>
      <c r="G89" s="7">
        <f t="shared" si="21"/>
        <v>0</v>
      </c>
      <c r="H89" s="7">
        <f t="shared" si="22"/>
        <v>11.763618903217882</v>
      </c>
      <c r="I89" s="8">
        <f>vals_ghg_incLUC!$R89</f>
        <v>47.808535912450637</v>
      </c>
      <c r="J89" s="8">
        <f>vals_ghg_incLUC!$X89</f>
        <v>52.490037185837771</v>
      </c>
      <c r="K89" s="8"/>
      <c r="L89" s="8"/>
      <c r="M89" s="8">
        <f>vals_ghg_incLUC!$S89</f>
        <v>64.253656089055653</v>
      </c>
      <c r="N89" s="8">
        <f>vals_ghg_incLUC!$Y89</f>
        <v>64.631688600681954</v>
      </c>
      <c r="O89" s="8"/>
      <c r="P89" s="8"/>
      <c r="Q89" s="9">
        <f t="shared" si="23"/>
        <v>0.37803251162630147</v>
      </c>
      <c r="R89" s="9">
        <v>49.372999999999998</v>
      </c>
      <c r="S89" s="9">
        <v>65.832999999999998</v>
      </c>
    </row>
    <row r="90" spans="1:19" x14ac:dyDescent="0.35">
      <c r="A90" s="3">
        <f>vals_ghg_incLUC!$A90</f>
        <v>1937</v>
      </c>
      <c r="B90" s="4">
        <f t="shared" si="16"/>
        <v>47.738448529334335</v>
      </c>
      <c r="C90" s="4">
        <f t="shared" si="17"/>
        <v>52.394223878080879</v>
      </c>
      <c r="D90" s="4">
        <f t="shared" si="18"/>
        <v>64.204074040134913</v>
      </c>
      <c r="E90" s="4">
        <f t="shared" si="19"/>
        <v>64.552005659602969</v>
      </c>
      <c r="F90" s="4">
        <f t="shared" si="20"/>
        <v>4.6557753487465448</v>
      </c>
      <c r="G90" s="4">
        <f t="shared" si="21"/>
        <v>0</v>
      </c>
      <c r="H90" s="4">
        <f t="shared" si="22"/>
        <v>11.809850162054033</v>
      </c>
      <c r="I90" s="5">
        <f>vals_ghg_incLUC!$R90</f>
        <v>47.738448529334335</v>
      </c>
      <c r="J90" s="5">
        <f>vals_ghg_incLUC!$X90</f>
        <v>52.394223878080879</v>
      </c>
      <c r="K90" s="5"/>
      <c r="L90" s="5"/>
      <c r="M90" s="5">
        <f>vals_ghg_incLUC!$S90</f>
        <v>64.204074040134913</v>
      </c>
      <c r="N90" s="5">
        <f>vals_ghg_incLUC!$Y90</f>
        <v>64.552005659602969</v>
      </c>
      <c r="O90" s="5"/>
      <c r="P90" s="5"/>
      <c r="Q90" s="9">
        <f t="shared" si="23"/>
        <v>0.3479316194680564</v>
      </c>
      <c r="R90" s="9">
        <v>49.204000000000001</v>
      </c>
      <c r="S90" s="9">
        <v>65.69</v>
      </c>
    </row>
    <row r="91" spans="1:19" x14ac:dyDescent="0.35">
      <c r="A91" s="6">
        <f>vals_ghg_incLUC!$A91</f>
        <v>1938</v>
      </c>
      <c r="B91" s="7">
        <f t="shared" si="16"/>
        <v>47.638636609459098</v>
      </c>
      <c r="C91" s="7">
        <f t="shared" si="17"/>
        <v>52.267432876827847</v>
      </c>
      <c r="D91" s="7">
        <f t="shared" si="18"/>
        <v>64.13803856573918</v>
      </c>
      <c r="E91" s="7">
        <f t="shared" si="19"/>
        <v>64.450401926937658</v>
      </c>
      <c r="F91" s="7">
        <f t="shared" si="20"/>
        <v>4.6287962673687488</v>
      </c>
      <c r="G91" s="7">
        <f t="shared" si="21"/>
        <v>0</v>
      </c>
      <c r="H91" s="7">
        <f t="shared" si="22"/>
        <v>11.870605688911333</v>
      </c>
      <c r="I91" s="8">
        <f>vals_ghg_incLUC!$R91</f>
        <v>47.638636609459098</v>
      </c>
      <c r="J91" s="8">
        <f>vals_ghg_incLUC!$X91</f>
        <v>52.267432876827847</v>
      </c>
      <c r="K91" s="8"/>
      <c r="L91" s="8"/>
      <c r="M91" s="8">
        <f>vals_ghg_incLUC!$S91</f>
        <v>64.13803856573918</v>
      </c>
      <c r="N91" s="8">
        <f>vals_ghg_incLUC!$Y91</f>
        <v>64.450401926937658</v>
      </c>
      <c r="O91" s="8"/>
      <c r="P91" s="8"/>
      <c r="Q91" s="9">
        <f t="shared" si="23"/>
        <v>0.31236336119847863</v>
      </c>
      <c r="R91" s="9">
        <v>48.993000000000002</v>
      </c>
      <c r="S91" s="9">
        <v>65.531000000000006</v>
      </c>
    </row>
    <row r="92" spans="1:19" x14ac:dyDescent="0.35">
      <c r="A92" s="3">
        <f>vals_ghg_incLUC!$A92</f>
        <v>1939</v>
      </c>
      <c r="B92" s="4">
        <f t="shared" si="16"/>
        <v>47.553234588906328</v>
      </c>
      <c r="C92" s="4">
        <f t="shared" si="17"/>
        <v>52.155982813908409</v>
      </c>
      <c r="D92" s="4">
        <f t="shared" si="18"/>
        <v>64.079723233480607</v>
      </c>
      <c r="E92" s="4">
        <f t="shared" si="19"/>
        <v>64.356307452457344</v>
      </c>
      <c r="F92" s="4">
        <f t="shared" si="20"/>
        <v>4.602748225002081</v>
      </c>
      <c r="G92" s="4">
        <f t="shared" si="21"/>
        <v>0</v>
      </c>
      <c r="H92" s="4">
        <f t="shared" si="22"/>
        <v>11.923740419572198</v>
      </c>
      <c r="I92" s="5">
        <f>vals_ghg_incLUC!$R92</f>
        <v>47.553234588906328</v>
      </c>
      <c r="J92" s="5">
        <f>vals_ghg_incLUC!$X92</f>
        <v>52.155982813908409</v>
      </c>
      <c r="K92" s="5"/>
      <c r="L92" s="5"/>
      <c r="M92" s="5">
        <f>vals_ghg_incLUC!$S92</f>
        <v>64.079723233480607</v>
      </c>
      <c r="N92" s="5">
        <f>vals_ghg_incLUC!$Y92</f>
        <v>64.356307452457344</v>
      </c>
      <c r="O92" s="5"/>
      <c r="P92" s="5"/>
      <c r="Q92" s="9">
        <f t="shared" si="23"/>
        <v>0.27658421897673691</v>
      </c>
      <c r="R92" s="9">
        <v>48.81</v>
      </c>
      <c r="S92" s="9">
        <v>65.394999999999996</v>
      </c>
    </row>
    <row r="93" spans="1:19" x14ac:dyDescent="0.35">
      <c r="A93" s="6">
        <f>vals_ghg_incLUC!$A93</f>
        <v>1940</v>
      </c>
      <c r="B93" s="7">
        <f t="shared" si="16"/>
        <v>47.462306193723037</v>
      </c>
      <c r="C93" s="7">
        <f t="shared" si="17"/>
        <v>52.034703921215886</v>
      </c>
      <c r="D93" s="7">
        <f t="shared" si="18"/>
        <v>63.989666962915678</v>
      </c>
      <c r="E93" s="7">
        <f t="shared" si="19"/>
        <v>64.276873577836398</v>
      </c>
      <c r="F93" s="7">
        <f t="shared" si="20"/>
        <v>4.5723977274928487</v>
      </c>
      <c r="G93" s="7">
        <f t="shared" si="21"/>
        <v>0</v>
      </c>
      <c r="H93" s="7">
        <f t="shared" si="22"/>
        <v>11.954963041699791</v>
      </c>
      <c r="I93" s="8">
        <f>vals_ghg_incLUC!$R93</f>
        <v>47.462306193723037</v>
      </c>
      <c r="J93" s="8">
        <f>vals_ghg_incLUC!$X93</f>
        <v>52.034703921215886</v>
      </c>
      <c r="K93" s="8"/>
      <c r="L93" s="8"/>
      <c r="M93" s="8">
        <f>vals_ghg_incLUC!$S93</f>
        <v>63.989666962915678</v>
      </c>
      <c r="N93" s="8">
        <f>vals_ghg_incLUC!$Y93</f>
        <v>64.276873577836398</v>
      </c>
      <c r="O93" s="8"/>
      <c r="P93" s="8"/>
      <c r="Q93" s="9">
        <f t="shared" si="23"/>
        <v>0.28720661492071997</v>
      </c>
      <c r="R93" s="9">
        <v>48.606000000000002</v>
      </c>
      <c r="S93" s="9">
        <v>65.222999999999999</v>
      </c>
    </row>
    <row r="94" spans="1:19" x14ac:dyDescent="0.35">
      <c r="A94" s="3">
        <f>vals_ghg_incLUC!$A94</f>
        <v>1941</v>
      </c>
      <c r="B94" s="4">
        <f t="shared" si="16"/>
        <v>47.381365234008442</v>
      </c>
      <c r="C94" s="4">
        <f t="shared" si="17"/>
        <v>51.936331189511051</v>
      </c>
      <c r="D94" s="4">
        <f t="shared" si="18"/>
        <v>63.878029355829092</v>
      </c>
      <c r="E94" s="4">
        <f t="shared" si="19"/>
        <v>64.198084134764272</v>
      </c>
      <c r="F94" s="4">
        <f t="shared" si="20"/>
        <v>4.5549659555026096</v>
      </c>
      <c r="G94" s="4">
        <f t="shared" si="21"/>
        <v>0</v>
      </c>
      <c r="H94" s="4">
        <f t="shared" si="22"/>
        <v>11.941698166318041</v>
      </c>
      <c r="I94" s="5">
        <f>vals_ghg_incLUC!$R94</f>
        <v>47.381365234008442</v>
      </c>
      <c r="J94" s="5">
        <f>vals_ghg_incLUC!$X94</f>
        <v>51.936331189511051</v>
      </c>
      <c r="K94" s="5"/>
      <c r="L94" s="5"/>
      <c r="M94" s="5">
        <f>vals_ghg_incLUC!$S94</f>
        <v>63.878029355829092</v>
      </c>
      <c r="N94" s="5">
        <f>vals_ghg_incLUC!$Y94</f>
        <v>64.198084134764272</v>
      </c>
      <c r="O94" s="5"/>
      <c r="P94" s="5"/>
      <c r="Q94" s="9">
        <f t="shared" si="23"/>
        <v>0.3200547789351802</v>
      </c>
      <c r="R94" s="9">
        <v>48.442</v>
      </c>
      <c r="S94" s="9">
        <v>65.042000000000002</v>
      </c>
    </row>
    <row r="95" spans="1:19" x14ac:dyDescent="0.35">
      <c r="A95" s="6">
        <f>vals_ghg_incLUC!$A95</f>
        <v>1942</v>
      </c>
      <c r="B95" s="7">
        <f t="shared" si="16"/>
        <v>47.325606084173785</v>
      </c>
      <c r="C95" s="7">
        <f t="shared" si="17"/>
        <v>51.865872506692682</v>
      </c>
      <c r="D95" s="7">
        <f t="shared" si="18"/>
        <v>63.75504971991186</v>
      </c>
      <c r="E95" s="7">
        <f t="shared" si="19"/>
        <v>64.123775419057395</v>
      </c>
      <c r="F95" s="7">
        <f t="shared" si="20"/>
        <v>4.5402664225188971</v>
      </c>
      <c r="G95" s="7">
        <f t="shared" si="21"/>
        <v>0</v>
      </c>
      <c r="H95" s="7">
        <f t="shared" si="22"/>
        <v>11.889177213219178</v>
      </c>
      <c r="I95" s="8">
        <f>vals_ghg_incLUC!$R95</f>
        <v>47.325606084173785</v>
      </c>
      <c r="J95" s="8">
        <f>vals_ghg_incLUC!$X95</f>
        <v>51.865872506692682</v>
      </c>
      <c r="K95" s="8"/>
      <c r="L95" s="8"/>
      <c r="M95" s="8">
        <f>vals_ghg_incLUC!$S95</f>
        <v>63.75504971991186</v>
      </c>
      <c r="N95" s="8">
        <f>vals_ghg_incLUC!$Y95</f>
        <v>64.123775419057395</v>
      </c>
      <c r="O95" s="8"/>
      <c r="P95" s="8"/>
      <c r="Q95" s="9">
        <f t="shared" si="23"/>
        <v>0.36872569914553566</v>
      </c>
      <c r="R95" s="9">
        <v>48.311</v>
      </c>
      <c r="S95" s="9">
        <v>64.849000000000004</v>
      </c>
    </row>
    <row r="96" spans="1:19" x14ac:dyDescent="0.35">
      <c r="A96" s="3">
        <f>vals_ghg_incLUC!$A96</f>
        <v>1943</v>
      </c>
      <c r="B96" s="4">
        <f t="shared" si="16"/>
        <v>47.271716555009633</v>
      </c>
      <c r="C96" s="4">
        <f t="shared" si="17"/>
        <v>51.783475303759289</v>
      </c>
      <c r="D96" s="4">
        <f t="shared" si="18"/>
        <v>63.627205094611547</v>
      </c>
      <c r="E96" s="4">
        <f t="shared" si="19"/>
        <v>64.045624967231092</v>
      </c>
      <c r="F96" s="4">
        <f t="shared" si="20"/>
        <v>4.5117587487496564</v>
      </c>
      <c r="G96" s="4">
        <f t="shared" si="21"/>
        <v>0</v>
      </c>
      <c r="H96" s="4">
        <f t="shared" si="22"/>
        <v>11.843729790852258</v>
      </c>
      <c r="I96" s="5">
        <f>vals_ghg_incLUC!$R96</f>
        <v>47.271716555009633</v>
      </c>
      <c r="J96" s="5">
        <f>vals_ghg_incLUC!$X96</f>
        <v>51.783475303759289</v>
      </c>
      <c r="K96" s="5"/>
      <c r="L96" s="5"/>
      <c r="M96" s="5">
        <f>vals_ghg_incLUC!$S96</f>
        <v>63.627205094611547</v>
      </c>
      <c r="N96" s="5">
        <f>vals_ghg_incLUC!$Y96</f>
        <v>64.045624967231092</v>
      </c>
      <c r="O96" s="5"/>
      <c r="P96" s="5"/>
      <c r="Q96" s="9">
        <f t="shared" si="23"/>
        <v>0.41841987261954472</v>
      </c>
      <c r="R96" s="9">
        <v>48.17</v>
      </c>
      <c r="S96" s="9">
        <v>64.644000000000005</v>
      </c>
    </row>
    <row r="97" spans="1:19" x14ac:dyDescent="0.35">
      <c r="A97" s="6">
        <f>vals_ghg_incLUC!$A97</f>
        <v>1944</v>
      </c>
      <c r="B97" s="7">
        <f t="shared" si="16"/>
        <v>47.21485688054095</v>
      </c>
      <c r="C97" s="7">
        <f t="shared" si="17"/>
        <v>51.695260142283558</v>
      </c>
      <c r="D97" s="7">
        <f t="shared" si="18"/>
        <v>63.492337250507468</v>
      </c>
      <c r="E97" s="7">
        <f t="shared" si="19"/>
        <v>63.951629953646197</v>
      </c>
      <c r="F97" s="7">
        <f t="shared" si="20"/>
        <v>4.4804032617426088</v>
      </c>
      <c r="G97" s="7">
        <f t="shared" si="21"/>
        <v>0</v>
      </c>
      <c r="H97" s="7">
        <f t="shared" si="22"/>
        <v>11.79707710822391</v>
      </c>
      <c r="I97" s="8">
        <f>vals_ghg_incLUC!$R97</f>
        <v>47.21485688054095</v>
      </c>
      <c r="J97" s="8">
        <f>vals_ghg_incLUC!$X97</f>
        <v>51.695260142283558</v>
      </c>
      <c r="K97" s="8"/>
      <c r="L97" s="8"/>
      <c r="M97" s="8">
        <f>vals_ghg_incLUC!$S97</f>
        <v>63.492337250507468</v>
      </c>
      <c r="N97" s="8">
        <f>vals_ghg_incLUC!$Y97</f>
        <v>63.951629953646197</v>
      </c>
      <c r="O97" s="8"/>
      <c r="P97" s="8"/>
      <c r="Q97" s="9">
        <f t="shared" si="23"/>
        <v>0.45929270313872905</v>
      </c>
      <c r="R97" s="9">
        <v>48.027999999999999</v>
      </c>
      <c r="S97" s="9">
        <v>64.432000000000002</v>
      </c>
    </row>
    <row r="98" spans="1:19" x14ac:dyDescent="0.35">
      <c r="A98" s="3">
        <f>vals_ghg_incLUC!$A98</f>
        <v>1945</v>
      </c>
      <c r="B98" s="4">
        <f t="shared" si="16"/>
        <v>47.122063648229414</v>
      </c>
      <c r="C98" s="4">
        <f t="shared" si="17"/>
        <v>51.566511272394919</v>
      </c>
      <c r="D98" s="4">
        <f t="shared" si="18"/>
        <v>63.314230726865318</v>
      </c>
      <c r="E98" s="4">
        <f t="shared" si="19"/>
        <v>63.802682453448746</v>
      </c>
      <c r="F98" s="4">
        <f t="shared" si="20"/>
        <v>4.4444476241655053</v>
      </c>
      <c r="G98" s="4">
        <f t="shared" si="21"/>
        <v>0</v>
      </c>
      <c r="H98" s="4">
        <f t="shared" si="22"/>
        <v>11.747719454470399</v>
      </c>
      <c r="I98" s="5">
        <f>vals_ghg_incLUC!$R98</f>
        <v>47.122063648229414</v>
      </c>
      <c r="J98" s="5">
        <f>vals_ghg_incLUC!$X98</f>
        <v>51.566511272394919</v>
      </c>
      <c r="K98" s="5"/>
      <c r="L98" s="5"/>
      <c r="M98" s="5">
        <f>vals_ghg_incLUC!$S98</f>
        <v>63.314230726865318</v>
      </c>
      <c r="N98" s="5">
        <f>vals_ghg_incLUC!$Y98</f>
        <v>63.802682453448746</v>
      </c>
      <c r="O98" s="5"/>
      <c r="P98" s="5"/>
      <c r="Q98" s="9">
        <f t="shared" si="23"/>
        <v>0.48845172658342761</v>
      </c>
      <c r="R98" s="9">
        <v>47.85</v>
      </c>
      <c r="S98" s="9">
        <v>64.165000000000006</v>
      </c>
    </row>
    <row r="99" spans="1:19" x14ac:dyDescent="0.35">
      <c r="A99" s="6">
        <f>vals_ghg_incLUC!$A99</f>
        <v>1946</v>
      </c>
      <c r="B99" s="7">
        <f t="shared" ref="B99:B130" si="24">IFERROR(_xlfn.AGGREGATE(5,6,I99:L99),"")</f>
        <v>47.035235795593742</v>
      </c>
      <c r="C99" s="7">
        <f t="shared" ref="C99:C130" si="25">IFERROR(_xlfn.AGGREGATE(4,6,I99:L99),"")</f>
        <v>51.416496077705844</v>
      </c>
      <c r="D99" s="7">
        <f t="shared" ref="D99:D130" si="26">IFERROR(_xlfn.AGGREGATE(5,6,M99:P99),"")</f>
        <v>63.141023990143772</v>
      </c>
      <c r="E99" s="7">
        <f t="shared" ref="E99:E130" si="27">IFERROR(_xlfn.AGGREGATE(4,6,M99:P99),"")</f>
        <v>63.632715048627674</v>
      </c>
      <c r="F99" s="7">
        <f t="shared" ref="F99:F130" si="28">IFERROR(MIN(C99,D99)-B99,"")</f>
        <v>4.3812602821121018</v>
      </c>
      <c r="G99" s="7">
        <f t="shared" ref="G99:G130" si="29">IFERROR(MAX(0,C99-D99),"")</f>
        <v>0</v>
      </c>
      <c r="H99" s="7">
        <f t="shared" ref="H99:H130" si="30">IFERROR(MAX(0,D99-C99),"")</f>
        <v>11.724527912437928</v>
      </c>
      <c r="I99" s="8">
        <f>vals_ghg_incLUC!$R99</f>
        <v>47.035235795593742</v>
      </c>
      <c r="J99" s="8">
        <f>vals_ghg_incLUC!$X99</f>
        <v>51.416496077705844</v>
      </c>
      <c r="K99" s="8"/>
      <c r="L99" s="8"/>
      <c r="M99" s="8">
        <f>vals_ghg_incLUC!$S99</f>
        <v>63.141023990143772</v>
      </c>
      <c r="N99" s="8">
        <f>vals_ghg_incLUC!$Y99</f>
        <v>63.632715048627674</v>
      </c>
      <c r="O99" s="8"/>
      <c r="P99" s="8"/>
      <c r="Q99" s="9">
        <f t="shared" ref="Q99:Q130" si="31">IFERROR(MAX(0,$E99-MAX($C99,$D99)),"")</f>
        <v>0.4916910584839016</v>
      </c>
      <c r="R99" s="9">
        <v>47.680999999999997</v>
      </c>
      <c r="S99" s="9">
        <v>63.901000000000003</v>
      </c>
    </row>
    <row r="100" spans="1:19" x14ac:dyDescent="0.35">
      <c r="A100" s="3">
        <f>vals_ghg_incLUC!$A100</f>
        <v>1947</v>
      </c>
      <c r="B100" s="4">
        <f t="shared" si="24"/>
        <v>46.974283824531007</v>
      </c>
      <c r="C100" s="4">
        <f t="shared" si="25"/>
        <v>51.294603575376165</v>
      </c>
      <c r="D100" s="4">
        <f t="shared" si="26"/>
        <v>62.985258499651451</v>
      </c>
      <c r="E100" s="4">
        <f t="shared" si="27"/>
        <v>63.48912146229334</v>
      </c>
      <c r="F100" s="4">
        <f t="shared" si="28"/>
        <v>4.3203197508451581</v>
      </c>
      <c r="G100" s="4">
        <f t="shared" si="29"/>
        <v>0</v>
      </c>
      <c r="H100" s="4">
        <f t="shared" si="30"/>
        <v>11.690654924275286</v>
      </c>
      <c r="I100" s="5">
        <f>vals_ghg_incLUC!$R100</f>
        <v>46.974283824531007</v>
      </c>
      <c r="J100" s="5">
        <f>vals_ghg_incLUC!$X100</f>
        <v>51.294603575376165</v>
      </c>
      <c r="K100" s="5"/>
      <c r="L100" s="5"/>
      <c r="M100" s="5">
        <f>vals_ghg_incLUC!$S100</f>
        <v>62.985258499651451</v>
      </c>
      <c r="N100" s="5">
        <f>vals_ghg_incLUC!$Y100</f>
        <v>63.48912146229334</v>
      </c>
      <c r="O100" s="5"/>
      <c r="P100" s="5"/>
      <c r="Q100" s="9">
        <f t="shared" si="31"/>
        <v>0.50386296264188957</v>
      </c>
      <c r="R100" s="9">
        <v>47.545999999999999</v>
      </c>
      <c r="S100" s="9">
        <v>63.662999999999997</v>
      </c>
    </row>
    <row r="101" spans="1:19" x14ac:dyDescent="0.35">
      <c r="A101" s="6">
        <f>vals_ghg_incLUC!$A101</f>
        <v>1948</v>
      </c>
      <c r="B101" s="7">
        <f t="shared" si="24"/>
        <v>46.930671240291822</v>
      </c>
      <c r="C101" s="7">
        <f t="shared" si="25"/>
        <v>51.184975439520564</v>
      </c>
      <c r="D101" s="7">
        <f t="shared" si="26"/>
        <v>62.841891472077272</v>
      </c>
      <c r="E101" s="7">
        <f t="shared" si="27"/>
        <v>63.357755141045303</v>
      </c>
      <c r="F101" s="7">
        <f t="shared" si="28"/>
        <v>4.2543041992287414</v>
      </c>
      <c r="G101" s="7">
        <f t="shared" si="29"/>
        <v>0</v>
      </c>
      <c r="H101" s="7">
        <f t="shared" si="30"/>
        <v>11.656916032556708</v>
      </c>
      <c r="I101" s="8">
        <f>vals_ghg_incLUC!$R101</f>
        <v>46.930671240291822</v>
      </c>
      <c r="J101" s="8">
        <f>vals_ghg_incLUC!$X101</f>
        <v>51.184975439520564</v>
      </c>
      <c r="K101" s="8"/>
      <c r="L101" s="8"/>
      <c r="M101" s="8">
        <f>vals_ghg_incLUC!$S101</f>
        <v>62.841891472077272</v>
      </c>
      <c r="N101" s="8">
        <f>vals_ghg_incLUC!$Y101</f>
        <v>63.357755141045303</v>
      </c>
      <c r="O101" s="8"/>
      <c r="P101" s="8"/>
      <c r="Q101" s="9">
        <f t="shared" si="31"/>
        <v>0.51586366896803071</v>
      </c>
      <c r="R101" s="9">
        <v>47.444000000000003</v>
      </c>
      <c r="S101" s="9">
        <v>63.451000000000001</v>
      </c>
    </row>
    <row r="102" spans="1:19" x14ac:dyDescent="0.35">
      <c r="A102" s="3">
        <f>vals_ghg_incLUC!$A102</f>
        <v>1949</v>
      </c>
      <c r="B102" s="4">
        <f t="shared" si="24"/>
        <v>46.859591471623091</v>
      </c>
      <c r="C102" s="4">
        <f t="shared" si="25"/>
        <v>51.039789969166534</v>
      </c>
      <c r="D102" s="4">
        <f t="shared" si="26"/>
        <v>62.681147708704302</v>
      </c>
      <c r="E102" s="4">
        <f t="shared" si="27"/>
        <v>63.206481522146241</v>
      </c>
      <c r="F102" s="4">
        <f t="shared" si="28"/>
        <v>4.1801984975434436</v>
      </c>
      <c r="G102" s="4">
        <f t="shared" si="29"/>
        <v>0</v>
      </c>
      <c r="H102" s="4">
        <f t="shared" si="30"/>
        <v>11.641357739537767</v>
      </c>
      <c r="I102" s="5">
        <f>vals_ghg_incLUC!$R102</f>
        <v>46.859591471623091</v>
      </c>
      <c r="J102" s="5">
        <f>vals_ghg_incLUC!$X102</f>
        <v>51.039789969166534</v>
      </c>
      <c r="K102" s="5"/>
      <c r="L102" s="5"/>
      <c r="M102" s="5">
        <f>vals_ghg_incLUC!$S102</f>
        <v>62.681147708704302</v>
      </c>
      <c r="N102" s="5">
        <f>vals_ghg_incLUC!$Y102</f>
        <v>63.206481522146241</v>
      </c>
      <c r="O102" s="5"/>
      <c r="P102" s="5"/>
      <c r="Q102" s="9">
        <f t="shared" si="31"/>
        <v>0.52533381344193941</v>
      </c>
      <c r="R102" s="9">
        <v>47.304000000000002</v>
      </c>
      <c r="S102" s="9">
        <v>63.216000000000001</v>
      </c>
    </row>
    <row r="103" spans="1:19" x14ac:dyDescent="0.35">
      <c r="A103" s="6">
        <f>vals_ghg_incLUC!$A103</f>
        <v>1950</v>
      </c>
      <c r="B103" s="7">
        <f t="shared" si="24"/>
        <v>46.762234301602291</v>
      </c>
      <c r="C103" s="7">
        <f t="shared" si="25"/>
        <v>50.928675146743196</v>
      </c>
      <c r="D103" s="7">
        <f t="shared" si="26"/>
        <v>62.500866462889995</v>
      </c>
      <c r="E103" s="7">
        <f t="shared" si="27"/>
        <v>63.090873598181354</v>
      </c>
      <c r="F103" s="7">
        <f t="shared" si="28"/>
        <v>4.1664408451409045</v>
      </c>
      <c r="G103" s="7">
        <f t="shared" si="29"/>
        <v>0</v>
      </c>
      <c r="H103" s="7">
        <f t="shared" si="30"/>
        <v>11.5721913161468</v>
      </c>
      <c r="I103" s="8">
        <f>vals_ghg_incLUC!$R103</f>
        <v>46.762234301602291</v>
      </c>
      <c r="J103" s="8">
        <f>vals_ghg_incLUC!$X103</f>
        <v>50.928675146743196</v>
      </c>
      <c r="K103" s="8"/>
      <c r="L103" s="8"/>
      <c r="M103" s="8">
        <f>vals_ghg_incLUC!$S103</f>
        <v>62.500866462889995</v>
      </c>
      <c r="N103" s="8">
        <f>vals_ghg_incLUC!$Y103</f>
        <v>63.090873598181354</v>
      </c>
      <c r="O103" s="8"/>
      <c r="P103" s="8"/>
      <c r="Q103" s="9">
        <f t="shared" si="31"/>
        <v>0.59000713529135851</v>
      </c>
      <c r="R103" s="9">
        <v>47.158999999999999</v>
      </c>
      <c r="S103" s="9">
        <v>62.972999999999999</v>
      </c>
    </row>
    <row r="104" spans="1:19" x14ac:dyDescent="0.35">
      <c r="A104" s="3">
        <f>vals_ghg_incLUC!$A104</f>
        <v>1951</v>
      </c>
      <c r="B104" s="4">
        <f t="shared" si="24"/>
        <v>46.645230403460189</v>
      </c>
      <c r="C104" s="4">
        <f t="shared" si="25"/>
        <v>50.797657596335014</v>
      </c>
      <c r="D104" s="4">
        <f t="shared" si="26"/>
        <v>62.308595886938512</v>
      </c>
      <c r="E104" s="4">
        <f t="shared" si="27"/>
        <v>62.991509655741751</v>
      </c>
      <c r="F104" s="4">
        <f t="shared" si="28"/>
        <v>4.1524271928748249</v>
      </c>
      <c r="G104" s="4">
        <f t="shared" si="29"/>
        <v>0</v>
      </c>
      <c r="H104" s="4">
        <f t="shared" si="30"/>
        <v>11.510938290603498</v>
      </c>
      <c r="I104" s="5">
        <f>vals_ghg_incLUC!$R104</f>
        <v>46.645230403460189</v>
      </c>
      <c r="J104" s="5">
        <f>vals_ghg_incLUC!$X104</f>
        <v>50.797657596335014</v>
      </c>
      <c r="K104" s="5"/>
      <c r="L104" s="5"/>
      <c r="M104" s="5">
        <f>vals_ghg_incLUC!$S104</f>
        <v>62.308595886938512</v>
      </c>
      <c r="N104" s="5">
        <f>vals_ghg_incLUC!$Y104</f>
        <v>62.991509655741751</v>
      </c>
      <c r="O104" s="5"/>
      <c r="P104" s="5"/>
      <c r="Q104" s="9">
        <f t="shared" si="31"/>
        <v>0.68291376880323895</v>
      </c>
      <c r="R104" s="9">
        <v>47.012</v>
      </c>
      <c r="S104" s="9">
        <v>62.726999999999997</v>
      </c>
    </row>
    <row r="105" spans="1:19" x14ac:dyDescent="0.35">
      <c r="A105" s="6">
        <f>vals_ghg_incLUC!$A105</f>
        <v>1952</v>
      </c>
      <c r="B105" s="7">
        <f t="shared" si="24"/>
        <v>46.520072390791512</v>
      </c>
      <c r="C105" s="7">
        <f t="shared" si="25"/>
        <v>50.634935359211774</v>
      </c>
      <c r="D105" s="7">
        <f t="shared" si="26"/>
        <v>62.122369712097338</v>
      </c>
      <c r="E105" s="7">
        <f t="shared" si="27"/>
        <v>62.875264410189438</v>
      </c>
      <c r="F105" s="7">
        <f t="shared" si="28"/>
        <v>4.1148629684202618</v>
      </c>
      <c r="G105" s="7">
        <f t="shared" si="29"/>
        <v>0</v>
      </c>
      <c r="H105" s="7">
        <f t="shared" si="30"/>
        <v>11.487434352885565</v>
      </c>
      <c r="I105" s="8">
        <f>vals_ghg_incLUC!$R105</f>
        <v>46.520072390791512</v>
      </c>
      <c r="J105" s="8">
        <f>vals_ghg_incLUC!$X105</f>
        <v>50.634935359211774</v>
      </c>
      <c r="K105" s="8"/>
      <c r="L105" s="8"/>
      <c r="M105" s="8">
        <f>vals_ghg_incLUC!$S105</f>
        <v>62.122369712097338</v>
      </c>
      <c r="N105" s="8">
        <f>vals_ghg_incLUC!$Y105</f>
        <v>62.875264410189438</v>
      </c>
      <c r="O105" s="8"/>
      <c r="P105" s="8"/>
      <c r="Q105" s="9">
        <f t="shared" si="31"/>
        <v>0.75289469809209919</v>
      </c>
      <c r="R105" s="9">
        <v>46.866999999999997</v>
      </c>
      <c r="S105" s="9">
        <v>62.497</v>
      </c>
    </row>
    <row r="106" spans="1:19" x14ac:dyDescent="0.35">
      <c r="A106" s="3">
        <f>vals_ghg_incLUC!$A106</f>
        <v>1953</v>
      </c>
      <c r="B106" s="4">
        <f t="shared" si="24"/>
        <v>46.391147216488577</v>
      </c>
      <c r="C106" s="4">
        <f t="shared" si="25"/>
        <v>50.469055001063737</v>
      </c>
      <c r="D106" s="4">
        <f t="shared" si="26"/>
        <v>61.942732740935327</v>
      </c>
      <c r="E106" s="4">
        <f t="shared" si="27"/>
        <v>62.769026667848138</v>
      </c>
      <c r="F106" s="4">
        <f t="shared" si="28"/>
        <v>4.0779077845751601</v>
      </c>
      <c r="G106" s="4">
        <f t="shared" si="29"/>
        <v>0</v>
      </c>
      <c r="H106" s="4">
        <f t="shared" si="30"/>
        <v>11.47367773987159</v>
      </c>
      <c r="I106" s="5">
        <f>vals_ghg_incLUC!$R106</f>
        <v>46.391147216488577</v>
      </c>
      <c r="J106" s="5">
        <f>vals_ghg_incLUC!$X106</f>
        <v>50.469055001063737</v>
      </c>
      <c r="K106" s="5"/>
      <c r="L106" s="5"/>
      <c r="M106" s="5">
        <f>vals_ghg_incLUC!$S106</f>
        <v>61.942732740935327</v>
      </c>
      <c r="N106" s="5">
        <f>vals_ghg_incLUC!$Y106</f>
        <v>62.769026667848138</v>
      </c>
      <c r="O106" s="5"/>
      <c r="P106" s="5"/>
      <c r="Q106" s="9">
        <f t="shared" si="31"/>
        <v>0.82629392691281112</v>
      </c>
      <c r="R106" s="9">
        <v>46.716000000000001</v>
      </c>
      <c r="S106" s="9">
        <v>62.271999999999998</v>
      </c>
    </row>
    <row r="107" spans="1:19" x14ac:dyDescent="0.35">
      <c r="A107" s="6">
        <f>vals_ghg_incLUC!$A107</f>
        <v>1954</v>
      </c>
      <c r="B107" s="7">
        <f t="shared" si="24"/>
        <v>46.234353682797838</v>
      </c>
      <c r="C107" s="7">
        <f t="shared" si="25"/>
        <v>50.283829369490043</v>
      </c>
      <c r="D107" s="7">
        <f t="shared" si="26"/>
        <v>61.745075960451523</v>
      </c>
      <c r="E107" s="7">
        <f t="shared" si="27"/>
        <v>62.656103176042279</v>
      </c>
      <c r="F107" s="7">
        <f t="shared" si="28"/>
        <v>4.0494756866922046</v>
      </c>
      <c r="G107" s="7">
        <f t="shared" si="29"/>
        <v>0</v>
      </c>
      <c r="H107" s="7">
        <f t="shared" si="30"/>
        <v>11.46124659096148</v>
      </c>
      <c r="I107" s="8">
        <f>vals_ghg_incLUC!$R107</f>
        <v>46.234353682797838</v>
      </c>
      <c r="J107" s="8">
        <f>vals_ghg_incLUC!$X107</f>
        <v>50.283829369490043</v>
      </c>
      <c r="K107" s="8"/>
      <c r="L107" s="8"/>
      <c r="M107" s="8">
        <f>vals_ghg_incLUC!$S107</f>
        <v>61.745075960451523</v>
      </c>
      <c r="N107" s="8">
        <f>vals_ghg_incLUC!$Y107</f>
        <v>62.656103176042279</v>
      </c>
      <c r="O107" s="8"/>
      <c r="P107" s="8"/>
      <c r="Q107" s="9">
        <f t="shared" si="31"/>
        <v>0.91102721559075661</v>
      </c>
      <c r="R107" s="9">
        <v>46.533999999999999</v>
      </c>
      <c r="S107" s="9">
        <v>62.024999999999999</v>
      </c>
    </row>
    <row r="108" spans="1:19" x14ac:dyDescent="0.35">
      <c r="A108" s="3">
        <f>vals_ghg_incLUC!$A108</f>
        <v>1955</v>
      </c>
      <c r="B108" s="4">
        <f t="shared" si="24"/>
        <v>46.081655088878101</v>
      </c>
      <c r="C108" s="4">
        <f t="shared" si="25"/>
        <v>50.098311529400739</v>
      </c>
      <c r="D108" s="4">
        <f t="shared" si="26"/>
        <v>61.558168969541427</v>
      </c>
      <c r="E108" s="4">
        <f t="shared" si="27"/>
        <v>62.552150597028323</v>
      </c>
      <c r="F108" s="4">
        <f t="shared" si="28"/>
        <v>4.0166564405226381</v>
      </c>
      <c r="G108" s="4">
        <f t="shared" si="29"/>
        <v>0</v>
      </c>
      <c r="H108" s="4">
        <f t="shared" si="30"/>
        <v>11.459857440140688</v>
      </c>
      <c r="I108" s="5">
        <f>vals_ghg_incLUC!$R108</f>
        <v>46.081655088878101</v>
      </c>
      <c r="J108" s="5">
        <f>vals_ghg_incLUC!$X108</f>
        <v>50.098311529400739</v>
      </c>
      <c r="K108" s="5"/>
      <c r="L108" s="5"/>
      <c r="M108" s="5">
        <f>vals_ghg_incLUC!$S108</f>
        <v>61.558168969541427</v>
      </c>
      <c r="N108" s="5">
        <f>vals_ghg_incLUC!$Y108</f>
        <v>62.552150597028323</v>
      </c>
      <c r="O108" s="5"/>
      <c r="P108" s="5"/>
      <c r="Q108" s="9">
        <f t="shared" si="31"/>
        <v>0.993981627486896</v>
      </c>
      <c r="R108" s="9">
        <v>46.353000000000002</v>
      </c>
      <c r="S108" s="9">
        <v>61.781999999999996</v>
      </c>
    </row>
    <row r="109" spans="1:19" x14ac:dyDescent="0.35">
      <c r="A109" s="6">
        <f>vals_ghg_incLUC!$A109</f>
        <v>1956</v>
      </c>
      <c r="B109" s="7">
        <f t="shared" si="24"/>
        <v>45.93505432898035</v>
      </c>
      <c r="C109" s="7">
        <f t="shared" si="25"/>
        <v>49.914767600615399</v>
      </c>
      <c r="D109" s="7">
        <f t="shared" si="26"/>
        <v>61.385324929831327</v>
      </c>
      <c r="E109" s="7">
        <f t="shared" si="27"/>
        <v>62.459885344106922</v>
      </c>
      <c r="F109" s="7">
        <f t="shared" si="28"/>
        <v>3.979713271635049</v>
      </c>
      <c r="G109" s="7">
        <f t="shared" si="29"/>
        <v>0</v>
      </c>
      <c r="H109" s="7">
        <f t="shared" si="30"/>
        <v>11.470557329215929</v>
      </c>
      <c r="I109" s="8">
        <f>vals_ghg_incLUC!$R109</f>
        <v>45.93505432898035</v>
      </c>
      <c r="J109" s="8">
        <f>vals_ghg_incLUC!$X109</f>
        <v>49.914767600615399</v>
      </c>
      <c r="K109" s="8"/>
      <c r="L109" s="8"/>
      <c r="M109" s="8">
        <f>vals_ghg_incLUC!$S109</f>
        <v>61.385324929831327</v>
      </c>
      <c r="N109" s="8">
        <f>vals_ghg_incLUC!$Y109</f>
        <v>62.459885344106922</v>
      </c>
      <c r="O109" s="8"/>
      <c r="P109" s="8"/>
      <c r="Q109" s="9">
        <f t="shared" si="31"/>
        <v>1.0745604142755951</v>
      </c>
      <c r="R109" s="9">
        <v>46.176000000000002</v>
      </c>
      <c r="S109" s="9">
        <v>61.552999999999997</v>
      </c>
    </row>
    <row r="110" spans="1:19" x14ac:dyDescent="0.35">
      <c r="A110" s="3">
        <f>vals_ghg_incLUC!$A110</f>
        <v>1957</v>
      </c>
      <c r="B110" s="4">
        <f t="shared" si="24"/>
        <v>45.77323929856319</v>
      </c>
      <c r="C110" s="4">
        <f t="shared" si="25"/>
        <v>49.715934371865778</v>
      </c>
      <c r="D110" s="4">
        <f t="shared" si="26"/>
        <v>61.206920390907804</v>
      </c>
      <c r="E110" s="4">
        <f t="shared" si="27"/>
        <v>62.367624816753789</v>
      </c>
      <c r="F110" s="4">
        <f t="shared" si="28"/>
        <v>3.9426950733025876</v>
      </c>
      <c r="G110" s="4">
        <f t="shared" si="29"/>
        <v>0</v>
      </c>
      <c r="H110" s="4">
        <f t="shared" si="30"/>
        <v>11.490986019042026</v>
      </c>
      <c r="I110" s="5">
        <f>vals_ghg_incLUC!$R110</f>
        <v>45.77323929856319</v>
      </c>
      <c r="J110" s="5">
        <f>vals_ghg_incLUC!$X110</f>
        <v>49.715934371865778</v>
      </c>
      <c r="K110" s="5"/>
      <c r="L110" s="5"/>
      <c r="M110" s="5">
        <f>vals_ghg_incLUC!$S110</f>
        <v>61.206920390907804</v>
      </c>
      <c r="N110" s="5">
        <f>vals_ghg_incLUC!$Y110</f>
        <v>62.367624816753789</v>
      </c>
      <c r="O110" s="5"/>
      <c r="P110" s="5"/>
      <c r="Q110" s="9">
        <f t="shared" si="31"/>
        <v>1.1607044258459851</v>
      </c>
      <c r="R110" s="9">
        <v>45.976999999999997</v>
      </c>
      <c r="S110" s="9">
        <v>61.314999999999998</v>
      </c>
    </row>
    <row r="111" spans="1:19" x14ac:dyDescent="0.35">
      <c r="A111" s="6">
        <f>vals_ghg_incLUC!$A111</f>
        <v>1958</v>
      </c>
      <c r="B111" s="7">
        <f t="shared" si="24"/>
        <v>45.590529621482432</v>
      </c>
      <c r="C111" s="7">
        <f t="shared" si="25"/>
        <v>49.495448536016482</v>
      </c>
      <c r="D111" s="7">
        <f t="shared" si="26"/>
        <v>61.01681130847831</v>
      </c>
      <c r="E111" s="7">
        <f t="shared" si="27"/>
        <v>62.262178900299723</v>
      </c>
      <c r="F111" s="7">
        <f t="shared" si="28"/>
        <v>3.9049189145340506</v>
      </c>
      <c r="G111" s="7">
        <f t="shared" si="29"/>
        <v>0</v>
      </c>
      <c r="H111" s="7">
        <f t="shared" si="30"/>
        <v>11.521362772461828</v>
      </c>
      <c r="I111" s="8">
        <f>vals_ghg_incLUC!$R111</f>
        <v>45.590529621482432</v>
      </c>
      <c r="J111" s="8">
        <f>vals_ghg_incLUC!$X111</f>
        <v>49.495448536016482</v>
      </c>
      <c r="K111" s="8"/>
      <c r="L111" s="8"/>
      <c r="M111" s="8">
        <f>vals_ghg_incLUC!$S111</f>
        <v>61.01681130847831</v>
      </c>
      <c r="N111" s="8">
        <f>vals_ghg_incLUC!$Y111</f>
        <v>62.262178900299723</v>
      </c>
      <c r="O111" s="8"/>
      <c r="P111" s="8"/>
      <c r="Q111" s="9">
        <f t="shared" si="31"/>
        <v>1.2453675918214131</v>
      </c>
      <c r="R111" s="9">
        <v>45.762999999999998</v>
      </c>
      <c r="S111" s="9">
        <v>61.069000000000003</v>
      </c>
    </row>
    <row r="112" spans="1:19" x14ac:dyDescent="0.35">
      <c r="A112" s="3">
        <f>vals_ghg_incLUC!$A112</f>
        <v>1959</v>
      </c>
      <c r="B112" s="4">
        <f t="shared" si="24"/>
        <v>45.375601664796434</v>
      </c>
      <c r="C112" s="4">
        <f t="shared" si="25"/>
        <v>49.274189512209468</v>
      </c>
      <c r="D112" s="4">
        <f t="shared" si="26"/>
        <v>60.81628161021542</v>
      </c>
      <c r="E112" s="4">
        <f t="shared" si="27"/>
        <v>62.133948356904725</v>
      </c>
      <c r="F112" s="4">
        <f t="shared" si="28"/>
        <v>3.8985878474130331</v>
      </c>
      <c r="G112" s="4">
        <f t="shared" si="29"/>
        <v>0</v>
      </c>
      <c r="H112" s="4">
        <f t="shared" si="30"/>
        <v>11.542092098005952</v>
      </c>
      <c r="I112" s="5">
        <f>vals_ghg_incLUC!$R112</f>
        <v>45.375601664796434</v>
      </c>
      <c r="J112" s="5">
        <f>vals_ghg_incLUC!$X112</f>
        <v>49.274189512209468</v>
      </c>
      <c r="K112" s="5"/>
      <c r="L112" s="5"/>
      <c r="M112" s="5">
        <f>vals_ghg_incLUC!$S112</f>
        <v>60.81628161021542</v>
      </c>
      <c r="N112" s="5">
        <f>vals_ghg_incLUC!$Y112</f>
        <v>62.133948356904725</v>
      </c>
      <c r="O112" s="5"/>
      <c r="P112" s="5"/>
      <c r="Q112" s="9">
        <f t="shared" si="31"/>
        <v>1.3176667466893051</v>
      </c>
      <c r="R112" s="9">
        <v>45.5</v>
      </c>
      <c r="S112" s="9">
        <v>60.792999999999999</v>
      </c>
    </row>
    <row r="113" spans="1:19" x14ac:dyDescent="0.35">
      <c r="A113" s="6">
        <f>vals_ghg_incLUC!$A113</f>
        <v>1960</v>
      </c>
      <c r="B113" s="7">
        <f t="shared" si="24"/>
        <v>45.210764992061698</v>
      </c>
      <c r="C113" s="7">
        <f t="shared" si="25"/>
        <v>49.065024304419929</v>
      </c>
      <c r="D113" s="7">
        <f t="shared" si="26"/>
        <v>60.656542083353862</v>
      </c>
      <c r="E113" s="7">
        <f t="shared" si="27"/>
        <v>62.016818718562682</v>
      </c>
      <c r="F113" s="7">
        <f t="shared" si="28"/>
        <v>3.8542593123582307</v>
      </c>
      <c r="G113" s="7">
        <f t="shared" si="29"/>
        <v>0</v>
      </c>
      <c r="H113" s="7">
        <f t="shared" si="30"/>
        <v>11.591517778933934</v>
      </c>
      <c r="I113" s="8">
        <f>vals_ghg_incLUC!$R113</f>
        <v>45.210764992061698</v>
      </c>
      <c r="J113" s="8">
        <f>vals_ghg_incLUC!$X113</f>
        <v>49.065024304419929</v>
      </c>
      <c r="K113" s="8"/>
      <c r="L113" s="8"/>
      <c r="M113" s="8">
        <f>vals_ghg_incLUC!$S113</f>
        <v>60.656542083353862</v>
      </c>
      <c r="N113" s="8">
        <f>vals_ghg_incLUC!$Y113</f>
        <v>62.016818718562682</v>
      </c>
      <c r="O113" s="8"/>
      <c r="P113" s="8"/>
      <c r="Q113" s="9">
        <f t="shared" si="31"/>
        <v>1.3602766352088196</v>
      </c>
      <c r="R113" s="9">
        <v>45.292000000000002</v>
      </c>
      <c r="S113" s="9">
        <v>60.554000000000002</v>
      </c>
    </row>
    <row r="114" spans="1:19" x14ac:dyDescent="0.35">
      <c r="A114" s="3">
        <f>vals_ghg_incLUC!$A114</f>
        <v>1961</v>
      </c>
      <c r="B114" s="4">
        <f t="shared" si="24"/>
        <v>45.053719722996462</v>
      </c>
      <c r="C114" s="4">
        <f t="shared" si="25"/>
        <v>48.857808358500726</v>
      </c>
      <c r="D114" s="4">
        <f t="shared" si="26"/>
        <v>60.510118831543771</v>
      </c>
      <c r="E114" s="4">
        <f t="shared" si="27"/>
        <v>61.899242133670263</v>
      </c>
      <c r="F114" s="4">
        <f t="shared" si="28"/>
        <v>3.8040886355042645</v>
      </c>
      <c r="G114" s="4">
        <f t="shared" si="29"/>
        <v>0</v>
      </c>
      <c r="H114" s="4">
        <f t="shared" si="30"/>
        <v>11.652310473043045</v>
      </c>
      <c r="I114" s="5">
        <f>vals_ghg_incLUC!$R114</f>
        <v>45.053719722996462</v>
      </c>
      <c r="J114" s="5">
        <f>vals_ghg_incLUC!$X114</f>
        <v>48.857808358500726</v>
      </c>
      <c r="K114" s="5"/>
      <c r="L114" s="5"/>
      <c r="M114" s="5">
        <f>vals_ghg_incLUC!$S114</f>
        <v>60.510118831543771</v>
      </c>
      <c r="N114" s="5">
        <f>vals_ghg_incLUC!$Y114</f>
        <v>61.899242133670263</v>
      </c>
      <c r="O114" s="5"/>
      <c r="P114" s="5"/>
      <c r="Q114" s="9">
        <f t="shared" si="31"/>
        <v>1.3891233021264924</v>
      </c>
      <c r="R114" s="9">
        <v>45.094000000000001</v>
      </c>
      <c r="S114" s="9">
        <v>60.338000000000001</v>
      </c>
    </row>
    <row r="115" spans="1:19" x14ac:dyDescent="0.35">
      <c r="A115" s="6">
        <f>vals_ghg_incLUC!$A115</f>
        <v>1962</v>
      </c>
      <c r="B115" s="7">
        <f t="shared" si="24"/>
        <v>44.93556642208533</v>
      </c>
      <c r="C115" s="7">
        <f t="shared" si="25"/>
        <v>48.673346021485273</v>
      </c>
      <c r="D115" s="7">
        <f t="shared" si="26"/>
        <v>60.388639114151879</v>
      </c>
      <c r="E115" s="7">
        <f t="shared" si="27"/>
        <v>61.807001805220764</v>
      </c>
      <c r="F115" s="7">
        <f t="shared" si="28"/>
        <v>3.7377795993999428</v>
      </c>
      <c r="G115" s="7">
        <f t="shared" si="29"/>
        <v>0</v>
      </c>
      <c r="H115" s="7">
        <f t="shared" si="30"/>
        <v>11.715293092666606</v>
      </c>
      <c r="I115" s="8">
        <f>vals_ghg_incLUC!$R115</f>
        <v>44.93556642208533</v>
      </c>
      <c r="J115" s="8">
        <f>vals_ghg_incLUC!$X115</f>
        <v>48.673346021485273</v>
      </c>
      <c r="K115" s="8"/>
      <c r="L115" s="8"/>
      <c r="M115" s="8">
        <f>vals_ghg_incLUC!$S115</f>
        <v>60.388639114151879</v>
      </c>
      <c r="N115" s="8">
        <f>vals_ghg_incLUC!$Y115</f>
        <v>61.807001805220764</v>
      </c>
      <c r="O115" s="8"/>
      <c r="P115" s="8"/>
      <c r="Q115" s="9">
        <f t="shared" si="31"/>
        <v>1.4183626910688858</v>
      </c>
      <c r="R115" s="9">
        <v>44.933</v>
      </c>
      <c r="S115" s="9">
        <v>60.158999999999999</v>
      </c>
    </row>
    <row r="116" spans="1:19" x14ac:dyDescent="0.35">
      <c r="A116" s="3">
        <f>vals_ghg_incLUC!$A116</f>
        <v>1963</v>
      </c>
      <c r="B116" s="4">
        <f t="shared" si="24"/>
        <v>44.826901531576098</v>
      </c>
      <c r="C116" s="4">
        <f t="shared" si="25"/>
        <v>48.499320518232693</v>
      </c>
      <c r="D116" s="4">
        <f t="shared" si="26"/>
        <v>60.282540079474757</v>
      </c>
      <c r="E116" s="4">
        <f t="shared" si="27"/>
        <v>61.726897839435814</v>
      </c>
      <c r="F116" s="4">
        <f t="shared" si="28"/>
        <v>3.6724189866565951</v>
      </c>
      <c r="G116" s="4">
        <f t="shared" si="29"/>
        <v>0</v>
      </c>
      <c r="H116" s="4">
        <f t="shared" si="30"/>
        <v>11.783219561242063</v>
      </c>
      <c r="I116" s="5">
        <f>vals_ghg_incLUC!$R116</f>
        <v>44.826901531576098</v>
      </c>
      <c r="J116" s="5">
        <f>vals_ghg_incLUC!$X116</f>
        <v>48.499320518232693</v>
      </c>
      <c r="K116" s="5"/>
      <c r="L116" s="5"/>
      <c r="M116" s="5">
        <f>vals_ghg_incLUC!$S116</f>
        <v>60.282540079474757</v>
      </c>
      <c r="N116" s="5">
        <f>vals_ghg_incLUC!$Y116</f>
        <v>61.726897839435814</v>
      </c>
      <c r="O116" s="5"/>
      <c r="P116" s="5"/>
      <c r="Q116" s="9">
        <f t="shared" si="31"/>
        <v>1.4443577599610578</v>
      </c>
      <c r="R116" s="9">
        <v>44.783000000000001</v>
      </c>
      <c r="S116" s="9">
        <v>59.997</v>
      </c>
    </row>
    <row r="117" spans="1:19" x14ac:dyDescent="0.35">
      <c r="A117" s="6">
        <f>vals_ghg_incLUC!$A117</f>
        <v>1964</v>
      </c>
      <c r="B117" s="7">
        <f t="shared" si="24"/>
        <v>44.736154783311562</v>
      </c>
      <c r="C117" s="7">
        <f t="shared" si="25"/>
        <v>48.33416875205598</v>
      </c>
      <c r="D117" s="7">
        <f t="shared" si="26"/>
        <v>60.195116317512941</v>
      </c>
      <c r="E117" s="7">
        <f t="shared" si="27"/>
        <v>61.656555164116313</v>
      </c>
      <c r="F117" s="7">
        <f t="shared" si="28"/>
        <v>3.5980139687444179</v>
      </c>
      <c r="G117" s="7">
        <f t="shared" si="29"/>
        <v>0</v>
      </c>
      <c r="H117" s="7">
        <f t="shared" si="30"/>
        <v>11.860947565456961</v>
      </c>
      <c r="I117" s="8">
        <f>vals_ghg_incLUC!$R117</f>
        <v>44.736154783311562</v>
      </c>
      <c r="J117" s="8">
        <f>vals_ghg_incLUC!$X117</f>
        <v>48.33416875205598</v>
      </c>
      <c r="K117" s="8"/>
      <c r="L117" s="8"/>
      <c r="M117" s="8">
        <f>vals_ghg_incLUC!$S117</f>
        <v>60.195116317512941</v>
      </c>
      <c r="N117" s="8">
        <f>vals_ghg_incLUC!$Y117</f>
        <v>61.656555164116313</v>
      </c>
      <c r="O117" s="8"/>
      <c r="P117" s="8"/>
      <c r="Q117" s="9">
        <f t="shared" si="31"/>
        <v>1.4614388466033716</v>
      </c>
      <c r="R117" s="9">
        <v>44.655000000000001</v>
      </c>
      <c r="S117" s="9">
        <v>59.856000000000002</v>
      </c>
    </row>
    <row r="118" spans="1:19" x14ac:dyDescent="0.35">
      <c r="A118" s="3">
        <f>vals_ghg_incLUC!$A118</f>
        <v>1965</v>
      </c>
      <c r="B118" s="4">
        <f t="shared" si="24"/>
        <v>44.657563834112118</v>
      </c>
      <c r="C118" s="4">
        <f t="shared" si="25"/>
        <v>48.170985332087042</v>
      </c>
      <c r="D118" s="4">
        <f t="shared" si="26"/>
        <v>60.12093852941257</v>
      </c>
      <c r="E118" s="4">
        <f t="shared" si="27"/>
        <v>61.586090638730809</v>
      </c>
      <c r="F118" s="4">
        <f t="shared" si="28"/>
        <v>3.5134214979749245</v>
      </c>
      <c r="G118" s="4">
        <f t="shared" si="29"/>
        <v>0</v>
      </c>
      <c r="H118" s="4">
        <f t="shared" si="30"/>
        <v>11.949953197325527</v>
      </c>
      <c r="I118" s="5">
        <f>vals_ghg_incLUC!$R118</f>
        <v>44.657563834112118</v>
      </c>
      <c r="J118" s="5">
        <f>vals_ghg_incLUC!$X118</f>
        <v>48.170985332087042</v>
      </c>
      <c r="K118" s="5"/>
      <c r="L118" s="5"/>
      <c r="M118" s="5">
        <f>vals_ghg_incLUC!$S118</f>
        <v>60.12093852941257</v>
      </c>
      <c r="N118" s="5">
        <f>vals_ghg_incLUC!$Y118</f>
        <v>61.586090638730809</v>
      </c>
      <c r="O118" s="5"/>
      <c r="P118" s="5"/>
      <c r="Q118" s="9">
        <f t="shared" si="31"/>
        <v>1.4651521093182396</v>
      </c>
      <c r="R118" s="9">
        <v>44.539000000000001</v>
      </c>
      <c r="S118" s="9">
        <v>59.734000000000002</v>
      </c>
    </row>
    <row r="119" spans="1:19" x14ac:dyDescent="0.35">
      <c r="A119" s="6">
        <f>vals_ghg_incLUC!$A119</f>
        <v>1966</v>
      </c>
      <c r="B119" s="7">
        <f t="shared" si="24"/>
        <v>44.59012236670246</v>
      </c>
      <c r="C119" s="7">
        <f t="shared" si="25"/>
        <v>48.015179281401629</v>
      </c>
      <c r="D119" s="7">
        <f t="shared" si="26"/>
        <v>60.058803015060988</v>
      </c>
      <c r="E119" s="7">
        <f t="shared" si="27"/>
        <v>61.518146225833725</v>
      </c>
      <c r="F119" s="7">
        <f t="shared" si="28"/>
        <v>3.4250569146991694</v>
      </c>
      <c r="G119" s="7">
        <f t="shared" si="29"/>
        <v>0</v>
      </c>
      <c r="H119" s="7">
        <f t="shared" si="30"/>
        <v>12.043623733659359</v>
      </c>
      <c r="I119" s="8">
        <f>vals_ghg_incLUC!$R119</f>
        <v>44.59012236670246</v>
      </c>
      <c r="J119" s="8">
        <f>vals_ghg_incLUC!$X119</f>
        <v>48.015179281401629</v>
      </c>
      <c r="K119" s="8"/>
      <c r="L119" s="8"/>
      <c r="M119" s="8">
        <f>vals_ghg_incLUC!$S119</f>
        <v>60.058803015060988</v>
      </c>
      <c r="N119" s="8">
        <f>vals_ghg_incLUC!$Y119</f>
        <v>61.518146225833725</v>
      </c>
      <c r="O119" s="8"/>
      <c r="P119" s="8"/>
      <c r="Q119" s="9">
        <f t="shared" si="31"/>
        <v>1.4593432107727367</v>
      </c>
      <c r="R119" s="9">
        <v>44.427999999999997</v>
      </c>
      <c r="S119" s="9">
        <v>59.613999999999997</v>
      </c>
    </row>
    <row r="120" spans="1:19" x14ac:dyDescent="0.35">
      <c r="A120" s="3">
        <f>vals_ghg_incLUC!$A120</f>
        <v>1967</v>
      </c>
      <c r="B120" s="4">
        <f t="shared" si="24"/>
        <v>44.559477891971191</v>
      </c>
      <c r="C120" s="4">
        <f t="shared" si="25"/>
        <v>47.878167979176872</v>
      </c>
      <c r="D120" s="4">
        <f t="shared" si="26"/>
        <v>60.034322229115276</v>
      </c>
      <c r="E120" s="4">
        <f t="shared" si="27"/>
        <v>61.467593322610348</v>
      </c>
      <c r="F120" s="4">
        <f t="shared" si="28"/>
        <v>3.318690087205681</v>
      </c>
      <c r="G120" s="4">
        <f t="shared" si="29"/>
        <v>0</v>
      </c>
      <c r="H120" s="4">
        <f t="shared" si="30"/>
        <v>12.156154249938403</v>
      </c>
      <c r="I120" s="5">
        <f>vals_ghg_incLUC!$R120</f>
        <v>44.559477891971191</v>
      </c>
      <c r="J120" s="5">
        <f>vals_ghg_incLUC!$X120</f>
        <v>47.878167979176872</v>
      </c>
      <c r="K120" s="5"/>
      <c r="L120" s="5"/>
      <c r="M120" s="5">
        <f>vals_ghg_incLUC!$S120</f>
        <v>60.034322229115276</v>
      </c>
      <c r="N120" s="5">
        <f>vals_ghg_incLUC!$Y120</f>
        <v>61.467593322610348</v>
      </c>
      <c r="O120" s="5"/>
      <c r="P120" s="5"/>
      <c r="Q120" s="9">
        <f t="shared" si="31"/>
        <v>1.4332710934950725</v>
      </c>
      <c r="R120" s="9">
        <v>44.347999999999999</v>
      </c>
      <c r="S120" s="9">
        <v>59.524999999999999</v>
      </c>
    </row>
    <row r="121" spans="1:19" x14ac:dyDescent="0.35">
      <c r="A121" s="6">
        <f>vals_ghg_incLUC!$A121</f>
        <v>1968</v>
      </c>
      <c r="B121" s="7">
        <f t="shared" si="24"/>
        <v>44.542919376335163</v>
      </c>
      <c r="C121" s="7">
        <f t="shared" si="25"/>
        <v>47.763344549346598</v>
      </c>
      <c r="D121" s="7">
        <f t="shared" si="26"/>
        <v>60.026882766350994</v>
      </c>
      <c r="E121" s="7">
        <f t="shared" si="27"/>
        <v>61.434137973805747</v>
      </c>
      <c r="F121" s="7">
        <f t="shared" si="28"/>
        <v>3.220425173011435</v>
      </c>
      <c r="G121" s="7">
        <f t="shared" si="29"/>
        <v>0</v>
      </c>
      <c r="H121" s="7">
        <f t="shared" si="30"/>
        <v>12.263538217004395</v>
      </c>
      <c r="I121" s="8">
        <f>vals_ghg_incLUC!$R121</f>
        <v>44.542919376335163</v>
      </c>
      <c r="J121" s="8">
        <f>vals_ghg_incLUC!$X121</f>
        <v>47.763344549346598</v>
      </c>
      <c r="K121" s="8"/>
      <c r="L121" s="8"/>
      <c r="M121" s="8">
        <f>vals_ghg_incLUC!$S121</f>
        <v>60.026882766350994</v>
      </c>
      <c r="N121" s="8">
        <f>vals_ghg_incLUC!$Y121</f>
        <v>61.434137973805747</v>
      </c>
      <c r="O121" s="8"/>
      <c r="P121" s="8"/>
      <c r="Q121" s="9">
        <f t="shared" si="31"/>
        <v>1.4072552074547531</v>
      </c>
      <c r="R121" s="9">
        <v>44.280999999999999</v>
      </c>
      <c r="S121" s="9">
        <v>59.448999999999998</v>
      </c>
    </row>
    <row r="122" spans="1:19" x14ac:dyDescent="0.35">
      <c r="A122" s="3">
        <f>vals_ghg_incLUC!$A122</f>
        <v>1969</v>
      </c>
      <c r="B122" s="4">
        <f t="shared" si="24"/>
        <v>44.487754182507558</v>
      </c>
      <c r="C122" s="4">
        <f t="shared" si="25"/>
        <v>47.660905769098058</v>
      </c>
      <c r="D122" s="4">
        <f t="shared" si="26"/>
        <v>59.96697087774502</v>
      </c>
      <c r="E122" s="4">
        <f t="shared" si="27"/>
        <v>61.405615356435881</v>
      </c>
      <c r="F122" s="4">
        <f t="shared" si="28"/>
        <v>3.1731515865904996</v>
      </c>
      <c r="G122" s="4">
        <f t="shared" si="29"/>
        <v>0</v>
      </c>
      <c r="H122" s="4">
        <f t="shared" si="30"/>
        <v>12.306065108646962</v>
      </c>
      <c r="I122" s="5">
        <f>vals_ghg_incLUC!$R122</f>
        <v>44.487754182507558</v>
      </c>
      <c r="J122" s="5">
        <f>vals_ghg_incLUC!$X122</f>
        <v>47.660905769098058</v>
      </c>
      <c r="K122" s="5"/>
      <c r="L122" s="5"/>
      <c r="M122" s="5">
        <f>vals_ghg_incLUC!$S122</f>
        <v>59.96697087774502</v>
      </c>
      <c r="N122" s="5">
        <f>vals_ghg_incLUC!$Y122</f>
        <v>61.405615356435881</v>
      </c>
      <c r="O122" s="5"/>
      <c r="P122" s="5"/>
      <c r="Q122" s="9">
        <f t="shared" si="31"/>
        <v>1.4386444786908612</v>
      </c>
      <c r="R122" s="9">
        <v>44.182000000000002</v>
      </c>
      <c r="S122" s="9">
        <v>59.317999999999998</v>
      </c>
    </row>
    <row r="123" spans="1:19" x14ac:dyDescent="0.35">
      <c r="A123" s="6">
        <f>vals_ghg_incLUC!$A123</f>
        <v>1970</v>
      </c>
      <c r="B123" s="7">
        <f t="shared" si="24"/>
        <v>44.428135378654126</v>
      </c>
      <c r="C123" s="7">
        <f t="shared" si="25"/>
        <v>47.562812433559898</v>
      </c>
      <c r="D123" s="7">
        <f t="shared" si="26"/>
        <v>59.909901136065947</v>
      </c>
      <c r="E123" s="7">
        <f t="shared" si="27"/>
        <v>61.370215282374154</v>
      </c>
      <c r="F123" s="7">
        <f t="shared" si="28"/>
        <v>3.1346770549057723</v>
      </c>
      <c r="G123" s="7">
        <f t="shared" si="29"/>
        <v>0</v>
      </c>
      <c r="H123" s="7">
        <f t="shared" si="30"/>
        <v>12.347088702506049</v>
      </c>
      <c r="I123" s="8">
        <f>vals_ghg_incLUC!$R123</f>
        <v>44.428135378654126</v>
      </c>
      <c r="J123" s="8">
        <f>vals_ghg_incLUC!$X123</f>
        <v>47.562812433559898</v>
      </c>
      <c r="K123" s="8"/>
      <c r="L123" s="8"/>
      <c r="M123" s="8">
        <f>vals_ghg_incLUC!$S123</f>
        <v>59.909901136065947</v>
      </c>
      <c r="N123" s="8">
        <f>vals_ghg_incLUC!$Y123</f>
        <v>61.370215282374154</v>
      </c>
      <c r="O123" s="8"/>
      <c r="P123" s="8"/>
      <c r="Q123" s="9">
        <f t="shared" si="31"/>
        <v>1.4603141463082068</v>
      </c>
      <c r="R123" s="9">
        <v>44.058</v>
      </c>
      <c r="S123" s="9">
        <v>59.167999999999999</v>
      </c>
    </row>
    <row r="124" spans="1:19" x14ac:dyDescent="0.35">
      <c r="A124" s="3">
        <f>vals_ghg_incLUC!$A124</f>
        <v>1971</v>
      </c>
      <c r="B124" s="4">
        <f t="shared" si="24"/>
        <v>44.380138852227951</v>
      </c>
      <c r="C124" s="4">
        <f t="shared" si="25"/>
        <v>47.460753730964242</v>
      </c>
      <c r="D124" s="4">
        <f t="shared" si="26"/>
        <v>59.86512092649734</v>
      </c>
      <c r="E124" s="4">
        <f t="shared" si="27"/>
        <v>61.33557652822914</v>
      </c>
      <c r="F124" s="4">
        <f t="shared" si="28"/>
        <v>3.0806148787362915</v>
      </c>
      <c r="G124" s="4">
        <f t="shared" si="29"/>
        <v>0</v>
      </c>
      <c r="H124" s="4">
        <f t="shared" si="30"/>
        <v>12.404367195533098</v>
      </c>
      <c r="I124" s="5">
        <f>vals_ghg_incLUC!$R124</f>
        <v>44.380138852227951</v>
      </c>
      <c r="J124" s="5">
        <f>vals_ghg_incLUC!$X124</f>
        <v>47.460753730964242</v>
      </c>
      <c r="K124" s="5"/>
      <c r="L124" s="5"/>
      <c r="M124" s="5">
        <f>vals_ghg_incLUC!$S124</f>
        <v>59.86512092649734</v>
      </c>
      <c r="N124" s="5">
        <f>vals_ghg_incLUC!$Y124</f>
        <v>61.33557652822914</v>
      </c>
      <c r="O124" s="5"/>
      <c r="P124" s="5"/>
      <c r="Q124" s="9">
        <f t="shared" si="31"/>
        <v>1.4704556017317998</v>
      </c>
      <c r="R124" s="9">
        <v>43.945999999999998</v>
      </c>
      <c r="S124" s="9">
        <v>59.036999999999999</v>
      </c>
    </row>
    <row r="125" spans="1:19" x14ac:dyDescent="0.35">
      <c r="A125" s="6">
        <f>vals_ghg_incLUC!$A125</f>
        <v>1972</v>
      </c>
      <c r="B125" s="7">
        <f t="shared" si="24"/>
        <v>44.318680848371791</v>
      </c>
      <c r="C125" s="7">
        <f t="shared" si="25"/>
        <v>47.369278200901739</v>
      </c>
      <c r="D125" s="7">
        <f t="shared" si="26"/>
        <v>59.804161709084227</v>
      </c>
      <c r="E125" s="7">
        <f t="shared" si="27"/>
        <v>61.311614596808909</v>
      </c>
      <c r="F125" s="7">
        <f t="shared" si="28"/>
        <v>3.0505973525299481</v>
      </c>
      <c r="G125" s="7">
        <f t="shared" si="29"/>
        <v>0</v>
      </c>
      <c r="H125" s="7">
        <f t="shared" si="30"/>
        <v>12.434883508182487</v>
      </c>
      <c r="I125" s="8">
        <f>vals_ghg_incLUC!$R125</f>
        <v>44.318680848371791</v>
      </c>
      <c r="J125" s="8">
        <f>vals_ghg_incLUC!$X125</f>
        <v>47.369278200901739</v>
      </c>
      <c r="K125" s="8"/>
      <c r="L125" s="8"/>
      <c r="M125" s="8">
        <f>vals_ghg_incLUC!$S125</f>
        <v>59.804161709084227</v>
      </c>
      <c r="N125" s="8">
        <f>vals_ghg_incLUC!$Y125</f>
        <v>61.311614596808909</v>
      </c>
      <c r="O125" s="8"/>
      <c r="P125" s="8"/>
      <c r="Q125" s="9">
        <f t="shared" si="31"/>
        <v>1.507452887724682</v>
      </c>
      <c r="R125" s="9">
        <v>43.823</v>
      </c>
      <c r="S125" s="9">
        <v>58.892000000000003</v>
      </c>
    </row>
    <row r="126" spans="1:19" x14ac:dyDescent="0.35">
      <c r="A126" s="3">
        <f>vals_ghg_incLUC!$A126</f>
        <v>1973</v>
      </c>
      <c r="B126" s="4">
        <f t="shared" si="24"/>
        <v>44.263452335067825</v>
      </c>
      <c r="C126" s="4">
        <f t="shared" si="25"/>
        <v>47.279099615450392</v>
      </c>
      <c r="D126" s="4">
        <f t="shared" si="26"/>
        <v>59.753790313070176</v>
      </c>
      <c r="E126" s="4">
        <f t="shared" si="27"/>
        <v>61.284862484840431</v>
      </c>
      <c r="F126" s="4">
        <f t="shared" si="28"/>
        <v>3.0156472803825665</v>
      </c>
      <c r="G126" s="4">
        <f t="shared" si="29"/>
        <v>0</v>
      </c>
      <c r="H126" s="4">
        <f t="shared" si="30"/>
        <v>12.474690697619785</v>
      </c>
      <c r="I126" s="5">
        <f>vals_ghg_incLUC!$R126</f>
        <v>44.263452335067825</v>
      </c>
      <c r="J126" s="5">
        <f>vals_ghg_incLUC!$X126</f>
        <v>47.279099615450392</v>
      </c>
      <c r="K126" s="5"/>
      <c r="L126" s="5"/>
      <c r="M126" s="5">
        <f>vals_ghg_incLUC!$S126</f>
        <v>59.753790313070176</v>
      </c>
      <c r="N126" s="5">
        <f>vals_ghg_incLUC!$Y126</f>
        <v>61.284862484840431</v>
      </c>
      <c r="O126" s="5"/>
      <c r="P126" s="5"/>
      <c r="Q126" s="9">
        <f t="shared" si="31"/>
        <v>1.5310721717702549</v>
      </c>
      <c r="R126" s="9">
        <v>43.697000000000003</v>
      </c>
      <c r="S126" s="9">
        <v>58.747999999999998</v>
      </c>
    </row>
    <row r="127" spans="1:19" x14ac:dyDescent="0.35">
      <c r="A127" s="6">
        <f>vals_ghg_incLUC!$A127</f>
        <v>1974</v>
      </c>
      <c r="B127" s="7">
        <f t="shared" si="24"/>
        <v>44.192977433836347</v>
      </c>
      <c r="C127" s="7">
        <f t="shared" si="25"/>
        <v>47.172945436257244</v>
      </c>
      <c r="D127" s="7">
        <f t="shared" si="26"/>
        <v>59.696906934204328</v>
      </c>
      <c r="E127" s="7">
        <f t="shared" si="27"/>
        <v>61.246479635036287</v>
      </c>
      <c r="F127" s="7">
        <f t="shared" si="28"/>
        <v>2.9799680024208968</v>
      </c>
      <c r="G127" s="7">
        <f t="shared" si="29"/>
        <v>0</v>
      </c>
      <c r="H127" s="7">
        <f t="shared" si="30"/>
        <v>12.523961497947084</v>
      </c>
      <c r="I127" s="8">
        <f>vals_ghg_incLUC!$R127</f>
        <v>44.192977433836347</v>
      </c>
      <c r="J127" s="8">
        <f>vals_ghg_incLUC!$X127</f>
        <v>47.172945436257244</v>
      </c>
      <c r="K127" s="8"/>
      <c r="L127" s="8"/>
      <c r="M127" s="8">
        <f>vals_ghg_incLUC!$S127</f>
        <v>59.696906934204328</v>
      </c>
      <c r="N127" s="8">
        <f>vals_ghg_incLUC!$Y127</f>
        <v>61.246479635036287</v>
      </c>
      <c r="O127" s="8"/>
      <c r="P127" s="8"/>
      <c r="Q127" s="9">
        <f t="shared" si="31"/>
        <v>1.5495727008319591</v>
      </c>
      <c r="R127" s="9">
        <v>43.564</v>
      </c>
      <c r="S127" s="9">
        <v>58.609000000000002</v>
      </c>
    </row>
    <row r="128" spans="1:19" x14ac:dyDescent="0.35">
      <c r="A128" s="3">
        <f>vals_ghg_incLUC!$A128</f>
        <v>1975</v>
      </c>
      <c r="B128" s="4">
        <f t="shared" si="24"/>
        <v>44.103013457340978</v>
      </c>
      <c r="C128" s="4">
        <f t="shared" si="25"/>
        <v>47.038266015740362</v>
      </c>
      <c r="D128" s="4">
        <f t="shared" si="26"/>
        <v>59.631207143118289</v>
      </c>
      <c r="E128" s="4">
        <f t="shared" si="27"/>
        <v>61.188694103223838</v>
      </c>
      <c r="F128" s="4">
        <f t="shared" si="28"/>
        <v>2.9352525583993838</v>
      </c>
      <c r="G128" s="4">
        <f t="shared" si="29"/>
        <v>0</v>
      </c>
      <c r="H128" s="4">
        <f t="shared" si="30"/>
        <v>12.592941127377927</v>
      </c>
      <c r="I128" s="5">
        <f>vals_ghg_incLUC!$R128</f>
        <v>44.103013457340978</v>
      </c>
      <c r="J128" s="5">
        <f>vals_ghg_incLUC!$X128</f>
        <v>47.038266015740362</v>
      </c>
      <c r="K128" s="5"/>
      <c r="L128" s="5"/>
      <c r="M128" s="5">
        <f>vals_ghg_incLUC!$S128</f>
        <v>59.631207143118289</v>
      </c>
      <c r="N128" s="5">
        <f>vals_ghg_incLUC!$Y128</f>
        <v>61.188694103223838</v>
      </c>
      <c r="O128" s="5"/>
      <c r="P128" s="5"/>
      <c r="Q128" s="9">
        <f t="shared" si="31"/>
        <v>1.5574869601055497</v>
      </c>
      <c r="R128" s="9">
        <v>43.414999999999999</v>
      </c>
      <c r="S128" s="9">
        <v>58.469000000000001</v>
      </c>
    </row>
    <row r="129" spans="1:19" x14ac:dyDescent="0.35">
      <c r="A129" s="6">
        <f>vals_ghg_incLUC!$A129</f>
        <v>1976</v>
      </c>
      <c r="B129" s="7">
        <f t="shared" si="24"/>
        <v>44.022262866873227</v>
      </c>
      <c r="C129" s="7">
        <f t="shared" si="25"/>
        <v>46.90999339751901</v>
      </c>
      <c r="D129" s="7">
        <f t="shared" si="26"/>
        <v>59.577869650996618</v>
      </c>
      <c r="E129" s="7">
        <f t="shared" si="27"/>
        <v>61.133725938876417</v>
      </c>
      <c r="F129" s="7">
        <f t="shared" si="28"/>
        <v>2.8877305306457828</v>
      </c>
      <c r="G129" s="7">
        <f t="shared" si="29"/>
        <v>0</v>
      </c>
      <c r="H129" s="7">
        <f t="shared" si="30"/>
        <v>12.667876253477608</v>
      </c>
      <c r="I129" s="8">
        <f>vals_ghg_incLUC!$R129</f>
        <v>44.022262866873227</v>
      </c>
      <c r="J129" s="8">
        <f>vals_ghg_incLUC!$X129</f>
        <v>46.90999339751901</v>
      </c>
      <c r="K129" s="8"/>
      <c r="L129" s="8"/>
      <c r="M129" s="8">
        <f>vals_ghg_incLUC!$S129</f>
        <v>59.577869650996618</v>
      </c>
      <c r="N129" s="8">
        <f>vals_ghg_incLUC!$Y129</f>
        <v>61.133725938876417</v>
      </c>
      <c r="O129" s="8"/>
      <c r="P129" s="8"/>
      <c r="Q129" s="9">
        <f t="shared" si="31"/>
        <v>1.5558562878797986</v>
      </c>
      <c r="R129" s="9">
        <v>43.271000000000001</v>
      </c>
      <c r="S129" s="9">
        <v>58.338000000000001</v>
      </c>
    </row>
    <row r="130" spans="1:19" x14ac:dyDescent="0.35">
      <c r="A130" s="3">
        <f>vals_ghg_incLUC!$A130</f>
        <v>1977</v>
      </c>
      <c r="B130" s="4">
        <f t="shared" si="24"/>
        <v>43.927064086541755</v>
      </c>
      <c r="C130" s="4">
        <f t="shared" si="25"/>
        <v>46.773699564610347</v>
      </c>
      <c r="D130" s="4">
        <f t="shared" si="26"/>
        <v>59.505741988014215</v>
      </c>
      <c r="E130" s="4">
        <f t="shared" si="27"/>
        <v>61.070124535499673</v>
      </c>
      <c r="F130" s="4">
        <f t="shared" si="28"/>
        <v>2.8466354780685919</v>
      </c>
      <c r="G130" s="4">
        <f t="shared" si="29"/>
        <v>0</v>
      </c>
      <c r="H130" s="4">
        <f t="shared" si="30"/>
        <v>12.732042423403868</v>
      </c>
      <c r="I130" s="5">
        <f>vals_ghg_incLUC!$R130</f>
        <v>43.927064086541755</v>
      </c>
      <c r="J130" s="5">
        <f>vals_ghg_incLUC!$X130</f>
        <v>46.773699564610347</v>
      </c>
      <c r="K130" s="5"/>
      <c r="L130" s="5"/>
      <c r="M130" s="5">
        <f>vals_ghg_incLUC!$S130</f>
        <v>59.505741988014215</v>
      </c>
      <c r="N130" s="5">
        <f>vals_ghg_incLUC!$Y130</f>
        <v>61.070124535499673</v>
      </c>
      <c r="O130" s="5"/>
      <c r="P130" s="5"/>
      <c r="Q130" s="9">
        <f t="shared" si="31"/>
        <v>1.564382547485458</v>
      </c>
      <c r="R130" s="9">
        <v>43.113</v>
      </c>
      <c r="S130" s="9">
        <v>58.189</v>
      </c>
    </row>
    <row r="131" spans="1:19" x14ac:dyDescent="0.35">
      <c r="A131" s="6">
        <f>vals_ghg_incLUC!$A131</f>
        <v>1978</v>
      </c>
      <c r="B131" s="7">
        <f t="shared" ref="B131:B162" si="32">IFERROR(_xlfn.AGGREGATE(5,6,I131:L131),"")</f>
        <v>43.821899832917573</v>
      </c>
      <c r="C131" s="7">
        <f t="shared" ref="C131:C162" si="33">IFERROR(_xlfn.AGGREGATE(4,6,I131:L131),"")</f>
        <v>46.636357470729514</v>
      </c>
      <c r="D131" s="7">
        <f t="shared" ref="D131:D162" si="34">IFERROR(_xlfn.AGGREGATE(5,6,M131:P131),"")</f>
        <v>59.42699784653076</v>
      </c>
      <c r="E131" s="7">
        <f t="shared" ref="E131:E162" si="35">IFERROR(_xlfn.AGGREGATE(4,6,M131:P131),"")</f>
        <v>61.004570514499044</v>
      </c>
      <c r="F131" s="7">
        <f t="shared" ref="F131:F162" si="36">IFERROR(MIN(C131,D131)-B131,"")</f>
        <v>2.814457637811941</v>
      </c>
      <c r="G131" s="7">
        <f t="shared" ref="G131:G162" si="37">IFERROR(MAX(0,C131-D131),"")</f>
        <v>0</v>
      </c>
      <c r="H131" s="7">
        <f t="shared" ref="H131:H162" si="38">IFERROR(MAX(0,D131-C131),"")</f>
        <v>12.790640375801246</v>
      </c>
      <c r="I131" s="8">
        <f>vals_ghg_incLUC!$R131</f>
        <v>43.821899832917573</v>
      </c>
      <c r="J131" s="8">
        <f>vals_ghg_incLUC!$X131</f>
        <v>46.636357470729514</v>
      </c>
      <c r="K131" s="8"/>
      <c r="L131" s="8"/>
      <c r="M131" s="8">
        <f>vals_ghg_incLUC!$S131</f>
        <v>59.42699784653076</v>
      </c>
      <c r="N131" s="8">
        <f>vals_ghg_incLUC!$Y131</f>
        <v>61.004570514499044</v>
      </c>
      <c r="O131" s="8"/>
      <c r="P131" s="8"/>
      <c r="Q131" s="9">
        <f t="shared" ref="Q131:Q162" si="39">IFERROR(MAX(0,$E131-MAX($C131,$D131)),"")</f>
        <v>1.5775726679682833</v>
      </c>
      <c r="R131" s="9">
        <v>42.948</v>
      </c>
      <c r="S131" s="9">
        <v>58.04</v>
      </c>
    </row>
    <row r="132" spans="1:19" x14ac:dyDescent="0.35">
      <c r="A132" s="3">
        <f>vals_ghg_incLUC!$A132</f>
        <v>1979</v>
      </c>
      <c r="B132" s="4">
        <f t="shared" si="32"/>
        <v>43.738369651803957</v>
      </c>
      <c r="C132" s="4">
        <f t="shared" si="33"/>
        <v>46.506250226765758</v>
      </c>
      <c r="D132" s="4">
        <f t="shared" si="34"/>
        <v>59.368064293359403</v>
      </c>
      <c r="E132" s="4">
        <f t="shared" si="35"/>
        <v>60.938937205379915</v>
      </c>
      <c r="F132" s="4">
        <f t="shared" si="36"/>
        <v>2.7678805749618007</v>
      </c>
      <c r="G132" s="4">
        <f t="shared" si="37"/>
        <v>0</v>
      </c>
      <c r="H132" s="4">
        <f t="shared" si="38"/>
        <v>12.861814066593645</v>
      </c>
      <c r="I132" s="5">
        <f>vals_ghg_incLUC!$R132</f>
        <v>43.738369651803957</v>
      </c>
      <c r="J132" s="5">
        <f>vals_ghg_incLUC!$X132</f>
        <v>46.506250226765758</v>
      </c>
      <c r="K132" s="5"/>
      <c r="L132" s="5"/>
      <c r="M132" s="5">
        <f>vals_ghg_incLUC!$S132</f>
        <v>59.368064293359403</v>
      </c>
      <c r="N132" s="5">
        <f>vals_ghg_incLUC!$Y132</f>
        <v>60.938937205379915</v>
      </c>
      <c r="O132" s="5"/>
      <c r="P132" s="5"/>
      <c r="Q132" s="9">
        <f t="shared" si="39"/>
        <v>1.570872912020512</v>
      </c>
      <c r="R132" s="9">
        <v>42.814</v>
      </c>
      <c r="S132" s="9">
        <v>57.923000000000002</v>
      </c>
    </row>
    <row r="133" spans="1:19" x14ac:dyDescent="0.35">
      <c r="A133" s="6">
        <f>vals_ghg_incLUC!$A133</f>
        <v>1980</v>
      </c>
      <c r="B133" s="7">
        <f t="shared" si="32"/>
        <v>43.641822397001754</v>
      </c>
      <c r="C133" s="7">
        <f t="shared" si="33"/>
        <v>46.366415677441275</v>
      </c>
      <c r="D133" s="7">
        <f t="shared" si="34"/>
        <v>59.310539790219721</v>
      </c>
      <c r="E133" s="7">
        <f t="shared" si="35"/>
        <v>60.871903311364285</v>
      </c>
      <c r="F133" s="7">
        <f t="shared" si="36"/>
        <v>2.724593280439521</v>
      </c>
      <c r="G133" s="7">
        <f t="shared" si="37"/>
        <v>0</v>
      </c>
      <c r="H133" s="7">
        <f t="shared" si="38"/>
        <v>12.944124112778447</v>
      </c>
      <c r="I133" s="8">
        <f>vals_ghg_incLUC!$R133</f>
        <v>43.641822397001754</v>
      </c>
      <c r="J133" s="8">
        <f>vals_ghg_incLUC!$X133</f>
        <v>46.366415677441275</v>
      </c>
      <c r="K133" s="8"/>
      <c r="L133" s="8"/>
      <c r="M133" s="8">
        <f>vals_ghg_incLUC!$S133</f>
        <v>59.310539790219721</v>
      </c>
      <c r="N133" s="8">
        <f>vals_ghg_incLUC!$Y133</f>
        <v>60.871903311364285</v>
      </c>
      <c r="O133" s="8"/>
      <c r="P133" s="8"/>
      <c r="Q133" s="9">
        <f t="shared" si="39"/>
        <v>1.561363521144564</v>
      </c>
      <c r="R133" s="9">
        <v>42.68</v>
      </c>
      <c r="S133" s="9">
        <v>57.823</v>
      </c>
    </row>
    <row r="134" spans="1:19" x14ac:dyDescent="0.35">
      <c r="A134" s="3">
        <f>vals_ghg_incLUC!$A134</f>
        <v>1981</v>
      </c>
      <c r="B134" s="4">
        <f t="shared" si="32"/>
        <v>43.544221871475195</v>
      </c>
      <c r="C134" s="4">
        <f t="shared" si="33"/>
        <v>46.222235403642919</v>
      </c>
      <c r="D134" s="4">
        <f t="shared" si="34"/>
        <v>59.243170333567264</v>
      </c>
      <c r="E134" s="4">
        <f t="shared" si="35"/>
        <v>60.793302950503659</v>
      </c>
      <c r="F134" s="4">
        <f t="shared" si="36"/>
        <v>2.678013532167725</v>
      </c>
      <c r="G134" s="4">
        <f t="shared" si="37"/>
        <v>0</v>
      </c>
      <c r="H134" s="4">
        <f t="shared" si="38"/>
        <v>13.020934929924344</v>
      </c>
      <c r="I134" s="5">
        <f>vals_ghg_incLUC!$R134</f>
        <v>43.544221871475195</v>
      </c>
      <c r="J134" s="5">
        <f>vals_ghg_incLUC!$X134</f>
        <v>46.222235403642919</v>
      </c>
      <c r="K134" s="5"/>
      <c r="L134" s="5"/>
      <c r="M134" s="5">
        <f>vals_ghg_incLUC!$S134</f>
        <v>59.243170333567264</v>
      </c>
      <c r="N134" s="5">
        <f>vals_ghg_incLUC!$Y134</f>
        <v>60.793302950503659</v>
      </c>
      <c r="O134" s="5"/>
      <c r="P134" s="5"/>
      <c r="Q134" s="9">
        <f t="shared" si="39"/>
        <v>1.5501326169363949</v>
      </c>
      <c r="R134" s="9">
        <v>42.552</v>
      </c>
      <c r="S134" s="9">
        <v>57.723999999999997</v>
      </c>
    </row>
    <row r="135" spans="1:19" x14ac:dyDescent="0.35">
      <c r="A135" s="6">
        <f>vals_ghg_incLUC!$A135</f>
        <v>1982</v>
      </c>
      <c r="B135" s="7">
        <f t="shared" si="32"/>
        <v>43.43073134264268</v>
      </c>
      <c r="C135" s="7">
        <f t="shared" si="33"/>
        <v>46.036875204376059</v>
      </c>
      <c r="D135" s="7">
        <f t="shared" si="34"/>
        <v>59.168305563677791</v>
      </c>
      <c r="E135" s="7">
        <f t="shared" si="35"/>
        <v>60.670735910827013</v>
      </c>
      <c r="F135" s="7">
        <f t="shared" si="36"/>
        <v>2.6061438617333792</v>
      </c>
      <c r="G135" s="7">
        <f t="shared" si="37"/>
        <v>0</v>
      </c>
      <c r="H135" s="7">
        <f t="shared" si="38"/>
        <v>13.131430359301731</v>
      </c>
      <c r="I135" s="8">
        <f>vals_ghg_incLUC!$R135</f>
        <v>43.43073134264268</v>
      </c>
      <c r="J135" s="8">
        <f>vals_ghg_incLUC!$X135</f>
        <v>46.036875204376059</v>
      </c>
      <c r="K135" s="8"/>
      <c r="L135" s="8"/>
      <c r="M135" s="8">
        <f>vals_ghg_incLUC!$S135</f>
        <v>59.168305563677791</v>
      </c>
      <c r="N135" s="8">
        <f>vals_ghg_incLUC!$Y135</f>
        <v>60.670735910827013</v>
      </c>
      <c r="O135" s="8"/>
      <c r="P135" s="8"/>
      <c r="Q135" s="9">
        <f t="shared" si="39"/>
        <v>1.5024303471492217</v>
      </c>
      <c r="R135" s="9">
        <v>42.402999999999999</v>
      </c>
      <c r="S135" s="9">
        <v>57.612000000000002</v>
      </c>
    </row>
    <row r="136" spans="1:19" x14ac:dyDescent="0.35">
      <c r="A136" s="3">
        <f>vals_ghg_incLUC!$A136</f>
        <v>1983</v>
      </c>
      <c r="B136" s="4">
        <f t="shared" si="32"/>
        <v>43.306703470057691</v>
      </c>
      <c r="C136" s="4">
        <f t="shared" si="33"/>
        <v>45.842313444452657</v>
      </c>
      <c r="D136" s="4">
        <f t="shared" si="34"/>
        <v>59.080223755925822</v>
      </c>
      <c r="E136" s="4">
        <f t="shared" si="35"/>
        <v>60.536061545623944</v>
      </c>
      <c r="F136" s="4">
        <f t="shared" si="36"/>
        <v>2.5356099743949656</v>
      </c>
      <c r="G136" s="4">
        <f t="shared" si="37"/>
        <v>0</v>
      </c>
      <c r="H136" s="4">
        <f t="shared" si="38"/>
        <v>13.237910311473165</v>
      </c>
      <c r="I136" s="5">
        <f>vals_ghg_incLUC!$R136</f>
        <v>43.306703470057691</v>
      </c>
      <c r="J136" s="5">
        <f>vals_ghg_incLUC!$X136</f>
        <v>45.842313444452657</v>
      </c>
      <c r="K136" s="5"/>
      <c r="L136" s="5"/>
      <c r="M136" s="5">
        <f>vals_ghg_incLUC!$S136</f>
        <v>59.080223755925822</v>
      </c>
      <c r="N136" s="5">
        <f>vals_ghg_incLUC!$Y136</f>
        <v>60.536061545623944</v>
      </c>
      <c r="O136" s="5"/>
      <c r="P136" s="5"/>
      <c r="Q136" s="9">
        <f t="shared" si="39"/>
        <v>1.4558377896981227</v>
      </c>
      <c r="R136" s="9">
        <v>42.237000000000002</v>
      </c>
      <c r="S136" s="9">
        <v>57.481999999999999</v>
      </c>
    </row>
    <row r="137" spans="1:19" x14ac:dyDescent="0.35">
      <c r="A137" s="6">
        <f>vals_ghg_incLUC!$A137</f>
        <v>1984</v>
      </c>
      <c r="B137" s="7">
        <f t="shared" si="32"/>
        <v>43.169444081589248</v>
      </c>
      <c r="C137" s="7">
        <f t="shared" si="33"/>
        <v>45.646350043061609</v>
      </c>
      <c r="D137" s="7">
        <f t="shared" si="34"/>
        <v>58.970962674150684</v>
      </c>
      <c r="E137" s="7">
        <f t="shared" si="35"/>
        <v>60.393616381440154</v>
      </c>
      <c r="F137" s="7">
        <f t="shared" si="36"/>
        <v>2.4769059614723616</v>
      </c>
      <c r="G137" s="7">
        <f t="shared" si="37"/>
        <v>0</v>
      </c>
      <c r="H137" s="7">
        <f t="shared" si="38"/>
        <v>13.324612631089074</v>
      </c>
      <c r="I137" s="8">
        <f>vals_ghg_incLUC!$R137</f>
        <v>43.169444081589248</v>
      </c>
      <c r="J137" s="8">
        <f>vals_ghg_incLUC!$X137</f>
        <v>45.646350043061609</v>
      </c>
      <c r="K137" s="8"/>
      <c r="L137" s="8"/>
      <c r="M137" s="8">
        <f>vals_ghg_incLUC!$S137</f>
        <v>58.970962674150684</v>
      </c>
      <c r="N137" s="8">
        <f>vals_ghg_incLUC!$Y137</f>
        <v>60.393616381440154</v>
      </c>
      <c r="O137" s="8"/>
      <c r="P137" s="8"/>
      <c r="Q137" s="9">
        <f t="shared" si="39"/>
        <v>1.42265370728947</v>
      </c>
      <c r="R137" s="9">
        <v>42.055999999999997</v>
      </c>
      <c r="S137" s="9">
        <v>57.332999999999998</v>
      </c>
    </row>
    <row r="138" spans="1:19" x14ac:dyDescent="0.35">
      <c r="A138" s="3">
        <f>vals_ghg_incLUC!$A138</f>
        <v>1985</v>
      </c>
      <c r="B138" s="4">
        <f t="shared" si="32"/>
        <v>43.013482542459982</v>
      </c>
      <c r="C138" s="4">
        <f t="shared" si="33"/>
        <v>45.439942056384595</v>
      </c>
      <c r="D138" s="4">
        <f t="shared" si="34"/>
        <v>58.848207864029611</v>
      </c>
      <c r="E138" s="4">
        <f t="shared" si="35"/>
        <v>60.246372701879949</v>
      </c>
      <c r="F138" s="4">
        <f t="shared" si="36"/>
        <v>2.4264595139246126</v>
      </c>
      <c r="G138" s="4">
        <f t="shared" si="37"/>
        <v>0</v>
      </c>
      <c r="H138" s="4">
        <f t="shared" si="38"/>
        <v>13.408265807645016</v>
      </c>
      <c r="I138" s="5">
        <f>vals_ghg_incLUC!$R138</f>
        <v>43.013482542459982</v>
      </c>
      <c r="J138" s="5">
        <f>vals_ghg_incLUC!$X138</f>
        <v>45.439942056384595</v>
      </c>
      <c r="K138" s="5"/>
      <c r="L138" s="5"/>
      <c r="M138" s="5">
        <f>vals_ghg_incLUC!$S138</f>
        <v>58.848207864029611</v>
      </c>
      <c r="N138" s="5">
        <f>vals_ghg_incLUC!$Y138</f>
        <v>60.246372701879949</v>
      </c>
      <c r="O138" s="5"/>
      <c r="P138" s="5"/>
      <c r="Q138" s="9">
        <f t="shared" si="39"/>
        <v>1.398164837850338</v>
      </c>
      <c r="R138" s="9">
        <v>41.863999999999997</v>
      </c>
      <c r="S138" s="9">
        <v>57.177</v>
      </c>
    </row>
    <row r="139" spans="1:19" x14ac:dyDescent="0.35">
      <c r="A139" s="6">
        <f>vals_ghg_incLUC!$A139</f>
        <v>1986</v>
      </c>
      <c r="B139" s="7">
        <f t="shared" si="32"/>
        <v>42.844945824242146</v>
      </c>
      <c r="C139" s="7">
        <f t="shared" si="33"/>
        <v>45.228134037684619</v>
      </c>
      <c r="D139" s="7">
        <f t="shared" si="34"/>
        <v>58.708668507886983</v>
      </c>
      <c r="E139" s="7">
        <f t="shared" si="35"/>
        <v>60.091689014215021</v>
      </c>
      <c r="F139" s="7">
        <f t="shared" si="36"/>
        <v>2.3831882134424731</v>
      </c>
      <c r="G139" s="7">
        <f t="shared" si="37"/>
        <v>0</v>
      </c>
      <c r="H139" s="7">
        <f t="shared" si="38"/>
        <v>13.480534470202365</v>
      </c>
      <c r="I139" s="8">
        <f>vals_ghg_incLUC!$R139</f>
        <v>42.844945824242146</v>
      </c>
      <c r="J139" s="8">
        <f>vals_ghg_incLUC!$X139</f>
        <v>45.228134037684619</v>
      </c>
      <c r="K139" s="8"/>
      <c r="L139" s="8"/>
      <c r="M139" s="8">
        <f>vals_ghg_incLUC!$S139</f>
        <v>58.708668507886983</v>
      </c>
      <c r="N139" s="8">
        <f>vals_ghg_incLUC!$Y139</f>
        <v>60.091689014215021</v>
      </c>
      <c r="O139" s="8"/>
      <c r="P139" s="8"/>
      <c r="Q139" s="9">
        <f t="shared" si="39"/>
        <v>1.3830205063280374</v>
      </c>
      <c r="R139" s="9">
        <v>41.664000000000001</v>
      </c>
      <c r="S139" s="9">
        <v>57.015000000000001</v>
      </c>
    </row>
    <row r="140" spans="1:19" x14ac:dyDescent="0.35">
      <c r="A140" s="3">
        <f>vals_ghg_incLUC!$A140</f>
        <v>1987</v>
      </c>
      <c r="B140" s="4">
        <f t="shared" si="32"/>
        <v>42.688363431875764</v>
      </c>
      <c r="C140" s="4">
        <f t="shared" si="33"/>
        <v>45.019781079442353</v>
      </c>
      <c r="D140" s="4">
        <f t="shared" si="34"/>
        <v>58.578125226753187</v>
      </c>
      <c r="E140" s="4">
        <f t="shared" si="35"/>
        <v>59.934098062606608</v>
      </c>
      <c r="F140" s="4">
        <f t="shared" si="36"/>
        <v>2.3314176475665889</v>
      </c>
      <c r="G140" s="4">
        <f t="shared" si="37"/>
        <v>0</v>
      </c>
      <c r="H140" s="4">
        <f t="shared" si="38"/>
        <v>13.558344147310834</v>
      </c>
      <c r="I140" s="5">
        <f>vals_ghg_incLUC!$R140</f>
        <v>42.688363431875764</v>
      </c>
      <c r="J140" s="5">
        <f>vals_ghg_incLUC!$X140</f>
        <v>45.019781079442353</v>
      </c>
      <c r="K140" s="5"/>
      <c r="L140" s="5"/>
      <c r="M140" s="5">
        <f>vals_ghg_incLUC!$S140</f>
        <v>58.578125226753187</v>
      </c>
      <c r="N140" s="5">
        <f>vals_ghg_incLUC!$Y140</f>
        <v>59.934098062606608</v>
      </c>
      <c r="O140" s="5"/>
      <c r="P140" s="5"/>
      <c r="Q140" s="9">
        <f t="shared" si="39"/>
        <v>1.3559728358534215</v>
      </c>
      <c r="R140" s="9">
        <v>41.463999999999999</v>
      </c>
      <c r="S140" s="9">
        <v>56.848999999999997</v>
      </c>
    </row>
    <row r="141" spans="1:19" x14ac:dyDescent="0.35">
      <c r="A141" s="6">
        <f>vals_ghg_incLUC!$A141</f>
        <v>1988</v>
      </c>
      <c r="B141" s="7">
        <f t="shared" si="32"/>
        <v>42.541293994321769</v>
      </c>
      <c r="C141" s="7">
        <f t="shared" si="33"/>
        <v>44.816418609321161</v>
      </c>
      <c r="D141" s="7">
        <f t="shared" si="34"/>
        <v>58.452683596011411</v>
      </c>
      <c r="E141" s="7">
        <f t="shared" si="35"/>
        <v>59.771773034694853</v>
      </c>
      <c r="F141" s="7">
        <f t="shared" si="36"/>
        <v>2.2751246149993918</v>
      </c>
      <c r="G141" s="7">
        <f t="shared" si="37"/>
        <v>0</v>
      </c>
      <c r="H141" s="7">
        <f t="shared" si="38"/>
        <v>13.63626498669025</v>
      </c>
      <c r="I141" s="8">
        <f>vals_ghg_incLUC!$R141</f>
        <v>42.541293994321769</v>
      </c>
      <c r="J141" s="8">
        <f>vals_ghg_incLUC!$X141</f>
        <v>44.816418609321161</v>
      </c>
      <c r="K141" s="8"/>
      <c r="L141" s="8"/>
      <c r="M141" s="8">
        <f>vals_ghg_incLUC!$S141</f>
        <v>58.452683596011411</v>
      </c>
      <c r="N141" s="8">
        <f>vals_ghg_incLUC!$Y141</f>
        <v>59.771773034694853</v>
      </c>
      <c r="O141" s="8"/>
      <c r="P141" s="8"/>
      <c r="Q141" s="9">
        <f t="shared" si="39"/>
        <v>1.3190894386834415</v>
      </c>
      <c r="R141" s="9">
        <v>41.264000000000003</v>
      </c>
      <c r="S141" s="9">
        <v>56.680999999999997</v>
      </c>
    </row>
    <row r="142" spans="1:19" x14ac:dyDescent="0.35">
      <c r="A142" s="3">
        <f>vals_ghg_incLUC!$A142</f>
        <v>1989</v>
      </c>
      <c r="B142" s="4">
        <f t="shared" si="32"/>
        <v>42.404777909757044</v>
      </c>
      <c r="C142" s="4">
        <f t="shared" si="33"/>
        <v>44.620559574824689</v>
      </c>
      <c r="D142" s="4">
        <f t="shared" si="34"/>
        <v>58.326841367839819</v>
      </c>
      <c r="E142" s="4">
        <f t="shared" si="35"/>
        <v>59.604239049865882</v>
      </c>
      <c r="F142" s="4">
        <f t="shared" si="36"/>
        <v>2.2157816650676452</v>
      </c>
      <c r="G142" s="4">
        <f t="shared" si="37"/>
        <v>0</v>
      </c>
      <c r="H142" s="4">
        <f t="shared" si="38"/>
        <v>13.70628179301513</v>
      </c>
      <c r="I142" s="5">
        <f>vals_ghg_incLUC!$R142</f>
        <v>42.404777909757044</v>
      </c>
      <c r="J142" s="5">
        <f>vals_ghg_incLUC!$X142</f>
        <v>44.620559574824689</v>
      </c>
      <c r="K142" s="5"/>
      <c r="L142" s="5"/>
      <c r="M142" s="5">
        <f>vals_ghg_incLUC!$S142</f>
        <v>58.326841367839819</v>
      </c>
      <c r="N142" s="5">
        <f>vals_ghg_incLUC!$Y142</f>
        <v>59.604239049865882</v>
      </c>
      <c r="O142" s="5"/>
      <c r="P142" s="5"/>
      <c r="Q142" s="9">
        <f t="shared" si="39"/>
        <v>1.2773976820260629</v>
      </c>
      <c r="R142" s="9">
        <v>41.07</v>
      </c>
      <c r="S142" s="9">
        <v>56.508000000000003</v>
      </c>
    </row>
    <row r="143" spans="1:19" x14ac:dyDescent="0.35">
      <c r="A143" s="6">
        <f>vals_ghg_incLUC!$A143</f>
        <v>1990</v>
      </c>
      <c r="B143" s="7">
        <f t="shared" si="32"/>
        <v>42.288507486965337</v>
      </c>
      <c r="C143" s="7">
        <f t="shared" si="33"/>
        <v>44.502716195950207</v>
      </c>
      <c r="D143" s="7">
        <f t="shared" si="34"/>
        <v>58.218600809840957</v>
      </c>
      <c r="E143" s="7">
        <f t="shared" si="35"/>
        <v>59.485408303600629</v>
      </c>
      <c r="F143" s="7">
        <f t="shared" si="36"/>
        <v>2.2142087089848701</v>
      </c>
      <c r="G143" s="7">
        <f t="shared" si="37"/>
        <v>0</v>
      </c>
      <c r="H143" s="7">
        <f t="shared" si="38"/>
        <v>13.715884613890751</v>
      </c>
      <c r="I143" s="8">
        <f>vals_ghg_incLUC!$R143</f>
        <v>42.288507486965337</v>
      </c>
      <c r="J143" s="8">
        <f>vals_ghg_incLUC!$X143</f>
        <v>44.502716195950207</v>
      </c>
      <c r="K143" s="8"/>
      <c r="L143" s="8"/>
      <c r="M143" s="8">
        <f>vals_ghg_incLUC!$S143</f>
        <v>58.218600809840957</v>
      </c>
      <c r="N143" s="8">
        <f>vals_ghg_incLUC!$Y143</f>
        <v>59.485408303600629</v>
      </c>
      <c r="O143" s="8"/>
      <c r="P143" s="8"/>
      <c r="Q143" s="9">
        <f t="shared" si="39"/>
        <v>1.2668074937596714</v>
      </c>
      <c r="R143" s="9">
        <v>40.906999999999996</v>
      </c>
      <c r="S143" s="9">
        <v>56.366</v>
      </c>
    </row>
    <row r="144" spans="1:19" x14ac:dyDescent="0.35">
      <c r="A144" s="3">
        <f>vals_ghg_incLUC!$A144</f>
        <v>1991</v>
      </c>
      <c r="B144" s="4">
        <f t="shared" si="32"/>
        <v>42.166308530272339</v>
      </c>
      <c r="C144" s="4">
        <f t="shared" si="33"/>
        <v>44.380423096380781</v>
      </c>
      <c r="D144" s="4">
        <f t="shared" si="34"/>
        <v>58.084426991346675</v>
      </c>
      <c r="E144" s="4">
        <f t="shared" si="35"/>
        <v>59.332056505485816</v>
      </c>
      <c r="F144" s="4">
        <f t="shared" si="36"/>
        <v>2.2141145661084423</v>
      </c>
      <c r="G144" s="4">
        <f t="shared" si="37"/>
        <v>0</v>
      </c>
      <c r="H144" s="4">
        <f t="shared" si="38"/>
        <v>13.704003894965894</v>
      </c>
      <c r="I144" s="5">
        <f>vals_ghg_incLUC!$R144</f>
        <v>42.166308530272339</v>
      </c>
      <c r="J144" s="5">
        <f>vals_ghg_incLUC!$X144</f>
        <v>44.380423096380781</v>
      </c>
      <c r="K144" s="5"/>
      <c r="L144" s="5"/>
      <c r="M144" s="5">
        <f>vals_ghg_incLUC!$S144</f>
        <v>58.084426991346675</v>
      </c>
      <c r="N144" s="5">
        <f>vals_ghg_incLUC!$Y144</f>
        <v>59.332056505485816</v>
      </c>
      <c r="O144" s="5"/>
      <c r="P144" s="5"/>
      <c r="Q144" s="9">
        <f t="shared" si="39"/>
        <v>1.2476295141391418</v>
      </c>
      <c r="R144" s="9">
        <v>40.744999999999997</v>
      </c>
      <c r="S144" s="9">
        <v>56.195999999999998</v>
      </c>
    </row>
    <row r="145" spans="1:19" x14ac:dyDescent="0.35">
      <c r="A145" s="6">
        <f>vals_ghg_incLUC!$A145</f>
        <v>1992</v>
      </c>
      <c r="B145" s="7">
        <f t="shared" si="32"/>
        <v>42.058633425558305</v>
      </c>
      <c r="C145" s="7">
        <f t="shared" si="33"/>
        <v>44.275596362008223</v>
      </c>
      <c r="D145" s="7">
        <f t="shared" si="34"/>
        <v>57.934320986228641</v>
      </c>
      <c r="E145" s="7">
        <f t="shared" si="35"/>
        <v>59.166861077086295</v>
      </c>
      <c r="F145" s="7">
        <f t="shared" si="36"/>
        <v>2.2169629364499173</v>
      </c>
      <c r="G145" s="7">
        <f t="shared" si="37"/>
        <v>0</v>
      </c>
      <c r="H145" s="7">
        <f t="shared" si="38"/>
        <v>13.658724624220419</v>
      </c>
      <c r="I145" s="8">
        <f>vals_ghg_incLUC!$R145</f>
        <v>42.058633425558305</v>
      </c>
      <c r="J145" s="8">
        <f>vals_ghg_incLUC!$X145</f>
        <v>44.275596362008223</v>
      </c>
      <c r="K145" s="8"/>
      <c r="L145" s="8"/>
      <c r="M145" s="8">
        <f>vals_ghg_incLUC!$S145</f>
        <v>57.934320986228641</v>
      </c>
      <c r="N145" s="8">
        <f>vals_ghg_incLUC!$Y145</f>
        <v>59.166861077086295</v>
      </c>
      <c r="O145" s="8"/>
      <c r="P145" s="8"/>
      <c r="Q145" s="9">
        <f t="shared" si="39"/>
        <v>1.232540090857654</v>
      </c>
      <c r="R145" s="9">
        <v>40.600999999999999</v>
      </c>
      <c r="S145" s="9">
        <v>56.006999999999998</v>
      </c>
    </row>
    <row r="146" spans="1:19" x14ac:dyDescent="0.35">
      <c r="A146" s="3">
        <f>vals_ghg_incLUC!$A146</f>
        <v>1993</v>
      </c>
      <c r="B146" s="4">
        <f t="shared" si="32"/>
        <v>41.955290782967616</v>
      </c>
      <c r="C146" s="4">
        <f t="shared" si="33"/>
        <v>44.174861802673213</v>
      </c>
      <c r="D146" s="4">
        <f t="shared" si="34"/>
        <v>57.775772014897484</v>
      </c>
      <c r="E146" s="4">
        <f t="shared" si="35"/>
        <v>58.986787150639252</v>
      </c>
      <c r="F146" s="4">
        <f t="shared" si="36"/>
        <v>2.2195710197055973</v>
      </c>
      <c r="G146" s="4">
        <f t="shared" si="37"/>
        <v>0</v>
      </c>
      <c r="H146" s="4">
        <f t="shared" si="38"/>
        <v>13.600910212224271</v>
      </c>
      <c r="I146" s="5">
        <f>vals_ghg_incLUC!$R146</f>
        <v>41.955290782967616</v>
      </c>
      <c r="J146" s="5">
        <f>vals_ghg_incLUC!$X146</f>
        <v>44.174861802673213</v>
      </c>
      <c r="K146" s="5"/>
      <c r="L146" s="5"/>
      <c r="M146" s="5">
        <f>vals_ghg_incLUC!$S146</f>
        <v>57.775772014897484</v>
      </c>
      <c r="N146" s="5">
        <f>vals_ghg_incLUC!$Y146</f>
        <v>58.986787150639252</v>
      </c>
      <c r="O146" s="5"/>
      <c r="P146" s="5"/>
      <c r="Q146" s="9">
        <f t="shared" si="39"/>
        <v>1.2110151357417678</v>
      </c>
      <c r="R146" s="9">
        <v>40.472000000000001</v>
      </c>
      <c r="S146" s="9">
        <v>55.817</v>
      </c>
    </row>
    <row r="147" spans="1:19" x14ac:dyDescent="0.35">
      <c r="A147" s="6">
        <f>vals_ghg_incLUC!$A147</f>
        <v>1994</v>
      </c>
      <c r="B147" s="7">
        <f t="shared" si="32"/>
        <v>41.83872094663711</v>
      </c>
      <c r="C147" s="7">
        <f t="shared" si="33"/>
        <v>44.13788129828319</v>
      </c>
      <c r="D147" s="7">
        <f t="shared" si="34"/>
        <v>57.575587111184909</v>
      </c>
      <c r="E147" s="7">
        <f t="shared" si="35"/>
        <v>58.859650176393153</v>
      </c>
      <c r="F147" s="7">
        <f t="shared" si="36"/>
        <v>2.2991603516460799</v>
      </c>
      <c r="G147" s="7">
        <f t="shared" si="37"/>
        <v>0</v>
      </c>
      <c r="H147" s="7">
        <f t="shared" si="38"/>
        <v>13.437705812901719</v>
      </c>
      <c r="I147" s="8">
        <f>vals_ghg_incLUC!$R147</f>
        <v>41.83872094663711</v>
      </c>
      <c r="J147" s="8">
        <f>vals_ghg_incLUC!$X147</f>
        <v>44.13788129828319</v>
      </c>
      <c r="K147" s="8"/>
      <c r="L147" s="8"/>
      <c r="M147" s="8">
        <f>vals_ghg_incLUC!$S147</f>
        <v>57.575587111184909</v>
      </c>
      <c r="N147" s="8">
        <f>vals_ghg_incLUC!$Y147</f>
        <v>58.859650176393153</v>
      </c>
      <c r="O147" s="8"/>
      <c r="P147" s="8"/>
      <c r="Q147" s="9">
        <f t="shared" si="39"/>
        <v>1.2840630652082439</v>
      </c>
      <c r="R147" s="9">
        <v>40.33</v>
      </c>
      <c r="S147" s="9">
        <v>55.573999999999998</v>
      </c>
    </row>
    <row r="148" spans="1:19" x14ac:dyDescent="0.35">
      <c r="A148" s="3">
        <f>vals_ghg_incLUC!$A148</f>
        <v>1995</v>
      </c>
      <c r="B148" s="4">
        <f t="shared" si="32"/>
        <v>41.728628447020888</v>
      </c>
      <c r="C148" s="4">
        <f t="shared" si="33"/>
        <v>44.082939223915183</v>
      </c>
      <c r="D148" s="4">
        <f t="shared" si="34"/>
        <v>57.375984509719068</v>
      </c>
      <c r="E148" s="4">
        <f t="shared" si="35"/>
        <v>58.699219097706425</v>
      </c>
      <c r="F148" s="4">
        <f t="shared" si="36"/>
        <v>2.3543107768942946</v>
      </c>
      <c r="G148" s="4">
        <f t="shared" si="37"/>
        <v>0</v>
      </c>
      <c r="H148" s="4">
        <f t="shared" si="38"/>
        <v>13.293045285803885</v>
      </c>
      <c r="I148" s="5">
        <f>vals_ghg_incLUC!$R148</f>
        <v>41.728628447020888</v>
      </c>
      <c r="J148" s="5">
        <f>vals_ghg_incLUC!$X148</f>
        <v>44.082939223915183</v>
      </c>
      <c r="K148" s="5"/>
      <c r="L148" s="5"/>
      <c r="M148" s="5">
        <f>vals_ghg_incLUC!$S148</f>
        <v>57.375984509719068</v>
      </c>
      <c r="N148" s="5">
        <f>vals_ghg_incLUC!$Y148</f>
        <v>58.699219097706425</v>
      </c>
      <c r="O148" s="5"/>
      <c r="P148" s="5"/>
      <c r="Q148" s="9">
        <f t="shared" si="39"/>
        <v>1.3232345879873577</v>
      </c>
      <c r="R148" s="9">
        <v>40.192</v>
      </c>
      <c r="S148" s="9">
        <v>55.325000000000003</v>
      </c>
    </row>
    <row r="149" spans="1:19" x14ac:dyDescent="0.35">
      <c r="A149" s="6">
        <f>vals_ghg_incLUC!$A149</f>
        <v>1996</v>
      </c>
      <c r="B149" s="7">
        <f t="shared" si="32"/>
        <v>41.615977072565677</v>
      </c>
      <c r="C149" s="7">
        <f t="shared" si="33"/>
        <v>44.035645797100287</v>
      </c>
      <c r="D149" s="7">
        <f t="shared" si="34"/>
        <v>57.183790612999353</v>
      </c>
      <c r="E149" s="7">
        <f t="shared" si="35"/>
        <v>58.556922817494993</v>
      </c>
      <c r="F149" s="7">
        <f t="shared" si="36"/>
        <v>2.4196687245346098</v>
      </c>
      <c r="G149" s="7">
        <f t="shared" si="37"/>
        <v>0</v>
      </c>
      <c r="H149" s="7">
        <f t="shared" si="38"/>
        <v>13.148144815899066</v>
      </c>
      <c r="I149" s="8">
        <f>vals_ghg_incLUC!$R149</f>
        <v>41.615977072565677</v>
      </c>
      <c r="J149" s="8">
        <f>vals_ghg_incLUC!$X149</f>
        <v>44.035645797100287</v>
      </c>
      <c r="K149" s="8"/>
      <c r="L149" s="8"/>
      <c r="M149" s="8">
        <f>vals_ghg_incLUC!$S149</f>
        <v>57.183790612999353</v>
      </c>
      <c r="N149" s="8">
        <f>vals_ghg_incLUC!$Y149</f>
        <v>58.556922817494993</v>
      </c>
      <c r="O149" s="8"/>
      <c r="P149" s="8"/>
      <c r="Q149" s="9">
        <f t="shared" si="39"/>
        <v>1.37313220449564</v>
      </c>
      <c r="R149" s="9">
        <v>40.052</v>
      </c>
      <c r="S149" s="9">
        <v>55.076999999999998</v>
      </c>
    </row>
    <row r="150" spans="1:19" x14ac:dyDescent="0.35">
      <c r="A150" s="3">
        <f>vals_ghg_incLUC!$A150</f>
        <v>1997</v>
      </c>
      <c r="B150" s="4">
        <f t="shared" si="32"/>
        <v>41.476329768654395</v>
      </c>
      <c r="C150" s="4">
        <f t="shared" si="33"/>
        <v>44.001019620957244</v>
      </c>
      <c r="D150" s="4">
        <f t="shared" si="34"/>
        <v>56.933397970991983</v>
      </c>
      <c r="E150" s="4">
        <f t="shared" si="35"/>
        <v>58.414205775402436</v>
      </c>
      <c r="F150" s="4">
        <f t="shared" si="36"/>
        <v>2.5246898523028491</v>
      </c>
      <c r="G150" s="4">
        <f t="shared" si="37"/>
        <v>0</v>
      </c>
      <c r="H150" s="4">
        <f t="shared" si="38"/>
        <v>12.932378350034739</v>
      </c>
      <c r="I150" s="5">
        <f>vals_ghg_incLUC!$R150</f>
        <v>41.476329768654395</v>
      </c>
      <c r="J150" s="5">
        <f>vals_ghg_incLUC!$X150</f>
        <v>44.001019620957244</v>
      </c>
      <c r="K150" s="5"/>
      <c r="L150" s="5"/>
      <c r="M150" s="5">
        <f>vals_ghg_incLUC!$S150</f>
        <v>56.933397970991983</v>
      </c>
      <c r="N150" s="5">
        <f>vals_ghg_incLUC!$Y150</f>
        <v>58.414205775402436</v>
      </c>
      <c r="O150" s="5"/>
      <c r="P150" s="5"/>
      <c r="Q150" s="9">
        <f t="shared" si="39"/>
        <v>1.4808078044104533</v>
      </c>
      <c r="R150" s="9">
        <v>39.898000000000003</v>
      </c>
      <c r="S150" s="9">
        <v>54.783999999999999</v>
      </c>
    </row>
    <row r="151" spans="1:19" x14ac:dyDescent="0.35">
      <c r="A151" s="6">
        <f>vals_ghg_incLUC!$A151</f>
        <v>1998</v>
      </c>
      <c r="B151" s="7">
        <f t="shared" si="32"/>
        <v>41.369744411531187</v>
      </c>
      <c r="C151" s="7">
        <f t="shared" si="33"/>
        <v>43.956297898097283</v>
      </c>
      <c r="D151" s="7">
        <f t="shared" si="34"/>
        <v>56.725766712639924</v>
      </c>
      <c r="E151" s="7">
        <f t="shared" si="35"/>
        <v>58.268927887026457</v>
      </c>
      <c r="F151" s="7">
        <f t="shared" si="36"/>
        <v>2.5865534865660962</v>
      </c>
      <c r="G151" s="7">
        <f t="shared" si="37"/>
        <v>0</v>
      </c>
      <c r="H151" s="7">
        <f t="shared" si="38"/>
        <v>12.769468814542641</v>
      </c>
      <c r="I151" s="8">
        <f>vals_ghg_incLUC!$R151</f>
        <v>41.369744411531187</v>
      </c>
      <c r="J151" s="8">
        <f>vals_ghg_incLUC!$X151</f>
        <v>43.956297898097283</v>
      </c>
      <c r="K151" s="8"/>
      <c r="L151" s="8"/>
      <c r="M151" s="8">
        <f>vals_ghg_incLUC!$S151</f>
        <v>56.725766712639924</v>
      </c>
      <c r="N151" s="8">
        <f>vals_ghg_incLUC!$Y151</f>
        <v>58.268927887026457</v>
      </c>
      <c r="O151" s="8"/>
      <c r="P151" s="8"/>
      <c r="Q151" s="9">
        <f t="shared" si="39"/>
        <v>1.5431611743865332</v>
      </c>
      <c r="R151" s="9">
        <v>39.780999999999999</v>
      </c>
      <c r="S151" s="9">
        <v>54.531999999999996</v>
      </c>
    </row>
    <row r="152" spans="1:19" x14ac:dyDescent="0.35">
      <c r="A152" s="3">
        <f>vals_ghg_incLUC!$A152</f>
        <v>1999</v>
      </c>
      <c r="B152" s="4">
        <f t="shared" si="32"/>
        <v>41.265531768376995</v>
      </c>
      <c r="C152" s="4">
        <f t="shared" si="33"/>
        <v>43.916186660338951</v>
      </c>
      <c r="D152" s="4">
        <f t="shared" si="34"/>
        <v>56.520212868867603</v>
      </c>
      <c r="E152" s="4">
        <f t="shared" si="35"/>
        <v>58.110886101278162</v>
      </c>
      <c r="F152" s="4">
        <f t="shared" si="36"/>
        <v>2.6506548919619561</v>
      </c>
      <c r="G152" s="4">
        <f t="shared" si="37"/>
        <v>0</v>
      </c>
      <c r="H152" s="4">
        <f t="shared" si="38"/>
        <v>12.604026208528651</v>
      </c>
      <c r="I152" s="5">
        <f>vals_ghg_incLUC!$R152</f>
        <v>41.265531768376995</v>
      </c>
      <c r="J152" s="5">
        <f>vals_ghg_incLUC!$X152</f>
        <v>43.916186660338951</v>
      </c>
      <c r="K152" s="5"/>
      <c r="L152" s="5"/>
      <c r="M152" s="5">
        <f>vals_ghg_incLUC!$S152</f>
        <v>56.520212868867603</v>
      </c>
      <c r="N152" s="5">
        <f>vals_ghg_incLUC!$Y152</f>
        <v>58.110886101278162</v>
      </c>
      <c r="O152" s="5"/>
      <c r="P152" s="5"/>
      <c r="Q152" s="9">
        <f t="shared" si="39"/>
        <v>1.590673232410559</v>
      </c>
      <c r="R152" s="9">
        <v>39.667999999999999</v>
      </c>
      <c r="S152" s="9">
        <v>54.284999999999997</v>
      </c>
    </row>
    <row r="153" spans="1:19" x14ac:dyDescent="0.35">
      <c r="A153" s="6">
        <f>vals_ghg_incLUC!$A153</f>
        <v>2000</v>
      </c>
      <c r="B153" s="7">
        <f t="shared" si="32"/>
        <v>41.173235201533842</v>
      </c>
      <c r="C153" s="7">
        <f t="shared" si="33"/>
        <v>43.886960919139085</v>
      </c>
      <c r="D153" s="7">
        <f t="shared" si="34"/>
        <v>56.322845144305319</v>
      </c>
      <c r="E153" s="7">
        <f t="shared" si="35"/>
        <v>57.969868262507099</v>
      </c>
      <c r="F153" s="7">
        <f t="shared" si="36"/>
        <v>2.7137257176052429</v>
      </c>
      <c r="G153" s="7">
        <f t="shared" si="37"/>
        <v>0</v>
      </c>
      <c r="H153" s="7">
        <f t="shared" si="38"/>
        <v>12.435884225166234</v>
      </c>
      <c r="I153" s="8">
        <f>vals_ghg_incLUC!$R153</f>
        <v>41.173235201533842</v>
      </c>
      <c r="J153" s="8">
        <f>vals_ghg_incLUC!$X153</f>
        <v>43.886960919139085</v>
      </c>
      <c r="K153" s="8"/>
      <c r="L153" s="8"/>
      <c r="M153" s="8">
        <f>vals_ghg_incLUC!$S153</f>
        <v>56.322845144305319</v>
      </c>
      <c r="N153" s="8">
        <f>vals_ghg_incLUC!$Y153</f>
        <v>57.969868262507099</v>
      </c>
      <c r="O153" s="8"/>
      <c r="P153" s="8"/>
      <c r="Q153" s="9">
        <f t="shared" si="39"/>
        <v>1.6470231182017798</v>
      </c>
      <c r="R153" s="9">
        <v>39.552999999999997</v>
      </c>
      <c r="S153" s="9">
        <v>54.030999999999999</v>
      </c>
    </row>
    <row r="154" spans="1:19" x14ac:dyDescent="0.35">
      <c r="A154" s="3">
        <f>vals_ghg_incLUC!$A154</f>
        <v>2001</v>
      </c>
      <c r="B154" s="4">
        <f t="shared" si="32"/>
        <v>41.082428434529575</v>
      </c>
      <c r="C154" s="4">
        <f t="shared" si="33"/>
        <v>43.847224153347469</v>
      </c>
      <c r="D154" s="4">
        <f t="shared" si="34"/>
        <v>56.135077194568758</v>
      </c>
      <c r="E154" s="4">
        <f t="shared" si="35"/>
        <v>57.818115138054871</v>
      </c>
      <c r="F154" s="4">
        <f t="shared" si="36"/>
        <v>2.7647957188178935</v>
      </c>
      <c r="G154" s="4">
        <f t="shared" si="37"/>
        <v>0</v>
      </c>
      <c r="H154" s="4">
        <f t="shared" si="38"/>
        <v>12.28785304122129</v>
      </c>
      <c r="I154" s="5">
        <f>vals_ghg_incLUC!$R154</f>
        <v>41.082428434529575</v>
      </c>
      <c r="J154" s="5">
        <f>vals_ghg_incLUC!$X154</f>
        <v>43.847224153347469</v>
      </c>
      <c r="K154" s="5"/>
      <c r="L154" s="5"/>
      <c r="M154" s="5">
        <f>vals_ghg_incLUC!$S154</f>
        <v>56.135077194568758</v>
      </c>
      <c r="N154" s="5">
        <f>vals_ghg_incLUC!$Y154</f>
        <v>57.818115138054871</v>
      </c>
      <c r="O154" s="5"/>
      <c r="P154" s="5"/>
      <c r="Q154" s="9">
        <f t="shared" si="39"/>
        <v>1.6830379434861129</v>
      </c>
      <c r="R154" s="9">
        <v>39.432000000000002</v>
      </c>
      <c r="S154" s="9">
        <v>53.777999999999999</v>
      </c>
    </row>
    <row r="155" spans="1:19" x14ac:dyDescent="0.35">
      <c r="A155" s="6">
        <f>vals_ghg_incLUC!$A155</f>
        <v>2002</v>
      </c>
      <c r="B155" s="7">
        <f t="shared" si="32"/>
        <v>40.976830857802462</v>
      </c>
      <c r="C155" s="7">
        <f t="shared" si="33"/>
        <v>43.791366560553058</v>
      </c>
      <c r="D155" s="7">
        <f t="shared" si="34"/>
        <v>55.925664536209851</v>
      </c>
      <c r="E155" s="7">
        <f t="shared" si="35"/>
        <v>57.646450295748998</v>
      </c>
      <c r="F155" s="7">
        <f t="shared" si="36"/>
        <v>2.8145357027505966</v>
      </c>
      <c r="G155" s="7">
        <f t="shared" si="37"/>
        <v>0</v>
      </c>
      <c r="H155" s="7">
        <f t="shared" si="38"/>
        <v>12.134297975656793</v>
      </c>
      <c r="I155" s="8">
        <f>vals_ghg_incLUC!$R155</f>
        <v>40.976830857802462</v>
      </c>
      <c r="J155" s="8">
        <f>vals_ghg_incLUC!$X155</f>
        <v>43.791366560553058</v>
      </c>
      <c r="K155" s="8"/>
      <c r="L155" s="8"/>
      <c r="M155" s="8">
        <f>vals_ghg_incLUC!$S155</f>
        <v>55.925664536209851</v>
      </c>
      <c r="N155" s="8">
        <f>vals_ghg_incLUC!$Y155</f>
        <v>57.646450295748998</v>
      </c>
      <c r="O155" s="8"/>
      <c r="P155" s="8"/>
      <c r="Q155" s="9">
        <f t="shared" si="39"/>
        <v>1.7207857595391474</v>
      </c>
      <c r="R155" s="9">
        <v>39.299999999999997</v>
      </c>
      <c r="S155" s="9">
        <v>53.506</v>
      </c>
    </row>
    <row r="156" spans="1:19" x14ac:dyDescent="0.35">
      <c r="A156" s="3">
        <f>vals_ghg_incLUC!$A156</f>
        <v>2003</v>
      </c>
      <c r="B156" s="4">
        <f t="shared" si="32"/>
        <v>40.841925415245171</v>
      </c>
      <c r="C156" s="4">
        <f t="shared" si="33"/>
        <v>43.690209578396235</v>
      </c>
      <c r="D156" s="4">
        <f t="shared" si="34"/>
        <v>55.680980315624119</v>
      </c>
      <c r="E156" s="4">
        <f t="shared" si="35"/>
        <v>57.425938072680481</v>
      </c>
      <c r="F156" s="4">
        <f t="shared" si="36"/>
        <v>2.8482841631510638</v>
      </c>
      <c r="G156" s="4">
        <f t="shared" si="37"/>
        <v>0</v>
      </c>
      <c r="H156" s="4">
        <f t="shared" si="38"/>
        <v>11.990770737227884</v>
      </c>
      <c r="I156" s="5">
        <f>vals_ghg_incLUC!$R156</f>
        <v>40.841925415245171</v>
      </c>
      <c r="J156" s="5">
        <f>vals_ghg_incLUC!$X156</f>
        <v>43.690209578396235</v>
      </c>
      <c r="K156" s="5"/>
      <c r="L156" s="5"/>
      <c r="M156" s="5">
        <f>vals_ghg_incLUC!$S156</f>
        <v>55.680980315624119</v>
      </c>
      <c r="N156" s="5">
        <f>vals_ghg_incLUC!$Y156</f>
        <v>57.425938072680481</v>
      </c>
      <c r="O156" s="5"/>
      <c r="P156" s="5"/>
      <c r="Q156" s="9">
        <f t="shared" si="39"/>
        <v>1.7449577570563619</v>
      </c>
      <c r="R156" s="9">
        <v>39.134999999999998</v>
      </c>
      <c r="S156" s="9">
        <v>53.195999999999998</v>
      </c>
    </row>
    <row r="157" spans="1:19" x14ac:dyDescent="0.35">
      <c r="A157" s="6">
        <f>vals_ghg_incLUC!$A157</f>
        <v>2004</v>
      </c>
      <c r="B157" s="7">
        <f t="shared" si="32"/>
        <v>40.711126972453009</v>
      </c>
      <c r="C157" s="7">
        <f t="shared" si="33"/>
        <v>43.56934312663504</v>
      </c>
      <c r="D157" s="7">
        <f t="shared" si="34"/>
        <v>55.442341146397546</v>
      </c>
      <c r="E157" s="7">
        <f t="shared" si="35"/>
        <v>57.164386468829242</v>
      </c>
      <c r="F157" s="7">
        <f t="shared" si="36"/>
        <v>2.8582161541820312</v>
      </c>
      <c r="G157" s="7">
        <f t="shared" si="37"/>
        <v>0</v>
      </c>
      <c r="H157" s="7">
        <f t="shared" si="38"/>
        <v>11.872998019762505</v>
      </c>
      <c r="I157" s="8">
        <f>vals_ghg_incLUC!$R157</f>
        <v>40.711126972453009</v>
      </c>
      <c r="J157" s="8">
        <f>vals_ghg_incLUC!$X157</f>
        <v>43.56934312663504</v>
      </c>
      <c r="K157" s="8"/>
      <c r="L157" s="8"/>
      <c r="M157" s="8">
        <f>vals_ghg_incLUC!$S157</f>
        <v>55.442341146397546</v>
      </c>
      <c r="N157" s="8">
        <f>vals_ghg_incLUC!$Y157</f>
        <v>57.164386468829242</v>
      </c>
      <c r="O157" s="8"/>
      <c r="P157" s="8"/>
      <c r="Q157" s="9">
        <f t="shared" si="39"/>
        <v>1.7220453224316969</v>
      </c>
      <c r="R157" s="9">
        <v>38.975000000000001</v>
      </c>
      <c r="S157" s="9">
        <v>52.89</v>
      </c>
    </row>
    <row r="158" spans="1:19" x14ac:dyDescent="0.35">
      <c r="A158" s="3">
        <f>vals_ghg_incLUC!$A158</f>
        <v>2005</v>
      </c>
      <c r="B158" s="4">
        <f t="shared" si="32"/>
        <v>40.574748783754742</v>
      </c>
      <c r="C158" s="4">
        <f t="shared" si="33"/>
        <v>43.446618527863322</v>
      </c>
      <c r="D158" s="4">
        <f t="shared" si="34"/>
        <v>55.201429274978928</v>
      </c>
      <c r="E158" s="4">
        <f t="shared" si="35"/>
        <v>56.907979518558662</v>
      </c>
      <c r="F158" s="4">
        <f t="shared" si="36"/>
        <v>2.8718697441085794</v>
      </c>
      <c r="G158" s="4">
        <f t="shared" si="37"/>
        <v>0</v>
      </c>
      <c r="H158" s="4">
        <f t="shared" si="38"/>
        <v>11.754810747115606</v>
      </c>
      <c r="I158" s="5">
        <f>vals_ghg_incLUC!$R158</f>
        <v>40.574748783754742</v>
      </c>
      <c r="J158" s="5">
        <f>vals_ghg_incLUC!$X158</f>
        <v>43.446618527863322</v>
      </c>
      <c r="K158" s="5"/>
      <c r="L158" s="5"/>
      <c r="M158" s="5">
        <f>vals_ghg_incLUC!$S158</f>
        <v>55.201429274978928</v>
      </c>
      <c r="N158" s="5">
        <f>vals_ghg_incLUC!$Y158</f>
        <v>56.907979518558662</v>
      </c>
      <c r="O158" s="5"/>
      <c r="P158" s="5"/>
      <c r="Q158" s="9">
        <f t="shared" si="39"/>
        <v>1.7065502435797342</v>
      </c>
      <c r="R158" s="9">
        <v>38.802</v>
      </c>
      <c r="S158" s="9">
        <v>52.576000000000001</v>
      </c>
    </row>
    <row r="159" spans="1:19" x14ac:dyDescent="0.35">
      <c r="A159" s="6">
        <f>vals_ghg_incLUC!$A159</f>
        <v>2006</v>
      </c>
      <c r="B159" s="7">
        <f t="shared" si="32"/>
        <v>40.408930257550537</v>
      </c>
      <c r="C159" s="7">
        <f t="shared" si="33"/>
        <v>43.312257897038414</v>
      </c>
      <c r="D159" s="7">
        <f t="shared" si="34"/>
        <v>54.932564763898696</v>
      </c>
      <c r="E159" s="7">
        <f t="shared" si="35"/>
        <v>56.644783335348095</v>
      </c>
      <c r="F159" s="7">
        <f t="shared" si="36"/>
        <v>2.9033276394878769</v>
      </c>
      <c r="G159" s="7">
        <f t="shared" si="37"/>
        <v>0</v>
      </c>
      <c r="H159" s="7">
        <f t="shared" si="38"/>
        <v>11.620306866860282</v>
      </c>
      <c r="I159" s="8">
        <f>vals_ghg_incLUC!$R159</f>
        <v>40.408930257550537</v>
      </c>
      <c r="J159" s="8">
        <f>vals_ghg_incLUC!$X159</f>
        <v>43.312257897038414</v>
      </c>
      <c r="K159" s="8"/>
      <c r="L159" s="8"/>
      <c r="M159" s="8">
        <f>vals_ghg_incLUC!$S159</f>
        <v>54.932564763898696</v>
      </c>
      <c r="N159" s="8">
        <f>vals_ghg_incLUC!$Y159</f>
        <v>56.644783335348095</v>
      </c>
      <c r="O159" s="8"/>
      <c r="P159" s="8"/>
      <c r="Q159" s="9">
        <f t="shared" si="39"/>
        <v>1.712218571449398</v>
      </c>
      <c r="R159" s="9">
        <v>38.606999999999999</v>
      </c>
      <c r="S159" s="9">
        <v>52.243000000000002</v>
      </c>
    </row>
    <row r="160" spans="1:19" x14ac:dyDescent="0.35">
      <c r="A160" s="3">
        <f>vals_ghg_incLUC!$A160</f>
        <v>2007</v>
      </c>
      <c r="B160" s="4">
        <f t="shared" si="32"/>
        <v>40.246374924847608</v>
      </c>
      <c r="C160" s="4">
        <f t="shared" si="33"/>
        <v>43.182887357397767</v>
      </c>
      <c r="D160" s="4">
        <f t="shared" si="34"/>
        <v>54.672979428928237</v>
      </c>
      <c r="E160" s="4">
        <f t="shared" si="35"/>
        <v>56.38891634885298</v>
      </c>
      <c r="F160" s="4">
        <f t="shared" si="36"/>
        <v>2.9365124325501597</v>
      </c>
      <c r="G160" s="4">
        <f t="shared" si="37"/>
        <v>0</v>
      </c>
      <c r="H160" s="4">
        <f t="shared" si="38"/>
        <v>11.490092071530469</v>
      </c>
      <c r="I160" s="5">
        <f>vals_ghg_incLUC!$R160</f>
        <v>40.246374924847608</v>
      </c>
      <c r="J160" s="5">
        <f>vals_ghg_incLUC!$X160</f>
        <v>43.182887357397767</v>
      </c>
      <c r="K160" s="5"/>
      <c r="L160" s="5"/>
      <c r="M160" s="5">
        <f>vals_ghg_incLUC!$S160</f>
        <v>54.672979428928237</v>
      </c>
      <c r="N160" s="5">
        <f>vals_ghg_incLUC!$Y160</f>
        <v>56.38891634885298</v>
      </c>
      <c r="O160" s="5"/>
      <c r="P160" s="5"/>
      <c r="Q160" s="9">
        <f t="shared" si="39"/>
        <v>1.7159369199247436</v>
      </c>
      <c r="R160" s="9">
        <v>38.421999999999997</v>
      </c>
      <c r="S160" s="9">
        <v>51.927999999999997</v>
      </c>
    </row>
    <row r="161" spans="1:19" x14ac:dyDescent="0.35">
      <c r="A161" s="6">
        <f>vals_ghg_incLUC!$A161</f>
        <v>2008</v>
      </c>
      <c r="B161" s="7">
        <f t="shared" si="32"/>
        <v>40.068240362630227</v>
      </c>
      <c r="C161" s="7">
        <f t="shared" si="33"/>
        <v>43.032102178450046</v>
      </c>
      <c r="D161" s="7">
        <f t="shared" si="34"/>
        <v>54.394119176271147</v>
      </c>
      <c r="E161" s="7">
        <f t="shared" si="35"/>
        <v>56.116967816391906</v>
      </c>
      <c r="F161" s="7">
        <f t="shared" si="36"/>
        <v>2.9638618158198184</v>
      </c>
      <c r="G161" s="7">
        <f t="shared" si="37"/>
        <v>0</v>
      </c>
      <c r="H161" s="7">
        <f t="shared" si="38"/>
        <v>11.362016997821101</v>
      </c>
      <c r="I161" s="8">
        <f>vals_ghg_incLUC!$R161</f>
        <v>40.068240362630227</v>
      </c>
      <c r="J161" s="8">
        <f>vals_ghg_incLUC!$X161</f>
        <v>43.032102178450046</v>
      </c>
      <c r="K161" s="8"/>
      <c r="L161" s="8"/>
      <c r="M161" s="8">
        <f>vals_ghg_incLUC!$S161</f>
        <v>54.394119176271147</v>
      </c>
      <c r="N161" s="8">
        <f>vals_ghg_incLUC!$Y161</f>
        <v>56.116967816391906</v>
      </c>
      <c r="O161" s="8"/>
      <c r="P161" s="8"/>
      <c r="Q161" s="9">
        <f t="shared" si="39"/>
        <v>1.722848640120759</v>
      </c>
      <c r="R161" s="9">
        <v>38.225000000000001</v>
      </c>
      <c r="S161" s="9">
        <v>51.598999999999997</v>
      </c>
    </row>
    <row r="162" spans="1:19" x14ac:dyDescent="0.35">
      <c r="A162" s="3">
        <f>vals_ghg_incLUC!$A162</f>
        <v>2009</v>
      </c>
      <c r="B162" s="4">
        <f t="shared" si="32"/>
        <v>39.858640092724471</v>
      </c>
      <c r="C162" s="4">
        <f t="shared" si="33"/>
        <v>42.872033013567815</v>
      </c>
      <c r="D162" s="4">
        <f t="shared" si="34"/>
        <v>54.086282182258017</v>
      </c>
      <c r="E162" s="4">
        <f t="shared" si="35"/>
        <v>55.831972158273146</v>
      </c>
      <c r="F162" s="4">
        <f t="shared" si="36"/>
        <v>3.0133929208433443</v>
      </c>
      <c r="G162" s="4">
        <f t="shared" si="37"/>
        <v>0</v>
      </c>
      <c r="H162" s="4">
        <f t="shared" si="38"/>
        <v>11.214249168690202</v>
      </c>
      <c r="I162" s="5">
        <f>vals_ghg_incLUC!$R162</f>
        <v>39.858640092724471</v>
      </c>
      <c r="J162" s="5">
        <f>vals_ghg_incLUC!$X162</f>
        <v>42.872033013567815</v>
      </c>
      <c r="K162" s="5"/>
      <c r="L162" s="5"/>
      <c r="M162" s="5">
        <f>vals_ghg_incLUC!$S162</f>
        <v>54.086282182258017</v>
      </c>
      <c r="N162" s="5">
        <f>vals_ghg_incLUC!$Y162</f>
        <v>55.831972158273146</v>
      </c>
      <c r="O162" s="5"/>
      <c r="P162" s="5"/>
      <c r="Q162" s="9">
        <f t="shared" si="39"/>
        <v>1.7456899760151288</v>
      </c>
      <c r="R162" s="9">
        <v>38.002000000000002</v>
      </c>
      <c r="S162" s="9">
        <v>51.252000000000002</v>
      </c>
    </row>
    <row r="163" spans="1:19" x14ac:dyDescent="0.35">
      <c r="A163" s="6">
        <f>vals_ghg_incLUC!$A163</f>
        <v>2010</v>
      </c>
      <c r="B163" s="7">
        <f t="shared" ref="B163:B177" si="40">IFERROR(_xlfn.AGGREGATE(5,6,I163:L163),"")</f>
        <v>39.649530807695392</v>
      </c>
      <c r="C163" s="7">
        <f t="shared" ref="C163:C177" si="41">IFERROR(_xlfn.AGGREGATE(4,6,I163:L163),"")</f>
        <v>42.707581327305327</v>
      </c>
      <c r="D163" s="7">
        <f t="shared" ref="D163:D177" si="42">IFERROR(_xlfn.AGGREGATE(5,6,M163:P163),"")</f>
        <v>53.782101720264272</v>
      </c>
      <c r="E163" s="7">
        <f t="shared" ref="E163:E177" si="43">IFERROR(_xlfn.AGGREGATE(4,6,M163:P163),"")</f>
        <v>55.545088036354883</v>
      </c>
      <c r="F163" s="7">
        <f t="shared" ref="F163:F177" si="44">IFERROR(MIN(C163,D163)-B163,"")</f>
        <v>3.0580505196099352</v>
      </c>
      <c r="G163" s="7">
        <f t="shared" ref="G163:G177" si="45">IFERROR(MAX(0,C163-D163),"")</f>
        <v>0</v>
      </c>
      <c r="H163" s="7">
        <f t="shared" ref="H163:H177" si="46">IFERROR(MAX(0,D163-C163),"")</f>
        <v>11.074520392958945</v>
      </c>
      <c r="I163" s="8">
        <f>vals_ghg_incLUC!$R163</f>
        <v>39.649530807695392</v>
      </c>
      <c r="J163" s="8">
        <f>vals_ghg_incLUC!$X163</f>
        <v>42.707581327305327</v>
      </c>
      <c r="K163" s="8"/>
      <c r="L163" s="8"/>
      <c r="M163" s="8">
        <f>vals_ghg_incLUC!$S163</f>
        <v>53.782101720264272</v>
      </c>
      <c r="N163" s="8">
        <f>vals_ghg_incLUC!$Y163</f>
        <v>55.545088036354883</v>
      </c>
      <c r="O163" s="8"/>
      <c r="P163" s="8"/>
      <c r="Q163" s="9">
        <f t="shared" ref="Q163:Q177" si="47">IFERROR(MAX(0,$E163-MAX($C163,$D163)),"")</f>
        <v>1.7629863160906112</v>
      </c>
      <c r="R163" s="9">
        <v>37.774999999999999</v>
      </c>
      <c r="S163" s="9">
        <v>50.906999999999996</v>
      </c>
    </row>
    <row r="164" spans="1:19" x14ac:dyDescent="0.35">
      <c r="A164" s="3">
        <f>vals_ghg_incLUC!$A164</f>
        <v>2011</v>
      </c>
      <c r="B164" s="4">
        <f t="shared" si="40"/>
        <v>39.416929980758979</v>
      </c>
      <c r="C164" s="4">
        <f t="shared" si="41"/>
        <v>42.497417082685935</v>
      </c>
      <c r="D164" s="4">
        <f t="shared" si="42"/>
        <v>53.446834494527842</v>
      </c>
      <c r="E164" s="4">
        <f t="shared" si="43"/>
        <v>55.223390314614363</v>
      </c>
      <c r="F164" s="4">
        <f t="shared" si="44"/>
        <v>3.0804871019269555</v>
      </c>
      <c r="G164" s="4">
        <f t="shared" si="45"/>
        <v>0</v>
      </c>
      <c r="H164" s="4">
        <f t="shared" si="46"/>
        <v>10.949417411841907</v>
      </c>
      <c r="I164" s="5">
        <f>vals_ghg_incLUC!$R164</f>
        <v>39.416929980758979</v>
      </c>
      <c r="J164" s="5">
        <f>vals_ghg_incLUC!$X164</f>
        <v>42.497417082685935</v>
      </c>
      <c r="K164" s="5"/>
      <c r="L164" s="5"/>
      <c r="M164" s="5">
        <f>vals_ghg_incLUC!$S164</f>
        <v>53.446834494527842</v>
      </c>
      <c r="N164" s="5">
        <f>vals_ghg_incLUC!$Y164</f>
        <v>55.223390314614363</v>
      </c>
      <c r="O164" s="5"/>
      <c r="P164" s="5"/>
      <c r="Q164" s="9">
        <f t="shared" si="47"/>
        <v>1.7765558200865215</v>
      </c>
      <c r="R164" s="9">
        <v>37.518999999999998</v>
      </c>
      <c r="S164" s="9">
        <v>50.53</v>
      </c>
    </row>
    <row r="165" spans="1:19" x14ac:dyDescent="0.35">
      <c r="A165" s="6">
        <f>vals_ghg_incLUC!$A165</f>
        <v>2012</v>
      </c>
      <c r="B165" s="7">
        <f t="shared" si="40"/>
        <v>39.174290398520185</v>
      </c>
      <c r="C165" s="7">
        <f t="shared" si="41"/>
        <v>42.269196089136244</v>
      </c>
      <c r="D165" s="7">
        <f t="shared" si="42"/>
        <v>53.110097744507293</v>
      </c>
      <c r="E165" s="7">
        <f t="shared" si="43"/>
        <v>54.897977479379243</v>
      </c>
      <c r="F165" s="7">
        <f t="shared" si="44"/>
        <v>3.0949056906160592</v>
      </c>
      <c r="G165" s="7">
        <f t="shared" si="45"/>
        <v>0</v>
      </c>
      <c r="H165" s="7">
        <f t="shared" si="46"/>
        <v>10.840901655371049</v>
      </c>
      <c r="I165" s="8">
        <f>vals_ghg_incLUC!$R165</f>
        <v>39.174290398520185</v>
      </c>
      <c r="J165" s="8">
        <f>vals_ghg_incLUC!$X165</f>
        <v>42.269196089136244</v>
      </c>
      <c r="K165" s="8"/>
      <c r="L165" s="8"/>
      <c r="M165" s="8">
        <f>vals_ghg_incLUC!$S165</f>
        <v>53.110097744507293</v>
      </c>
      <c r="N165" s="8">
        <f>vals_ghg_incLUC!$Y165</f>
        <v>54.897977479379243</v>
      </c>
      <c r="O165" s="8"/>
      <c r="P165" s="8"/>
      <c r="Q165" s="9">
        <f t="shared" si="47"/>
        <v>1.7878797348719502</v>
      </c>
      <c r="R165" s="9">
        <v>37.252000000000002</v>
      </c>
      <c r="S165" s="9">
        <v>50.158999999999999</v>
      </c>
    </row>
    <row r="166" spans="1:19" x14ac:dyDescent="0.35">
      <c r="A166" s="3">
        <f>vals_ghg_incLUC!$A166</f>
        <v>2013</v>
      </c>
      <c r="B166" s="4">
        <f t="shared" si="40"/>
        <v>38.939589350546676</v>
      </c>
      <c r="C166" s="4">
        <f t="shared" si="41"/>
        <v>42.056395341155586</v>
      </c>
      <c r="D166" s="4">
        <f t="shared" si="42"/>
        <v>52.778369108107711</v>
      </c>
      <c r="E166" s="4">
        <f t="shared" si="43"/>
        <v>54.569710830594644</v>
      </c>
      <c r="F166" s="4">
        <f t="shared" si="44"/>
        <v>3.1168059906089098</v>
      </c>
      <c r="G166" s="4">
        <f t="shared" si="45"/>
        <v>0</v>
      </c>
      <c r="H166" s="4">
        <f t="shared" si="46"/>
        <v>10.721973766952125</v>
      </c>
      <c r="I166" s="5">
        <f>vals_ghg_incLUC!$R166</f>
        <v>38.939589350546676</v>
      </c>
      <c r="J166" s="5">
        <f>vals_ghg_incLUC!$X166</f>
        <v>42.056395341155586</v>
      </c>
      <c r="K166" s="5"/>
      <c r="L166" s="5"/>
      <c r="M166" s="5">
        <f>vals_ghg_incLUC!$S166</f>
        <v>52.778369108107711</v>
      </c>
      <c r="N166" s="5">
        <f>vals_ghg_incLUC!$Y166</f>
        <v>54.569710830594644</v>
      </c>
      <c r="O166" s="5"/>
      <c r="P166" s="5"/>
      <c r="Q166" s="9">
        <f t="shared" si="47"/>
        <v>1.7913417224869335</v>
      </c>
      <c r="R166" s="9">
        <v>36.991</v>
      </c>
      <c r="S166" s="9">
        <v>49.798999999999999</v>
      </c>
    </row>
    <row r="167" spans="1:19" x14ac:dyDescent="0.35">
      <c r="A167" s="6">
        <f>vals_ghg_incLUC!$A167</f>
        <v>2014</v>
      </c>
      <c r="B167" s="7">
        <f t="shared" si="40"/>
        <v>38.704307114999537</v>
      </c>
      <c r="C167" s="7">
        <f t="shared" si="41"/>
        <v>41.834567776394493</v>
      </c>
      <c r="D167" s="7">
        <f t="shared" si="42"/>
        <v>52.442587002263686</v>
      </c>
      <c r="E167" s="7">
        <f t="shared" si="43"/>
        <v>54.238607985861329</v>
      </c>
      <c r="F167" s="7">
        <f t="shared" si="44"/>
        <v>3.1302606613949564</v>
      </c>
      <c r="G167" s="7">
        <f t="shared" si="45"/>
        <v>0</v>
      </c>
      <c r="H167" s="7">
        <f t="shared" si="46"/>
        <v>10.608019225869192</v>
      </c>
      <c r="I167" s="8">
        <f>vals_ghg_incLUC!$R167</f>
        <v>38.704307114999537</v>
      </c>
      <c r="J167" s="8">
        <f>vals_ghg_incLUC!$X167</f>
        <v>41.834567776394493</v>
      </c>
      <c r="K167" s="8"/>
      <c r="L167" s="8"/>
      <c r="M167" s="8">
        <f>vals_ghg_incLUC!$S167</f>
        <v>52.442587002263686</v>
      </c>
      <c r="N167" s="8">
        <f>vals_ghg_incLUC!$Y167</f>
        <v>54.238607985861329</v>
      </c>
      <c r="O167" s="8"/>
      <c r="P167" s="8"/>
      <c r="Q167" s="9">
        <f t="shared" si="47"/>
        <v>1.7960209835976428</v>
      </c>
      <c r="R167" s="9">
        <v>36.732999999999997</v>
      </c>
      <c r="S167" s="9">
        <v>49.444000000000003</v>
      </c>
    </row>
    <row r="168" spans="1:19" x14ac:dyDescent="0.35">
      <c r="A168" s="3">
        <f>vals_ghg_incLUC!$A168</f>
        <v>2015</v>
      </c>
      <c r="B168" s="4">
        <f t="shared" si="40"/>
        <v>38.468939302269334</v>
      </c>
      <c r="C168" s="4">
        <f t="shared" si="41"/>
        <v>41.598447752933154</v>
      </c>
      <c r="D168" s="4">
        <f t="shared" si="42"/>
        <v>52.118430225427062</v>
      </c>
      <c r="E168" s="4">
        <f t="shared" si="43"/>
        <v>53.891823243458639</v>
      </c>
      <c r="F168" s="4">
        <f t="shared" si="44"/>
        <v>3.1295084506638204</v>
      </c>
      <c r="G168" s="4">
        <f t="shared" si="45"/>
        <v>0</v>
      </c>
      <c r="H168" s="4">
        <f t="shared" si="46"/>
        <v>10.519982472493908</v>
      </c>
      <c r="I168" s="5">
        <f>vals_ghg_incLUC!$R168</f>
        <v>38.468939302269334</v>
      </c>
      <c r="J168" s="5">
        <f>vals_ghg_incLUC!$X168</f>
        <v>41.598447752933154</v>
      </c>
      <c r="K168" s="5"/>
      <c r="L168" s="5"/>
      <c r="M168" s="5">
        <f>vals_ghg_incLUC!$S168</f>
        <v>52.118430225427062</v>
      </c>
      <c r="N168" s="5">
        <f>vals_ghg_incLUC!$Y168</f>
        <v>53.891823243458639</v>
      </c>
      <c r="O168" s="5"/>
      <c r="P168" s="5"/>
      <c r="Q168" s="9">
        <f t="shared" si="47"/>
        <v>1.7733930180315767</v>
      </c>
      <c r="R168" s="9">
        <v>36.479999999999997</v>
      </c>
      <c r="S168" s="9">
        <v>49.11</v>
      </c>
    </row>
    <row r="169" spans="1:19" x14ac:dyDescent="0.35">
      <c r="A169" s="6">
        <f>vals_ghg_incLUC!$A169</f>
        <v>2016</v>
      </c>
      <c r="B169" s="7">
        <f t="shared" si="40"/>
        <v>38.249986702530414</v>
      </c>
      <c r="C169" s="7">
        <f t="shared" si="41"/>
        <v>41.364344551148172</v>
      </c>
      <c r="D169" s="7">
        <f t="shared" si="42"/>
        <v>51.819597351249683</v>
      </c>
      <c r="E169" s="7">
        <f t="shared" si="43"/>
        <v>53.558754824219534</v>
      </c>
      <c r="F169" s="7">
        <f t="shared" si="44"/>
        <v>3.1143578486177574</v>
      </c>
      <c r="G169" s="7">
        <f t="shared" si="45"/>
        <v>0</v>
      </c>
      <c r="H169" s="7">
        <f t="shared" si="46"/>
        <v>10.455252800101512</v>
      </c>
      <c r="I169" s="8">
        <f>vals_ghg_incLUC!$R169</f>
        <v>38.249986702530414</v>
      </c>
      <c r="J169" s="8">
        <f>vals_ghg_incLUC!$X169</f>
        <v>41.364344551148172</v>
      </c>
      <c r="K169" s="8"/>
      <c r="L169" s="8"/>
      <c r="M169" s="8">
        <f>vals_ghg_incLUC!$S169</f>
        <v>51.819597351249683</v>
      </c>
      <c r="N169" s="8">
        <f>vals_ghg_incLUC!$Y169</f>
        <v>53.558754824219534</v>
      </c>
      <c r="O169" s="8"/>
      <c r="P169" s="8"/>
      <c r="Q169" s="9">
        <f t="shared" si="47"/>
        <v>1.7391574729698505</v>
      </c>
      <c r="R169" s="9">
        <v>36.241999999999997</v>
      </c>
      <c r="S169" s="9">
        <v>48.804000000000002</v>
      </c>
    </row>
    <row r="170" spans="1:19" x14ac:dyDescent="0.35">
      <c r="A170" s="3">
        <f>vals_ghg_incLUC!$A170</f>
        <v>2017</v>
      </c>
      <c r="B170" s="4">
        <f t="shared" si="40"/>
        <v>38.031829710975778</v>
      </c>
      <c r="C170" s="4">
        <f t="shared" si="41"/>
        <v>41.130795594297176</v>
      </c>
      <c r="D170" s="4">
        <f t="shared" si="42"/>
        <v>51.522796139701867</v>
      </c>
      <c r="E170" s="4">
        <f t="shared" si="43"/>
        <v>53.225407728105026</v>
      </c>
      <c r="F170" s="4">
        <f t="shared" si="44"/>
        <v>3.098965883321398</v>
      </c>
      <c r="G170" s="4">
        <f t="shared" si="45"/>
        <v>0</v>
      </c>
      <c r="H170" s="4">
        <f t="shared" si="46"/>
        <v>10.392000545404692</v>
      </c>
      <c r="I170" s="5">
        <f>vals_ghg_incLUC!$R170</f>
        <v>38.031829710975778</v>
      </c>
      <c r="J170" s="5">
        <f>vals_ghg_incLUC!$X170</f>
        <v>41.130795594297176</v>
      </c>
      <c r="K170" s="5"/>
      <c r="L170" s="5"/>
      <c r="M170" s="5">
        <f>vals_ghg_incLUC!$S170</f>
        <v>51.522796139701867</v>
      </c>
      <c r="N170" s="5">
        <f>vals_ghg_incLUC!$Y170</f>
        <v>53.225407728105026</v>
      </c>
      <c r="O170" s="5"/>
      <c r="P170" s="5"/>
      <c r="Q170" s="9">
        <f t="shared" si="47"/>
        <v>1.7026115884031583</v>
      </c>
      <c r="R170" s="9">
        <v>36.003999999999998</v>
      </c>
      <c r="S170" s="9">
        <v>48.502000000000002</v>
      </c>
    </row>
    <row r="171" spans="1:19" x14ac:dyDescent="0.35">
      <c r="A171" s="6">
        <f>vals_ghg_incLUC!$A171</f>
        <v>2018</v>
      </c>
      <c r="B171" s="7">
        <f t="shared" si="40"/>
        <v>37.815929859834917</v>
      </c>
      <c r="C171" s="7">
        <f t="shared" si="41"/>
        <v>40.90101201947892</v>
      </c>
      <c r="D171" s="7">
        <f t="shared" si="42"/>
        <v>51.228011470662253</v>
      </c>
      <c r="E171" s="7">
        <f t="shared" si="43"/>
        <v>52.903777212894077</v>
      </c>
      <c r="F171" s="7">
        <f t="shared" si="44"/>
        <v>3.0850821596440028</v>
      </c>
      <c r="G171" s="7">
        <f t="shared" si="45"/>
        <v>0</v>
      </c>
      <c r="H171" s="7">
        <f t="shared" si="46"/>
        <v>10.326999451183333</v>
      </c>
      <c r="I171" s="8">
        <f>vals_ghg_incLUC!$R171</f>
        <v>37.815929859834917</v>
      </c>
      <c r="J171" s="8">
        <f>vals_ghg_incLUC!$X171</f>
        <v>40.90101201947892</v>
      </c>
      <c r="K171" s="8"/>
      <c r="L171" s="8"/>
      <c r="M171" s="8">
        <f>vals_ghg_incLUC!$S171</f>
        <v>51.228011470662253</v>
      </c>
      <c r="N171" s="8">
        <f>vals_ghg_incLUC!$Y171</f>
        <v>52.903777212894077</v>
      </c>
      <c r="O171" s="8"/>
      <c r="P171" s="8"/>
      <c r="Q171" s="9">
        <f t="shared" si="47"/>
        <v>1.6757657422318246</v>
      </c>
      <c r="R171" s="9">
        <v>35.768000000000001</v>
      </c>
      <c r="S171" s="9">
        <v>48.203000000000003</v>
      </c>
    </row>
    <row r="172" spans="1:19" x14ac:dyDescent="0.35">
      <c r="A172" s="3">
        <f>vals_ghg_incLUC!$A172</f>
        <v>2019</v>
      </c>
      <c r="B172" s="4">
        <f t="shared" si="40"/>
        <v>37.592006398611346</v>
      </c>
      <c r="C172" s="4">
        <f t="shared" si="41"/>
        <v>40.658535017995611</v>
      </c>
      <c r="D172" s="4">
        <f t="shared" si="42"/>
        <v>50.923522236959904</v>
      </c>
      <c r="E172" s="4">
        <f t="shared" si="43"/>
        <v>52.571924938552627</v>
      </c>
      <c r="F172" s="4">
        <f t="shared" si="44"/>
        <v>3.0665286193842647</v>
      </c>
      <c r="G172" s="4">
        <f t="shared" si="45"/>
        <v>0</v>
      </c>
      <c r="H172" s="4">
        <f t="shared" si="46"/>
        <v>10.264987218964293</v>
      </c>
      <c r="I172" s="5">
        <f>vals_ghg_incLUC!$R172</f>
        <v>37.592006398611346</v>
      </c>
      <c r="J172" s="5">
        <f>vals_ghg_incLUC!$X172</f>
        <v>40.658535017995611</v>
      </c>
      <c r="K172" s="5"/>
      <c r="L172" s="5"/>
      <c r="M172" s="5">
        <f>vals_ghg_incLUC!$S172</f>
        <v>50.923522236959904</v>
      </c>
      <c r="N172" s="5">
        <f>vals_ghg_incLUC!$Y172</f>
        <v>52.571924938552627</v>
      </c>
      <c r="O172" s="5"/>
      <c r="P172" s="5"/>
      <c r="Q172" s="9">
        <f t="shared" si="47"/>
        <v>1.6484027015927225</v>
      </c>
      <c r="R172" s="9">
        <v>35.524000000000001</v>
      </c>
      <c r="S172" s="9">
        <v>47.896999999999998</v>
      </c>
    </row>
    <row r="173" spans="1:19" x14ac:dyDescent="0.35">
      <c r="A173" s="6">
        <f>vals_ghg_incLUC!$A173</f>
        <v>2020</v>
      </c>
      <c r="B173" s="7">
        <f t="shared" si="40"/>
        <v>37.365976273004222</v>
      </c>
      <c r="C173" s="7">
        <f t="shared" si="41"/>
        <v>40.419392284580546</v>
      </c>
      <c r="D173" s="7">
        <f t="shared" si="42"/>
        <v>50.621740317746145</v>
      </c>
      <c r="E173" s="7">
        <f t="shared" si="43"/>
        <v>52.244623311092397</v>
      </c>
      <c r="F173" s="7">
        <f t="shared" si="44"/>
        <v>3.0534160115763243</v>
      </c>
      <c r="G173" s="7">
        <f t="shared" si="45"/>
        <v>0</v>
      </c>
      <c r="H173" s="7">
        <f t="shared" si="46"/>
        <v>10.202348033165599</v>
      </c>
      <c r="I173" s="8">
        <f>vals_ghg_incLUC!$R173</f>
        <v>37.365976273004222</v>
      </c>
      <c r="J173" s="8">
        <f>vals_ghg_incLUC!$X173</f>
        <v>40.419392284580546</v>
      </c>
      <c r="K173" s="8"/>
      <c r="L173" s="8"/>
      <c r="M173" s="8">
        <f>vals_ghg_incLUC!$S173</f>
        <v>50.621740317746145</v>
      </c>
      <c r="N173" s="8">
        <f>vals_ghg_incLUC!$Y173</f>
        <v>52.244623311092397</v>
      </c>
      <c r="O173" s="8"/>
      <c r="P173" s="8"/>
      <c r="Q173" s="9">
        <f t="shared" si="47"/>
        <v>1.6228829933462521</v>
      </c>
      <c r="R173" s="9">
        <v>35.279000000000003</v>
      </c>
      <c r="S173" s="9">
        <v>47.594999999999999</v>
      </c>
    </row>
    <row r="174" spans="1:19" x14ac:dyDescent="0.35">
      <c r="A174" s="3">
        <f>vals_ghg_incLUC!$A174</f>
        <v>2021</v>
      </c>
      <c r="B174" s="4">
        <f t="shared" si="40"/>
        <v>37.141489340821373</v>
      </c>
      <c r="C174" s="4">
        <f t="shared" si="41"/>
        <v>40.163016247609598</v>
      </c>
      <c r="D174" s="4">
        <f t="shared" si="42"/>
        <v>50.322092085791013</v>
      </c>
      <c r="E174" s="4">
        <f t="shared" si="43"/>
        <v>51.908271406400672</v>
      </c>
      <c r="F174" s="4">
        <f t="shared" si="44"/>
        <v>3.0215269067882247</v>
      </c>
      <c r="G174" s="4">
        <f t="shared" si="45"/>
        <v>0</v>
      </c>
      <c r="H174" s="4">
        <f t="shared" si="46"/>
        <v>10.159075838181415</v>
      </c>
      <c r="I174" s="5">
        <f>vals_ghg_incLUC!$R174</f>
        <v>37.141489340821373</v>
      </c>
      <c r="J174" s="5">
        <f>vals_ghg_incLUC!$X174</f>
        <v>40.163016247609598</v>
      </c>
      <c r="K174" s="5"/>
      <c r="L174" s="5"/>
      <c r="M174" s="5">
        <f>vals_ghg_incLUC!$S174</f>
        <v>50.322092085791013</v>
      </c>
      <c r="N174" s="5">
        <f>vals_ghg_incLUC!$Y174</f>
        <v>51.908271406400672</v>
      </c>
      <c r="O174" s="5"/>
      <c r="P174" s="5"/>
      <c r="Q174" s="9">
        <f t="shared" si="47"/>
        <v>1.5861793206096593</v>
      </c>
      <c r="R174" s="9">
        <v>35.036000000000001</v>
      </c>
      <c r="S174" s="9">
        <v>47.295000000000002</v>
      </c>
    </row>
    <row r="175" spans="1:19" x14ac:dyDescent="0.35">
      <c r="A175" s="6">
        <f>vals_ghg_incLUC!$A175</f>
        <v>2022</v>
      </c>
      <c r="B175" s="7">
        <f t="shared" si="40"/>
        <v>36.911996924475638</v>
      </c>
      <c r="C175" s="7">
        <f t="shared" si="41"/>
        <v>39.898435766875416</v>
      </c>
      <c r="D175" s="7">
        <f t="shared" si="42"/>
        <v>50.015586507526933</v>
      </c>
      <c r="E175" s="7">
        <f t="shared" si="43"/>
        <v>51.541678587235552</v>
      </c>
      <c r="F175" s="7">
        <f t="shared" si="44"/>
        <v>2.9864388423997781</v>
      </c>
      <c r="G175" s="7">
        <f t="shared" si="45"/>
        <v>0</v>
      </c>
      <c r="H175" s="7">
        <f t="shared" si="46"/>
        <v>10.117150740651518</v>
      </c>
      <c r="I175" s="8">
        <f>vals_ghg_incLUC!$R175</f>
        <v>36.911996924475638</v>
      </c>
      <c r="J175" s="8">
        <f>vals_ghg_incLUC!$X175</f>
        <v>39.898435766875416</v>
      </c>
      <c r="K175" s="8"/>
      <c r="L175" s="8"/>
      <c r="M175" s="8">
        <f>vals_ghg_incLUC!$S175</f>
        <v>50.015586507526933</v>
      </c>
      <c r="N175" s="8">
        <f>vals_ghg_incLUC!$Y175</f>
        <v>51.541678587235552</v>
      </c>
      <c r="O175" s="8"/>
      <c r="P175" s="8"/>
      <c r="Q175" s="9">
        <f t="shared" si="47"/>
        <v>1.5260920797086186</v>
      </c>
      <c r="R175" s="9">
        <v>34.784999999999997</v>
      </c>
      <c r="S175" s="9">
        <v>46.982999999999997</v>
      </c>
    </row>
    <row r="176" spans="1:19" x14ac:dyDescent="0.35">
      <c r="A176" s="3">
        <f>vals_ghg_incLUC!$A176</f>
        <v>2023</v>
      </c>
      <c r="B176" s="4">
        <f t="shared" si="40"/>
        <v>36.673499400702113</v>
      </c>
      <c r="C176" s="4">
        <f t="shared" si="41"/>
        <v>39.625471678559343</v>
      </c>
      <c r="D176" s="4">
        <f t="shared" si="42"/>
        <v>49.701283568527657</v>
      </c>
      <c r="E176" s="4">
        <f t="shared" si="43"/>
        <v>51.168517481633025</v>
      </c>
      <c r="F176" s="4">
        <f t="shared" si="44"/>
        <v>2.9519722778572302</v>
      </c>
      <c r="G176" s="4">
        <f t="shared" si="45"/>
        <v>0</v>
      </c>
      <c r="H176" s="4">
        <f t="shared" si="46"/>
        <v>10.075811889968314</v>
      </c>
      <c r="I176" s="5">
        <f>vals_ghg_incLUC!$R176</f>
        <v>36.673499400702113</v>
      </c>
      <c r="J176" s="5">
        <f>vals_ghg_incLUC!$X176</f>
        <v>39.625471678559343</v>
      </c>
      <c r="K176" s="5"/>
      <c r="L176" s="5"/>
      <c r="M176" s="5">
        <f>vals_ghg_incLUC!$S176</f>
        <v>49.701283568527657</v>
      </c>
      <c r="N176" s="5">
        <f>vals_ghg_incLUC!$Y176</f>
        <v>51.168517481633025</v>
      </c>
      <c r="O176" s="5"/>
      <c r="P176" s="5"/>
      <c r="Q176" s="9">
        <f t="shared" si="47"/>
        <v>1.4672339131053675</v>
      </c>
      <c r="R176" s="9">
        <v>34.536999999999999</v>
      </c>
      <c r="S176" s="9">
        <v>46.673000000000002</v>
      </c>
    </row>
    <row r="177" spans="1:19" x14ac:dyDescent="0.35">
      <c r="A177" s="6">
        <f>vals_ghg_incLUC!$A177</f>
        <v>2024</v>
      </c>
      <c r="B177" s="7">
        <f t="shared" si="40"/>
        <v>36.435551692977214</v>
      </c>
      <c r="C177" s="7">
        <f t="shared" si="41"/>
        <v>39.454284995586661</v>
      </c>
      <c r="D177" s="7">
        <f t="shared" si="42"/>
        <v>49.389955639381689</v>
      </c>
      <c r="E177" s="7">
        <f t="shared" si="43"/>
        <v>50.956620873612302</v>
      </c>
      <c r="F177" s="7">
        <f t="shared" si="44"/>
        <v>3.0187333026094478</v>
      </c>
      <c r="G177" s="7">
        <f t="shared" si="45"/>
        <v>0</v>
      </c>
      <c r="H177" s="7">
        <f t="shared" si="46"/>
        <v>9.935670643795028</v>
      </c>
      <c r="I177" s="8">
        <f>vals_ghg_incLUC!$R177</f>
        <v>36.435551692977214</v>
      </c>
      <c r="J177" s="8">
        <f>vals_ghg_incLUC!$X177</f>
        <v>39.454284995586661</v>
      </c>
      <c r="K177" s="8"/>
      <c r="L177" s="8"/>
      <c r="M177" s="8">
        <f>vals_ghg_incLUC!$S177</f>
        <v>49.389955639381689</v>
      </c>
      <c r="N177" s="8">
        <f>vals_ghg_incLUC!$Y177</f>
        <v>50.956620873612302</v>
      </c>
      <c r="O177" s="8"/>
      <c r="P177" s="8"/>
      <c r="Q177" s="9">
        <f t="shared" si="47"/>
        <v>1.5666652342306122</v>
      </c>
      <c r="R177" s="9">
        <v>34.289000000000001</v>
      </c>
      <c r="S177" s="9">
        <v>46.369</v>
      </c>
    </row>
  </sheetData>
  <mergeCells count="1">
    <mergeCell ref="A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5CBE-F03D-4F47-847D-617136A2013A}">
  <dimension ref="A2:Y177"/>
  <sheetViews>
    <sheetView workbookViewId="0"/>
  </sheetViews>
  <sheetFormatPr defaultRowHeight="14.5" x14ac:dyDescent="0.35"/>
  <sheetData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</row>
    <row r="3" spans="1:25" x14ac:dyDescent="0.35">
      <c r="A3">
        <v>1850</v>
      </c>
      <c r="B3">
        <v>375.32400000000001</v>
      </c>
      <c r="C3">
        <v>451.71899999999999</v>
      </c>
      <c r="D3">
        <v>230.60499999999999</v>
      </c>
      <c r="E3">
        <v>608.53800000000001</v>
      </c>
      <c r="F3">
        <v>805.61</v>
      </c>
      <c r="G3">
        <v>757.79</v>
      </c>
      <c r="N3">
        <f>IFERROR(SUM($B$3:$B3),"")</f>
        <v>375.32400000000001</v>
      </c>
      <c r="O3">
        <f>IFERROR(SUM($C$3:$C3),"")</f>
        <v>451.71899999999999</v>
      </c>
      <c r="P3">
        <f>IFERROR(SUM($D$3:$D3),"")</f>
        <v>230.60499999999999</v>
      </c>
      <c r="Q3">
        <f t="shared" ref="Q3:Q34" si="0">IFERROR(O3+P3,"")</f>
        <v>682.32399999999996</v>
      </c>
      <c r="R3">
        <f t="shared" ref="R3:R34" si="1">IFERROR(N3/Q3*100,NA())</f>
        <v>55.006712353661904</v>
      </c>
      <c r="S3">
        <f t="shared" ref="S3:S34" si="2">IFERROR(O3/Q3*100,NA())</f>
        <v>66.203006196469715</v>
      </c>
      <c r="T3">
        <f>IFERROR(SUM($E$3:$E3),"")</f>
        <v>608.53800000000001</v>
      </c>
      <c r="U3">
        <f>IFERROR(SUM($F$3:$F3),"")</f>
        <v>805.61</v>
      </c>
      <c r="V3">
        <f>IFERROR(SUM($G$3:$G3),"")</f>
        <v>757.79</v>
      </c>
      <c r="W3">
        <f t="shared" ref="W3:W34" si="3">IFERROR(U3+V3,"")</f>
        <v>1563.4</v>
      </c>
      <c r="X3">
        <f t="shared" ref="X3:X34" si="4">IFERROR(T3/W3*100,NA())</f>
        <v>38.924011769220925</v>
      </c>
      <c r="Y3">
        <f t="shared" ref="Y3:Y34" si="5">IFERROR(U3/W3*100,NA())</f>
        <v>51.529359089164636</v>
      </c>
    </row>
    <row r="4" spans="1:25" x14ac:dyDescent="0.35">
      <c r="A4">
        <v>1851</v>
      </c>
      <c r="B4">
        <v>377.22199999999998</v>
      </c>
      <c r="C4">
        <v>454.87900000000002</v>
      </c>
      <c r="D4">
        <v>230.577</v>
      </c>
      <c r="E4">
        <v>614.06500000000005</v>
      </c>
      <c r="F4">
        <v>813.995</v>
      </c>
      <c r="G4">
        <v>759.21299999999997</v>
      </c>
      <c r="N4">
        <f>IFERROR(SUM($B$3:$B4),"")</f>
        <v>752.54600000000005</v>
      </c>
      <c r="O4">
        <f>IFERROR(SUM($C$3:$C4),"")</f>
        <v>906.59799999999996</v>
      </c>
      <c r="P4">
        <f>IFERROR(SUM($D$3:$D4),"")</f>
        <v>461.18200000000002</v>
      </c>
      <c r="Q4">
        <f t="shared" si="0"/>
        <v>1367.78</v>
      </c>
      <c r="R4">
        <f t="shared" si="1"/>
        <v>55.019520683150802</v>
      </c>
      <c r="S4">
        <f t="shared" si="2"/>
        <v>66.282443082951943</v>
      </c>
      <c r="T4">
        <f>IFERROR(SUM($E$3:$E4),"")</f>
        <v>1222.6030000000001</v>
      </c>
      <c r="U4">
        <f>IFERROR(SUM($F$3:$F4),"")</f>
        <v>1619.605</v>
      </c>
      <c r="V4">
        <f>IFERROR(SUM($G$3:$G4),"")</f>
        <v>1517.0029999999999</v>
      </c>
      <c r="W4">
        <f t="shared" si="3"/>
        <v>3136.6080000000002</v>
      </c>
      <c r="X4">
        <f t="shared" si="4"/>
        <v>38.978507993348224</v>
      </c>
      <c r="Y4">
        <f t="shared" si="5"/>
        <v>51.635556626776435</v>
      </c>
    </row>
    <row r="5" spans="1:25" x14ac:dyDescent="0.35">
      <c r="A5">
        <v>1852</v>
      </c>
      <c r="B5">
        <v>387.49099999999999</v>
      </c>
      <c r="C5">
        <v>466.75900000000001</v>
      </c>
      <c r="D5">
        <v>230.70400000000001</v>
      </c>
      <c r="E5">
        <v>627.67999999999995</v>
      </c>
      <c r="F5">
        <v>830.76099999999997</v>
      </c>
      <c r="G5">
        <v>760.70899999999995</v>
      </c>
      <c r="N5">
        <f>IFERROR(SUM($B$3:$B5),"")</f>
        <v>1140.037</v>
      </c>
      <c r="O5">
        <f>IFERROR(SUM($C$3:$C5),"")</f>
        <v>1373.357</v>
      </c>
      <c r="P5">
        <f>IFERROR(SUM($D$3:$D5),"")</f>
        <v>691.88599999999997</v>
      </c>
      <c r="Q5">
        <f t="shared" si="0"/>
        <v>2065.2429999999999</v>
      </c>
      <c r="R5">
        <f t="shared" si="1"/>
        <v>55.201107085219512</v>
      </c>
      <c r="S5">
        <f t="shared" si="2"/>
        <v>66.498566996716619</v>
      </c>
      <c r="T5">
        <f>IFERROR(SUM($E$3:$E5),"")</f>
        <v>1850.2829999999999</v>
      </c>
      <c r="U5">
        <f>IFERROR(SUM($F$3:$F5),"")</f>
        <v>2450.366</v>
      </c>
      <c r="V5">
        <f>IFERROR(SUM($G$3:$G5),"")</f>
        <v>2277.712</v>
      </c>
      <c r="W5">
        <f t="shared" si="3"/>
        <v>4728.0779999999995</v>
      </c>
      <c r="X5">
        <f t="shared" si="4"/>
        <v>39.1339356076613</v>
      </c>
      <c r="Y5">
        <f t="shared" si="5"/>
        <v>51.825837052603617</v>
      </c>
    </row>
    <row r="6" spans="1:25" x14ac:dyDescent="0.35">
      <c r="A6">
        <v>1853</v>
      </c>
      <c r="B6">
        <v>400.15199999999999</v>
      </c>
      <c r="C6">
        <v>480.44099999999997</v>
      </c>
      <c r="D6">
        <v>230.70699999999999</v>
      </c>
      <c r="E6">
        <v>643.59299999999996</v>
      </c>
      <c r="F6">
        <v>849.23</v>
      </c>
      <c r="G6">
        <v>762.197</v>
      </c>
      <c r="N6">
        <f>IFERROR(SUM($B$3:$B6),"")</f>
        <v>1540.1890000000001</v>
      </c>
      <c r="O6">
        <f>IFERROR(SUM($C$3:$C6),"")</f>
        <v>1853.798</v>
      </c>
      <c r="P6">
        <f>IFERROR(SUM($D$3:$D6),"")</f>
        <v>922.59299999999996</v>
      </c>
      <c r="Q6">
        <f t="shared" si="0"/>
        <v>2776.3910000000001</v>
      </c>
      <c r="R6">
        <f t="shared" si="1"/>
        <v>55.474499088925157</v>
      </c>
      <c r="S6">
        <f t="shared" si="2"/>
        <v>66.770062285895605</v>
      </c>
      <c r="T6">
        <f>IFERROR(SUM($E$3:$E6),"")</f>
        <v>2493.8759999999997</v>
      </c>
      <c r="U6">
        <f>IFERROR(SUM($F$3:$F6),"")</f>
        <v>3299.596</v>
      </c>
      <c r="V6">
        <f>IFERROR(SUM($G$3:$G6),"")</f>
        <v>3039.9090000000001</v>
      </c>
      <c r="W6">
        <f t="shared" si="3"/>
        <v>6339.5050000000001</v>
      </c>
      <c r="X6">
        <f t="shared" si="4"/>
        <v>39.33865498962458</v>
      </c>
      <c r="Y6">
        <f t="shared" si="5"/>
        <v>52.048164643769503</v>
      </c>
    </row>
    <row r="7" spans="1:25" x14ac:dyDescent="0.35">
      <c r="A7">
        <v>1854</v>
      </c>
      <c r="B7">
        <v>445.60500000000002</v>
      </c>
      <c r="C7">
        <v>527.31100000000004</v>
      </c>
      <c r="D7">
        <v>230.666</v>
      </c>
      <c r="E7">
        <v>692.77700000000004</v>
      </c>
      <c r="F7">
        <v>901.346</v>
      </c>
      <c r="G7">
        <v>763.66399999999999</v>
      </c>
      <c r="N7">
        <f>IFERROR(SUM($B$3:$B7),"")</f>
        <v>1985.7940000000001</v>
      </c>
      <c r="O7">
        <f>IFERROR(SUM($C$3:$C7),"")</f>
        <v>2381.1089999999999</v>
      </c>
      <c r="P7">
        <f>IFERROR(SUM($D$3:$D7),"")</f>
        <v>1153.259</v>
      </c>
      <c r="Q7">
        <f t="shared" si="0"/>
        <v>3534.3679999999999</v>
      </c>
      <c r="R7">
        <f t="shared" si="1"/>
        <v>56.185264239603804</v>
      </c>
      <c r="S7">
        <f t="shared" si="2"/>
        <v>67.37014934494654</v>
      </c>
      <c r="T7">
        <f>IFERROR(SUM($E$3:$E7),"")</f>
        <v>3186.6529999999998</v>
      </c>
      <c r="U7">
        <f>IFERROR(SUM($F$3:$F7),"")</f>
        <v>4200.942</v>
      </c>
      <c r="V7">
        <f>IFERROR(SUM($G$3:$G7),"")</f>
        <v>3803.5730000000003</v>
      </c>
      <c r="W7">
        <f t="shared" si="3"/>
        <v>8004.5150000000003</v>
      </c>
      <c r="X7">
        <f t="shared" si="4"/>
        <v>39.810694339382209</v>
      </c>
      <c r="Y7">
        <f t="shared" si="5"/>
        <v>52.482155383555408</v>
      </c>
    </row>
    <row r="8" spans="1:25" x14ac:dyDescent="0.35">
      <c r="A8">
        <v>1855</v>
      </c>
      <c r="B8">
        <v>451.43700000000001</v>
      </c>
      <c r="C8">
        <v>535.24400000000003</v>
      </c>
      <c r="D8">
        <v>230.934</v>
      </c>
      <c r="E8">
        <v>701.78099999999995</v>
      </c>
      <c r="F8">
        <v>913.68</v>
      </c>
      <c r="G8">
        <v>765.09799999999996</v>
      </c>
      <c r="N8">
        <f>IFERROR(SUM($B$3:$B8),"")</f>
        <v>2437.2310000000002</v>
      </c>
      <c r="O8">
        <f>IFERROR(SUM($C$3:$C8),"")</f>
        <v>2916.3530000000001</v>
      </c>
      <c r="P8">
        <f>IFERROR(SUM($D$3:$D8),"")</f>
        <v>1384.193</v>
      </c>
      <c r="Q8">
        <f t="shared" si="0"/>
        <v>4300.5460000000003</v>
      </c>
      <c r="R8">
        <f t="shared" si="1"/>
        <v>56.672594596128022</v>
      </c>
      <c r="S8">
        <f t="shared" si="2"/>
        <v>67.813552046647089</v>
      </c>
      <c r="T8">
        <f>IFERROR(SUM($E$3:$E8),"")</f>
        <v>3888.4339999999997</v>
      </c>
      <c r="U8">
        <f>IFERROR(SUM($F$3:$F8),"")</f>
        <v>5114.6220000000003</v>
      </c>
      <c r="V8">
        <f>IFERROR(SUM($G$3:$G8),"")</f>
        <v>4568.6710000000003</v>
      </c>
      <c r="W8">
        <f t="shared" si="3"/>
        <v>9683.2930000000015</v>
      </c>
      <c r="X8">
        <f t="shared" si="4"/>
        <v>40.15611218208516</v>
      </c>
      <c r="Y8">
        <f t="shared" si="5"/>
        <v>52.819035838324837</v>
      </c>
    </row>
    <row r="9" spans="1:25" x14ac:dyDescent="0.35">
      <c r="A9">
        <v>1856</v>
      </c>
      <c r="B9">
        <v>472.505</v>
      </c>
      <c r="C9">
        <v>557.57100000000003</v>
      </c>
      <c r="D9">
        <v>231.73500000000001</v>
      </c>
      <c r="E9">
        <v>725.99</v>
      </c>
      <c r="F9">
        <v>940.88599999999997</v>
      </c>
      <c r="G9">
        <v>766.46500000000003</v>
      </c>
      <c r="N9">
        <f>IFERROR(SUM($B$3:$B9),"")</f>
        <v>2909.7360000000003</v>
      </c>
      <c r="O9">
        <f>IFERROR(SUM($C$3:$C9),"")</f>
        <v>3473.924</v>
      </c>
      <c r="P9">
        <f>IFERROR(SUM($D$3:$D9),"")</f>
        <v>1615.9279999999999</v>
      </c>
      <c r="Q9">
        <f t="shared" si="0"/>
        <v>5089.8519999999999</v>
      </c>
      <c r="R9">
        <f t="shared" si="1"/>
        <v>57.167398973486861</v>
      </c>
      <c r="S9">
        <f t="shared" si="2"/>
        <v>68.251964890138268</v>
      </c>
      <c r="T9">
        <f>IFERROR(SUM($E$3:$E9),"")</f>
        <v>4614.424</v>
      </c>
      <c r="U9">
        <f>IFERROR(SUM($F$3:$F9),"")</f>
        <v>6055.5079999999998</v>
      </c>
      <c r="V9">
        <f>IFERROR(SUM($G$3:$G9),"")</f>
        <v>5335.1360000000004</v>
      </c>
      <c r="W9">
        <f t="shared" si="3"/>
        <v>11390.644</v>
      </c>
      <c r="X9">
        <f t="shared" si="4"/>
        <v>40.510650670848811</v>
      </c>
      <c r="Y9">
        <f t="shared" si="5"/>
        <v>53.162121474431125</v>
      </c>
    </row>
    <row r="10" spans="1:25" x14ac:dyDescent="0.35">
      <c r="A10">
        <v>1857</v>
      </c>
      <c r="B10">
        <v>476.11099999999999</v>
      </c>
      <c r="C10">
        <v>562.51499999999999</v>
      </c>
      <c r="D10">
        <v>232.11199999999999</v>
      </c>
      <c r="E10">
        <v>732.44100000000003</v>
      </c>
      <c r="F10">
        <v>950.09900000000005</v>
      </c>
      <c r="G10">
        <v>767.81</v>
      </c>
      <c r="N10">
        <f>IFERROR(SUM($B$3:$B10),"")</f>
        <v>3385.8470000000002</v>
      </c>
      <c r="O10">
        <f>IFERROR(SUM($C$3:$C10),"")</f>
        <v>4036.4389999999999</v>
      </c>
      <c r="P10">
        <f>IFERROR(SUM($D$3:$D10),"")</f>
        <v>1848.04</v>
      </c>
      <c r="Q10">
        <f t="shared" si="0"/>
        <v>5884.4789999999994</v>
      </c>
      <c r="R10">
        <f t="shared" si="1"/>
        <v>57.538602822781769</v>
      </c>
      <c r="S10">
        <f t="shared" si="2"/>
        <v>68.594670828122588</v>
      </c>
      <c r="T10">
        <f>IFERROR(SUM($E$3:$E10),"")</f>
        <v>5346.8649999999998</v>
      </c>
      <c r="U10">
        <f>IFERROR(SUM($F$3:$F10),"")</f>
        <v>7005.607</v>
      </c>
      <c r="V10">
        <f>IFERROR(SUM($G$3:$G10),"")</f>
        <v>6102.9459999999999</v>
      </c>
      <c r="W10">
        <f t="shared" si="3"/>
        <v>13108.553</v>
      </c>
      <c r="X10">
        <f t="shared" si="4"/>
        <v>40.789132103291642</v>
      </c>
      <c r="Y10">
        <f t="shared" si="5"/>
        <v>53.443023039995339</v>
      </c>
    </row>
    <row r="11" spans="1:25" x14ac:dyDescent="0.35">
      <c r="A11">
        <v>1858</v>
      </c>
      <c r="B11">
        <v>479.73500000000001</v>
      </c>
      <c r="C11">
        <v>568.36300000000006</v>
      </c>
      <c r="D11">
        <v>232.80600000000001</v>
      </c>
      <c r="E11">
        <v>738.92499999999995</v>
      </c>
      <c r="F11">
        <v>959.83399999999995</v>
      </c>
      <c r="G11">
        <v>769.60299999999995</v>
      </c>
      <c r="N11">
        <f>IFERROR(SUM($B$3:$B11),"")</f>
        <v>3865.5820000000003</v>
      </c>
      <c r="O11">
        <f>IFERROR(SUM($C$3:$C11),"")</f>
        <v>4604.8019999999997</v>
      </c>
      <c r="P11">
        <f>IFERROR(SUM($D$3:$D11),"")</f>
        <v>2080.846</v>
      </c>
      <c r="Q11">
        <f t="shared" si="0"/>
        <v>6685.6479999999992</v>
      </c>
      <c r="R11">
        <f t="shared" si="1"/>
        <v>57.819107437304517</v>
      </c>
      <c r="S11">
        <f t="shared" si="2"/>
        <v>68.875926462176892</v>
      </c>
      <c r="T11">
        <f>IFERROR(SUM($E$3:$E11),"")</f>
        <v>6085.79</v>
      </c>
      <c r="U11">
        <f>IFERROR(SUM($F$3:$F11),"")</f>
        <v>7965.4409999999998</v>
      </c>
      <c r="V11">
        <f>IFERROR(SUM($G$3:$G11),"")</f>
        <v>6872.549</v>
      </c>
      <c r="W11">
        <f t="shared" si="3"/>
        <v>14837.99</v>
      </c>
      <c r="X11">
        <f t="shared" si="4"/>
        <v>41.014921832404525</v>
      </c>
      <c r="Y11">
        <f t="shared" si="5"/>
        <v>53.682749482915135</v>
      </c>
    </row>
    <row r="12" spans="1:25" x14ac:dyDescent="0.35">
      <c r="A12">
        <v>1859</v>
      </c>
      <c r="B12">
        <v>501.61599999999999</v>
      </c>
      <c r="C12">
        <v>590.79499999999996</v>
      </c>
      <c r="D12">
        <v>232.95</v>
      </c>
      <c r="E12">
        <v>762.94600000000003</v>
      </c>
      <c r="F12">
        <v>985.66600000000005</v>
      </c>
      <c r="G12">
        <v>771.13400000000001</v>
      </c>
      <c r="N12">
        <f>IFERROR(SUM($B$3:$B12),"")</f>
        <v>4367.1980000000003</v>
      </c>
      <c r="O12">
        <f>IFERROR(SUM($C$3:$C12),"")</f>
        <v>5195.5969999999998</v>
      </c>
      <c r="P12">
        <f>IFERROR(SUM($D$3:$D12),"")</f>
        <v>2313.7959999999998</v>
      </c>
      <c r="Q12">
        <f t="shared" si="0"/>
        <v>7509.393</v>
      </c>
      <c r="R12">
        <f t="shared" si="1"/>
        <v>58.156471501757864</v>
      </c>
      <c r="S12">
        <f t="shared" si="2"/>
        <v>69.187975645967654</v>
      </c>
      <c r="T12">
        <f>IFERROR(SUM($E$3:$E12),"")</f>
        <v>6848.7359999999999</v>
      </c>
      <c r="U12">
        <f>IFERROR(SUM($F$3:$F12),"")</f>
        <v>8951.107</v>
      </c>
      <c r="V12">
        <f>IFERROR(SUM($G$3:$G12),"")</f>
        <v>7643.683</v>
      </c>
      <c r="W12">
        <f t="shared" si="3"/>
        <v>16594.79</v>
      </c>
      <c r="X12">
        <f t="shared" si="4"/>
        <v>41.270398721526455</v>
      </c>
      <c r="Y12">
        <f t="shared" si="5"/>
        <v>53.93926045463666</v>
      </c>
    </row>
    <row r="13" spans="1:25" x14ac:dyDescent="0.35">
      <c r="A13">
        <v>1860</v>
      </c>
      <c r="B13">
        <v>536.45799999999997</v>
      </c>
      <c r="C13">
        <v>627.41</v>
      </c>
      <c r="D13">
        <v>233.31399999999999</v>
      </c>
      <c r="E13">
        <v>800.30799999999999</v>
      </c>
      <c r="F13">
        <v>1026.0840000000001</v>
      </c>
      <c r="G13">
        <v>772.31899999999996</v>
      </c>
      <c r="N13">
        <f>IFERROR(SUM($B$3:$B13),"")</f>
        <v>4903.6559999999999</v>
      </c>
      <c r="O13">
        <f>IFERROR(SUM($C$3:$C13),"")</f>
        <v>5823.0069999999996</v>
      </c>
      <c r="P13">
        <f>IFERROR(SUM($D$3:$D13),"")</f>
        <v>2547.1099999999997</v>
      </c>
      <c r="Q13">
        <f t="shared" si="0"/>
        <v>8370.1169999999984</v>
      </c>
      <c r="R13">
        <f t="shared" si="1"/>
        <v>58.585274256022956</v>
      </c>
      <c r="S13">
        <f t="shared" si="2"/>
        <v>69.569003635194122</v>
      </c>
      <c r="T13">
        <f>IFERROR(SUM($E$3:$E13),"")</f>
        <v>7649.0439999999999</v>
      </c>
      <c r="U13">
        <f>IFERROR(SUM($F$3:$F13),"")</f>
        <v>9977.1910000000007</v>
      </c>
      <c r="V13">
        <f>IFERROR(SUM($G$3:$G13),"")</f>
        <v>8416.0020000000004</v>
      </c>
      <c r="W13">
        <f t="shared" si="3"/>
        <v>18393.192999999999</v>
      </c>
      <c r="X13">
        <f t="shared" si="4"/>
        <v>41.586275966331677</v>
      </c>
      <c r="Y13">
        <f t="shared" si="5"/>
        <v>54.243931437026738</v>
      </c>
    </row>
    <row r="14" spans="1:25" x14ac:dyDescent="0.35">
      <c r="A14">
        <v>1861</v>
      </c>
      <c r="B14">
        <v>555.28399999999999</v>
      </c>
      <c r="C14">
        <v>648.15700000000004</v>
      </c>
      <c r="D14">
        <v>233.66800000000001</v>
      </c>
      <c r="E14">
        <v>822.72</v>
      </c>
      <c r="F14">
        <v>1051.491</v>
      </c>
      <c r="G14">
        <v>774.23699999999997</v>
      </c>
      <c r="N14">
        <f>IFERROR(SUM($B$3:$B14),"")</f>
        <v>5458.94</v>
      </c>
      <c r="O14">
        <f>IFERROR(SUM($C$3:$C14),"")</f>
        <v>6471.1639999999998</v>
      </c>
      <c r="P14">
        <f>IFERROR(SUM($D$3:$D14),"")</f>
        <v>2780.7779999999998</v>
      </c>
      <c r="Q14">
        <f t="shared" si="0"/>
        <v>9251.9419999999991</v>
      </c>
      <c r="R14">
        <f t="shared" si="1"/>
        <v>59.003180089109939</v>
      </c>
      <c r="S14">
        <f t="shared" si="2"/>
        <v>69.943845302964505</v>
      </c>
      <c r="T14">
        <f>IFERROR(SUM($E$3:$E14),"")</f>
        <v>8471.7639999999992</v>
      </c>
      <c r="U14">
        <f>IFERROR(SUM($F$3:$F14),"")</f>
        <v>11028.682000000001</v>
      </c>
      <c r="V14">
        <f>IFERROR(SUM($G$3:$G14),"")</f>
        <v>9190.2389999999996</v>
      </c>
      <c r="W14">
        <f t="shared" si="3"/>
        <v>20218.921000000002</v>
      </c>
      <c r="X14">
        <f t="shared" si="4"/>
        <v>41.900178550576456</v>
      </c>
      <c r="Y14">
        <f t="shared" si="5"/>
        <v>54.546343002180976</v>
      </c>
    </row>
    <row r="15" spans="1:25" x14ac:dyDescent="0.35">
      <c r="A15">
        <v>1862</v>
      </c>
      <c r="B15">
        <v>561.01700000000005</v>
      </c>
      <c r="C15">
        <v>656.71900000000005</v>
      </c>
      <c r="D15">
        <v>234.24799999999999</v>
      </c>
      <c r="E15">
        <v>830.75199999999995</v>
      </c>
      <c r="F15">
        <v>1063.403</v>
      </c>
      <c r="G15">
        <v>776.34699999999998</v>
      </c>
      <c r="N15">
        <f>IFERROR(SUM($B$3:$B15),"")</f>
        <v>6019.9569999999994</v>
      </c>
      <c r="O15">
        <f>IFERROR(SUM($C$3:$C15),"")</f>
        <v>7127.8829999999998</v>
      </c>
      <c r="P15">
        <f>IFERROR(SUM($D$3:$D15),"")</f>
        <v>3015.0259999999998</v>
      </c>
      <c r="Q15">
        <f t="shared" si="0"/>
        <v>10142.909</v>
      </c>
      <c r="R15">
        <f t="shared" si="1"/>
        <v>59.351385287987888</v>
      </c>
      <c r="S15">
        <f t="shared" si="2"/>
        <v>70.274543525925353</v>
      </c>
      <c r="T15">
        <f>IFERROR(SUM($E$3:$E15),"")</f>
        <v>9302.5159999999996</v>
      </c>
      <c r="U15">
        <f>IFERROR(SUM($F$3:$F15),"")</f>
        <v>12092.085000000001</v>
      </c>
      <c r="V15">
        <f>IFERROR(SUM($G$3:$G15),"")</f>
        <v>9966.5859999999993</v>
      </c>
      <c r="W15">
        <f t="shared" si="3"/>
        <v>22058.671000000002</v>
      </c>
      <c r="X15">
        <f t="shared" si="4"/>
        <v>42.171697469897431</v>
      </c>
      <c r="Y15">
        <f t="shared" si="5"/>
        <v>54.817831047029074</v>
      </c>
    </row>
    <row r="16" spans="1:25" x14ac:dyDescent="0.35">
      <c r="A16">
        <v>1863</v>
      </c>
      <c r="B16">
        <v>586.74</v>
      </c>
      <c r="C16">
        <v>685.35900000000004</v>
      </c>
      <c r="D16">
        <v>236.23400000000001</v>
      </c>
      <c r="E16">
        <v>858.82600000000002</v>
      </c>
      <c r="F16">
        <v>1095.463</v>
      </c>
      <c r="G16">
        <v>780.005</v>
      </c>
      <c r="N16">
        <f>IFERROR(SUM($B$3:$B16),"")</f>
        <v>6606.6969999999992</v>
      </c>
      <c r="O16">
        <f>IFERROR(SUM($C$3:$C16),"")</f>
        <v>7813.2420000000002</v>
      </c>
      <c r="P16">
        <f>IFERROR(SUM($D$3:$D16),"")</f>
        <v>3251.2599999999998</v>
      </c>
      <c r="Q16">
        <f t="shared" si="0"/>
        <v>11064.502</v>
      </c>
      <c r="R16">
        <f t="shared" si="1"/>
        <v>59.71074884346352</v>
      </c>
      <c r="S16">
        <f t="shared" si="2"/>
        <v>70.61539687913654</v>
      </c>
      <c r="T16">
        <f>IFERROR(SUM($E$3:$E16),"")</f>
        <v>10161.342000000001</v>
      </c>
      <c r="U16">
        <f>IFERROR(SUM($F$3:$F16),"")</f>
        <v>13187.548000000001</v>
      </c>
      <c r="V16">
        <f>IFERROR(SUM($G$3:$G16),"")</f>
        <v>10746.590999999999</v>
      </c>
      <c r="W16">
        <f t="shared" si="3"/>
        <v>23934.138999999999</v>
      </c>
      <c r="X16">
        <f t="shared" si="4"/>
        <v>42.455431549052172</v>
      </c>
      <c r="Y16">
        <f t="shared" si="5"/>
        <v>55.09932068164224</v>
      </c>
    </row>
    <row r="17" spans="1:25" x14ac:dyDescent="0.35">
      <c r="A17">
        <v>1864</v>
      </c>
      <c r="B17">
        <v>619.49400000000003</v>
      </c>
      <c r="C17">
        <v>720.93</v>
      </c>
      <c r="D17">
        <v>237.09800000000001</v>
      </c>
      <c r="E17">
        <v>894.26400000000001</v>
      </c>
      <c r="F17">
        <v>1134.7919999999999</v>
      </c>
      <c r="G17">
        <v>782.03599999999994</v>
      </c>
      <c r="N17">
        <f>IFERROR(SUM($B$3:$B17),"")</f>
        <v>7226.1909999999989</v>
      </c>
      <c r="O17">
        <f>IFERROR(SUM($C$3:$C17),"")</f>
        <v>8534.1720000000005</v>
      </c>
      <c r="P17">
        <f>IFERROR(SUM($D$3:$D17),"")</f>
        <v>3488.3579999999997</v>
      </c>
      <c r="Q17">
        <f t="shared" si="0"/>
        <v>12022.53</v>
      </c>
      <c r="R17">
        <f t="shared" si="1"/>
        <v>60.105410425259898</v>
      </c>
      <c r="S17">
        <f t="shared" si="2"/>
        <v>70.984825989205262</v>
      </c>
      <c r="T17">
        <f>IFERROR(SUM($E$3:$E17),"")</f>
        <v>11055.606</v>
      </c>
      <c r="U17">
        <f>IFERROR(SUM($F$3:$F17),"")</f>
        <v>14322.34</v>
      </c>
      <c r="V17">
        <f>IFERROR(SUM($G$3:$G17),"")</f>
        <v>11528.626999999999</v>
      </c>
      <c r="W17">
        <f t="shared" si="3"/>
        <v>25850.966999999997</v>
      </c>
      <c r="X17">
        <f t="shared" si="4"/>
        <v>42.766701918732871</v>
      </c>
      <c r="Y17">
        <f t="shared" si="5"/>
        <v>55.40349805869932</v>
      </c>
    </row>
    <row r="18" spans="1:25" x14ac:dyDescent="0.35">
      <c r="A18">
        <v>1865</v>
      </c>
      <c r="B18">
        <v>646.90800000000002</v>
      </c>
      <c r="C18">
        <v>751.33799999999997</v>
      </c>
      <c r="D18">
        <v>237.714</v>
      </c>
      <c r="E18">
        <v>924.596</v>
      </c>
      <c r="F18">
        <v>1169.174</v>
      </c>
      <c r="G18">
        <v>784.07</v>
      </c>
      <c r="N18">
        <f>IFERROR(SUM($B$3:$B18),"")</f>
        <v>7873.0989999999993</v>
      </c>
      <c r="O18">
        <f>IFERROR(SUM($C$3:$C18),"")</f>
        <v>9285.51</v>
      </c>
      <c r="P18">
        <f>IFERROR(SUM($D$3:$D18),"")</f>
        <v>3726.0719999999997</v>
      </c>
      <c r="Q18">
        <f t="shared" si="0"/>
        <v>13011.582</v>
      </c>
      <c r="R18">
        <f t="shared" si="1"/>
        <v>60.508391677506999</v>
      </c>
      <c r="S18">
        <f t="shared" si="2"/>
        <v>71.36342068166654</v>
      </c>
      <c r="T18">
        <f>IFERROR(SUM($E$3:$E18),"")</f>
        <v>11980.201999999999</v>
      </c>
      <c r="U18">
        <f>IFERROR(SUM($F$3:$F18),"")</f>
        <v>15491.513999999999</v>
      </c>
      <c r="V18">
        <f>IFERROR(SUM($G$3:$G18),"")</f>
        <v>12312.696999999998</v>
      </c>
      <c r="W18">
        <f t="shared" si="3"/>
        <v>27804.210999999996</v>
      </c>
      <c r="X18">
        <f t="shared" si="4"/>
        <v>43.087725093152265</v>
      </c>
      <c r="Y18">
        <f t="shared" si="5"/>
        <v>55.716430867252456</v>
      </c>
    </row>
    <row r="19" spans="1:25" x14ac:dyDescent="0.35">
      <c r="A19">
        <v>1866</v>
      </c>
      <c r="B19">
        <v>662.58799999999997</v>
      </c>
      <c r="C19">
        <v>770.40599999999995</v>
      </c>
      <c r="D19">
        <v>239.00899999999999</v>
      </c>
      <c r="E19">
        <v>942.20600000000002</v>
      </c>
      <c r="F19">
        <v>1191.2809999999999</v>
      </c>
      <c r="G19">
        <v>786.47199999999998</v>
      </c>
      <c r="N19">
        <f>IFERROR(SUM($B$3:$B19),"")</f>
        <v>8535.6869999999999</v>
      </c>
      <c r="O19">
        <f>IFERROR(SUM($C$3:$C19),"")</f>
        <v>10055.916000000001</v>
      </c>
      <c r="P19">
        <f>IFERROR(SUM($D$3:$D19),"")</f>
        <v>3965.0809999999997</v>
      </c>
      <c r="Q19">
        <f t="shared" si="0"/>
        <v>14020.997000000001</v>
      </c>
      <c r="R19">
        <f t="shared" si="1"/>
        <v>60.877889068801593</v>
      </c>
      <c r="S19">
        <f t="shared" si="2"/>
        <v>71.720406187947972</v>
      </c>
      <c r="T19">
        <f>IFERROR(SUM($E$3:$E19),"")</f>
        <v>12922.407999999999</v>
      </c>
      <c r="U19">
        <f>IFERROR(SUM($F$3:$F19),"")</f>
        <v>16682.794999999998</v>
      </c>
      <c r="V19">
        <f>IFERROR(SUM($G$3:$G19),"")</f>
        <v>13099.168999999998</v>
      </c>
      <c r="W19">
        <f t="shared" si="3"/>
        <v>29781.963999999996</v>
      </c>
      <c r="X19">
        <f t="shared" si="4"/>
        <v>43.390046405267299</v>
      </c>
      <c r="Y19">
        <f t="shared" si="5"/>
        <v>56.016436659449319</v>
      </c>
    </row>
    <row r="20" spans="1:25" x14ac:dyDescent="0.35">
      <c r="A20">
        <v>1867</v>
      </c>
      <c r="B20">
        <v>694.86300000000006</v>
      </c>
      <c r="C20">
        <v>806.14599999999996</v>
      </c>
      <c r="D20">
        <v>238.88900000000001</v>
      </c>
      <c r="E20">
        <v>978.49599999999998</v>
      </c>
      <c r="F20">
        <v>1232.0899999999999</v>
      </c>
      <c r="G20">
        <v>788.54</v>
      </c>
      <c r="N20">
        <f>IFERROR(SUM($B$3:$B20),"")</f>
        <v>9230.5499999999993</v>
      </c>
      <c r="O20">
        <f>IFERROR(SUM($C$3:$C20),"")</f>
        <v>10862.062000000002</v>
      </c>
      <c r="P20">
        <f>IFERROR(SUM($D$3:$D20),"")</f>
        <v>4203.9699999999993</v>
      </c>
      <c r="Q20">
        <f t="shared" si="0"/>
        <v>15066.032000000001</v>
      </c>
      <c r="R20">
        <f t="shared" si="1"/>
        <v>61.267293206333285</v>
      </c>
      <c r="S20">
        <f t="shared" si="2"/>
        <v>72.096368838191765</v>
      </c>
      <c r="T20">
        <f>IFERROR(SUM($E$3:$E20),"")</f>
        <v>13900.903999999999</v>
      </c>
      <c r="U20">
        <f>IFERROR(SUM($F$3:$F20),"")</f>
        <v>17914.884999999998</v>
      </c>
      <c r="V20">
        <f>IFERROR(SUM($G$3:$G20),"")</f>
        <v>13887.708999999999</v>
      </c>
      <c r="W20">
        <f t="shared" si="3"/>
        <v>31802.593999999997</v>
      </c>
      <c r="X20">
        <f t="shared" si="4"/>
        <v>43.709969067303128</v>
      </c>
      <c r="Y20">
        <f t="shared" si="5"/>
        <v>56.33152125892623</v>
      </c>
    </row>
    <row r="21" spans="1:25" x14ac:dyDescent="0.35">
      <c r="A21">
        <v>1868</v>
      </c>
      <c r="B21">
        <v>707.63</v>
      </c>
      <c r="C21">
        <v>821.87199999999996</v>
      </c>
      <c r="D21">
        <v>239.57</v>
      </c>
      <c r="E21">
        <v>994.07100000000003</v>
      </c>
      <c r="F21">
        <v>1251.6780000000001</v>
      </c>
      <c r="G21">
        <v>790.65599999999995</v>
      </c>
      <c r="N21">
        <f>IFERROR(SUM($B$3:$B21),"")</f>
        <v>9938.1799999999985</v>
      </c>
      <c r="O21">
        <f>IFERROR(SUM($C$3:$C21),"")</f>
        <v>11683.934000000001</v>
      </c>
      <c r="P21">
        <f>IFERROR(SUM($D$3:$D21),"")</f>
        <v>4443.5399999999991</v>
      </c>
      <c r="Q21">
        <f t="shared" si="0"/>
        <v>16127.474</v>
      </c>
      <c r="R21">
        <f t="shared" si="1"/>
        <v>61.622669489344695</v>
      </c>
      <c r="S21">
        <f t="shared" si="2"/>
        <v>72.447390087251122</v>
      </c>
      <c r="T21">
        <f>IFERROR(SUM($E$3:$E21),"")</f>
        <v>14894.974999999999</v>
      </c>
      <c r="U21">
        <f>IFERROR(SUM($F$3:$F21),"")</f>
        <v>19166.562999999998</v>
      </c>
      <c r="V21">
        <f>IFERROR(SUM($G$3:$G21),"")</f>
        <v>14678.364999999998</v>
      </c>
      <c r="W21">
        <f t="shared" si="3"/>
        <v>33844.928</v>
      </c>
      <c r="X21">
        <f t="shared" si="4"/>
        <v>44.009474624971865</v>
      </c>
      <c r="Y21">
        <f t="shared" si="5"/>
        <v>56.630532645836915</v>
      </c>
    </row>
    <row r="22" spans="1:25" x14ac:dyDescent="0.35">
      <c r="A22">
        <v>1869</v>
      </c>
      <c r="B22">
        <v>740.26800000000003</v>
      </c>
      <c r="C22">
        <v>857.68299999999999</v>
      </c>
      <c r="D22">
        <v>240.029</v>
      </c>
      <c r="E22">
        <v>1029.2729999999999</v>
      </c>
      <c r="F22">
        <v>1291.1510000000001</v>
      </c>
      <c r="G22">
        <v>793.03200000000004</v>
      </c>
      <c r="N22">
        <f>IFERROR(SUM($B$3:$B22),"")</f>
        <v>10678.447999999999</v>
      </c>
      <c r="O22">
        <f>IFERROR(SUM($C$3:$C22),"")</f>
        <v>12541.617000000002</v>
      </c>
      <c r="P22">
        <f>IFERROR(SUM($D$3:$D22),"")</f>
        <v>4683.5689999999995</v>
      </c>
      <c r="Q22">
        <f t="shared" si="0"/>
        <v>17225.186000000002</v>
      </c>
      <c r="R22">
        <f t="shared" si="1"/>
        <v>61.993223179128499</v>
      </c>
      <c r="S22">
        <f t="shared" si="2"/>
        <v>72.809762402565653</v>
      </c>
      <c r="T22">
        <f>IFERROR(SUM($E$3:$E22),"")</f>
        <v>15924.247999999998</v>
      </c>
      <c r="U22">
        <f>IFERROR(SUM($F$3:$F22),"")</f>
        <v>20457.714</v>
      </c>
      <c r="V22">
        <f>IFERROR(SUM($G$3:$G22),"")</f>
        <v>15471.396999999997</v>
      </c>
      <c r="W22">
        <f t="shared" si="3"/>
        <v>35929.110999999997</v>
      </c>
      <c r="X22">
        <f t="shared" si="4"/>
        <v>44.321297011774099</v>
      </c>
      <c r="Y22">
        <f t="shared" si="5"/>
        <v>56.939104337983757</v>
      </c>
    </row>
    <row r="23" spans="1:25" x14ac:dyDescent="0.35">
      <c r="A23">
        <v>1870</v>
      </c>
      <c r="B23">
        <v>749.83199999999999</v>
      </c>
      <c r="C23">
        <v>870.18200000000002</v>
      </c>
      <c r="D23">
        <v>241.84399999999999</v>
      </c>
      <c r="E23">
        <v>1042.057</v>
      </c>
      <c r="F23">
        <v>1307.9549999999999</v>
      </c>
      <c r="G23">
        <v>796.52700000000004</v>
      </c>
      <c r="N23">
        <f>IFERROR(SUM($B$3:$B23),"")</f>
        <v>11428.279999999999</v>
      </c>
      <c r="O23">
        <f>IFERROR(SUM($C$3:$C23),"")</f>
        <v>13411.799000000003</v>
      </c>
      <c r="P23">
        <f>IFERROR(SUM($D$3:$D23),"")</f>
        <v>4925.4129999999996</v>
      </c>
      <c r="Q23">
        <f t="shared" si="0"/>
        <v>18337.212000000003</v>
      </c>
      <c r="R23">
        <f t="shared" si="1"/>
        <v>62.322887470570755</v>
      </c>
      <c r="S23">
        <f t="shared" si="2"/>
        <v>73.139793552040516</v>
      </c>
      <c r="T23">
        <f>IFERROR(SUM($E$3:$E23),"")</f>
        <v>16966.304999999997</v>
      </c>
      <c r="U23">
        <f>IFERROR(SUM($F$3:$F23),"")</f>
        <v>21765.669000000002</v>
      </c>
      <c r="V23">
        <f>IFERROR(SUM($G$3:$G23),"")</f>
        <v>16267.923999999997</v>
      </c>
      <c r="W23">
        <f t="shared" si="3"/>
        <v>38033.593000000001</v>
      </c>
      <c r="X23">
        <f t="shared" si="4"/>
        <v>44.608735756308896</v>
      </c>
      <c r="Y23">
        <f t="shared" si="5"/>
        <v>57.227485712433221</v>
      </c>
    </row>
    <row r="24" spans="1:25" x14ac:dyDescent="0.35">
      <c r="A24">
        <v>1871</v>
      </c>
      <c r="B24">
        <v>781.98</v>
      </c>
      <c r="C24">
        <v>908.30799999999999</v>
      </c>
      <c r="D24">
        <v>243.71100000000001</v>
      </c>
      <c r="E24">
        <v>1079.5609999999999</v>
      </c>
      <c r="F24">
        <v>1353.4960000000001</v>
      </c>
      <c r="G24">
        <v>802.029</v>
      </c>
      <c r="N24">
        <f>IFERROR(SUM($B$3:$B24),"")</f>
        <v>12210.259999999998</v>
      </c>
      <c r="O24">
        <f>IFERROR(SUM($C$3:$C24),"")</f>
        <v>14320.107000000004</v>
      </c>
      <c r="P24">
        <f>IFERROR(SUM($D$3:$D24),"")</f>
        <v>5169.1239999999998</v>
      </c>
      <c r="Q24">
        <f t="shared" si="0"/>
        <v>19489.231000000003</v>
      </c>
      <c r="R24">
        <f t="shared" si="1"/>
        <v>62.651317540440644</v>
      </c>
      <c r="S24">
        <f t="shared" si="2"/>
        <v>73.477024311528766</v>
      </c>
      <c r="T24">
        <f>IFERROR(SUM($E$3:$E24),"")</f>
        <v>18045.865999999998</v>
      </c>
      <c r="U24">
        <f>IFERROR(SUM($F$3:$F24),"")</f>
        <v>23119.165000000001</v>
      </c>
      <c r="V24">
        <f>IFERROR(SUM($G$3:$G24),"")</f>
        <v>17069.952999999998</v>
      </c>
      <c r="W24">
        <f t="shared" si="3"/>
        <v>40189.118000000002</v>
      </c>
      <c r="X24">
        <f t="shared" si="4"/>
        <v>44.902368845218241</v>
      </c>
      <c r="Y24">
        <f t="shared" si="5"/>
        <v>57.525932766178144</v>
      </c>
    </row>
    <row r="25" spans="1:25" x14ac:dyDescent="0.35">
      <c r="A25">
        <v>1872</v>
      </c>
      <c r="B25">
        <v>849.23900000000003</v>
      </c>
      <c r="C25">
        <v>979.34699999999998</v>
      </c>
      <c r="D25">
        <v>245.60599999999999</v>
      </c>
      <c r="E25">
        <v>1154.4829999999999</v>
      </c>
      <c r="F25">
        <v>1434.66</v>
      </c>
      <c r="G25">
        <v>807.56</v>
      </c>
      <c r="N25">
        <f>IFERROR(SUM($B$3:$B25),"")</f>
        <v>13059.498999999998</v>
      </c>
      <c r="O25">
        <f>IFERROR(SUM($C$3:$C25),"")</f>
        <v>15299.454000000003</v>
      </c>
      <c r="P25">
        <f>IFERROR(SUM($D$3:$D25),"")</f>
        <v>5414.73</v>
      </c>
      <c r="Q25">
        <f t="shared" si="0"/>
        <v>20714.184000000001</v>
      </c>
      <c r="R25">
        <f t="shared" si="1"/>
        <v>63.046166819798444</v>
      </c>
      <c r="S25">
        <f t="shared" si="2"/>
        <v>73.859795780514474</v>
      </c>
      <c r="T25">
        <f>IFERROR(SUM($E$3:$E25),"")</f>
        <v>19200.348999999998</v>
      </c>
      <c r="U25">
        <f>IFERROR(SUM($F$3:$F25),"")</f>
        <v>24553.825000000001</v>
      </c>
      <c r="V25">
        <f>IFERROR(SUM($G$3:$G25),"")</f>
        <v>17877.512999999999</v>
      </c>
      <c r="W25">
        <f t="shared" si="3"/>
        <v>42431.338000000003</v>
      </c>
      <c r="X25">
        <f t="shared" si="4"/>
        <v>45.250397241774451</v>
      </c>
      <c r="Y25">
        <f t="shared" si="5"/>
        <v>57.86719476062715</v>
      </c>
    </row>
    <row r="26" spans="1:25" x14ac:dyDescent="0.35">
      <c r="A26">
        <v>1873</v>
      </c>
      <c r="B26">
        <v>892.27</v>
      </c>
      <c r="C26">
        <v>1025.691</v>
      </c>
      <c r="D26">
        <v>247.303</v>
      </c>
      <c r="E26">
        <v>1204.9960000000001</v>
      </c>
      <c r="F26">
        <v>1491.268</v>
      </c>
      <c r="G26">
        <v>813.81500000000005</v>
      </c>
      <c r="N26">
        <f>IFERROR(SUM($B$3:$B26),"")</f>
        <v>13951.768999999998</v>
      </c>
      <c r="O26">
        <f>IFERROR(SUM($C$3:$C26),"")</f>
        <v>16325.145000000004</v>
      </c>
      <c r="P26">
        <f>IFERROR(SUM($D$3:$D26),"")</f>
        <v>5662.0329999999994</v>
      </c>
      <c r="Q26">
        <f t="shared" si="0"/>
        <v>21987.178000000004</v>
      </c>
      <c r="R26">
        <f t="shared" si="1"/>
        <v>63.454114029549388</v>
      </c>
      <c r="S26">
        <f t="shared" si="2"/>
        <v>74.248477908351859</v>
      </c>
      <c r="T26">
        <f>IFERROR(SUM($E$3:$E26),"")</f>
        <v>20405.344999999998</v>
      </c>
      <c r="U26">
        <f>IFERROR(SUM($F$3:$F26),"")</f>
        <v>26045.093000000001</v>
      </c>
      <c r="V26">
        <f>IFERROR(SUM($G$3:$G26),"")</f>
        <v>18691.327999999998</v>
      </c>
      <c r="W26">
        <f t="shared" si="3"/>
        <v>44736.421000000002</v>
      </c>
      <c r="X26">
        <f t="shared" si="4"/>
        <v>45.612376993680378</v>
      </c>
      <c r="Y26">
        <f t="shared" si="5"/>
        <v>58.218991188409994</v>
      </c>
    </row>
    <row r="27" spans="1:25" x14ac:dyDescent="0.35">
      <c r="A27">
        <v>1874</v>
      </c>
      <c r="B27">
        <v>841.85400000000004</v>
      </c>
      <c r="C27">
        <v>979.99300000000005</v>
      </c>
      <c r="D27">
        <v>249.37700000000001</v>
      </c>
      <c r="E27">
        <v>1158.748</v>
      </c>
      <c r="F27">
        <v>1452.8920000000001</v>
      </c>
      <c r="G27">
        <v>820.67200000000003</v>
      </c>
      <c r="N27">
        <f>IFERROR(SUM($B$3:$B27),"")</f>
        <v>14793.622999999998</v>
      </c>
      <c r="O27">
        <f>IFERROR(SUM($C$3:$C27),"")</f>
        <v>17305.138000000003</v>
      </c>
      <c r="P27">
        <f>IFERROR(SUM($D$3:$D27),"")</f>
        <v>5911.41</v>
      </c>
      <c r="Q27">
        <f t="shared" si="0"/>
        <v>23216.548000000003</v>
      </c>
      <c r="R27">
        <f t="shared" si="1"/>
        <v>63.7201663227453</v>
      </c>
      <c r="S27">
        <f t="shared" si="2"/>
        <v>74.537945951310249</v>
      </c>
      <c r="T27">
        <f>IFERROR(SUM($E$3:$E27),"")</f>
        <v>21564.092999999997</v>
      </c>
      <c r="U27">
        <f>IFERROR(SUM($F$3:$F27),"")</f>
        <v>27497.985000000001</v>
      </c>
      <c r="V27">
        <f>IFERROR(SUM($G$3:$G27),"")</f>
        <v>19511.999999999996</v>
      </c>
      <c r="W27">
        <f t="shared" si="3"/>
        <v>47009.985000000001</v>
      </c>
      <c r="X27">
        <f t="shared" si="4"/>
        <v>45.871303724091803</v>
      </c>
      <c r="Y27">
        <f t="shared" si="5"/>
        <v>58.493924216312763</v>
      </c>
    </row>
    <row r="28" spans="1:25" x14ac:dyDescent="0.35">
      <c r="A28">
        <v>1875</v>
      </c>
      <c r="B28">
        <v>900.45</v>
      </c>
      <c r="C28">
        <v>1040.9290000000001</v>
      </c>
      <c r="D28">
        <v>250.50700000000001</v>
      </c>
      <c r="E28">
        <v>1228.32</v>
      </c>
      <c r="F28">
        <v>1527.9749999999999</v>
      </c>
      <c r="G28">
        <v>827.71100000000001</v>
      </c>
      <c r="N28">
        <f>IFERROR(SUM($B$3:$B28),"")</f>
        <v>15694.072999999999</v>
      </c>
      <c r="O28">
        <f>IFERROR(SUM($C$3:$C28),"")</f>
        <v>18346.067000000003</v>
      </c>
      <c r="P28">
        <f>IFERROR(SUM($D$3:$D28),"")</f>
        <v>6161.9169999999995</v>
      </c>
      <c r="Q28">
        <f t="shared" si="0"/>
        <v>24507.984000000004</v>
      </c>
      <c r="R28">
        <f t="shared" si="1"/>
        <v>64.036572734827942</v>
      </c>
      <c r="S28">
        <f t="shared" si="2"/>
        <v>74.857511739847709</v>
      </c>
      <c r="T28">
        <f>IFERROR(SUM($E$3:$E28),"")</f>
        <v>22792.412999999997</v>
      </c>
      <c r="U28">
        <f>IFERROR(SUM($F$3:$F28),"")</f>
        <v>29025.96</v>
      </c>
      <c r="V28">
        <f>IFERROR(SUM($G$3:$G28),"")</f>
        <v>20339.710999999996</v>
      </c>
      <c r="W28">
        <f t="shared" si="3"/>
        <v>49365.670999999995</v>
      </c>
      <c r="X28">
        <f t="shared" si="4"/>
        <v>46.170572663744402</v>
      </c>
      <c r="Y28">
        <f t="shared" si="5"/>
        <v>58.797863802965431</v>
      </c>
    </row>
    <row r="29" spans="1:25" x14ac:dyDescent="0.35">
      <c r="A29">
        <v>1876</v>
      </c>
      <c r="B29">
        <v>901.48299999999995</v>
      </c>
      <c r="C29">
        <v>1053.1420000000001</v>
      </c>
      <c r="D29">
        <v>252.14699999999999</v>
      </c>
      <c r="E29">
        <v>1237.194</v>
      </c>
      <c r="F29">
        <v>1551.845</v>
      </c>
      <c r="G29">
        <v>834.92899999999997</v>
      </c>
      <c r="N29">
        <f>IFERROR(SUM($B$3:$B29),"")</f>
        <v>16595.555999999997</v>
      </c>
      <c r="O29">
        <f>IFERROR(SUM($C$3:$C29),"")</f>
        <v>19399.209000000003</v>
      </c>
      <c r="P29">
        <f>IFERROR(SUM($D$3:$D29),"")</f>
        <v>6414.0639999999994</v>
      </c>
      <c r="Q29">
        <f t="shared" si="0"/>
        <v>25813.273000000001</v>
      </c>
      <c r="R29">
        <f t="shared" si="1"/>
        <v>64.290785597006604</v>
      </c>
      <c r="S29">
        <f t="shared" si="2"/>
        <v>75.152070022271118</v>
      </c>
      <c r="T29">
        <f>IFERROR(SUM($E$3:$E29),"")</f>
        <v>24029.606999999996</v>
      </c>
      <c r="U29">
        <f>IFERROR(SUM($F$3:$F29),"")</f>
        <v>30577.805</v>
      </c>
      <c r="V29">
        <f>IFERROR(SUM($G$3:$G29),"")</f>
        <v>21174.639999999996</v>
      </c>
      <c r="W29">
        <f t="shared" si="3"/>
        <v>51752.444999999992</v>
      </c>
      <c r="X29">
        <f t="shared" si="4"/>
        <v>46.431829452695425</v>
      </c>
      <c r="Y29">
        <f t="shared" si="5"/>
        <v>59.084754353151823</v>
      </c>
    </row>
    <row r="30" spans="1:25" x14ac:dyDescent="0.35">
      <c r="A30">
        <v>1877</v>
      </c>
      <c r="B30">
        <v>917.68600000000004</v>
      </c>
      <c r="C30">
        <v>1070.25</v>
      </c>
      <c r="D30">
        <v>253.51900000000001</v>
      </c>
      <c r="E30">
        <v>1261.0409999999999</v>
      </c>
      <c r="F30">
        <v>1579.68</v>
      </c>
      <c r="G30">
        <v>841.78099999999995</v>
      </c>
      <c r="N30">
        <f>IFERROR(SUM($B$3:$B30),"")</f>
        <v>17513.241999999998</v>
      </c>
      <c r="O30">
        <f>IFERROR(SUM($C$3:$C30),"")</f>
        <v>20469.459000000003</v>
      </c>
      <c r="P30">
        <f>IFERROR(SUM($D$3:$D30),"")</f>
        <v>6667.5829999999996</v>
      </c>
      <c r="Q30">
        <f t="shared" si="0"/>
        <v>27137.042000000001</v>
      </c>
      <c r="R30">
        <f t="shared" si="1"/>
        <v>64.536296918433479</v>
      </c>
      <c r="S30">
        <f t="shared" si="2"/>
        <v>75.429956588488906</v>
      </c>
      <c r="T30">
        <f>IFERROR(SUM($E$3:$E30),"")</f>
        <v>25290.647999999997</v>
      </c>
      <c r="U30">
        <f>IFERROR(SUM($F$3:$F30),"")</f>
        <v>32157.485000000001</v>
      </c>
      <c r="V30">
        <f>IFERROR(SUM($G$3:$G30),"")</f>
        <v>22016.420999999995</v>
      </c>
      <c r="W30">
        <f t="shared" si="3"/>
        <v>54173.905999999995</v>
      </c>
      <c r="X30">
        <f t="shared" si="4"/>
        <v>46.684187771138376</v>
      </c>
      <c r="Y30">
        <f t="shared" si="5"/>
        <v>59.359731232966674</v>
      </c>
    </row>
    <row r="31" spans="1:25" x14ac:dyDescent="0.35">
      <c r="A31">
        <v>1878</v>
      </c>
      <c r="B31">
        <v>916.96400000000006</v>
      </c>
      <c r="C31">
        <v>1075.376</v>
      </c>
      <c r="D31">
        <v>257.58800000000002</v>
      </c>
      <c r="E31">
        <v>1266.164</v>
      </c>
      <c r="F31">
        <v>1593.749</v>
      </c>
      <c r="G31">
        <v>849.12699999999995</v>
      </c>
      <c r="N31">
        <f>IFERROR(SUM($B$3:$B31),"")</f>
        <v>18430.205999999998</v>
      </c>
      <c r="O31">
        <f>IFERROR(SUM($C$3:$C31),"")</f>
        <v>21544.835000000003</v>
      </c>
      <c r="P31">
        <f>IFERROR(SUM($D$3:$D31),"")</f>
        <v>6925.1709999999994</v>
      </c>
      <c r="Q31">
        <f t="shared" si="0"/>
        <v>28470.006000000001</v>
      </c>
      <c r="R31">
        <f t="shared" si="1"/>
        <v>64.73551849620263</v>
      </c>
      <c r="S31">
        <f t="shared" si="2"/>
        <v>75.675554827772089</v>
      </c>
      <c r="T31">
        <f>IFERROR(SUM($E$3:$E31),"")</f>
        <v>26556.811999999998</v>
      </c>
      <c r="U31">
        <f>IFERROR(SUM($F$3:$F31),"")</f>
        <v>33751.234000000004</v>
      </c>
      <c r="V31">
        <f>IFERROR(SUM($G$3:$G31),"")</f>
        <v>22865.547999999995</v>
      </c>
      <c r="W31">
        <f t="shared" si="3"/>
        <v>56616.781999999999</v>
      </c>
      <c r="X31">
        <f t="shared" si="4"/>
        <v>46.906254756760987</v>
      </c>
      <c r="Y31">
        <f t="shared" si="5"/>
        <v>59.613479974895093</v>
      </c>
    </row>
    <row r="32" spans="1:25" x14ac:dyDescent="0.35">
      <c r="A32">
        <v>1879</v>
      </c>
      <c r="B32">
        <v>969.42100000000005</v>
      </c>
      <c r="C32">
        <v>1132.7739999999999</v>
      </c>
      <c r="D32">
        <v>259.09300000000002</v>
      </c>
      <c r="E32">
        <v>1327.404</v>
      </c>
      <c r="F32">
        <v>1662.72</v>
      </c>
      <c r="G32">
        <v>855.10400000000004</v>
      </c>
      <c r="N32">
        <f>IFERROR(SUM($B$3:$B32),"")</f>
        <v>19399.626999999997</v>
      </c>
      <c r="O32">
        <f>IFERROR(SUM($C$3:$C32),"")</f>
        <v>22677.609000000004</v>
      </c>
      <c r="P32">
        <f>IFERROR(SUM($D$3:$D32),"")</f>
        <v>7184.2639999999992</v>
      </c>
      <c r="Q32">
        <f t="shared" si="0"/>
        <v>29861.873000000003</v>
      </c>
      <c r="R32">
        <f t="shared" si="1"/>
        <v>64.964535211840186</v>
      </c>
      <c r="S32">
        <f t="shared" si="2"/>
        <v>75.941683229313853</v>
      </c>
      <c r="T32">
        <f>IFERROR(SUM($E$3:$E32),"")</f>
        <v>27884.215999999997</v>
      </c>
      <c r="U32">
        <f>IFERROR(SUM($F$3:$F32),"")</f>
        <v>35413.954000000005</v>
      </c>
      <c r="V32">
        <f>IFERROR(SUM($G$3:$G32),"")</f>
        <v>23720.651999999995</v>
      </c>
      <c r="W32">
        <f t="shared" si="3"/>
        <v>59134.606</v>
      </c>
      <c r="X32">
        <f t="shared" si="4"/>
        <v>47.153803645871925</v>
      </c>
      <c r="Y32">
        <f t="shared" si="5"/>
        <v>59.887021146298004</v>
      </c>
    </row>
    <row r="33" spans="1:25" x14ac:dyDescent="0.35">
      <c r="A33">
        <v>1880</v>
      </c>
      <c r="B33">
        <v>1075.5450000000001</v>
      </c>
      <c r="C33">
        <v>1243.577</v>
      </c>
      <c r="D33">
        <v>261.38499999999999</v>
      </c>
      <c r="E33">
        <v>1445.9949999999999</v>
      </c>
      <c r="F33">
        <v>1788.386</v>
      </c>
      <c r="G33">
        <v>861.13800000000003</v>
      </c>
      <c r="N33">
        <f>IFERROR(SUM($B$3:$B33),"")</f>
        <v>20475.171999999999</v>
      </c>
      <c r="O33">
        <f>IFERROR(SUM($C$3:$C33),"")</f>
        <v>23921.186000000005</v>
      </c>
      <c r="P33">
        <f>IFERROR(SUM($D$3:$D33),"")</f>
        <v>7445.6489999999994</v>
      </c>
      <c r="Q33">
        <f t="shared" si="0"/>
        <v>31366.835000000006</v>
      </c>
      <c r="R33">
        <f t="shared" si="1"/>
        <v>65.276499844501345</v>
      </c>
      <c r="S33">
        <f t="shared" si="2"/>
        <v>76.262670428814388</v>
      </c>
      <c r="T33">
        <f>IFERROR(SUM($E$3:$E33),"")</f>
        <v>29330.210999999996</v>
      </c>
      <c r="U33">
        <f>IFERROR(SUM($F$3:$F33),"")</f>
        <v>37202.340000000004</v>
      </c>
      <c r="V33">
        <f>IFERROR(SUM($G$3:$G33),"")</f>
        <v>24581.789999999994</v>
      </c>
      <c r="W33">
        <f t="shared" si="3"/>
        <v>61784.13</v>
      </c>
      <c r="X33">
        <f t="shared" si="4"/>
        <v>47.472078995042899</v>
      </c>
      <c r="Y33">
        <f t="shared" si="5"/>
        <v>60.213423738426044</v>
      </c>
    </row>
    <row r="34" spans="1:25" x14ac:dyDescent="0.35">
      <c r="A34">
        <v>1881</v>
      </c>
      <c r="B34">
        <v>1108</v>
      </c>
      <c r="C34">
        <v>1279.3920000000001</v>
      </c>
      <c r="D34">
        <v>263.50900000000001</v>
      </c>
      <c r="E34">
        <v>1479.886</v>
      </c>
      <c r="F34">
        <v>1827.924</v>
      </c>
      <c r="G34">
        <v>868.73699999999997</v>
      </c>
      <c r="N34">
        <f>IFERROR(SUM($B$3:$B34),"")</f>
        <v>21583.171999999999</v>
      </c>
      <c r="O34">
        <f>IFERROR(SUM($C$3:$C34),"")</f>
        <v>25200.578000000005</v>
      </c>
      <c r="P34">
        <f>IFERROR(SUM($D$3:$D34),"")</f>
        <v>7709.1579999999994</v>
      </c>
      <c r="Q34">
        <f t="shared" si="0"/>
        <v>32909.736000000004</v>
      </c>
      <c r="R34">
        <f t="shared" si="1"/>
        <v>65.582938738858303</v>
      </c>
      <c r="S34">
        <f t="shared" si="2"/>
        <v>76.574840952841441</v>
      </c>
      <c r="T34">
        <f>IFERROR(SUM($E$3:$E34),"")</f>
        <v>30810.096999999994</v>
      </c>
      <c r="U34">
        <f>IFERROR(SUM($F$3:$F34),"")</f>
        <v>39030.264000000003</v>
      </c>
      <c r="V34">
        <f>IFERROR(SUM($G$3:$G34),"")</f>
        <v>25450.526999999995</v>
      </c>
      <c r="W34">
        <f t="shared" si="3"/>
        <v>64480.790999999997</v>
      </c>
      <c r="X34">
        <f t="shared" si="4"/>
        <v>47.781822341478403</v>
      </c>
      <c r="Y34">
        <f t="shared" si="5"/>
        <v>60.530063906939361</v>
      </c>
    </row>
    <row r="35" spans="1:25" x14ac:dyDescent="0.35">
      <c r="A35">
        <v>1882</v>
      </c>
      <c r="B35">
        <v>1160.296</v>
      </c>
      <c r="C35">
        <v>1335.271</v>
      </c>
      <c r="D35">
        <v>265.94200000000001</v>
      </c>
      <c r="E35">
        <v>1539.327</v>
      </c>
      <c r="F35">
        <v>1893.165</v>
      </c>
      <c r="G35">
        <v>876.74800000000005</v>
      </c>
      <c r="N35">
        <f>IFERROR(SUM($B$3:$B35),"")</f>
        <v>22743.467999999997</v>
      </c>
      <c r="O35">
        <f>IFERROR(SUM($C$3:$C35),"")</f>
        <v>26535.849000000006</v>
      </c>
      <c r="P35">
        <f>IFERROR(SUM($D$3:$D35),"")</f>
        <v>7975.0999999999995</v>
      </c>
      <c r="Q35">
        <f t="shared" ref="Q35:Q66" si="6">IFERROR(O35+P35,"")</f>
        <v>34510.949000000008</v>
      </c>
      <c r="R35">
        <f t="shared" ref="R35:R66" si="7">IFERROR(N35/Q35*100,NA())</f>
        <v>65.902180783263859</v>
      </c>
      <c r="S35">
        <f t="shared" ref="S35:S66" si="8">IFERROR(O35/Q35*100,NA())</f>
        <v>76.891102009394174</v>
      </c>
      <c r="T35">
        <f>IFERROR(SUM($E$3:$E35),"")</f>
        <v>32349.423999999995</v>
      </c>
      <c r="U35">
        <f>IFERROR(SUM($F$3:$F35),"")</f>
        <v>40923.429000000004</v>
      </c>
      <c r="V35">
        <f>IFERROR(SUM($G$3:$G35),"")</f>
        <v>26327.274999999994</v>
      </c>
      <c r="W35">
        <f t="shared" ref="W35:W66" si="9">IFERROR(U35+V35,"")</f>
        <v>67250.703999999998</v>
      </c>
      <c r="X35">
        <f t="shared" ref="X35:X66" si="10">IFERROR(T35/W35*100,NA())</f>
        <v>48.102729155073227</v>
      </c>
      <c r="Y35">
        <f t="shared" ref="Y35:Y66" si="11">IFERROR(U35/W35*100,NA())</f>
        <v>60.85204550423741</v>
      </c>
    </row>
    <row r="36" spans="1:25" x14ac:dyDescent="0.35">
      <c r="A36">
        <v>1883</v>
      </c>
      <c r="B36">
        <v>1218.8150000000001</v>
      </c>
      <c r="C36">
        <v>1402.26</v>
      </c>
      <c r="D36">
        <v>268.62599999999998</v>
      </c>
      <c r="E36">
        <v>1604.223</v>
      </c>
      <c r="F36">
        <v>1968.845</v>
      </c>
      <c r="G36">
        <v>884.83900000000006</v>
      </c>
      <c r="N36">
        <f>IFERROR(SUM($B$3:$B36),"")</f>
        <v>23962.282999999996</v>
      </c>
      <c r="O36">
        <f>IFERROR(SUM($C$3:$C36),"")</f>
        <v>27938.109000000004</v>
      </c>
      <c r="P36">
        <f>IFERROR(SUM($D$3:$D36),"")</f>
        <v>8243.7259999999987</v>
      </c>
      <c r="Q36">
        <f t="shared" si="6"/>
        <v>36181.835000000006</v>
      </c>
      <c r="R36">
        <f t="shared" si="7"/>
        <v>66.22738454254737</v>
      </c>
      <c r="S36">
        <f t="shared" si="8"/>
        <v>77.215843253942211</v>
      </c>
      <c r="T36">
        <f>IFERROR(SUM($E$3:$E36),"")</f>
        <v>33953.646999999997</v>
      </c>
      <c r="U36">
        <f>IFERROR(SUM($F$3:$F36),"")</f>
        <v>42892.274000000005</v>
      </c>
      <c r="V36">
        <f>IFERROR(SUM($G$3:$G36),"")</f>
        <v>27212.113999999994</v>
      </c>
      <c r="W36">
        <f t="shared" si="9"/>
        <v>70104.388000000006</v>
      </c>
      <c r="X36">
        <f t="shared" si="10"/>
        <v>48.432983966709756</v>
      </c>
      <c r="Y36">
        <f t="shared" si="11"/>
        <v>61.183436905547197</v>
      </c>
    </row>
    <row r="37" spans="1:25" x14ac:dyDescent="0.35">
      <c r="A37">
        <v>1884</v>
      </c>
      <c r="B37">
        <v>1226.058</v>
      </c>
      <c r="C37">
        <v>1413.7380000000001</v>
      </c>
      <c r="D37">
        <v>271.33100000000002</v>
      </c>
      <c r="E37">
        <v>1616.308</v>
      </c>
      <c r="F37">
        <v>1987.2850000000001</v>
      </c>
      <c r="G37">
        <v>892.60799999999995</v>
      </c>
      <c r="N37">
        <f>IFERROR(SUM($B$3:$B37),"")</f>
        <v>25188.340999999997</v>
      </c>
      <c r="O37">
        <f>IFERROR(SUM($C$3:$C37),"")</f>
        <v>29351.847000000005</v>
      </c>
      <c r="P37">
        <f>IFERROR(SUM($D$3:$D37),"")</f>
        <v>8515.0569999999989</v>
      </c>
      <c r="Q37">
        <f t="shared" si="6"/>
        <v>37866.904000000002</v>
      </c>
      <c r="R37">
        <f t="shared" si="7"/>
        <v>66.518089252820872</v>
      </c>
      <c r="S37">
        <f t="shared" si="8"/>
        <v>77.5131946356111</v>
      </c>
      <c r="T37">
        <f>IFERROR(SUM($E$3:$E37),"")</f>
        <v>35569.954999999994</v>
      </c>
      <c r="U37">
        <f>IFERROR(SUM($F$3:$F37),"")</f>
        <v>44879.559000000008</v>
      </c>
      <c r="V37">
        <f>IFERROR(SUM($G$3:$G37),"")</f>
        <v>28104.721999999994</v>
      </c>
      <c r="W37">
        <f t="shared" si="9"/>
        <v>72984.281000000003</v>
      </c>
      <c r="X37">
        <f t="shared" si="10"/>
        <v>48.73646011529523</v>
      </c>
      <c r="Y37">
        <f t="shared" si="11"/>
        <v>61.492088960909271</v>
      </c>
    </row>
    <row r="38" spans="1:25" x14ac:dyDescent="0.35">
      <c r="A38">
        <v>1885</v>
      </c>
      <c r="B38">
        <v>1228.0840000000001</v>
      </c>
      <c r="C38">
        <v>1421.578</v>
      </c>
      <c r="D38">
        <v>273.36</v>
      </c>
      <c r="E38">
        <v>1623.788</v>
      </c>
      <c r="F38">
        <v>2002.806</v>
      </c>
      <c r="G38">
        <v>899.96100000000001</v>
      </c>
      <c r="N38">
        <f>IFERROR(SUM($B$3:$B38),"")</f>
        <v>26416.424999999996</v>
      </c>
      <c r="O38">
        <f>IFERROR(SUM($C$3:$C38),"")</f>
        <v>30773.425000000007</v>
      </c>
      <c r="P38">
        <f>IFERROR(SUM($D$3:$D38),"")</f>
        <v>8788.4169999999995</v>
      </c>
      <c r="Q38">
        <f t="shared" si="6"/>
        <v>39561.842000000004</v>
      </c>
      <c r="R38">
        <f t="shared" si="7"/>
        <v>66.772484961645588</v>
      </c>
      <c r="S38">
        <f t="shared" si="8"/>
        <v>77.78562231758572</v>
      </c>
      <c r="T38">
        <f>IFERROR(SUM($E$3:$E38),"")</f>
        <v>37193.742999999995</v>
      </c>
      <c r="U38">
        <f>IFERROR(SUM($F$3:$F38),"")</f>
        <v>46882.365000000005</v>
      </c>
      <c r="V38">
        <f>IFERROR(SUM($G$3:$G38),"")</f>
        <v>29004.682999999994</v>
      </c>
      <c r="W38">
        <f t="shared" si="9"/>
        <v>75887.047999999995</v>
      </c>
      <c r="X38">
        <f t="shared" si="10"/>
        <v>49.011977643404968</v>
      </c>
      <c r="Y38">
        <f t="shared" si="11"/>
        <v>61.779139175370226</v>
      </c>
    </row>
    <row r="39" spans="1:25" x14ac:dyDescent="0.35">
      <c r="A39">
        <v>1886</v>
      </c>
      <c r="B39">
        <v>1241.635</v>
      </c>
      <c r="C39">
        <v>1438.519</v>
      </c>
      <c r="D39">
        <v>275.29300000000001</v>
      </c>
      <c r="E39">
        <v>1641.183</v>
      </c>
      <c r="F39">
        <v>2025.7739999999999</v>
      </c>
      <c r="G39">
        <v>907.74300000000005</v>
      </c>
      <c r="N39">
        <f>IFERROR(SUM($B$3:$B39),"")</f>
        <v>27658.059999999994</v>
      </c>
      <c r="O39">
        <f>IFERROR(SUM($C$3:$C39),"")</f>
        <v>32211.944000000007</v>
      </c>
      <c r="P39">
        <f>IFERROR(SUM($D$3:$D39),"")</f>
        <v>9063.7099999999991</v>
      </c>
      <c r="Q39">
        <f t="shared" si="6"/>
        <v>41275.65400000001</v>
      </c>
      <c r="R39">
        <f t="shared" si="7"/>
        <v>67.008169028648183</v>
      </c>
      <c r="S39">
        <f t="shared" si="8"/>
        <v>78.041026315415863</v>
      </c>
      <c r="T39">
        <f>IFERROR(SUM($E$3:$E39),"")</f>
        <v>38834.925999999992</v>
      </c>
      <c r="U39">
        <f>IFERROR(SUM($F$3:$F39),"")</f>
        <v>48908.139000000003</v>
      </c>
      <c r="V39">
        <f>IFERROR(SUM($G$3:$G39),"")</f>
        <v>29912.425999999992</v>
      </c>
      <c r="W39">
        <f t="shared" si="9"/>
        <v>78820.565000000002</v>
      </c>
      <c r="X39">
        <f t="shared" si="10"/>
        <v>49.270042659552097</v>
      </c>
      <c r="Y39">
        <f t="shared" si="11"/>
        <v>62.049972618186644</v>
      </c>
    </row>
    <row r="40" spans="1:25" x14ac:dyDescent="0.35">
      <c r="A40">
        <v>1887</v>
      </c>
      <c r="B40">
        <v>1294.067</v>
      </c>
      <c r="C40">
        <v>1495.383</v>
      </c>
      <c r="D40">
        <v>278.52300000000002</v>
      </c>
      <c r="E40">
        <v>1699.212</v>
      </c>
      <c r="F40">
        <v>2090.4360000000001</v>
      </c>
      <c r="G40">
        <v>916.87599999999998</v>
      </c>
      <c r="N40">
        <f>IFERROR(SUM($B$3:$B40),"")</f>
        <v>28952.126999999993</v>
      </c>
      <c r="O40">
        <f>IFERROR(SUM($C$3:$C40),"")</f>
        <v>33707.327000000005</v>
      </c>
      <c r="P40">
        <f>IFERROR(SUM($D$3:$D40),"")</f>
        <v>9342.2329999999984</v>
      </c>
      <c r="Q40">
        <f t="shared" si="6"/>
        <v>43049.560000000005</v>
      </c>
      <c r="R40">
        <f t="shared" si="7"/>
        <v>67.253014897248633</v>
      </c>
      <c r="S40">
        <f t="shared" si="8"/>
        <v>78.298888536839868</v>
      </c>
      <c r="T40">
        <f>IFERROR(SUM($E$3:$E40),"")</f>
        <v>40534.137999999992</v>
      </c>
      <c r="U40">
        <f>IFERROR(SUM($F$3:$F40),"")</f>
        <v>50998.575000000004</v>
      </c>
      <c r="V40">
        <f>IFERROR(SUM($G$3:$G40),"")</f>
        <v>30829.301999999992</v>
      </c>
      <c r="W40">
        <f t="shared" si="9"/>
        <v>81827.876999999993</v>
      </c>
      <c r="X40">
        <f t="shared" si="10"/>
        <v>49.535854388596682</v>
      </c>
      <c r="Y40">
        <f t="shared" si="11"/>
        <v>62.324206455949003</v>
      </c>
    </row>
    <row r="41" spans="1:25" x14ac:dyDescent="0.35">
      <c r="A41">
        <v>1888</v>
      </c>
      <c r="B41">
        <v>1414.1010000000001</v>
      </c>
      <c r="C41">
        <v>1624.2329999999999</v>
      </c>
      <c r="D41">
        <v>282.17899999999997</v>
      </c>
      <c r="E41">
        <v>1828.2</v>
      </c>
      <c r="F41">
        <v>2230.5250000000001</v>
      </c>
      <c r="G41">
        <v>924.61300000000006</v>
      </c>
      <c r="N41">
        <f>IFERROR(SUM($B$3:$B41),"")</f>
        <v>30366.227999999992</v>
      </c>
      <c r="O41">
        <f>IFERROR(SUM($C$3:$C41),"")</f>
        <v>35331.560000000005</v>
      </c>
      <c r="P41">
        <f>IFERROR(SUM($D$3:$D41),"")</f>
        <v>9624.4119999999984</v>
      </c>
      <c r="Q41">
        <f t="shared" si="6"/>
        <v>44955.972000000002</v>
      </c>
      <c r="R41">
        <f t="shared" si="7"/>
        <v>67.546594254485242</v>
      </c>
      <c r="S41">
        <f t="shared" si="8"/>
        <v>78.591471673663293</v>
      </c>
      <c r="T41">
        <f>IFERROR(SUM($E$3:$E41),"")</f>
        <v>42362.337999999989</v>
      </c>
      <c r="U41">
        <f>IFERROR(SUM($F$3:$F41),"")</f>
        <v>53229.100000000006</v>
      </c>
      <c r="V41">
        <f>IFERROR(SUM($G$3:$G41),"")</f>
        <v>31753.914999999994</v>
      </c>
      <c r="W41">
        <f t="shared" si="9"/>
        <v>84983.014999999999</v>
      </c>
      <c r="X41">
        <f t="shared" si="10"/>
        <v>49.848005510277545</v>
      </c>
      <c r="Y41">
        <f t="shared" si="11"/>
        <v>62.634986532308844</v>
      </c>
    </row>
    <row r="42" spans="1:25" x14ac:dyDescent="0.35">
      <c r="A42">
        <v>1889</v>
      </c>
      <c r="B42">
        <v>1404.9939999999999</v>
      </c>
      <c r="C42">
        <v>1623.423</v>
      </c>
      <c r="D42">
        <v>286.34500000000003</v>
      </c>
      <c r="E42">
        <v>1824.1659999999999</v>
      </c>
      <c r="F42">
        <v>2237.096</v>
      </c>
      <c r="G42">
        <v>934.01300000000003</v>
      </c>
      <c r="N42">
        <f>IFERROR(SUM($B$3:$B42),"")</f>
        <v>31771.221999999991</v>
      </c>
      <c r="O42">
        <f>IFERROR(SUM($C$3:$C42),"")</f>
        <v>36954.983000000007</v>
      </c>
      <c r="P42">
        <f>IFERROR(SUM($D$3:$D42),"")</f>
        <v>9910.7569999999978</v>
      </c>
      <c r="Q42">
        <f t="shared" si="6"/>
        <v>46865.740000000005</v>
      </c>
      <c r="R42">
        <f t="shared" si="7"/>
        <v>67.791999016765743</v>
      </c>
      <c r="S42">
        <f t="shared" si="8"/>
        <v>78.852874189119831</v>
      </c>
      <c r="T42">
        <f>IFERROR(SUM($E$3:$E42),"")</f>
        <v>44186.503999999986</v>
      </c>
      <c r="U42">
        <f>IFERROR(SUM($F$3:$F42),"")</f>
        <v>55466.196000000004</v>
      </c>
      <c r="V42">
        <f>IFERROR(SUM($G$3:$G42),"")</f>
        <v>32687.927999999993</v>
      </c>
      <c r="W42">
        <f t="shared" si="9"/>
        <v>88154.123999999996</v>
      </c>
      <c r="X42">
        <f t="shared" si="10"/>
        <v>50.124148474324336</v>
      </c>
      <c r="Y42">
        <f t="shared" si="11"/>
        <v>62.919570274443437</v>
      </c>
    </row>
    <row r="43" spans="1:25" x14ac:dyDescent="0.35">
      <c r="A43">
        <v>1890</v>
      </c>
      <c r="B43">
        <v>1516.7829999999999</v>
      </c>
      <c r="C43">
        <v>1744.509</v>
      </c>
      <c r="D43">
        <v>288.69600000000003</v>
      </c>
      <c r="E43">
        <v>1945.4010000000001</v>
      </c>
      <c r="F43">
        <v>2370.7399999999998</v>
      </c>
      <c r="G43">
        <v>945.37099999999998</v>
      </c>
      <c r="N43">
        <f>IFERROR(SUM($B$3:$B43),"")</f>
        <v>33288.00499999999</v>
      </c>
      <c r="O43">
        <f>IFERROR(SUM($C$3:$C43),"")</f>
        <v>38699.492000000006</v>
      </c>
      <c r="P43">
        <f>IFERROR(SUM($D$3:$D43),"")</f>
        <v>10199.452999999998</v>
      </c>
      <c r="Q43">
        <f t="shared" si="6"/>
        <v>48898.945000000007</v>
      </c>
      <c r="R43">
        <f t="shared" si="7"/>
        <v>68.075098552739703</v>
      </c>
      <c r="S43">
        <f t="shared" si="8"/>
        <v>79.141772895100289</v>
      </c>
      <c r="T43">
        <f>IFERROR(SUM($E$3:$E43),"")</f>
        <v>46131.904999999984</v>
      </c>
      <c r="U43">
        <f>IFERROR(SUM($F$3:$F43),"")</f>
        <v>57836.936000000002</v>
      </c>
      <c r="V43">
        <f>IFERROR(SUM($G$3:$G43),"")</f>
        <v>33633.298999999992</v>
      </c>
      <c r="W43">
        <f t="shared" si="9"/>
        <v>91470.234999999986</v>
      </c>
      <c r="X43">
        <f t="shared" si="10"/>
        <v>50.433788652669357</v>
      </c>
      <c r="Y43">
        <f t="shared" si="11"/>
        <v>63.23033498274058</v>
      </c>
    </row>
    <row r="44" spans="1:25" x14ac:dyDescent="0.35">
      <c r="A44">
        <v>1891</v>
      </c>
      <c r="B44">
        <v>1574.8230000000001</v>
      </c>
      <c r="C44">
        <v>1812.9590000000001</v>
      </c>
      <c r="D44">
        <v>292.48099999999999</v>
      </c>
      <c r="E44">
        <v>2011.86</v>
      </c>
      <c r="F44">
        <v>2450.0340000000001</v>
      </c>
      <c r="G44">
        <v>953.62900000000002</v>
      </c>
      <c r="N44">
        <f>IFERROR(SUM($B$3:$B44),"")</f>
        <v>34862.827999999987</v>
      </c>
      <c r="O44">
        <f>IFERROR(SUM($C$3:$C44),"")</f>
        <v>40512.451000000008</v>
      </c>
      <c r="P44">
        <f>IFERROR(SUM($D$3:$D44),"")</f>
        <v>10491.933999999997</v>
      </c>
      <c r="Q44">
        <f t="shared" si="6"/>
        <v>51004.385000000009</v>
      </c>
      <c r="R44">
        <f t="shared" si="7"/>
        <v>68.352609290358032</v>
      </c>
      <c r="S44">
        <f t="shared" si="8"/>
        <v>79.429349064791197</v>
      </c>
      <c r="T44">
        <f>IFERROR(SUM($E$3:$E44),"")</f>
        <v>48143.764999999985</v>
      </c>
      <c r="U44">
        <f>IFERROR(SUM($F$3:$F44),"")</f>
        <v>60286.97</v>
      </c>
      <c r="V44">
        <f>IFERROR(SUM($G$3:$G44),"")</f>
        <v>34586.927999999993</v>
      </c>
      <c r="W44">
        <f t="shared" si="9"/>
        <v>94873.897999999986</v>
      </c>
      <c r="X44">
        <f t="shared" si="10"/>
        <v>50.745005754902152</v>
      </c>
      <c r="Y44">
        <f t="shared" si="11"/>
        <v>63.544316477857812</v>
      </c>
    </row>
    <row r="45" spans="1:25" x14ac:dyDescent="0.35">
      <c r="A45">
        <v>1892</v>
      </c>
      <c r="B45">
        <v>1584.3130000000001</v>
      </c>
      <c r="C45">
        <v>1823.53</v>
      </c>
      <c r="D45">
        <v>296.64600000000002</v>
      </c>
      <c r="E45">
        <v>2027.357</v>
      </c>
      <c r="F45">
        <v>2468.8139999999999</v>
      </c>
      <c r="G45">
        <v>962.91700000000003</v>
      </c>
      <c r="N45">
        <f>IFERROR(SUM($B$3:$B45),"")</f>
        <v>36447.140999999989</v>
      </c>
      <c r="O45">
        <f>IFERROR(SUM($C$3:$C45),"")</f>
        <v>42335.981000000007</v>
      </c>
      <c r="P45">
        <f>IFERROR(SUM($D$3:$D45),"")</f>
        <v>10788.579999999998</v>
      </c>
      <c r="Q45">
        <f t="shared" si="6"/>
        <v>53124.561000000002</v>
      </c>
      <c r="R45">
        <f t="shared" si="7"/>
        <v>68.606949994372641</v>
      </c>
      <c r="S45">
        <f t="shared" si="8"/>
        <v>79.691916889440279</v>
      </c>
      <c r="T45">
        <f>IFERROR(SUM($E$3:$E45),"")</f>
        <v>50171.121999999988</v>
      </c>
      <c r="U45">
        <f>IFERROR(SUM($F$3:$F45),"")</f>
        <v>62755.784</v>
      </c>
      <c r="V45">
        <f>IFERROR(SUM($G$3:$G45),"")</f>
        <v>35549.844999999994</v>
      </c>
      <c r="W45">
        <f t="shared" si="9"/>
        <v>98305.628999999986</v>
      </c>
      <c r="X45">
        <f t="shared" si="10"/>
        <v>51.03585879095489</v>
      </c>
      <c r="Y45">
        <f t="shared" si="11"/>
        <v>63.837426847652857</v>
      </c>
    </row>
    <row r="46" spans="1:25" x14ac:dyDescent="0.35">
      <c r="A46">
        <v>1893</v>
      </c>
      <c r="B46">
        <v>1549.5260000000001</v>
      </c>
      <c r="C46">
        <v>1799.5440000000001</v>
      </c>
      <c r="D46">
        <v>301.63900000000001</v>
      </c>
      <c r="E46">
        <v>1999.405</v>
      </c>
      <c r="F46">
        <v>2454.1529999999998</v>
      </c>
      <c r="G46">
        <v>973.76800000000003</v>
      </c>
      <c r="N46">
        <f>IFERROR(SUM($B$3:$B46),"")</f>
        <v>37996.666999999987</v>
      </c>
      <c r="O46">
        <f>IFERROR(SUM($C$3:$C46),"")</f>
        <v>44135.525000000009</v>
      </c>
      <c r="P46">
        <f>IFERROR(SUM($D$3:$D46),"")</f>
        <v>11090.218999999997</v>
      </c>
      <c r="Q46">
        <f t="shared" si="6"/>
        <v>55225.744000000006</v>
      </c>
      <c r="R46">
        <f t="shared" si="7"/>
        <v>68.802453797634627</v>
      </c>
      <c r="S46">
        <f t="shared" si="8"/>
        <v>79.918389148365307</v>
      </c>
      <c r="T46">
        <f>IFERROR(SUM($E$3:$E46),"")</f>
        <v>52170.526999999987</v>
      </c>
      <c r="U46">
        <f>IFERROR(SUM($F$3:$F46),"")</f>
        <v>65209.936999999998</v>
      </c>
      <c r="V46">
        <f>IFERROR(SUM($G$3:$G46),"")</f>
        <v>36523.612999999998</v>
      </c>
      <c r="W46">
        <f t="shared" si="9"/>
        <v>101733.54999999999</v>
      </c>
      <c r="X46">
        <f t="shared" si="10"/>
        <v>51.281535933819264</v>
      </c>
      <c r="Y46">
        <f t="shared" si="11"/>
        <v>64.098753066220539</v>
      </c>
    </row>
    <row r="47" spans="1:25" x14ac:dyDescent="0.35">
      <c r="A47">
        <v>1894</v>
      </c>
      <c r="B47">
        <v>1601.453</v>
      </c>
      <c r="C47">
        <v>1854.71</v>
      </c>
      <c r="D47">
        <v>306.15699999999998</v>
      </c>
      <c r="E47">
        <v>2059.36</v>
      </c>
      <c r="F47">
        <v>2519.5630000000001</v>
      </c>
      <c r="G47">
        <v>982.40200000000004</v>
      </c>
      <c r="N47">
        <f>IFERROR(SUM($B$3:$B47),"")</f>
        <v>39598.119999999988</v>
      </c>
      <c r="O47">
        <f>IFERROR(SUM($C$3:$C47),"")</f>
        <v>45990.235000000008</v>
      </c>
      <c r="P47">
        <f>IFERROR(SUM($D$3:$D47),"")</f>
        <v>11396.375999999997</v>
      </c>
      <c r="Q47">
        <f t="shared" si="6"/>
        <v>57386.611000000004</v>
      </c>
      <c r="R47">
        <f t="shared" si="7"/>
        <v>69.002367120093538</v>
      </c>
      <c r="S47">
        <f t="shared" si="8"/>
        <v>80.141054156343202</v>
      </c>
      <c r="T47">
        <f>IFERROR(SUM($E$3:$E47),"")</f>
        <v>54229.886999999988</v>
      </c>
      <c r="U47">
        <f>IFERROR(SUM($F$3:$F47),"")</f>
        <v>67729.5</v>
      </c>
      <c r="V47">
        <f>IFERROR(SUM($G$3:$G47),"")</f>
        <v>37506.014999999999</v>
      </c>
      <c r="W47">
        <f t="shared" si="9"/>
        <v>105235.515</v>
      </c>
      <c r="X47">
        <f t="shared" si="10"/>
        <v>51.531925320078486</v>
      </c>
      <c r="Y47">
        <f t="shared" si="11"/>
        <v>64.359926399371929</v>
      </c>
    </row>
    <row r="48" spans="1:25" x14ac:dyDescent="0.35">
      <c r="A48">
        <v>1895</v>
      </c>
      <c r="B48">
        <v>1679.933</v>
      </c>
      <c r="C48">
        <v>1946.6469999999999</v>
      </c>
      <c r="D48">
        <v>312.05200000000002</v>
      </c>
      <c r="E48">
        <v>2146.4490000000001</v>
      </c>
      <c r="F48">
        <v>2622.6970000000001</v>
      </c>
      <c r="G48">
        <v>994.76700000000005</v>
      </c>
      <c r="N48">
        <f>IFERROR(SUM($B$3:$B48),"")</f>
        <v>41278.052999999985</v>
      </c>
      <c r="O48">
        <f>IFERROR(SUM($C$3:$C48),"")</f>
        <v>47936.882000000005</v>
      </c>
      <c r="P48">
        <f>IFERROR(SUM($D$3:$D48),"")</f>
        <v>11708.427999999996</v>
      </c>
      <c r="Q48">
        <f t="shared" si="6"/>
        <v>59645.31</v>
      </c>
      <c r="R48">
        <f t="shared" si="7"/>
        <v>69.205865473748034</v>
      </c>
      <c r="S48">
        <f t="shared" si="8"/>
        <v>80.369910056633131</v>
      </c>
      <c r="T48">
        <f>IFERROR(SUM($E$3:$E48),"")</f>
        <v>56376.335999999988</v>
      </c>
      <c r="U48">
        <f>IFERROR(SUM($F$3:$F48),"")</f>
        <v>70352.197</v>
      </c>
      <c r="V48">
        <f>IFERROR(SUM($G$3:$G48),"")</f>
        <v>38500.781999999999</v>
      </c>
      <c r="W48">
        <f t="shared" si="9"/>
        <v>108852.97899999999</v>
      </c>
      <c r="X48">
        <f t="shared" si="10"/>
        <v>51.791266089281763</v>
      </c>
      <c r="Y48">
        <f t="shared" si="11"/>
        <v>64.630474651502183</v>
      </c>
    </row>
    <row r="49" spans="1:25" x14ac:dyDescent="0.35">
      <c r="A49">
        <v>1896</v>
      </c>
      <c r="B49">
        <v>1725.2529999999999</v>
      </c>
      <c r="C49">
        <v>1999.2560000000001</v>
      </c>
      <c r="D49">
        <v>316.75700000000001</v>
      </c>
      <c r="E49">
        <v>2198.7530000000002</v>
      </c>
      <c r="F49">
        <v>2684.6210000000001</v>
      </c>
      <c r="G49">
        <v>1004.6</v>
      </c>
      <c r="N49">
        <f>IFERROR(SUM($B$3:$B49),"")</f>
        <v>43003.305999999982</v>
      </c>
      <c r="O49">
        <f>IFERROR(SUM($C$3:$C49),"")</f>
        <v>49936.138000000006</v>
      </c>
      <c r="P49">
        <f>IFERROR(SUM($D$3:$D49),"")</f>
        <v>12025.184999999996</v>
      </c>
      <c r="Q49">
        <f t="shared" si="6"/>
        <v>61961.323000000004</v>
      </c>
      <c r="R49">
        <f t="shared" si="7"/>
        <v>69.403466417268049</v>
      </c>
      <c r="S49">
        <f t="shared" si="8"/>
        <v>80.592433444327852</v>
      </c>
      <c r="T49">
        <f>IFERROR(SUM($E$3:$E49),"")</f>
        <v>58575.088999999985</v>
      </c>
      <c r="U49">
        <f>IFERROR(SUM($F$3:$F49),"")</f>
        <v>73036.817999999999</v>
      </c>
      <c r="V49">
        <f>IFERROR(SUM($G$3:$G49),"")</f>
        <v>39505.381999999998</v>
      </c>
      <c r="W49">
        <f t="shared" si="9"/>
        <v>112542.2</v>
      </c>
      <c r="X49">
        <f t="shared" si="10"/>
        <v>52.047222286395666</v>
      </c>
      <c r="Y49">
        <f t="shared" si="11"/>
        <v>64.897272312074932</v>
      </c>
    </row>
    <row r="50" spans="1:25" x14ac:dyDescent="0.35">
      <c r="A50">
        <v>1897</v>
      </c>
      <c r="B50">
        <v>1792.04</v>
      </c>
      <c r="C50">
        <v>2080.0300000000002</v>
      </c>
      <c r="D50">
        <v>321.524</v>
      </c>
      <c r="E50">
        <v>2274.6320000000001</v>
      </c>
      <c r="F50">
        <v>2777.15</v>
      </c>
      <c r="G50">
        <v>1015.051</v>
      </c>
      <c r="N50">
        <f>IFERROR(SUM($B$3:$B50),"")</f>
        <v>44795.345999999983</v>
      </c>
      <c r="O50">
        <f>IFERROR(SUM($C$3:$C50),"")</f>
        <v>52016.168000000005</v>
      </c>
      <c r="P50">
        <f>IFERROR(SUM($D$3:$D50),"")</f>
        <v>12346.708999999995</v>
      </c>
      <c r="Q50">
        <f t="shared" si="6"/>
        <v>64362.877</v>
      </c>
      <c r="R50">
        <f t="shared" si="7"/>
        <v>69.598110103126658</v>
      </c>
      <c r="S50">
        <f t="shared" si="8"/>
        <v>80.817033707178751</v>
      </c>
      <c r="T50">
        <f>IFERROR(SUM($E$3:$E50),"")</f>
        <v>60849.720999999983</v>
      </c>
      <c r="U50">
        <f>IFERROR(SUM($F$3:$F50),"")</f>
        <v>75813.967999999993</v>
      </c>
      <c r="V50">
        <f>IFERROR(SUM($G$3:$G50),"")</f>
        <v>40520.432999999997</v>
      </c>
      <c r="W50">
        <f t="shared" si="9"/>
        <v>116334.40099999998</v>
      </c>
      <c r="X50">
        <f t="shared" si="10"/>
        <v>52.305870384805594</v>
      </c>
      <c r="Y50">
        <f t="shared" si="11"/>
        <v>65.169001901681696</v>
      </c>
    </row>
    <row r="51" spans="1:25" x14ac:dyDescent="0.35">
      <c r="A51">
        <v>1898</v>
      </c>
      <c r="B51">
        <v>1870.877</v>
      </c>
      <c r="C51">
        <v>2175.3890000000001</v>
      </c>
      <c r="D51">
        <v>328.54899999999998</v>
      </c>
      <c r="E51">
        <v>2362.1089999999999</v>
      </c>
      <c r="F51">
        <v>2883.5549999999998</v>
      </c>
      <c r="G51">
        <v>1027.46</v>
      </c>
      <c r="N51">
        <f>IFERROR(SUM($B$3:$B51),"")</f>
        <v>46666.222999999984</v>
      </c>
      <c r="O51">
        <f>IFERROR(SUM($C$3:$C51),"")</f>
        <v>54191.557000000008</v>
      </c>
      <c r="P51">
        <f>IFERROR(SUM($D$3:$D51),"")</f>
        <v>12675.257999999994</v>
      </c>
      <c r="Q51">
        <f t="shared" si="6"/>
        <v>66866.815000000002</v>
      </c>
      <c r="R51">
        <f t="shared" si="7"/>
        <v>69.789809788308261</v>
      </c>
      <c r="S51">
        <f t="shared" si="8"/>
        <v>81.044023107725423</v>
      </c>
      <c r="T51">
        <f>IFERROR(SUM($E$3:$E51),"")</f>
        <v>63211.82999999998</v>
      </c>
      <c r="U51">
        <f>IFERROR(SUM($F$3:$F51),"")</f>
        <v>78697.522999999986</v>
      </c>
      <c r="V51">
        <f>IFERROR(SUM($G$3:$G51),"")</f>
        <v>41547.892999999996</v>
      </c>
      <c r="W51">
        <f t="shared" si="9"/>
        <v>120245.41599999998</v>
      </c>
      <c r="X51">
        <f t="shared" si="10"/>
        <v>52.569014356439162</v>
      </c>
      <c r="Y51">
        <f t="shared" si="11"/>
        <v>65.447420465492002</v>
      </c>
    </row>
    <row r="52" spans="1:25" x14ac:dyDescent="0.35">
      <c r="A52">
        <v>1899</v>
      </c>
      <c r="B52">
        <v>2031.8</v>
      </c>
      <c r="C52">
        <v>2350.6120000000001</v>
      </c>
      <c r="D52">
        <v>333.52</v>
      </c>
      <c r="E52">
        <v>2536.018</v>
      </c>
      <c r="F52">
        <v>3074.366</v>
      </c>
      <c r="G52">
        <v>1037.664</v>
      </c>
      <c r="N52">
        <f>IFERROR(SUM($B$3:$B52),"")</f>
        <v>48698.022999999986</v>
      </c>
      <c r="O52">
        <f>IFERROR(SUM($C$3:$C52),"")</f>
        <v>56542.169000000009</v>
      </c>
      <c r="P52">
        <f>IFERROR(SUM($D$3:$D52),"")</f>
        <v>13008.777999999995</v>
      </c>
      <c r="Q52">
        <f t="shared" si="6"/>
        <v>69550.947</v>
      </c>
      <c r="R52">
        <f t="shared" si="7"/>
        <v>70.017771289296732</v>
      </c>
      <c r="S52">
        <f t="shared" si="8"/>
        <v>81.296044754070721</v>
      </c>
      <c r="T52">
        <f>IFERROR(SUM($E$3:$E52),"")</f>
        <v>65747.847999999984</v>
      </c>
      <c r="U52">
        <f>IFERROR(SUM($F$3:$F52),"")</f>
        <v>81771.888999999981</v>
      </c>
      <c r="V52">
        <f>IFERROR(SUM($G$3:$G52),"")</f>
        <v>42585.556999999993</v>
      </c>
      <c r="W52">
        <f t="shared" si="9"/>
        <v>124357.44599999997</v>
      </c>
      <c r="X52">
        <f t="shared" si="10"/>
        <v>52.870053313896456</v>
      </c>
      <c r="Y52">
        <f t="shared" si="11"/>
        <v>65.755522994578058</v>
      </c>
    </row>
    <row r="53" spans="1:25" x14ac:dyDescent="0.35">
      <c r="A53">
        <v>1900</v>
      </c>
      <c r="B53">
        <v>2132.0790000000002</v>
      </c>
      <c r="C53">
        <v>2465.038</v>
      </c>
      <c r="D53">
        <v>335.30900000000003</v>
      </c>
      <c r="E53">
        <v>2649.1410000000001</v>
      </c>
      <c r="F53">
        <v>3203.92</v>
      </c>
      <c r="G53">
        <v>1045.3230000000001</v>
      </c>
      <c r="N53">
        <f>IFERROR(SUM($B$3:$B53),"")</f>
        <v>50830.101999999984</v>
      </c>
      <c r="O53">
        <f>IFERROR(SUM($C$3:$C53),"")</f>
        <v>59007.207000000009</v>
      </c>
      <c r="P53">
        <f>IFERROR(SUM($D$3:$D53),"")</f>
        <v>13344.086999999994</v>
      </c>
      <c r="Q53">
        <f t="shared" si="6"/>
        <v>72351.294000000009</v>
      </c>
      <c r="R53">
        <f t="shared" si="7"/>
        <v>70.254585909686668</v>
      </c>
      <c r="S53">
        <f t="shared" si="8"/>
        <v>81.556533045559632</v>
      </c>
      <c r="T53">
        <f>IFERROR(SUM($E$3:$E53),"")</f>
        <v>68396.988999999987</v>
      </c>
      <c r="U53">
        <f>IFERROR(SUM($F$3:$F53),"")</f>
        <v>84975.808999999979</v>
      </c>
      <c r="V53">
        <f>IFERROR(SUM($G$3:$G53),"")</f>
        <v>43630.87999999999</v>
      </c>
      <c r="W53">
        <f t="shared" si="9"/>
        <v>128606.68899999997</v>
      </c>
      <c r="X53">
        <f t="shared" si="10"/>
        <v>53.183072771588115</v>
      </c>
      <c r="Y53">
        <f t="shared" si="11"/>
        <v>66.074175193173659</v>
      </c>
    </row>
    <row r="54" spans="1:25" x14ac:dyDescent="0.35">
      <c r="A54">
        <v>1901</v>
      </c>
      <c r="B54">
        <v>2185.58</v>
      </c>
      <c r="C54">
        <v>2529.585</v>
      </c>
      <c r="D54">
        <v>344.54199999999997</v>
      </c>
      <c r="E54">
        <v>2707.11</v>
      </c>
      <c r="F54">
        <v>3276.6210000000001</v>
      </c>
      <c r="G54">
        <v>1062.902</v>
      </c>
      <c r="N54">
        <f>IFERROR(SUM($B$3:$B54),"")</f>
        <v>53015.681999999986</v>
      </c>
      <c r="O54">
        <f>IFERROR(SUM($C$3:$C54),"")</f>
        <v>61536.792000000009</v>
      </c>
      <c r="P54">
        <f>IFERROR(SUM($D$3:$D54),"")</f>
        <v>13688.628999999994</v>
      </c>
      <c r="Q54">
        <f t="shared" si="6"/>
        <v>75225.421000000002</v>
      </c>
      <c r="R54">
        <f t="shared" si="7"/>
        <v>70.475753136695616</v>
      </c>
      <c r="S54">
        <f t="shared" si="8"/>
        <v>81.803187249693167</v>
      </c>
      <c r="T54">
        <f>IFERROR(SUM($E$3:$E54),"")</f>
        <v>71104.098999999987</v>
      </c>
      <c r="U54">
        <f>IFERROR(SUM($F$3:$F54),"")</f>
        <v>88252.429999999978</v>
      </c>
      <c r="V54">
        <f>IFERROR(SUM($G$3:$G54),"")</f>
        <v>44693.781999999992</v>
      </c>
      <c r="W54">
        <f t="shared" si="9"/>
        <v>132946.21199999997</v>
      </c>
      <c r="X54">
        <f t="shared" si="10"/>
        <v>53.483358367517845</v>
      </c>
      <c r="Y54">
        <f t="shared" si="11"/>
        <v>66.382056827613852</v>
      </c>
    </row>
    <row r="55" spans="1:25" x14ac:dyDescent="0.35">
      <c r="A55">
        <v>1902</v>
      </c>
      <c r="B55">
        <v>2242.9789999999998</v>
      </c>
      <c r="C55">
        <v>2583.194</v>
      </c>
      <c r="D55">
        <v>350.34699999999998</v>
      </c>
      <c r="E55">
        <v>2770.732</v>
      </c>
      <c r="F55">
        <v>3339.7869999999998</v>
      </c>
      <c r="G55">
        <v>1073.9349999999999</v>
      </c>
      <c r="N55">
        <f>IFERROR(SUM($B$3:$B55),"")</f>
        <v>55258.660999999986</v>
      </c>
      <c r="O55">
        <f>IFERROR(SUM($C$3:$C55),"")</f>
        <v>64119.986000000012</v>
      </c>
      <c r="P55">
        <f>IFERROR(SUM($D$3:$D55),"")</f>
        <v>14038.975999999993</v>
      </c>
      <c r="Q55">
        <f t="shared" si="6"/>
        <v>78158.962</v>
      </c>
      <c r="R55">
        <f t="shared" si="7"/>
        <v>70.700351675601809</v>
      </c>
      <c r="S55">
        <f t="shared" si="8"/>
        <v>82.037919080859865</v>
      </c>
      <c r="T55">
        <f>IFERROR(SUM($E$3:$E55),"")</f>
        <v>73874.830999999991</v>
      </c>
      <c r="U55">
        <f>IFERROR(SUM($F$3:$F55),"")</f>
        <v>91592.216999999975</v>
      </c>
      <c r="V55">
        <f>IFERROR(SUM($G$3:$G55),"")</f>
        <v>45767.71699999999</v>
      </c>
      <c r="W55">
        <f t="shared" si="9"/>
        <v>137359.93399999995</v>
      </c>
      <c r="X55">
        <f t="shared" si="10"/>
        <v>53.78193542230445</v>
      </c>
      <c r="Y55">
        <f t="shared" si="11"/>
        <v>66.680446279189397</v>
      </c>
    </row>
    <row r="56" spans="1:25" x14ac:dyDescent="0.35">
      <c r="A56">
        <v>1903</v>
      </c>
      <c r="B56">
        <v>2444.1010000000001</v>
      </c>
      <c r="C56">
        <v>2787.81</v>
      </c>
      <c r="D56">
        <v>358.91</v>
      </c>
      <c r="E56">
        <v>2984.2159999999999</v>
      </c>
      <c r="F56">
        <v>3560.152</v>
      </c>
      <c r="G56">
        <v>1088.575</v>
      </c>
      <c r="N56">
        <f>IFERROR(SUM($B$3:$B56),"")</f>
        <v>57702.761999999988</v>
      </c>
      <c r="O56">
        <f>IFERROR(SUM($C$3:$C56),"")</f>
        <v>66907.796000000017</v>
      </c>
      <c r="P56">
        <f>IFERROR(SUM($D$3:$D56),"")</f>
        <v>14397.885999999993</v>
      </c>
      <c r="Q56">
        <f t="shared" si="6"/>
        <v>81305.682000000015</v>
      </c>
      <c r="R56">
        <f t="shared" si="7"/>
        <v>70.970146957256901</v>
      </c>
      <c r="S56">
        <f t="shared" si="8"/>
        <v>82.291660747646162</v>
      </c>
      <c r="T56">
        <f>IFERROR(SUM($E$3:$E56),"")</f>
        <v>76859.046999999991</v>
      </c>
      <c r="U56">
        <f>IFERROR(SUM($F$3:$F56),"")</f>
        <v>95152.368999999977</v>
      </c>
      <c r="V56">
        <f>IFERROR(SUM($G$3:$G56),"")</f>
        <v>46856.291999999987</v>
      </c>
      <c r="W56">
        <f t="shared" si="9"/>
        <v>142008.66099999996</v>
      </c>
      <c r="X56">
        <f t="shared" si="10"/>
        <v>54.122788327678137</v>
      </c>
      <c r="Y56">
        <f t="shared" si="11"/>
        <v>67.004623753194878</v>
      </c>
    </row>
    <row r="57" spans="1:25" x14ac:dyDescent="0.35">
      <c r="A57">
        <v>1904</v>
      </c>
      <c r="B57">
        <v>2455.1210000000001</v>
      </c>
      <c r="C57">
        <v>2811.0549999999998</v>
      </c>
      <c r="D57">
        <v>367.56900000000002</v>
      </c>
      <c r="E57">
        <v>2999.2089999999998</v>
      </c>
      <c r="F57">
        <v>3591.2020000000002</v>
      </c>
      <c r="G57">
        <v>1103.0650000000001</v>
      </c>
      <c r="N57">
        <f>IFERROR(SUM($B$3:$B57),"")</f>
        <v>60157.882999999987</v>
      </c>
      <c r="O57">
        <f>IFERROR(SUM($C$3:$C57),"")</f>
        <v>69718.85100000001</v>
      </c>
      <c r="P57">
        <f>IFERROR(SUM($D$3:$D57),"")</f>
        <v>14765.454999999993</v>
      </c>
      <c r="Q57">
        <f t="shared" si="6"/>
        <v>84484.305999999997</v>
      </c>
      <c r="R57">
        <f t="shared" si="7"/>
        <v>71.205985878608018</v>
      </c>
      <c r="S57">
        <f t="shared" si="8"/>
        <v>82.522842763246487</v>
      </c>
      <c r="T57">
        <f>IFERROR(SUM($E$3:$E57),"")</f>
        <v>79858.255999999994</v>
      </c>
      <c r="U57">
        <f>IFERROR(SUM($F$3:$F57),"")</f>
        <v>98743.570999999982</v>
      </c>
      <c r="V57">
        <f>IFERROR(SUM($G$3:$G57),"")</f>
        <v>47959.356999999989</v>
      </c>
      <c r="W57">
        <f t="shared" si="9"/>
        <v>146702.92799999996</v>
      </c>
      <c r="X57">
        <f t="shared" si="10"/>
        <v>54.435352510482971</v>
      </c>
      <c r="Y57">
        <f t="shared" si="11"/>
        <v>67.308520931497711</v>
      </c>
    </row>
    <row r="58" spans="1:25" x14ac:dyDescent="0.35">
      <c r="A58">
        <v>1905</v>
      </c>
      <c r="B58">
        <v>2617.37</v>
      </c>
      <c r="C58">
        <v>2971.3780000000002</v>
      </c>
      <c r="D58">
        <v>374.10500000000002</v>
      </c>
      <c r="E58">
        <v>3171.386</v>
      </c>
      <c r="F58">
        <v>3764.4630000000002</v>
      </c>
      <c r="G58">
        <v>1112.9939999999999</v>
      </c>
      <c r="N58">
        <f>IFERROR(SUM($B$3:$B58),"")</f>
        <v>62775.25299999999</v>
      </c>
      <c r="O58">
        <f>IFERROR(SUM($C$3:$C58),"")</f>
        <v>72690.229000000007</v>
      </c>
      <c r="P58">
        <f>IFERROR(SUM($D$3:$D58),"")</f>
        <v>15139.559999999992</v>
      </c>
      <c r="Q58">
        <f t="shared" si="6"/>
        <v>87829.789000000004</v>
      </c>
      <c r="R58">
        <f t="shared" si="7"/>
        <v>71.473760457286289</v>
      </c>
      <c r="S58">
        <f t="shared" si="8"/>
        <v>82.762613718678068</v>
      </c>
      <c r="T58">
        <f>IFERROR(SUM($E$3:$E58),"")</f>
        <v>83029.641999999993</v>
      </c>
      <c r="U58">
        <f>IFERROR(SUM($F$3:$F58),"")</f>
        <v>102508.03399999999</v>
      </c>
      <c r="V58">
        <f>IFERROR(SUM($G$3:$G58),"")</f>
        <v>49072.350999999988</v>
      </c>
      <c r="W58">
        <f t="shared" si="9"/>
        <v>151580.38499999998</v>
      </c>
      <c r="X58">
        <f t="shared" si="10"/>
        <v>54.775980414616313</v>
      </c>
      <c r="Y58">
        <f t="shared" si="11"/>
        <v>67.62618659399763</v>
      </c>
    </row>
    <row r="59" spans="1:25" x14ac:dyDescent="0.35">
      <c r="A59">
        <v>1906</v>
      </c>
      <c r="B59">
        <v>2712.136</v>
      </c>
      <c r="C59">
        <v>3087.41</v>
      </c>
      <c r="D59">
        <v>389.762</v>
      </c>
      <c r="E59">
        <v>3274.9459999999999</v>
      </c>
      <c r="F59">
        <v>3893.1869999999999</v>
      </c>
      <c r="G59">
        <v>1149.8599999999999</v>
      </c>
      <c r="N59">
        <f>IFERROR(SUM($B$3:$B59),"")</f>
        <v>65487.388999999988</v>
      </c>
      <c r="O59">
        <f>IFERROR(SUM($C$3:$C59),"")</f>
        <v>75777.63900000001</v>
      </c>
      <c r="P59">
        <f>IFERROR(SUM($D$3:$D59),"")</f>
        <v>15529.321999999993</v>
      </c>
      <c r="Q59">
        <f t="shared" si="6"/>
        <v>91306.96100000001</v>
      </c>
      <c r="R59">
        <f t="shared" si="7"/>
        <v>71.722230466086785</v>
      </c>
      <c r="S59">
        <f t="shared" si="8"/>
        <v>82.992181724238961</v>
      </c>
      <c r="T59">
        <f>IFERROR(SUM($E$3:$E59),"")</f>
        <v>86304.587999999989</v>
      </c>
      <c r="U59">
        <f>IFERROR(SUM($F$3:$F59),"")</f>
        <v>106401.22099999999</v>
      </c>
      <c r="V59">
        <f>IFERROR(SUM($G$3:$G59),"")</f>
        <v>50222.210999999988</v>
      </c>
      <c r="W59">
        <f t="shared" si="9"/>
        <v>156623.43199999997</v>
      </c>
      <c r="X59">
        <f t="shared" si="10"/>
        <v>55.103241512419423</v>
      </c>
      <c r="Y59">
        <f t="shared" si="11"/>
        <v>67.934420566138542</v>
      </c>
    </row>
    <row r="60" spans="1:25" x14ac:dyDescent="0.35">
      <c r="A60">
        <v>1907</v>
      </c>
      <c r="B60">
        <v>3052.1080000000002</v>
      </c>
      <c r="C60">
        <v>3452.9780000000001</v>
      </c>
      <c r="D60">
        <v>421.98899999999998</v>
      </c>
      <c r="E60">
        <v>3638.2040000000002</v>
      </c>
      <c r="F60">
        <v>4286.45</v>
      </c>
      <c r="G60">
        <v>1165.557</v>
      </c>
      <c r="N60">
        <f>IFERROR(SUM($B$3:$B60),"")</f>
        <v>68539.496999999988</v>
      </c>
      <c r="O60">
        <f>IFERROR(SUM($C$3:$C60),"")</f>
        <v>79230.617000000013</v>
      </c>
      <c r="P60">
        <f>IFERROR(SUM($D$3:$D60),"")</f>
        <v>15951.310999999992</v>
      </c>
      <c r="Q60">
        <f t="shared" si="6"/>
        <v>95181.928</v>
      </c>
      <c r="R60">
        <f t="shared" si="7"/>
        <v>72.008939554155688</v>
      </c>
      <c r="S60">
        <f t="shared" si="8"/>
        <v>83.241239870661175</v>
      </c>
      <c r="T60">
        <f>IFERROR(SUM($E$3:$E60),"")</f>
        <v>89942.791999999987</v>
      </c>
      <c r="U60">
        <f>IFERROR(SUM($F$3:$F60),"")</f>
        <v>110687.67099999999</v>
      </c>
      <c r="V60">
        <f>IFERROR(SUM($G$3:$G60),"")</f>
        <v>51387.767999999989</v>
      </c>
      <c r="W60">
        <f t="shared" si="9"/>
        <v>162075.43899999998</v>
      </c>
      <c r="X60">
        <f t="shared" si="10"/>
        <v>55.494399740604742</v>
      </c>
      <c r="Y60">
        <f t="shared" si="11"/>
        <v>68.293920215758291</v>
      </c>
    </row>
    <row r="61" spans="1:25" x14ac:dyDescent="0.35">
      <c r="A61">
        <v>1908</v>
      </c>
      <c r="B61">
        <v>2905.933</v>
      </c>
      <c r="C61">
        <v>3316.4349999999999</v>
      </c>
      <c r="D61">
        <v>434.67</v>
      </c>
      <c r="E61">
        <v>3499.9650000000001</v>
      </c>
      <c r="F61">
        <v>4161.6850000000004</v>
      </c>
      <c r="G61">
        <v>1189.884</v>
      </c>
      <c r="N61">
        <f>IFERROR(SUM($B$3:$B61),"")</f>
        <v>71445.429999999993</v>
      </c>
      <c r="O61">
        <f>IFERROR(SUM($C$3:$C61),"")</f>
        <v>82547.052000000011</v>
      </c>
      <c r="P61">
        <f>IFERROR(SUM($D$3:$D61),"")</f>
        <v>16385.980999999992</v>
      </c>
      <c r="Q61">
        <f t="shared" si="6"/>
        <v>98933.032999999996</v>
      </c>
      <c r="R61">
        <f t="shared" si="7"/>
        <v>72.21595035906762</v>
      </c>
      <c r="S61">
        <f t="shared" si="8"/>
        <v>83.437300461616303</v>
      </c>
      <c r="T61">
        <f>IFERROR(SUM($E$3:$E61),"")</f>
        <v>93442.756999999983</v>
      </c>
      <c r="U61">
        <f>IFERROR(SUM($F$3:$F61),"")</f>
        <v>114849.35599999999</v>
      </c>
      <c r="V61">
        <f>IFERROR(SUM($G$3:$G61),"")</f>
        <v>52577.651999999987</v>
      </c>
      <c r="W61">
        <f t="shared" si="9"/>
        <v>167427.00799999997</v>
      </c>
      <c r="X61">
        <f t="shared" si="10"/>
        <v>55.811041549521093</v>
      </c>
      <c r="Y61">
        <f t="shared" si="11"/>
        <v>68.596672288380148</v>
      </c>
    </row>
    <row r="62" spans="1:25" x14ac:dyDescent="0.35">
      <c r="A62">
        <v>1909</v>
      </c>
      <c r="B62">
        <v>3024.1709999999998</v>
      </c>
      <c r="C62">
        <v>3446.26</v>
      </c>
      <c r="D62">
        <v>441.43299999999999</v>
      </c>
      <c r="E62">
        <v>3620.5619999999999</v>
      </c>
      <c r="F62">
        <v>4297.5280000000002</v>
      </c>
      <c r="G62">
        <v>1197.0050000000001</v>
      </c>
      <c r="N62">
        <f>IFERROR(SUM($B$3:$B62),"")</f>
        <v>74469.600999999995</v>
      </c>
      <c r="O62">
        <f>IFERROR(SUM($C$3:$C62),"")</f>
        <v>85993.312000000005</v>
      </c>
      <c r="P62">
        <f>IFERROR(SUM($D$3:$D62),"")</f>
        <v>16827.413999999993</v>
      </c>
      <c r="Q62">
        <f t="shared" si="6"/>
        <v>102820.726</v>
      </c>
      <c r="R62">
        <f t="shared" si="7"/>
        <v>72.426643826654171</v>
      </c>
      <c r="S62">
        <f t="shared" si="8"/>
        <v>83.634219816732298</v>
      </c>
      <c r="T62">
        <f>IFERROR(SUM($E$3:$E62),"")</f>
        <v>97063.318999999989</v>
      </c>
      <c r="U62">
        <f>IFERROR(SUM($F$3:$F62),"")</f>
        <v>119146.88399999999</v>
      </c>
      <c r="V62">
        <f>IFERROR(SUM($G$3:$G62),"")</f>
        <v>53774.656999999985</v>
      </c>
      <c r="W62">
        <f t="shared" si="9"/>
        <v>172921.54099999997</v>
      </c>
      <c r="X62">
        <f t="shared" si="10"/>
        <v>56.131421475130161</v>
      </c>
      <c r="Y62">
        <f t="shared" si="11"/>
        <v>68.902279791735154</v>
      </c>
    </row>
    <row r="63" spans="1:25" x14ac:dyDescent="0.35">
      <c r="A63">
        <v>1910</v>
      </c>
      <c r="B63">
        <v>3179.9810000000002</v>
      </c>
      <c r="C63">
        <v>3599.6849999999999</v>
      </c>
      <c r="D63">
        <v>449.55500000000001</v>
      </c>
      <c r="E63">
        <v>3788.402</v>
      </c>
      <c r="F63">
        <v>4466.0619999999999</v>
      </c>
      <c r="G63">
        <v>1209.2249999999999</v>
      </c>
      <c r="N63">
        <f>IFERROR(SUM($B$3:$B63),"")</f>
        <v>77649.581999999995</v>
      </c>
      <c r="O63">
        <f>IFERROR(SUM($C$3:$C63),"")</f>
        <v>89592.997000000003</v>
      </c>
      <c r="P63">
        <f>IFERROR(SUM($D$3:$D63),"")</f>
        <v>17276.968999999994</v>
      </c>
      <c r="Q63">
        <f t="shared" si="6"/>
        <v>106869.966</v>
      </c>
      <c r="R63">
        <f t="shared" si="7"/>
        <v>72.658001968485692</v>
      </c>
      <c r="S63">
        <f t="shared" si="8"/>
        <v>83.833653507478417</v>
      </c>
      <c r="T63">
        <f>IFERROR(SUM($E$3:$E63),"")</f>
        <v>100851.72099999999</v>
      </c>
      <c r="U63">
        <f>IFERROR(SUM($F$3:$F63),"")</f>
        <v>123612.946</v>
      </c>
      <c r="V63">
        <f>IFERROR(SUM($G$3:$G63),"")</f>
        <v>54983.881999999983</v>
      </c>
      <c r="W63">
        <f t="shared" si="9"/>
        <v>178596.82799999998</v>
      </c>
      <c r="X63">
        <f t="shared" si="10"/>
        <v>56.468931799841371</v>
      </c>
      <c r="Y63">
        <f t="shared" si="11"/>
        <v>69.213405066746205</v>
      </c>
    </row>
    <row r="64" spans="1:25" x14ac:dyDescent="0.35">
      <c r="A64">
        <v>1911</v>
      </c>
      <c r="B64">
        <v>3212.9630000000002</v>
      </c>
      <c r="C64">
        <v>3644.3919999999998</v>
      </c>
      <c r="D64">
        <v>465.41300000000001</v>
      </c>
      <c r="E64">
        <v>3824.9989999999998</v>
      </c>
      <c r="F64">
        <v>4514.308</v>
      </c>
      <c r="G64">
        <v>1242.5650000000001</v>
      </c>
      <c r="N64">
        <f>IFERROR(SUM($B$3:$B64),"")</f>
        <v>80862.544999999998</v>
      </c>
      <c r="O64">
        <f>IFERROR(SUM($C$3:$C64),"")</f>
        <v>93237.388999999996</v>
      </c>
      <c r="P64">
        <f>IFERROR(SUM($D$3:$D64),"")</f>
        <v>17742.381999999994</v>
      </c>
      <c r="Q64">
        <f t="shared" si="6"/>
        <v>110979.77099999999</v>
      </c>
      <c r="R64">
        <f t="shared" si="7"/>
        <v>72.862418323065384</v>
      </c>
      <c r="S64">
        <f t="shared" si="8"/>
        <v>84.012958541786858</v>
      </c>
      <c r="T64">
        <f>IFERROR(SUM($E$3:$E64),"")</f>
        <v>104676.71999999999</v>
      </c>
      <c r="U64">
        <f>IFERROR(SUM($F$3:$F64),"")</f>
        <v>128127.254</v>
      </c>
      <c r="V64">
        <f>IFERROR(SUM($G$3:$G64),"")</f>
        <v>56226.446999999986</v>
      </c>
      <c r="W64">
        <f t="shared" si="9"/>
        <v>184353.701</v>
      </c>
      <c r="X64">
        <f t="shared" si="10"/>
        <v>56.780373506035545</v>
      </c>
      <c r="Y64">
        <f t="shared" si="11"/>
        <v>69.500776661923382</v>
      </c>
    </row>
    <row r="65" spans="1:25" x14ac:dyDescent="0.35">
      <c r="A65">
        <v>1912</v>
      </c>
      <c r="B65">
        <v>3354.3389999999999</v>
      </c>
      <c r="C65">
        <v>3816.36</v>
      </c>
      <c r="D65">
        <v>466.18400000000003</v>
      </c>
      <c r="E65">
        <v>3983.741</v>
      </c>
      <c r="F65">
        <v>4705.0209999999997</v>
      </c>
      <c r="G65">
        <v>1242.6610000000001</v>
      </c>
      <c r="N65">
        <f>IFERROR(SUM($B$3:$B65),"")</f>
        <v>84216.883999999991</v>
      </c>
      <c r="O65">
        <f>IFERROR(SUM($C$3:$C65),"")</f>
        <v>97053.748999999996</v>
      </c>
      <c r="P65">
        <f>IFERROR(SUM($D$3:$D65),"")</f>
        <v>18208.565999999995</v>
      </c>
      <c r="Q65">
        <f t="shared" si="6"/>
        <v>115262.31499999999</v>
      </c>
      <c r="R65">
        <f t="shared" si="7"/>
        <v>73.065410841349149</v>
      </c>
      <c r="S65">
        <f t="shared" si="8"/>
        <v>84.202498448864233</v>
      </c>
      <c r="T65">
        <f>IFERROR(SUM($E$3:$E65),"")</f>
        <v>108660.46099999998</v>
      </c>
      <c r="U65">
        <f>IFERROR(SUM($F$3:$F65),"")</f>
        <v>132832.27499999999</v>
      </c>
      <c r="V65">
        <f>IFERROR(SUM($G$3:$G65),"")</f>
        <v>57469.107999999986</v>
      </c>
      <c r="W65">
        <f t="shared" si="9"/>
        <v>190301.38299999997</v>
      </c>
      <c r="X65">
        <f t="shared" si="10"/>
        <v>57.099144150728534</v>
      </c>
      <c r="Y65">
        <f t="shared" si="11"/>
        <v>69.8010034955973</v>
      </c>
    </row>
    <row r="66" spans="1:25" x14ac:dyDescent="0.35">
      <c r="A66">
        <v>1913</v>
      </c>
      <c r="B66">
        <v>3612.76</v>
      </c>
      <c r="C66">
        <v>4095.8679999999999</v>
      </c>
      <c r="D66">
        <v>491.43</v>
      </c>
      <c r="E66">
        <v>4257.259</v>
      </c>
      <c r="F66">
        <v>5001.1970000000001</v>
      </c>
      <c r="G66">
        <v>1272.8599999999999</v>
      </c>
      <c r="N66">
        <f>IFERROR(SUM($B$3:$B66),"")</f>
        <v>87829.643999999986</v>
      </c>
      <c r="O66">
        <f>IFERROR(SUM($C$3:$C66),"")</f>
        <v>101149.617</v>
      </c>
      <c r="P66">
        <f>IFERROR(SUM($D$3:$D66),"")</f>
        <v>18699.995999999996</v>
      </c>
      <c r="Q66">
        <f t="shared" si="6"/>
        <v>119849.613</v>
      </c>
      <c r="R66">
        <f t="shared" si="7"/>
        <v>73.283210351292482</v>
      </c>
      <c r="S66">
        <f t="shared" si="8"/>
        <v>84.397116075794088</v>
      </c>
      <c r="T66">
        <f>IFERROR(SUM($E$3:$E66),"")</f>
        <v>112917.71999999999</v>
      </c>
      <c r="U66">
        <f>IFERROR(SUM($F$3:$F66),"")</f>
        <v>137833.47200000001</v>
      </c>
      <c r="V66">
        <f>IFERROR(SUM($G$3:$G66),"")</f>
        <v>58741.967999999986</v>
      </c>
      <c r="W66">
        <f t="shared" si="9"/>
        <v>196575.44</v>
      </c>
      <c r="X66">
        <f t="shared" si="10"/>
        <v>57.442435331697581</v>
      </c>
      <c r="Y66">
        <f t="shared" si="11"/>
        <v>70.117341210071828</v>
      </c>
    </row>
    <row r="67" spans="1:25" x14ac:dyDescent="0.35">
      <c r="A67">
        <v>1914</v>
      </c>
      <c r="B67">
        <v>3294.2730000000001</v>
      </c>
      <c r="C67">
        <v>3734.3040000000001</v>
      </c>
      <c r="D67">
        <v>491.36799999999999</v>
      </c>
      <c r="E67">
        <v>3929.6149999999998</v>
      </c>
      <c r="F67">
        <v>4631.3919999999998</v>
      </c>
      <c r="G67">
        <v>1286.76</v>
      </c>
      <c r="N67">
        <f>IFERROR(SUM($B$3:$B67),"")</f>
        <v>91123.916999999987</v>
      </c>
      <c r="O67">
        <f>IFERROR(SUM($C$3:$C67),"")</f>
        <v>104883.921</v>
      </c>
      <c r="P67">
        <f>IFERROR(SUM($D$3:$D67),"")</f>
        <v>19191.363999999994</v>
      </c>
      <c r="Q67">
        <f t="shared" ref="Q67:Q98" si="12">IFERROR(O67+P67,"")</f>
        <v>124075.285</v>
      </c>
      <c r="R67">
        <f t="shared" ref="R67:R98" si="13">IFERROR(N67/Q67*100,NA())</f>
        <v>73.442440208781292</v>
      </c>
      <c r="S67">
        <f t="shared" ref="S67:S98" si="14">IFERROR(O67/Q67*100,NA())</f>
        <v>84.532484450871905</v>
      </c>
      <c r="T67">
        <f>IFERROR(SUM($E$3:$E67),"")</f>
        <v>116847.33499999999</v>
      </c>
      <c r="U67">
        <f>IFERROR(SUM($F$3:$F67),"")</f>
        <v>142464.864</v>
      </c>
      <c r="V67">
        <f>IFERROR(SUM($G$3:$G67),"")</f>
        <v>60028.727999999988</v>
      </c>
      <c r="W67">
        <f t="shared" ref="W67:W98" si="15">IFERROR(U67+V67,"")</f>
        <v>202493.592</v>
      </c>
      <c r="X67">
        <f t="shared" ref="X67:X98" si="16">IFERROR(T67/W67*100,NA())</f>
        <v>57.704213672104743</v>
      </c>
      <c r="Y67">
        <f t="shared" ref="Y67:Y98" si="17">IFERROR(U67/W67*100,NA())</f>
        <v>70.355245611920409</v>
      </c>
    </row>
    <row r="68" spans="1:25" x14ac:dyDescent="0.35">
      <c r="A68">
        <v>1915</v>
      </c>
      <c r="B68">
        <v>3255.4319999999998</v>
      </c>
      <c r="C68">
        <v>3681.2910000000002</v>
      </c>
      <c r="D68">
        <v>495.97699999999998</v>
      </c>
      <c r="E68">
        <v>3890.9470000000001</v>
      </c>
      <c r="F68">
        <v>4579.7209999999995</v>
      </c>
      <c r="G68">
        <v>1306.53</v>
      </c>
      <c r="N68">
        <f>IFERROR(SUM($B$3:$B68),"")</f>
        <v>94379.348999999987</v>
      </c>
      <c r="O68">
        <f>IFERROR(SUM($C$3:$C68),"")</f>
        <v>108565.212</v>
      </c>
      <c r="P68">
        <f>IFERROR(SUM($D$3:$D68),"")</f>
        <v>19687.340999999993</v>
      </c>
      <c r="Q68">
        <f t="shared" si="12"/>
        <v>128252.55299999999</v>
      </c>
      <c r="R68">
        <f t="shared" si="13"/>
        <v>73.588670784588601</v>
      </c>
      <c r="S68">
        <f t="shared" si="14"/>
        <v>84.649552356279429</v>
      </c>
      <c r="T68">
        <f>IFERROR(SUM($E$3:$E68),"")</f>
        <v>120738.28199999999</v>
      </c>
      <c r="U68">
        <f>IFERROR(SUM($F$3:$F68),"")</f>
        <v>147044.58499999999</v>
      </c>
      <c r="V68">
        <f>IFERROR(SUM($G$3:$G68),"")</f>
        <v>61335.257999999987</v>
      </c>
      <c r="W68">
        <f t="shared" si="15"/>
        <v>208379.84299999999</v>
      </c>
      <c r="X68">
        <f t="shared" si="16"/>
        <v>57.941440142077461</v>
      </c>
      <c r="Y68">
        <f t="shared" si="17"/>
        <v>70.565647273282579</v>
      </c>
    </row>
    <row r="69" spans="1:25" x14ac:dyDescent="0.35">
      <c r="A69">
        <v>1916</v>
      </c>
      <c r="B69">
        <v>3498.5210000000002</v>
      </c>
      <c r="C69">
        <v>3945.56</v>
      </c>
      <c r="D69">
        <v>517.90099999999995</v>
      </c>
      <c r="E69">
        <v>4138.9750000000004</v>
      </c>
      <c r="F69">
        <v>4851.9359999999997</v>
      </c>
      <c r="G69">
        <v>1334.5509999999999</v>
      </c>
      <c r="N69">
        <f>IFERROR(SUM($B$3:$B69),"")</f>
        <v>97877.869999999981</v>
      </c>
      <c r="O69">
        <f>IFERROR(SUM($C$3:$C69),"")</f>
        <v>112510.772</v>
      </c>
      <c r="P69">
        <f>IFERROR(SUM($D$3:$D69),"")</f>
        <v>20205.241999999995</v>
      </c>
      <c r="Q69">
        <f t="shared" si="12"/>
        <v>132716.014</v>
      </c>
      <c r="R69">
        <f t="shared" si="13"/>
        <v>73.74985659228733</v>
      </c>
      <c r="S69">
        <f t="shared" si="14"/>
        <v>84.775581038773524</v>
      </c>
      <c r="T69">
        <f>IFERROR(SUM($E$3:$E69),"")</f>
        <v>124877.257</v>
      </c>
      <c r="U69">
        <f>IFERROR(SUM($F$3:$F69),"")</f>
        <v>151896.52099999998</v>
      </c>
      <c r="V69">
        <f>IFERROR(SUM($G$3:$G69),"")</f>
        <v>62669.808999999987</v>
      </c>
      <c r="W69">
        <f t="shared" si="15"/>
        <v>214566.32999999996</v>
      </c>
      <c r="X69">
        <f t="shared" si="16"/>
        <v>58.199838250484135</v>
      </c>
      <c r="Y69">
        <f t="shared" si="17"/>
        <v>70.792337735375355</v>
      </c>
    </row>
    <row r="70" spans="1:25" x14ac:dyDescent="0.35">
      <c r="A70">
        <v>1917</v>
      </c>
      <c r="B70">
        <v>3660.971</v>
      </c>
      <c r="C70">
        <v>4104.1149999999998</v>
      </c>
      <c r="D70">
        <v>538.76599999999996</v>
      </c>
      <c r="E70">
        <v>4285.143</v>
      </c>
      <c r="F70">
        <v>4995.5290000000005</v>
      </c>
      <c r="G70">
        <v>1362.6179999999999</v>
      </c>
      <c r="N70">
        <f>IFERROR(SUM($B$3:$B70),"")</f>
        <v>101538.84099999999</v>
      </c>
      <c r="O70">
        <f>IFERROR(SUM($C$3:$C70),"")</f>
        <v>116614.887</v>
      </c>
      <c r="P70">
        <f>IFERROR(SUM($D$3:$D70),"")</f>
        <v>20744.007999999994</v>
      </c>
      <c r="Q70">
        <f t="shared" si="12"/>
        <v>137358.89499999999</v>
      </c>
      <c r="R70">
        <f t="shared" si="13"/>
        <v>73.922290216443571</v>
      </c>
      <c r="S70">
        <f t="shared" si="14"/>
        <v>84.897950729728862</v>
      </c>
      <c r="T70">
        <f>IFERROR(SUM($E$3:$E70),"")</f>
        <v>129162.4</v>
      </c>
      <c r="U70">
        <f>IFERROR(SUM($F$3:$F70),"")</f>
        <v>156892.04999999999</v>
      </c>
      <c r="V70">
        <f>IFERROR(SUM($G$3:$G70),"")</f>
        <v>64032.426999999989</v>
      </c>
      <c r="W70">
        <f t="shared" si="15"/>
        <v>220924.47699999998</v>
      </c>
      <c r="X70">
        <f t="shared" si="16"/>
        <v>58.464504139122617</v>
      </c>
      <c r="Y70">
        <f t="shared" si="17"/>
        <v>71.016146391058328</v>
      </c>
    </row>
    <row r="71" spans="1:25" x14ac:dyDescent="0.35">
      <c r="A71">
        <v>1918</v>
      </c>
      <c r="B71">
        <v>3682.8910000000001</v>
      </c>
      <c r="C71">
        <v>4027.1860000000001</v>
      </c>
      <c r="D71">
        <v>548.41499999999996</v>
      </c>
      <c r="E71">
        <v>4320.6589999999997</v>
      </c>
      <c r="F71">
        <v>4929.7240000000002</v>
      </c>
      <c r="G71">
        <v>1380.636</v>
      </c>
      <c r="N71">
        <f>IFERROR(SUM($B$3:$B71),"")</f>
        <v>105221.73199999999</v>
      </c>
      <c r="O71">
        <f>IFERROR(SUM($C$3:$C71),"")</f>
        <v>120642.073</v>
      </c>
      <c r="P71">
        <f>IFERROR(SUM($D$3:$D71),"")</f>
        <v>21292.422999999995</v>
      </c>
      <c r="Q71">
        <f t="shared" si="12"/>
        <v>141934.49599999998</v>
      </c>
      <c r="R71">
        <f t="shared" si="13"/>
        <v>74.134008972702446</v>
      </c>
      <c r="S71">
        <f t="shared" si="14"/>
        <v>84.998415748064531</v>
      </c>
      <c r="T71">
        <f>IFERROR(SUM($E$3:$E71),"")</f>
        <v>133483.05900000001</v>
      </c>
      <c r="U71">
        <f>IFERROR(SUM($F$3:$F71),"")</f>
        <v>161821.77399999998</v>
      </c>
      <c r="V71">
        <f>IFERROR(SUM($G$3:$G71),"")</f>
        <v>65413.062999999987</v>
      </c>
      <c r="W71">
        <f t="shared" si="15"/>
        <v>227234.83699999997</v>
      </c>
      <c r="X71">
        <f t="shared" si="16"/>
        <v>58.742339318332611</v>
      </c>
      <c r="Y71">
        <f t="shared" si="17"/>
        <v>71.213453067497738</v>
      </c>
    </row>
    <row r="72" spans="1:25" x14ac:dyDescent="0.35">
      <c r="A72">
        <v>1919</v>
      </c>
      <c r="B72">
        <v>3268.21</v>
      </c>
      <c r="C72">
        <v>3492.0740000000001</v>
      </c>
      <c r="D72">
        <v>578.42100000000005</v>
      </c>
      <c r="E72">
        <v>3893.431</v>
      </c>
      <c r="F72">
        <v>4381.0690000000004</v>
      </c>
      <c r="G72">
        <v>1420.462</v>
      </c>
      <c r="N72">
        <f>IFERROR(SUM($B$3:$B72),"")</f>
        <v>108489.942</v>
      </c>
      <c r="O72">
        <f>IFERROR(SUM($C$3:$C72),"")</f>
        <v>124134.147</v>
      </c>
      <c r="P72">
        <f>IFERROR(SUM($D$3:$D72),"")</f>
        <v>21870.843999999994</v>
      </c>
      <c r="Q72">
        <f t="shared" si="12"/>
        <v>146004.99099999998</v>
      </c>
      <c r="R72">
        <f t="shared" si="13"/>
        <v>74.30563931886411</v>
      </c>
      <c r="S72">
        <f t="shared" si="14"/>
        <v>85.020481936812715</v>
      </c>
      <c r="T72">
        <f>IFERROR(SUM($E$3:$E72),"")</f>
        <v>137376.49000000002</v>
      </c>
      <c r="U72">
        <f>IFERROR(SUM($F$3:$F72),"")</f>
        <v>166202.84299999996</v>
      </c>
      <c r="V72">
        <f>IFERROR(SUM($G$3:$G72),"")</f>
        <v>66833.524999999994</v>
      </c>
      <c r="W72">
        <f t="shared" si="15"/>
        <v>233036.36799999996</v>
      </c>
      <c r="X72">
        <f t="shared" si="16"/>
        <v>58.9506655888149</v>
      </c>
      <c r="Y72">
        <f t="shared" si="17"/>
        <v>71.32056014535894</v>
      </c>
    </row>
    <row r="73" spans="1:25" x14ac:dyDescent="0.35">
      <c r="A73">
        <v>1920</v>
      </c>
      <c r="B73">
        <v>3709.5819999999999</v>
      </c>
      <c r="C73">
        <v>4010.2950000000001</v>
      </c>
      <c r="D73">
        <v>622.59699999999998</v>
      </c>
      <c r="E73">
        <v>4347.9560000000001</v>
      </c>
      <c r="F73">
        <v>4914.0600000000004</v>
      </c>
      <c r="G73">
        <v>1470.0309999999999</v>
      </c>
      <c r="N73">
        <f>IFERROR(SUM($B$3:$B73),"")</f>
        <v>112199.52399999999</v>
      </c>
      <c r="O73">
        <f>IFERROR(SUM($C$3:$C73),"")</f>
        <v>128144.442</v>
      </c>
      <c r="P73">
        <f>IFERROR(SUM($D$3:$D73),"")</f>
        <v>22493.440999999995</v>
      </c>
      <c r="Q73">
        <f t="shared" si="12"/>
        <v>150637.883</v>
      </c>
      <c r="R73">
        <f t="shared" si="13"/>
        <v>74.482939991927523</v>
      </c>
      <c r="S73">
        <f t="shared" si="14"/>
        <v>85.067872335938233</v>
      </c>
      <c r="T73">
        <f>IFERROR(SUM($E$3:$E73),"")</f>
        <v>141724.44600000003</v>
      </c>
      <c r="U73">
        <f>IFERROR(SUM($F$3:$F73),"")</f>
        <v>171116.90299999996</v>
      </c>
      <c r="V73">
        <f>IFERROR(SUM($G$3:$G73),"")</f>
        <v>68303.555999999997</v>
      </c>
      <c r="W73">
        <f t="shared" si="15"/>
        <v>239420.45899999997</v>
      </c>
      <c r="X73">
        <f t="shared" si="16"/>
        <v>59.194793373944719</v>
      </c>
      <c r="Y73">
        <f t="shared" si="17"/>
        <v>71.47129519119332</v>
      </c>
    </row>
    <row r="74" spans="1:25" x14ac:dyDescent="0.35">
      <c r="A74">
        <v>1921</v>
      </c>
      <c r="B74">
        <v>3195.0859999999998</v>
      </c>
      <c r="C74">
        <v>3498.35</v>
      </c>
      <c r="D74">
        <v>645.31299999999999</v>
      </c>
      <c r="E74">
        <v>3819.5169999999998</v>
      </c>
      <c r="F74">
        <v>4390.9570000000003</v>
      </c>
      <c r="G74">
        <v>1505.508</v>
      </c>
      <c r="N74">
        <f>IFERROR(SUM($B$3:$B74),"")</f>
        <v>115394.60999999999</v>
      </c>
      <c r="O74">
        <f>IFERROR(SUM($C$3:$C74),"")</f>
        <v>131642.79199999999</v>
      </c>
      <c r="P74">
        <f>IFERROR(SUM($D$3:$D74),"")</f>
        <v>23138.753999999994</v>
      </c>
      <c r="Q74">
        <f t="shared" si="12"/>
        <v>154781.54599999997</v>
      </c>
      <c r="R74">
        <f t="shared" si="13"/>
        <v>74.553209334141172</v>
      </c>
      <c r="S74">
        <f t="shared" si="14"/>
        <v>85.0507023621537</v>
      </c>
      <c r="T74">
        <f>IFERROR(SUM($E$3:$E74),"")</f>
        <v>145543.96300000002</v>
      </c>
      <c r="U74">
        <f>IFERROR(SUM($F$3:$F74),"")</f>
        <v>175507.85999999996</v>
      </c>
      <c r="V74">
        <f>IFERROR(SUM($G$3:$G74),"")</f>
        <v>69809.063999999998</v>
      </c>
      <c r="W74">
        <f t="shared" si="15"/>
        <v>245316.92399999994</v>
      </c>
      <c r="X74">
        <f t="shared" si="16"/>
        <v>59.328953187102599</v>
      </c>
      <c r="Y74">
        <f t="shared" si="17"/>
        <v>71.543315128148279</v>
      </c>
    </row>
    <row r="75" spans="1:25" x14ac:dyDescent="0.35">
      <c r="A75">
        <v>1922</v>
      </c>
      <c r="B75">
        <v>3370.6010000000001</v>
      </c>
      <c r="C75">
        <v>3677.4989999999998</v>
      </c>
      <c r="D75">
        <v>651.84500000000003</v>
      </c>
      <c r="E75">
        <v>4015.1860000000001</v>
      </c>
      <c r="F75">
        <v>4593.5519999999997</v>
      </c>
      <c r="G75">
        <v>1526.954</v>
      </c>
      <c r="N75">
        <f>IFERROR(SUM($B$3:$B75),"")</f>
        <v>118765.21099999998</v>
      </c>
      <c r="O75">
        <f>IFERROR(SUM($C$3:$C75),"")</f>
        <v>135320.291</v>
      </c>
      <c r="P75">
        <f>IFERROR(SUM($D$3:$D75),"")</f>
        <v>23790.598999999995</v>
      </c>
      <c r="Q75">
        <f t="shared" si="12"/>
        <v>159110.88999999998</v>
      </c>
      <c r="R75">
        <f t="shared" si="13"/>
        <v>74.643043603112275</v>
      </c>
      <c r="S75">
        <f t="shared" si="14"/>
        <v>85.04778711249746</v>
      </c>
      <c r="T75">
        <f>IFERROR(SUM($E$3:$E75),"")</f>
        <v>149559.149</v>
      </c>
      <c r="U75">
        <f>IFERROR(SUM($F$3:$F75),"")</f>
        <v>180101.41199999995</v>
      </c>
      <c r="V75">
        <f>IFERROR(SUM($G$3:$G75),"")</f>
        <v>71336.017999999996</v>
      </c>
      <c r="W75">
        <f t="shared" si="15"/>
        <v>251437.42999999993</v>
      </c>
      <c r="X75">
        <f t="shared" si="16"/>
        <v>59.481656728674025</v>
      </c>
      <c r="Y75">
        <f t="shared" si="17"/>
        <v>71.62871971766495</v>
      </c>
    </row>
    <row r="76" spans="1:25" x14ac:dyDescent="0.35">
      <c r="A76">
        <v>1923</v>
      </c>
      <c r="B76">
        <v>3866.1849999999999</v>
      </c>
      <c r="C76">
        <v>4163.924</v>
      </c>
      <c r="D76">
        <v>669.65099999999995</v>
      </c>
      <c r="E76">
        <v>4527.5219999999999</v>
      </c>
      <c r="F76">
        <v>5100.6629999999996</v>
      </c>
      <c r="G76">
        <v>1558.1389999999999</v>
      </c>
      <c r="N76">
        <f>IFERROR(SUM($B$3:$B76),"")</f>
        <v>122631.39599999998</v>
      </c>
      <c r="O76">
        <f>IFERROR(SUM($C$3:$C76),"")</f>
        <v>139484.215</v>
      </c>
      <c r="P76">
        <f>IFERROR(SUM($D$3:$D76),"")</f>
        <v>24460.249999999996</v>
      </c>
      <c r="Q76">
        <f t="shared" si="12"/>
        <v>163944.465</v>
      </c>
      <c r="R76">
        <f t="shared" si="13"/>
        <v>74.800571034831805</v>
      </c>
      <c r="S76">
        <f t="shared" si="14"/>
        <v>85.080161138712427</v>
      </c>
      <c r="T76">
        <f>IFERROR(SUM($E$3:$E76),"")</f>
        <v>154086.671</v>
      </c>
      <c r="U76">
        <f>IFERROR(SUM($F$3:$F76),"")</f>
        <v>185202.07499999995</v>
      </c>
      <c r="V76">
        <f>IFERROR(SUM($G$3:$G76),"")</f>
        <v>72894.156999999992</v>
      </c>
      <c r="W76">
        <f t="shared" si="15"/>
        <v>258096.23199999996</v>
      </c>
      <c r="X76">
        <f t="shared" si="16"/>
        <v>59.701247788848008</v>
      </c>
      <c r="Y76">
        <f t="shared" si="17"/>
        <v>71.756985200775802</v>
      </c>
    </row>
    <row r="77" spans="1:25" x14ac:dyDescent="0.35">
      <c r="A77">
        <v>1924</v>
      </c>
      <c r="B77">
        <v>3854.1909999999998</v>
      </c>
      <c r="C77">
        <v>4169.9279999999999</v>
      </c>
      <c r="D77">
        <v>691.13400000000001</v>
      </c>
      <c r="E77">
        <v>4525.6729999999998</v>
      </c>
      <c r="F77">
        <v>5122.0119999999997</v>
      </c>
      <c r="G77">
        <v>1593.8789999999999</v>
      </c>
      <c r="N77">
        <f>IFERROR(SUM($B$3:$B77),"")</f>
        <v>126485.58699999998</v>
      </c>
      <c r="O77">
        <f>IFERROR(SUM($C$3:$C77),"")</f>
        <v>143654.14299999998</v>
      </c>
      <c r="P77">
        <f>IFERROR(SUM($D$3:$D77),"")</f>
        <v>25151.383999999998</v>
      </c>
      <c r="Q77">
        <f t="shared" si="12"/>
        <v>168805.52699999997</v>
      </c>
      <c r="R77">
        <f t="shared" si="13"/>
        <v>74.929766369557328</v>
      </c>
      <c r="S77">
        <f t="shared" si="14"/>
        <v>85.100378851931794</v>
      </c>
      <c r="T77">
        <f>IFERROR(SUM($E$3:$E77),"")</f>
        <v>158612.34400000001</v>
      </c>
      <c r="U77">
        <f>IFERROR(SUM($F$3:$F77),"")</f>
        <v>190324.08699999994</v>
      </c>
      <c r="V77">
        <f>IFERROR(SUM($G$3:$G77),"")</f>
        <v>74488.035999999993</v>
      </c>
      <c r="W77">
        <f t="shared" si="15"/>
        <v>264812.12299999991</v>
      </c>
      <c r="X77">
        <f t="shared" si="16"/>
        <v>59.896179299918252</v>
      </c>
      <c r="Y77">
        <f t="shared" si="17"/>
        <v>71.871364816632664</v>
      </c>
    </row>
    <row r="78" spans="1:25" x14ac:dyDescent="0.35">
      <c r="A78">
        <v>1925</v>
      </c>
      <c r="B78">
        <v>3889.7289999999998</v>
      </c>
      <c r="C78">
        <v>4204.0389999999998</v>
      </c>
      <c r="D78">
        <v>690.92</v>
      </c>
      <c r="E78">
        <v>4591.1790000000001</v>
      </c>
      <c r="F78">
        <v>5190.0020000000004</v>
      </c>
      <c r="G78">
        <v>1608.9549999999999</v>
      </c>
      <c r="N78">
        <f>IFERROR(SUM($B$3:$B78),"")</f>
        <v>130375.31599999999</v>
      </c>
      <c r="O78">
        <f>IFERROR(SUM($C$3:$C78),"")</f>
        <v>147858.18199999997</v>
      </c>
      <c r="P78">
        <f>IFERROR(SUM($D$3:$D78),"")</f>
        <v>25842.303999999996</v>
      </c>
      <c r="Q78">
        <f t="shared" si="12"/>
        <v>173700.48599999998</v>
      </c>
      <c r="R78">
        <f t="shared" si="13"/>
        <v>75.057542441188104</v>
      </c>
      <c r="S78">
        <f t="shared" si="14"/>
        <v>85.122491827685494</v>
      </c>
      <c r="T78">
        <f>IFERROR(SUM($E$3:$E78),"")</f>
        <v>163203.52300000002</v>
      </c>
      <c r="U78">
        <f>IFERROR(SUM($F$3:$F78),"")</f>
        <v>195514.08899999995</v>
      </c>
      <c r="V78">
        <f>IFERROR(SUM($G$3:$G78),"")</f>
        <v>76096.990999999995</v>
      </c>
      <c r="W78">
        <f t="shared" si="15"/>
        <v>271611.07999999996</v>
      </c>
      <c r="X78">
        <f t="shared" si="16"/>
        <v>60.0872110961011</v>
      </c>
      <c r="Y78">
        <f t="shared" si="17"/>
        <v>71.983105033859445</v>
      </c>
    </row>
    <row r="79" spans="1:25" x14ac:dyDescent="0.35">
      <c r="A79">
        <v>1926</v>
      </c>
      <c r="B79">
        <v>3786.8130000000001</v>
      </c>
      <c r="C79">
        <v>4134.4870000000001</v>
      </c>
      <c r="D79">
        <v>691.327</v>
      </c>
      <c r="E79">
        <v>4488.8739999999998</v>
      </c>
      <c r="F79">
        <v>5126.0510000000004</v>
      </c>
      <c r="G79">
        <v>1632.3109999999999</v>
      </c>
      <c r="N79">
        <f>IFERROR(SUM($B$3:$B79),"")</f>
        <v>134162.12899999999</v>
      </c>
      <c r="O79">
        <f>IFERROR(SUM($C$3:$C79),"")</f>
        <v>151992.66899999997</v>
      </c>
      <c r="P79">
        <f>IFERROR(SUM($D$3:$D79),"")</f>
        <v>26533.630999999998</v>
      </c>
      <c r="Q79">
        <f t="shared" si="12"/>
        <v>178526.29999999996</v>
      </c>
      <c r="R79">
        <f t="shared" si="13"/>
        <v>75.149784093436097</v>
      </c>
      <c r="S79">
        <f t="shared" si="14"/>
        <v>85.137410566398344</v>
      </c>
      <c r="T79">
        <f>IFERROR(SUM($E$3:$E79),"")</f>
        <v>167692.39700000003</v>
      </c>
      <c r="U79">
        <f>IFERROR(SUM($F$3:$F79),"")</f>
        <v>200640.13999999996</v>
      </c>
      <c r="V79">
        <f>IFERROR(SUM($G$3:$G79),"")</f>
        <v>77729.301999999996</v>
      </c>
      <c r="W79">
        <f t="shared" si="15"/>
        <v>278369.44199999992</v>
      </c>
      <c r="X79">
        <f t="shared" si="16"/>
        <v>60.240950226138715</v>
      </c>
      <c r="Y79">
        <f t="shared" si="17"/>
        <v>72.076927179384882</v>
      </c>
    </row>
    <row r="80" spans="1:25" x14ac:dyDescent="0.35">
      <c r="A80">
        <v>1927</v>
      </c>
      <c r="B80">
        <v>4127.5810000000001</v>
      </c>
      <c r="C80">
        <v>4518.1080000000002</v>
      </c>
      <c r="D80">
        <v>702.90499999999997</v>
      </c>
      <c r="E80">
        <v>4861.8670000000002</v>
      </c>
      <c r="F80">
        <v>5550.2520000000004</v>
      </c>
      <c r="G80">
        <v>1660.6010000000001</v>
      </c>
      <c r="N80">
        <f>IFERROR(SUM($B$3:$B80),"")</f>
        <v>138289.71</v>
      </c>
      <c r="O80">
        <f>IFERROR(SUM($C$3:$C80),"")</f>
        <v>156510.77699999997</v>
      </c>
      <c r="P80">
        <f>IFERROR(SUM($D$3:$D80),"")</f>
        <v>27236.535999999996</v>
      </c>
      <c r="Q80">
        <f t="shared" si="12"/>
        <v>183747.31299999997</v>
      </c>
      <c r="R80">
        <f t="shared" si="13"/>
        <v>75.260806670952533</v>
      </c>
      <c r="S80">
        <f t="shared" si="14"/>
        <v>85.177178618116727</v>
      </c>
      <c r="T80">
        <f>IFERROR(SUM($E$3:$E80),"")</f>
        <v>172554.26400000002</v>
      </c>
      <c r="U80">
        <f>IFERROR(SUM($F$3:$F80),"")</f>
        <v>206190.39199999996</v>
      </c>
      <c r="V80">
        <f>IFERROR(SUM($G$3:$G80),"")</f>
        <v>79389.902999999991</v>
      </c>
      <c r="W80">
        <f t="shared" si="15"/>
        <v>285580.29499999993</v>
      </c>
      <c r="X80">
        <f t="shared" si="16"/>
        <v>60.422328508344755</v>
      </c>
      <c r="Y80">
        <f t="shared" si="17"/>
        <v>72.200496886523638</v>
      </c>
    </row>
    <row r="81" spans="1:25" x14ac:dyDescent="0.35">
      <c r="A81">
        <v>1928</v>
      </c>
      <c r="B81">
        <v>4079.09</v>
      </c>
      <c r="C81">
        <v>4490.0780000000004</v>
      </c>
      <c r="D81">
        <v>716.995</v>
      </c>
      <c r="E81">
        <v>4805.9799999999996</v>
      </c>
      <c r="F81">
        <v>5517.2209999999995</v>
      </c>
      <c r="G81">
        <v>1702.973</v>
      </c>
      <c r="N81">
        <f>IFERROR(SUM($B$3:$B81),"")</f>
        <v>142368.79999999999</v>
      </c>
      <c r="O81">
        <f>IFERROR(SUM($C$3:$C81),"")</f>
        <v>161000.85499999998</v>
      </c>
      <c r="P81">
        <f>IFERROR(SUM($D$3:$D81),"")</f>
        <v>27953.530999999995</v>
      </c>
      <c r="Q81">
        <f t="shared" si="12"/>
        <v>188954.38599999997</v>
      </c>
      <c r="R81">
        <f t="shared" si="13"/>
        <v>75.345591607489865</v>
      </c>
      <c r="S81">
        <f t="shared" si="14"/>
        <v>85.206201564434707</v>
      </c>
      <c r="T81">
        <f>IFERROR(SUM($E$3:$E81),"")</f>
        <v>177360.24400000004</v>
      </c>
      <c r="U81">
        <f>IFERROR(SUM($F$3:$F81),"")</f>
        <v>211707.61299999995</v>
      </c>
      <c r="V81">
        <f>IFERROR(SUM($G$3:$G81),"")</f>
        <v>81092.875999999989</v>
      </c>
      <c r="W81">
        <f t="shared" si="15"/>
        <v>292800.48899999994</v>
      </c>
      <c r="X81">
        <f t="shared" si="16"/>
        <v>60.57375266200463</v>
      </c>
      <c r="Y81">
        <f t="shared" si="17"/>
        <v>72.304391882350984</v>
      </c>
    </row>
    <row r="82" spans="1:25" x14ac:dyDescent="0.35">
      <c r="A82">
        <v>1929</v>
      </c>
      <c r="B82">
        <v>4362.1530000000002</v>
      </c>
      <c r="C82">
        <v>4807.4309999999996</v>
      </c>
      <c r="D82">
        <v>736.21</v>
      </c>
      <c r="E82">
        <v>5109.88</v>
      </c>
      <c r="F82">
        <v>5858.9110000000001</v>
      </c>
      <c r="G82">
        <v>1744.1189999999999</v>
      </c>
      <c r="N82">
        <f>IFERROR(SUM($B$3:$B82),"")</f>
        <v>146730.95299999998</v>
      </c>
      <c r="O82">
        <f>IFERROR(SUM($C$3:$C82),"")</f>
        <v>165808.28599999999</v>
      </c>
      <c r="P82">
        <f>IFERROR(SUM($D$3:$D82),"")</f>
        <v>28689.740999999995</v>
      </c>
      <c r="Q82">
        <f t="shared" si="12"/>
        <v>194498.027</v>
      </c>
      <c r="R82">
        <f t="shared" si="13"/>
        <v>75.44084393205695</v>
      </c>
      <c r="S82">
        <f t="shared" si="14"/>
        <v>85.249340858352255</v>
      </c>
      <c r="T82">
        <f>IFERROR(SUM($E$3:$E82),"")</f>
        <v>182470.12400000004</v>
      </c>
      <c r="U82">
        <f>IFERROR(SUM($F$3:$F82),"")</f>
        <v>217566.52399999995</v>
      </c>
      <c r="V82">
        <f>IFERROR(SUM($G$3:$G82),"")</f>
        <v>82836.994999999995</v>
      </c>
      <c r="W82">
        <f t="shared" si="15"/>
        <v>300403.51899999997</v>
      </c>
      <c r="X82">
        <f t="shared" si="16"/>
        <v>60.741673269147043</v>
      </c>
      <c r="Y82">
        <f t="shared" si="17"/>
        <v>72.424758779207238</v>
      </c>
    </row>
    <row r="83" spans="1:25" x14ac:dyDescent="0.35">
      <c r="A83">
        <v>1930</v>
      </c>
      <c r="B83">
        <v>3986.2429999999999</v>
      </c>
      <c r="C83">
        <v>4459.4070000000002</v>
      </c>
      <c r="D83">
        <v>742.37699999999995</v>
      </c>
      <c r="E83">
        <v>4717.2129999999997</v>
      </c>
      <c r="F83">
        <v>5498.174</v>
      </c>
      <c r="G83">
        <v>1771.011</v>
      </c>
      <c r="N83">
        <f>IFERROR(SUM($B$3:$B83),"")</f>
        <v>150717.19599999997</v>
      </c>
      <c r="O83">
        <f>IFERROR(SUM($C$3:$C83),"")</f>
        <v>170267.693</v>
      </c>
      <c r="P83">
        <f>IFERROR(SUM($D$3:$D83),"")</f>
        <v>29432.117999999995</v>
      </c>
      <c r="Q83">
        <f t="shared" si="12"/>
        <v>199699.81099999999</v>
      </c>
      <c r="R83">
        <f t="shared" si="13"/>
        <v>75.471877136628834</v>
      </c>
      <c r="S83">
        <f t="shared" si="14"/>
        <v>85.261819802122901</v>
      </c>
      <c r="T83">
        <f>IFERROR(SUM($E$3:$E83),"")</f>
        <v>187187.33700000003</v>
      </c>
      <c r="U83">
        <f>IFERROR(SUM($F$3:$F83),"")</f>
        <v>223064.69799999995</v>
      </c>
      <c r="V83">
        <f>IFERROR(SUM($G$3:$G83),"")</f>
        <v>84608.005999999994</v>
      </c>
      <c r="W83">
        <f t="shared" si="15"/>
        <v>307672.70399999991</v>
      </c>
      <c r="X83">
        <f t="shared" si="16"/>
        <v>60.839760747836792</v>
      </c>
      <c r="Y83">
        <f t="shared" si="17"/>
        <v>72.500646011158665</v>
      </c>
    </row>
    <row r="84" spans="1:25" x14ac:dyDescent="0.35">
      <c r="A84">
        <v>1931</v>
      </c>
      <c r="B84">
        <v>3509.8110000000001</v>
      </c>
      <c r="C84">
        <v>4016.5430000000001</v>
      </c>
      <c r="D84">
        <v>736.39</v>
      </c>
      <c r="E84">
        <v>4226.1469999999999</v>
      </c>
      <c r="F84">
        <v>5044.8379999999997</v>
      </c>
      <c r="G84">
        <v>1769.7539999999999</v>
      </c>
      <c r="N84">
        <f>IFERROR(SUM($B$3:$B84),"")</f>
        <v>154227.00699999995</v>
      </c>
      <c r="O84">
        <f>IFERROR(SUM($C$3:$C84),"")</f>
        <v>174284.236</v>
      </c>
      <c r="P84">
        <f>IFERROR(SUM($D$3:$D84),"")</f>
        <v>30168.507999999994</v>
      </c>
      <c r="Q84">
        <f t="shared" si="12"/>
        <v>204452.74400000001</v>
      </c>
      <c r="R84">
        <f t="shared" si="13"/>
        <v>75.434060694240401</v>
      </c>
      <c r="S84">
        <f t="shared" si="14"/>
        <v>85.244263583960517</v>
      </c>
      <c r="T84">
        <f>IFERROR(SUM($E$3:$E84),"")</f>
        <v>191413.48400000003</v>
      </c>
      <c r="U84">
        <f>IFERROR(SUM($F$3:$F84),"")</f>
        <v>228109.53599999993</v>
      </c>
      <c r="V84">
        <f>IFERROR(SUM($G$3:$G84),"")</f>
        <v>86377.76</v>
      </c>
      <c r="W84">
        <f t="shared" si="15"/>
        <v>314487.29599999991</v>
      </c>
      <c r="X84">
        <f t="shared" si="16"/>
        <v>60.865251612580259</v>
      </c>
      <c r="Y84">
        <f t="shared" si="17"/>
        <v>72.533784003790089</v>
      </c>
    </row>
    <row r="85" spans="1:25" x14ac:dyDescent="0.35">
      <c r="A85">
        <v>1932</v>
      </c>
      <c r="B85">
        <v>3122.1959999999999</v>
      </c>
      <c r="C85">
        <v>3633.0210000000002</v>
      </c>
      <c r="D85">
        <v>754.22</v>
      </c>
      <c r="E85">
        <v>3826.2130000000002</v>
      </c>
      <c r="F85">
        <v>4651.2030000000004</v>
      </c>
      <c r="G85">
        <v>1795.8240000000001</v>
      </c>
      <c r="N85">
        <f>IFERROR(SUM($B$3:$B85),"")</f>
        <v>157349.20299999995</v>
      </c>
      <c r="O85">
        <f>IFERROR(SUM($C$3:$C85),"")</f>
        <v>177917.25700000001</v>
      </c>
      <c r="P85">
        <f>IFERROR(SUM($D$3:$D85),"")</f>
        <v>30922.727999999996</v>
      </c>
      <c r="Q85">
        <f t="shared" si="12"/>
        <v>208839.98500000002</v>
      </c>
      <c r="R85">
        <f t="shared" si="13"/>
        <v>75.344385319698205</v>
      </c>
      <c r="S85">
        <f t="shared" si="14"/>
        <v>85.193099875007178</v>
      </c>
      <c r="T85">
        <f>IFERROR(SUM($E$3:$E85),"")</f>
        <v>195239.69700000001</v>
      </c>
      <c r="U85">
        <f>IFERROR(SUM($F$3:$F85),"")</f>
        <v>232760.73899999994</v>
      </c>
      <c r="V85">
        <f>IFERROR(SUM($G$3:$G85),"")</f>
        <v>88173.583999999988</v>
      </c>
      <c r="W85">
        <f t="shared" si="15"/>
        <v>320934.32299999992</v>
      </c>
      <c r="X85">
        <f t="shared" si="16"/>
        <v>60.834782386301534</v>
      </c>
      <c r="Y85">
        <f t="shared" si="17"/>
        <v>72.525972549218437</v>
      </c>
    </row>
    <row r="86" spans="1:25" x14ac:dyDescent="0.35">
      <c r="A86">
        <v>1933</v>
      </c>
      <c r="B86">
        <v>3268.902</v>
      </c>
      <c r="C86">
        <v>3803.6039999999998</v>
      </c>
      <c r="D86">
        <v>783.41</v>
      </c>
      <c r="E86">
        <v>3981.1790000000001</v>
      </c>
      <c r="F86">
        <v>4832.1670000000004</v>
      </c>
      <c r="G86">
        <v>1838.864</v>
      </c>
      <c r="N86">
        <f>IFERROR(SUM($B$3:$B86),"")</f>
        <v>160618.10499999995</v>
      </c>
      <c r="O86">
        <f>IFERROR(SUM($C$3:$C86),"")</f>
        <v>181720.861</v>
      </c>
      <c r="P86">
        <f>IFERROR(SUM($D$3:$D86),"")</f>
        <v>31706.137999999995</v>
      </c>
      <c r="Q86">
        <f t="shared" si="12"/>
        <v>213426.99900000001</v>
      </c>
      <c r="R86">
        <f t="shared" si="13"/>
        <v>75.256694679008234</v>
      </c>
      <c r="S86">
        <f t="shared" si="14"/>
        <v>85.144270336669067</v>
      </c>
      <c r="T86">
        <f>IFERROR(SUM($E$3:$E86),"")</f>
        <v>199220.87600000002</v>
      </c>
      <c r="U86">
        <f>IFERROR(SUM($F$3:$F86),"")</f>
        <v>237592.90599999993</v>
      </c>
      <c r="V86">
        <f>IFERROR(SUM($G$3:$G86),"")</f>
        <v>90012.447999999989</v>
      </c>
      <c r="W86">
        <f t="shared" si="15"/>
        <v>327605.35399999993</v>
      </c>
      <c r="X86">
        <f t="shared" si="16"/>
        <v>60.811239366985461</v>
      </c>
      <c r="Y86">
        <f t="shared" si="17"/>
        <v>72.524121812734464</v>
      </c>
    </row>
    <row r="87" spans="1:25" x14ac:dyDescent="0.35">
      <c r="A87">
        <v>1934</v>
      </c>
      <c r="B87">
        <v>3496.0419999999999</v>
      </c>
      <c r="C87">
        <v>4095.5010000000002</v>
      </c>
      <c r="D87">
        <v>837.42100000000005</v>
      </c>
      <c r="E87">
        <v>4222.9369999999999</v>
      </c>
      <c r="F87">
        <v>5142.0569999999998</v>
      </c>
      <c r="G87">
        <v>1912.3150000000001</v>
      </c>
      <c r="N87">
        <f>IFERROR(SUM($B$3:$B87),"")</f>
        <v>164114.14699999994</v>
      </c>
      <c r="O87">
        <f>IFERROR(SUM($C$3:$C87),"")</f>
        <v>185816.36199999999</v>
      </c>
      <c r="P87">
        <f>IFERROR(SUM($D$3:$D87),"")</f>
        <v>32543.558999999994</v>
      </c>
      <c r="Q87">
        <f t="shared" si="12"/>
        <v>218359.92099999997</v>
      </c>
      <c r="R87">
        <f t="shared" si="13"/>
        <v>75.157632521766644</v>
      </c>
      <c r="S87">
        <f t="shared" si="14"/>
        <v>85.096368028086985</v>
      </c>
      <c r="T87">
        <f>IFERROR(SUM($E$3:$E87),"")</f>
        <v>203443.81300000002</v>
      </c>
      <c r="U87">
        <f>IFERROR(SUM($F$3:$F87),"")</f>
        <v>242734.96299999993</v>
      </c>
      <c r="V87">
        <f>IFERROR(SUM($G$3:$G87),"")</f>
        <v>91924.762999999992</v>
      </c>
      <c r="W87">
        <f t="shared" si="15"/>
        <v>334659.72599999991</v>
      </c>
      <c r="X87">
        <f t="shared" si="16"/>
        <v>60.791244716431777</v>
      </c>
      <c r="Y87">
        <f t="shared" si="17"/>
        <v>72.531871671944174</v>
      </c>
    </row>
    <row r="88" spans="1:25" x14ac:dyDescent="0.35">
      <c r="A88">
        <v>1935</v>
      </c>
      <c r="B88">
        <v>3617.741</v>
      </c>
      <c r="C88">
        <v>4261.2060000000001</v>
      </c>
      <c r="D88">
        <v>888.21699999999998</v>
      </c>
      <c r="E88">
        <v>4356.2380000000003</v>
      </c>
      <c r="F88">
        <v>5322.1940000000004</v>
      </c>
      <c r="G88">
        <v>1984.9359999999999</v>
      </c>
      <c r="N88">
        <f>IFERROR(SUM($B$3:$B88),"")</f>
        <v>167731.88799999995</v>
      </c>
      <c r="O88">
        <f>IFERROR(SUM($C$3:$C88),"")</f>
        <v>190077.568</v>
      </c>
      <c r="P88">
        <f>IFERROR(SUM($D$3:$D88),"")</f>
        <v>33431.775999999991</v>
      </c>
      <c r="Q88">
        <f t="shared" si="12"/>
        <v>223509.34399999998</v>
      </c>
      <c r="R88">
        <f t="shared" si="13"/>
        <v>75.044687169767698</v>
      </c>
      <c r="S88">
        <f t="shared" si="14"/>
        <v>85.04233630608303</v>
      </c>
      <c r="T88">
        <f>IFERROR(SUM($E$3:$E88),"")</f>
        <v>207800.05100000004</v>
      </c>
      <c r="U88">
        <f>IFERROR(SUM($F$3:$F88),"")</f>
        <v>248057.15699999992</v>
      </c>
      <c r="V88">
        <f>IFERROR(SUM($G$3:$G88),"")</f>
        <v>93909.698999999993</v>
      </c>
      <c r="W88">
        <f t="shared" si="15"/>
        <v>341966.85599999991</v>
      </c>
      <c r="X88">
        <f t="shared" si="16"/>
        <v>60.76613781541451</v>
      </c>
      <c r="Y88">
        <f t="shared" si="17"/>
        <v>72.538362314270586</v>
      </c>
    </row>
    <row r="89" spans="1:25" x14ac:dyDescent="0.35">
      <c r="A89">
        <v>1936</v>
      </c>
      <c r="B89">
        <v>3951.7089999999998</v>
      </c>
      <c r="C89">
        <v>4658.3280000000004</v>
      </c>
      <c r="D89">
        <v>921.93799999999999</v>
      </c>
      <c r="E89">
        <v>4707.6030000000001</v>
      </c>
      <c r="F89">
        <v>5738.3710000000001</v>
      </c>
      <c r="G89">
        <v>2043.8689999999999</v>
      </c>
      <c r="N89">
        <f>IFERROR(SUM($B$3:$B89),"")</f>
        <v>171683.59699999995</v>
      </c>
      <c r="O89">
        <f>IFERROR(SUM($C$3:$C89),"")</f>
        <v>194735.89600000001</v>
      </c>
      <c r="P89">
        <f>IFERROR(SUM($D$3:$D89),"")</f>
        <v>34353.713999999993</v>
      </c>
      <c r="Q89">
        <f t="shared" si="12"/>
        <v>229089.61</v>
      </c>
      <c r="R89">
        <f t="shared" si="13"/>
        <v>74.941677625624294</v>
      </c>
      <c r="S89">
        <f t="shared" si="14"/>
        <v>85.004246155030785</v>
      </c>
      <c r="T89">
        <f>IFERROR(SUM($E$3:$E89),"")</f>
        <v>212507.65400000004</v>
      </c>
      <c r="U89">
        <f>IFERROR(SUM($F$3:$F89),"")</f>
        <v>253795.52799999993</v>
      </c>
      <c r="V89">
        <f>IFERROR(SUM($G$3:$G89),"")</f>
        <v>95953.567999999999</v>
      </c>
      <c r="W89">
        <f t="shared" si="15"/>
        <v>349749.0959999999</v>
      </c>
      <c r="X89">
        <f t="shared" si="16"/>
        <v>60.760029526995574</v>
      </c>
      <c r="Y89">
        <f t="shared" si="17"/>
        <v>72.565027587662442</v>
      </c>
    </row>
    <row r="90" spans="1:25" x14ac:dyDescent="0.35">
      <c r="A90">
        <v>1937</v>
      </c>
      <c r="B90">
        <v>4214.7860000000001</v>
      </c>
      <c r="C90">
        <v>4944.5150000000003</v>
      </c>
      <c r="D90">
        <v>967.00400000000002</v>
      </c>
      <c r="E90">
        <v>4994.5929999999998</v>
      </c>
      <c r="F90">
        <v>6049.1859999999997</v>
      </c>
      <c r="G90">
        <v>2115.8789999999999</v>
      </c>
      <c r="N90">
        <f>IFERROR(SUM($B$3:$B90),"")</f>
        <v>175898.38299999994</v>
      </c>
      <c r="O90">
        <f>IFERROR(SUM($C$3:$C90),"")</f>
        <v>199680.41100000002</v>
      </c>
      <c r="P90">
        <f>IFERROR(SUM($D$3:$D90),"")</f>
        <v>35320.717999999993</v>
      </c>
      <c r="Q90">
        <f t="shared" si="12"/>
        <v>235001.12900000002</v>
      </c>
      <c r="R90">
        <f t="shared" si="13"/>
        <v>74.850016146092614</v>
      </c>
      <c r="S90">
        <f t="shared" si="14"/>
        <v>84.969979442098762</v>
      </c>
      <c r="T90">
        <f>IFERROR(SUM($E$3:$E90),"")</f>
        <v>217502.24700000003</v>
      </c>
      <c r="U90">
        <f>IFERROR(SUM($F$3:$F90),"")</f>
        <v>259844.71399999992</v>
      </c>
      <c r="V90">
        <f>IFERROR(SUM($G$3:$G90),"")</f>
        <v>98069.447</v>
      </c>
      <c r="W90">
        <f t="shared" si="15"/>
        <v>357914.16099999991</v>
      </c>
      <c r="X90">
        <f t="shared" si="16"/>
        <v>60.769388501507237</v>
      </c>
      <c r="Y90">
        <f t="shared" si="17"/>
        <v>72.59972985533814</v>
      </c>
    </row>
    <row r="91" spans="1:25" x14ac:dyDescent="0.35">
      <c r="A91">
        <v>1938</v>
      </c>
      <c r="B91">
        <v>3882.904</v>
      </c>
      <c r="C91">
        <v>4649.6000000000004</v>
      </c>
      <c r="D91">
        <v>981.42700000000002</v>
      </c>
      <c r="E91">
        <v>4649.2520000000004</v>
      </c>
      <c r="F91">
        <v>5741.9440000000004</v>
      </c>
      <c r="G91">
        <v>2156.319</v>
      </c>
      <c r="N91">
        <f>IFERROR(SUM($B$3:$B91),"")</f>
        <v>179781.28699999995</v>
      </c>
      <c r="O91">
        <f>IFERROR(SUM($C$3:$C91),"")</f>
        <v>204330.01100000003</v>
      </c>
      <c r="P91">
        <f>IFERROR(SUM($D$3:$D91),"")</f>
        <v>36302.144999999997</v>
      </c>
      <c r="Q91">
        <f t="shared" si="12"/>
        <v>240632.15600000002</v>
      </c>
      <c r="R91">
        <f t="shared" si="13"/>
        <v>74.712079211890511</v>
      </c>
      <c r="S91">
        <f t="shared" si="14"/>
        <v>84.91384293626993</v>
      </c>
      <c r="T91">
        <f>IFERROR(SUM($E$3:$E91),"")</f>
        <v>222151.49900000004</v>
      </c>
      <c r="U91">
        <f>IFERROR(SUM($F$3:$F91),"")</f>
        <v>265586.65799999994</v>
      </c>
      <c r="V91">
        <f>IFERROR(SUM($G$3:$G91),"")</f>
        <v>100225.766</v>
      </c>
      <c r="W91">
        <f t="shared" si="15"/>
        <v>365812.42399999994</v>
      </c>
      <c r="X91">
        <f t="shared" si="16"/>
        <v>60.728254270554814</v>
      </c>
      <c r="Y91">
        <f t="shared" si="17"/>
        <v>72.601869312125928</v>
      </c>
    </row>
    <row r="92" spans="1:25" x14ac:dyDescent="0.35">
      <c r="A92">
        <v>1939</v>
      </c>
      <c r="B92">
        <v>4116.1530000000002</v>
      </c>
      <c r="C92">
        <v>4886.25</v>
      </c>
      <c r="D92">
        <v>1021.832</v>
      </c>
      <c r="E92">
        <v>4909.9939999999997</v>
      </c>
      <c r="F92">
        <v>6005.8869999999997</v>
      </c>
      <c r="G92">
        <v>2222.7170000000001</v>
      </c>
      <c r="N92">
        <f>IFERROR(SUM($B$3:$B92),"")</f>
        <v>183897.43999999994</v>
      </c>
      <c r="O92">
        <f>IFERROR(SUM($C$3:$C92),"")</f>
        <v>209216.26100000003</v>
      </c>
      <c r="P92">
        <f>IFERROR(SUM($D$3:$D92),"")</f>
        <v>37323.976999999999</v>
      </c>
      <c r="Q92">
        <f t="shared" si="12"/>
        <v>246540.23800000001</v>
      </c>
      <c r="R92">
        <f t="shared" si="13"/>
        <v>74.59124785950759</v>
      </c>
      <c r="S92">
        <f t="shared" si="14"/>
        <v>84.860898446930193</v>
      </c>
      <c r="T92">
        <f>IFERROR(SUM($E$3:$E92),"")</f>
        <v>227061.49300000005</v>
      </c>
      <c r="U92">
        <f>IFERROR(SUM($F$3:$F92),"")</f>
        <v>271592.54499999993</v>
      </c>
      <c r="V92">
        <f>IFERROR(SUM($G$3:$G92),"")</f>
        <v>102448.48300000001</v>
      </c>
      <c r="W92">
        <f t="shared" si="15"/>
        <v>374041.02799999993</v>
      </c>
      <c r="X92">
        <f t="shared" si="16"/>
        <v>60.704969776737997</v>
      </c>
      <c r="Y92">
        <f t="shared" si="17"/>
        <v>72.610362144550621</v>
      </c>
    </row>
    <row r="93" spans="1:25" x14ac:dyDescent="0.35">
      <c r="A93">
        <v>1940</v>
      </c>
      <c r="B93">
        <v>4309.67</v>
      </c>
      <c r="C93">
        <v>5299.2809999999999</v>
      </c>
      <c r="D93">
        <v>1068.0709999999999</v>
      </c>
      <c r="E93">
        <v>5082.3130000000001</v>
      </c>
      <c r="F93">
        <v>6404.0820000000003</v>
      </c>
      <c r="G93">
        <v>2270.2460000000001</v>
      </c>
      <c r="N93">
        <f>IFERROR(SUM($B$3:$B93),"")</f>
        <v>188207.10999999996</v>
      </c>
      <c r="O93">
        <f>IFERROR(SUM($C$3:$C93),"")</f>
        <v>214515.54200000002</v>
      </c>
      <c r="P93">
        <f>IFERROR(SUM($D$3:$D93),"")</f>
        <v>38392.047999999995</v>
      </c>
      <c r="Q93">
        <f t="shared" si="12"/>
        <v>252907.59000000003</v>
      </c>
      <c r="R93">
        <f t="shared" si="13"/>
        <v>74.417343504795539</v>
      </c>
      <c r="S93">
        <f t="shared" si="14"/>
        <v>84.81973277274912</v>
      </c>
      <c r="T93">
        <f>IFERROR(SUM($E$3:$E93),"")</f>
        <v>232143.80600000004</v>
      </c>
      <c r="U93">
        <f>IFERROR(SUM($F$3:$F93),"")</f>
        <v>277996.62699999992</v>
      </c>
      <c r="V93">
        <f>IFERROR(SUM($G$3:$G93),"")</f>
        <v>104718.72900000001</v>
      </c>
      <c r="W93">
        <f t="shared" si="15"/>
        <v>382715.35599999991</v>
      </c>
      <c r="X93">
        <f t="shared" si="16"/>
        <v>60.657039849741508</v>
      </c>
      <c r="Y93">
        <f t="shared" si="17"/>
        <v>72.637959946399434</v>
      </c>
    </row>
    <row r="94" spans="1:25" x14ac:dyDescent="0.35">
      <c r="A94">
        <v>1941</v>
      </c>
      <c r="B94">
        <v>4503.8739999999998</v>
      </c>
      <c r="C94">
        <v>5428.3410000000003</v>
      </c>
      <c r="D94">
        <v>1083.367</v>
      </c>
      <c r="E94">
        <v>5282.7290000000003</v>
      </c>
      <c r="F94">
        <v>6538.8919999999998</v>
      </c>
      <c r="G94">
        <v>2320.9079999999999</v>
      </c>
      <c r="N94">
        <f>IFERROR(SUM($B$3:$B94),"")</f>
        <v>192710.98399999997</v>
      </c>
      <c r="O94">
        <f>IFERROR(SUM($C$3:$C94),"")</f>
        <v>219943.88300000003</v>
      </c>
      <c r="P94">
        <f>IFERROR(SUM($D$3:$D94),"")</f>
        <v>39475.414999999994</v>
      </c>
      <c r="Q94">
        <f t="shared" si="12"/>
        <v>259419.29800000001</v>
      </c>
      <c r="R94">
        <f t="shared" si="13"/>
        <v>74.28552366216023</v>
      </c>
      <c r="S94">
        <f t="shared" si="14"/>
        <v>84.783161736872799</v>
      </c>
      <c r="T94">
        <f>IFERROR(SUM($E$3:$E94),"")</f>
        <v>237426.53500000003</v>
      </c>
      <c r="U94">
        <f>IFERROR(SUM($F$3:$F94),"")</f>
        <v>284535.51899999991</v>
      </c>
      <c r="V94">
        <f>IFERROR(SUM($G$3:$G94),"")</f>
        <v>107039.637</v>
      </c>
      <c r="W94">
        <f t="shared" si="15"/>
        <v>391575.1559999999</v>
      </c>
      <c r="X94">
        <f t="shared" si="16"/>
        <v>60.633707568515938</v>
      </c>
      <c r="Y94">
        <f t="shared" si="17"/>
        <v>72.664344159770948</v>
      </c>
    </row>
    <row r="95" spans="1:25" x14ac:dyDescent="0.35">
      <c r="A95">
        <v>1942</v>
      </c>
      <c r="B95">
        <v>4685.6009999999997</v>
      </c>
      <c r="C95">
        <v>5448.7619999999997</v>
      </c>
      <c r="D95">
        <v>1060.71</v>
      </c>
      <c r="E95">
        <v>5491.01</v>
      </c>
      <c r="F95">
        <v>6637.3779999999997</v>
      </c>
      <c r="G95">
        <v>2309.3679999999999</v>
      </c>
      <c r="N95">
        <f>IFERROR(SUM($B$3:$B95),"")</f>
        <v>197396.58499999996</v>
      </c>
      <c r="O95">
        <f>IFERROR(SUM($C$3:$C95),"")</f>
        <v>225392.64500000002</v>
      </c>
      <c r="P95">
        <f>IFERROR(SUM($D$3:$D95),"")</f>
        <v>40536.124999999993</v>
      </c>
      <c r="Q95">
        <f t="shared" si="12"/>
        <v>265928.77</v>
      </c>
      <c r="R95">
        <f t="shared" si="13"/>
        <v>74.229119699985816</v>
      </c>
      <c r="S95">
        <f t="shared" si="14"/>
        <v>84.756773402140723</v>
      </c>
      <c r="T95">
        <f>IFERROR(SUM($E$3:$E95),"")</f>
        <v>242917.54500000004</v>
      </c>
      <c r="U95">
        <f>IFERROR(SUM($F$3:$F95),"")</f>
        <v>291172.89699999994</v>
      </c>
      <c r="V95">
        <f>IFERROR(SUM($G$3:$G95),"")</f>
        <v>109349.005</v>
      </c>
      <c r="W95">
        <f t="shared" si="15"/>
        <v>400521.90199999994</v>
      </c>
      <c r="X95">
        <f t="shared" si="16"/>
        <v>60.65025252976055</v>
      </c>
      <c r="Y95">
        <f t="shared" si="17"/>
        <v>72.698370687353815</v>
      </c>
    </row>
    <row r="96" spans="1:25" x14ac:dyDescent="0.35">
      <c r="A96">
        <v>1943</v>
      </c>
      <c r="B96">
        <v>4770.5379999999996</v>
      </c>
      <c r="C96">
        <v>5577.7489999999998</v>
      </c>
      <c r="D96">
        <v>1066.471</v>
      </c>
      <c r="E96">
        <v>5587.393</v>
      </c>
      <c r="F96">
        <v>6846.1040000000003</v>
      </c>
      <c r="G96">
        <v>2389.8490000000002</v>
      </c>
      <c r="N96">
        <f>IFERROR(SUM($B$3:$B96),"")</f>
        <v>202167.12299999996</v>
      </c>
      <c r="O96">
        <f>IFERROR(SUM($C$3:$C96),"")</f>
        <v>230970.39400000003</v>
      </c>
      <c r="P96">
        <f>IFERROR(SUM($D$3:$D96),"")</f>
        <v>41602.59599999999</v>
      </c>
      <c r="Q96">
        <f t="shared" si="12"/>
        <v>272572.99</v>
      </c>
      <c r="R96">
        <f t="shared" si="13"/>
        <v>74.169903261508026</v>
      </c>
      <c r="S96">
        <f t="shared" si="14"/>
        <v>84.737080515571279</v>
      </c>
      <c r="T96">
        <f>IFERROR(SUM($E$3:$E96),"")</f>
        <v>248504.93800000005</v>
      </c>
      <c r="U96">
        <f>IFERROR(SUM($F$3:$F96),"")</f>
        <v>298019.00099999993</v>
      </c>
      <c r="V96">
        <f>IFERROR(SUM($G$3:$G96),"")</f>
        <v>111738.85400000001</v>
      </c>
      <c r="W96">
        <f t="shared" si="15"/>
        <v>409757.85499999992</v>
      </c>
      <c r="X96">
        <f t="shared" si="16"/>
        <v>60.646778327165954</v>
      </c>
      <c r="Y96">
        <f t="shared" si="17"/>
        <v>72.730515684684065</v>
      </c>
    </row>
    <row r="97" spans="1:25" x14ac:dyDescent="0.35">
      <c r="A97">
        <v>1944</v>
      </c>
      <c r="B97">
        <v>4765.9889999999996</v>
      </c>
      <c r="C97">
        <v>5647.3919999999998</v>
      </c>
      <c r="D97">
        <v>1108.559</v>
      </c>
      <c r="E97">
        <v>5580.4979999999996</v>
      </c>
      <c r="F97">
        <v>6801.4859999999999</v>
      </c>
      <c r="G97">
        <v>2482.52</v>
      </c>
      <c r="N97">
        <f>IFERROR(SUM($B$3:$B97),"")</f>
        <v>206933.11199999996</v>
      </c>
      <c r="O97">
        <f>IFERROR(SUM($C$3:$C97),"")</f>
        <v>236617.78600000002</v>
      </c>
      <c r="P97">
        <f>IFERROR(SUM($D$3:$D97),"")</f>
        <v>42711.154999999992</v>
      </c>
      <c r="Q97">
        <f t="shared" si="12"/>
        <v>279328.94099999999</v>
      </c>
      <c r="R97">
        <f t="shared" si="13"/>
        <v>74.082231242912982</v>
      </c>
      <c r="S97">
        <f t="shared" si="14"/>
        <v>84.709369946739614</v>
      </c>
      <c r="T97">
        <f>IFERROR(SUM($E$3:$E97),"")</f>
        <v>254085.43600000005</v>
      </c>
      <c r="U97">
        <f>IFERROR(SUM($F$3:$F97),"")</f>
        <v>304820.48699999991</v>
      </c>
      <c r="V97">
        <f>IFERROR(SUM($G$3:$G97),"")</f>
        <v>114221.37400000001</v>
      </c>
      <c r="W97">
        <f t="shared" si="15"/>
        <v>419041.86099999992</v>
      </c>
      <c r="X97">
        <f t="shared" si="16"/>
        <v>60.634857671176704</v>
      </c>
      <c r="Y97">
        <f t="shared" si="17"/>
        <v>72.742252115952681</v>
      </c>
    </row>
    <row r="98" spans="1:25" x14ac:dyDescent="0.35">
      <c r="A98">
        <v>1945</v>
      </c>
      <c r="B98">
        <v>4048.9290000000001</v>
      </c>
      <c r="C98">
        <v>4744.1959999999999</v>
      </c>
      <c r="D98">
        <v>1080.08</v>
      </c>
      <c r="E98">
        <v>4863.8469999999998</v>
      </c>
      <c r="F98">
        <v>5898.5129999999999</v>
      </c>
      <c r="G98">
        <v>2528.413</v>
      </c>
      <c r="N98">
        <f>IFERROR(SUM($B$3:$B98),"")</f>
        <v>210982.04099999997</v>
      </c>
      <c r="O98">
        <f>IFERROR(SUM($C$3:$C98),"")</f>
        <v>241361.98200000002</v>
      </c>
      <c r="P98">
        <f>IFERROR(SUM($D$3:$D98),"")</f>
        <v>43791.234999999993</v>
      </c>
      <c r="Q98">
        <f t="shared" si="12"/>
        <v>285153.217</v>
      </c>
      <c r="R98">
        <f t="shared" si="13"/>
        <v>73.989009564636959</v>
      </c>
      <c r="S98">
        <f t="shared" si="14"/>
        <v>84.642910411212384</v>
      </c>
      <c r="T98">
        <f>IFERROR(SUM($E$3:$E98),"")</f>
        <v>258949.28300000005</v>
      </c>
      <c r="U98">
        <f>IFERROR(SUM($F$3:$F98),"")</f>
        <v>310718.99999999988</v>
      </c>
      <c r="V98">
        <f>IFERROR(SUM($G$3:$G98),"")</f>
        <v>116749.78700000001</v>
      </c>
      <c r="W98">
        <f t="shared" si="15"/>
        <v>427468.78699999989</v>
      </c>
      <c r="X98">
        <f t="shared" si="16"/>
        <v>60.57735462215166</v>
      </c>
      <c r="Y98">
        <f t="shared" si="17"/>
        <v>72.688114185048079</v>
      </c>
    </row>
    <row r="99" spans="1:25" x14ac:dyDescent="0.35">
      <c r="A99">
        <v>1946</v>
      </c>
      <c r="B99">
        <v>4260.3190000000004</v>
      </c>
      <c r="C99">
        <v>5067.1279999999997</v>
      </c>
      <c r="D99">
        <v>1149.3800000000001</v>
      </c>
      <c r="E99">
        <v>5168.2759999999998</v>
      </c>
      <c r="F99">
        <v>6326.3850000000002</v>
      </c>
      <c r="G99">
        <v>2707.8870000000002</v>
      </c>
      <c r="N99">
        <f>IFERROR(SUM($B$3:$B99),"")</f>
        <v>215242.35999999996</v>
      </c>
      <c r="O99">
        <f>IFERROR(SUM($C$3:$C99),"")</f>
        <v>246429.11000000002</v>
      </c>
      <c r="P99">
        <f>IFERROR(SUM($D$3:$D99),"")</f>
        <v>44940.614999999991</v>
      </c>
      <c r="Q99">
        <f t="shared" ref="Q99:Q130" si="18">IFERROR(O99+P99,"")</f>
        <v>291369.72499999998</v>
      </c>
      <c r="R99">
        <f t="shared" ref="R99:R130" si="19">IFERROR(N99/Q99*100,NA())</f>
        <v>73.872589199169539</v>
      </c>
      <c r="S99">
        <f t="shared" ref="S99:S130" si="20">IFERROR(O99/Q99*100,NA())</f>
        <v>84.576086276637014</v>
      </c>
      <c r="T99">
        <f>IFERROR(SUM($E$3:$E99),"")</f>
        <v>264117.55900000007</v>
      </c>
      <c r="U99">
        <f>IFERROR(SUM($F$3:$F99),"")</f>
        <v>317045.38499999989</v>
      </c>
      <c r="V99">
        <f>IFERROR(SUM($G$3:$G99),"")</f>
        <v>119457.67400000001</v>
      </c>
      <c r="W99">
        <f t="shared" ref="W99:W130" si="21">IFERROR(U99+V99,"")</f>
        <v>436503.05899999989</v>
      </c>
      <c r="X99">
        <f t="shared" ref="X99:X130" si="22">IFERROR(T99/W99*100,NA())</f>
        <v>60.507607805790919</v>
      </c>
      <c r="Y99">
        <f t="shared" ref="Y99:Y130" si="23">IFERROR(U99/W99*100,NA())</f>
        <v>72.633027068889334</v>
      </c>
    </row>
    <row r="100" spans="1:25" x14ac:dyDescent="0.35">
      <c r="A100">
        <v>1947</v>
      </c>
      <c r="B100">
        <v>4758.6450000000004</v>
      </c>
      <c r="C100">
        <v>5652.87</v>
      </c>
      <c r="D100">
        <v>1208.623</v>
      </c>
      <c r="E100">
        <v>5748.5860000000002</v>
      </c>
      <c r="F100">
        <v>7008.1760000000004</v>
      </c>
      <c r="G100">
        <v>2776.634</v>
      </c>
      <c r="N100">
        <f>IFERROR(SUM($B$3:$B100),"")</f>
        <v>220001.00499999995</v>
      </c>
      <c r="O100">
        <f>IFERROR(SUM($C$3:$C100),"")</f>
        <v>252081.98</v>
      </c>
      <c r="P100">
        <f>IFERROR(SUM($D$3:$D100),"")</f>
        <v>46149.23799999999</v>
      </c>
      <c r="Q100">
        <f t="shared" si="18"/>
        <v>298231.21799999999</v>
      </c>
      <c r="R100">
        <f t="shared" si="19"/>
        <v>73.768603594007359</v>
      </c>
      <c r="S100">
        <f t="shared" si="20"/>
        <v>84.525685034086536</v>
      </c>
      <c r="T100">
        <f>IFERROR(SUM($E$3:$E100),"")</f>
        <v>269866.14500000008</v>
      </c>
      <c r="U100">
        <f>IFERROR(SUM($F$3:$F100),"")</f>
        <v>324053.56099999987</v>
      </c>
      <c r="V100">
        <f>IFERROR(SUM($G$3:$G100),"")</f>
        <v>122234.30800000002</v>
      </c>
      <c r="W100">
        <f t="shared" si="21"/>
        <v>446287.86899999989</v>
      </c>
      <c r="X100">
        <f t="shared" si="22"/>
        <v>60.469074726295133</v>
      </c>
      <c r="Y100">
        <f t="shared" si="23"/>
        <v>72.610882685677467</v>
      </c>
    </row>
    <row r="101" spans="1:25" x14ac:dyDescent="0.35">
      <c r="A101">
        <v>1948</v>
      </c>
      <c r="B101">
        <v>5034.4570000000003</v>
      </c>
      <c r="C101">
        <v>5976.8969999999999</v>
      </c>
      <c r="D101">
        <v>1195.0029999999999</v>
      </c>
      <c r="E101">
        <v>6075.0730000000003</v>
      </c>
      <c r="F101">
        <v>7393.8810000000003</v>
      </c>
      <c r="G101">
        <v>2799.2930000000001</v>
      </c>
      <c r="N101">
        <f>IFERROR(SUM($B$3:$B101),"")</f>
        <v>225035.46199999994</v>
      </c>
      <c r="O101">
        <f>IFERROR(SUM($C$3:$C101),"")</f>
        <v>258058.87700000001</v>
      </c>
      <c r="P101">
        <f>IFERROR(SUM($D$3:$D101),"")</f>
        <v>47344.240999999987</v>
      </c>
      <c r="Q101">
        <f t="shared" si="18"/>
        <v>305403.11800000002</v>
      </c>
      <c r="R101">
        <f t="shared" si="19"/>
        <v>73.684729702071976</v>
      </c>
      <c r="S101">
        <f t="shared" si="20"/>
        <v>84.497787281922896</v>
      </c>
      <c r="T101">
        <f>IFERROR(SUM($E$3:$E101),"")</f>
        <v>275941.21800000005</v>
      </c>
      <c r="U101">
        <f>IFERROR(SUM($F$3:$F101),"")</f>
        <v>331447.44199999986</v>
      </c>
      <c r="V101">
        <f>IFERROR(SUM($G$3:$G101),"")</f>
        <v>125033.60100000002</v>
      </c>
      <c r="W101">
        <f t="shared" si="21"/>
        <v>456481.04299999989</v>
      </c>
      <c r="X101">
        <f t="shared" si="22"/>
        <v>60.449655518334446</v>
      </c>
      <c r="Y101">
        <f t="shared" si="23"/>
        <v>72.609245681205635</v>
      </c>
    </row>
    <row r="102" spans="1:25" x14ac:dyDescent="0.35">
      <c r="A102">
        <v>1949</v>
      </c>
      <c r="B102">
        <v>4690.4189999999999</v>
      </c>
      <c r="C102">
        <v>5737.8019999999997</v>
      </c>
      <c r="D102">
        <v>1209.4469999999999</v>
      </c>
      <c r="E102">
        <v>5750.5659999999998</v>
      </c>
      <c r="F102">
        <v>7185.4539999999997</v>
      </c>
      <c r="G102">
        <v>2891.5729999999999</v>
      </c>
      <c r="N102">
        <f>IFERROR(SUM($B$3:$B102),"")</f>
        <v>229725.88099999994</v>
      </c>
      <c r="O102">
        <f>IFERROR(SUM($C$3:$C102),"")</f>
        <v>263796.679</v>
      </c>
      <c r="P102">
        <f>IFERROR(SUM($D$3:$D102),"")</f>
        <v>48553.687999999987</v>
      </c>
      <c r="Q102">
        <f t="shared" si="18"/>
        <v>312350.36699999997</v>
      </c>
      <c r="R102">
        <f t="shared" si="19"/>
        <v>73.547498345023541</v>
      </c>
      <c r="S102">
        <f t="shared" si="20"/>
        <v>84.455376676410324</v>
      </c>
      <c r="T102">
        <f>IFERROR(SUM($E$3:$E102),"")</f>
        <v>281691.78400000004</v>
      </c>
      <c r="U102">
        <f>IFERROR(SUM($F$3:$F102),"")</f>
        <v>338632.89599999989</v>
      </c>
      <c r="V102">
        <f>IFERROR(SUM($G$3:$G102),"")</f>
        <v>127925.17400000003</v>
      </c>
      <c r="W102">
        <f t="shared" si="21"/>
        <v>466558.06999999995</v>
      </c>
      <c r="X102">
        <f t="shared" si="22"/>
        <v>60.376575203168194</v>
      </c>
      <c r="Y102">
        <f t="shared" si="23"/>
        <v>72.581082136249393</v>
      </c>
    </row>
    <row r="103" spans="1:25" x14ac:dyDescent="0.35">
      <c r="A103">
        <v>1950</v>
      </c>
      <c r="B103">
        <v>5192.7120000000004</v>
      </c>
      <c r="C103">
        <v>6314.183</v>
      </c>
      <c r="D103">
        <v>1285.104</v>
      </c>
      <c r="E103">
        <v>6286.86</v>
      </c>
      <c r="F103">
        <v>7810.674</v>
      </c>
      <c r="G103">
        <v>2814.6930000000002</v>
      </c>
      <c r="N103">
        <f>IFERROR(SUM($B$3:$B103),"")</f>
        <v>234918.59299999994</v>
      </c>
      <c r="O103">
        <f>IFERROR(SUM($C$3:$C103),"")</f>
        <v>270110.86200000002</v>
      </c>
      <c r="P103">
        <f>IFERROR(SUM($D$3:$D103),"")</f>
        <v>49838.791999999987</v>
      </c>
      <c r="Q103">
        <f t="shared" si="18"/>
        <v>319949.65399999998</v>
      </c>
      <c r="R103">
        <f t="shared" si="19"/>
        <v>73.423612141177671</v>
      </c>
      <c r="S103">
        <f t="shared" si="20"/>
        <v>84.422926739592612</v>
      </c>
      <c r="T103">
        <f>IFERROR(SUM($E$3:$E103),"")</f>
        <v>287978.64400000003</v>
      </c>
      <c r="U103">
        <f>IFERROR(SUM($F$3:$F103),"")</f>
        <v>346443.56999999989</v>
      </c>
      <c r="V103">
        <f>IFERROR(SUM($G$3:$G103),"")</f>
        <v>130739.86700000003</v>
      </c>
      <c r="W103">
        <f t="shared" si="21"/>
        <v>477183.43699999992</v>
      </c>
      <c r="X103">
        <f t="shared" si="22"/>
        <v>60.349673033601135</v>
      </c>
      <c r="Y103">
        <f t="shared" si="23"/>
        <v>72.601759226609531</v>
      </c>
    </row>
    <row r="104" spans="1:25" x14ac:dyDescent="0.35">
      <c r="A104">
        <v>1951</v>
      </c>
      <c r="B104">
        <v>5524.0940000000001</v>
      </c>
      <c r="C104">
        <v>6730.4629999999997</v>
      </c>
      <c r="D104">
        <v>1369.674</v>
      </c>
      <c r="E104">
        <v>6659.1859999999997</v>
      </c>
      <c r="F104">
        <v>8282.43</v>
      </c>
      <c r="G104">
        <v>2947.7370000000001</v>
      </c>
      <c r="N104">
        <f>IFERROR(SUM($B$3:$B104),"")</f>
        <v>240442.68699999995</v>
      </c>
      <c r="O104">
        <f>IFERROR(SUM($C$3:$C104),"")</f>
        <v>276841.32500000001</v>
      </c>
      <c r="P104">
        <f>IFERROR(SUM($D$3:$D104),"")</f>
        <v>51208.465999999986</v>
      </c>
      <c r="Q104">
        <f t="shared" si="18"/>
        <v>328049.79099999997</v>
      </c>
      <c r="R104">
        <f t="shared" si="19"/>
        <v>73.294571006143386</v>
      </c>
      <c r="S104">
        <f t="shared" si="20"/>
        <v>84.39003242651053</v>
      </c>
      <c r="T104">
        <f>IFERROR(SUM($E$3:$E104),"")</f>
        <v>294637.83</v>
      </c>
      <c r="U104">
        <f>IFERROR(SUM($F$3:$F104),"")</f>
        <v>354725.99999999988</v>
      </c>
      <c r="V104">
        <f>IFERROR(SUM($G$3:$G104),"")</f>
        <v>133687.60400000002</v>
      </c>
      <c r="W104">
        <f t="shared" si="21"/>
        <v>488413.60399999993</v>
      </c>
      <c r="X104">
        <f t="shared" si="22"/>
        <v>60.325475700713703</v>
      </c>
      <c r="Y104">
        <f t="shared" si="23"/>
        <v>72.628198128568087</v>
      </c>
    </row>
    <row r="105" spans="1:25" x14ac:dyDescent="0.35">
      <c r="A105">
        <v>1952</v>
      </c>
      <c r="B105">
        <v>5489.3289999999997</v>
      </c>
      <c r="C105">
        <v>6776.6610000000001</v>
      </c>
      <c r="D105">
        <v>1452.9780000000001</v>
      </c>
      <c r="E105">
        <v>6639.5860000000002</v>
      </c>
      <c r="F105">
        <v>8358.0869999999995</v>
      </c>
      <c r="G105">
        <v>3058.357</v>
      </c>
      <c r="N105">
        <f>IFERROR(SUM($B$3:$B105),"")</f>
        <v>245932.01599999995</v>
      </c>
      <c r="O105">
        <f>IFERROR(SUM($C$3:$C105),"")</f>
        <v>283617.98600000003</v>
      </c>
      <c r="P105">
        <f>IFERROR(SUM($D$3:$D105),"")</f>
        <v>52661.443999999989</v>
      </c>
      <c r="Q105">
        <f t="shared" si="18"/>
        <v>336279.43000000005</v>
      </c>
      <c r="R105">
        <f t="shared" si="19"/>
        <v>73.133232086184961</v>
      </c>
      <c r="S105">
        <f t="shared" si="20"/>
        <v>84.3399746454905</v>
      </c>
      <c r="T105">
        <f>IFERROR(SUM($E$3:$E105),"")</f>
        <v>301277.41600000003</v>
      </c>
      <c r="U105">
        <f>IFERROR(SUM($F$3:$F105),"")</f>
        <v>363084.08699999988</v>
      </c>
      <c r="V105">
        <f>IFERROR(SUM($G$3:$G105),"")</f>
        <v>136745.96100000001</v>
      </c>
      <c r="W105">
        <f t="shared" si="21"/>
        <v>499830.04799999989</v>
      </c>
      <c r="X105">
        <f t="shared" si="22"/>
        <v>60.275971243729643</v>
      </c>
      <c r="Y105">
        <f t="shared" si="23"/>
        <v>72.641508539318551</v>
      </c>
    </row>
    <row r="106" spans="1:25" x14ac:dyDescent="0.35">
      <c r="A106">
        <v>1953</v>
      </c>
      <c r="B106">
        <v>5606.6180000000004</v>
      </c>
      <c r="C106">
        <v>6973.223</v>
      </c>
      <c r="D106">
        <v>1488.1479999999999</v>
      </c>
      <c r="E106">
        <v>6780.22</v>
      </c>
      <c r="F106">
        <v>8592.1489999999994</v>
      </c>
      <c r="G106">
        <v>3132.9839999999999</v>
      </c>
      <c r="N106">
        <f>IFERROR(SUM($B$3:$B106),"")</f>
        <v>251538.63399999993</v>
      </c>
      <c r="O106">
        <f>IFERROR(SUM($C$3:$C106),"")</f>
        <v>290591.20900000003</v>
      </c>
      <c r="P106">
        <f>IFERROR(SUM($D$3:$D106),"")</f>
        <v>54149.59199999999</v>
      </c>
      <c r="Q106">
        <f t="shared" si="18"/>
        <v>344740.80100000004</v>
      </c>
      <c r="R106">
        <f t="shared" si="19"/>
        <v>72.964567370718598</v>
      </c>
      <c r="S106">
        <f t="shared" si="20"/>
        <v>84.292665143514583</v>
      </c>
      <c r="T106">
        <f>IFERROR(SUM($E$3:$E106),"")</f>
        <v>308057.636</v>
      </c>
      <c r="U106">
        <f>IFERROR(SUM($F$3:$F106),"")</f>
        <v>371676.23599999986</v>
      </c>
      <c r="V106">
        <f>IFERROR(SUM($G$3:$G106),"")</f>
        <v>139878.94500000001</v>
      </c>
      <c r="W106">
        <f t="shared" si="21"/>
        <v>511555.18099999987</v>
      </c>
      <c r="X106">
        <f t="shared" si="22"/>
        <v>60.219825239146594</v>
      </c>
      <c r="Y106">
        <f t="shared" si="23"/>
        <v>72.656137559478637</v>
      </c>
    </row>
    <row r="107" spans="1:25" x14ac:dyDescent="0.35">
      <c r="A107">
        <v>1954</v>
      </c>
      <c r="B107">
        <v>5593.241</v>
      </c>
      <c r="C107">
        <v>7064.6369999999997</v>
      </c>
      <c r="D107">
        <v>1593.2760000000001</v>
      </c>
      <c r="E107">
        <v>6799.7839999999997</v>
      </c>
      <c r="F107">
        <v>8735.1530000000002</v>
      </c>
      <c r="G107">
        <v>3281.5239999999999</v>
      </c>
      <c r="N107">
        <f>IFERROR(SUM($B$3:$B107),"")</f>
        <v>257131.87499999994</v>
      </c>
      <c r="O107">
        <f>IFERROR(SUM($C$3:$C107),"")</f>
        <v>297655.84600000002</v>
      </c>
      <c r="P107">
        <f>IFERROR(SUM($D$3:$D107),"")</f>
        <v>55742.867999999988</v>
      </c>
      <c r="Q107">
        <f t="shared" si="18"/>
        <v>353398.71400000004</v>
      </c>
      <c r="R107">
        <f t="shared" si="19"/>
        <v>72.759708740762392</v>
      </c>
      <c r="S107">
        <f t="shared" si="20"/>
        <v>84.22663530122523</v>
      </c>
      <c r="T107">
        <f>IFERROR(SUM($E$3:$E107),"")</f>
        <v>314857.42</v>
      </c>
      <c r="U107">
        <f>IFERROR(SUM($F$3:$F107),"")</f>
        <v>380411.38899999985</v>
      </c>
      <c r="V107">
        <f>IFERROR(SUM($G$3:$G107),"")</f>
        <v>143160.46900000001</v>
      </c>
      <c r="W107">
        <f t="shared" si="21"/>
        <v>523571.85799999989</v>
      </c>
      <c r="X107">
        <f t="shared" si="22"/>
        <v>60.136429257815472</v>
      </c>
      <c r="Y107">
        <f t="shared" si="23"/>
        <v>72.656958770308833</v>
      </c>
    </row>
    <row r="108" spans="1:25" x14ac:dyDescent="0.35">
      <c r="A108">
        <v>1955</v>
      </c>
      <c r="B108">
        <v>6040.5959999999995</v>
      </c>
      <c r="C108">
        <v>7657.1419999999998</v>
      </c>
      <c r="D108">
        <v>1791.0160000000001</v>
      </c>
      <c r="E108">
        <v>7291.6139999999996</v>
      </c>
      <c r="F108">
        <v>9397.1350000000002</v>
      </c>
      <c r="G108">
        <v>3496.462</v>
      </c>
      <c r="N108">
        <f>IFERROR(SUM($B$3:$B108),"")</f>
        <v>263172.47099999996</v>
      </c>
      <c r="O108">
        <f>IFERROR(SUM($C$3:$C108),"")</f>
        <v>305312.98800000001</v>
      </c>
      <c r="P108">
        <f>IFERROR(SUM($D$3:$D108),"")</f>
        <v>57533.883999999991</v>
      </c>
      <c r="Q108">
        <f t="shared" si="18"/>
        <v>362846.87199999997</v>
      </c>
      <c r="R108">
        <f t="shared" si="19"/>
        <v>72.529899334504933</v>
      </c>
      <c r="S108">
        <f t="shared" si="20"/>
        <v>84.143756377759274</v>
      </c>
      <c r="T108">
        <f>IFERROR(SUM($E$3:$E108),"")</f>
        <v>322149.03399999999</v>
      </c>
      <c r="U108">
        <f>IFERROR(SUM($F$3:$F108),"")</f>
        <v>389808.52399999986</v>
      </c>
      <c r="V108">
        <f>IFERROR(SUM($G$3:$G108),"")</f>
        <v>146656.93100000001</v>
      </c>
      <c r="W108">
        <f t="shared" si="21"/>
        <v>536465.45499999984</v>
      </c>
      <c r="X108">
        <f t="shared" si="22"/>
        <v>60.050284878082238</v>
      </c>
      <c r="Y108">
        <f t="shared" si="23"/>
        <v>72.662371894943362</v>
      </c>
    </row>
    <row r="109" spans="1:25" x14ac:dyDescent="0.35">
      <c r="A109">
        <v>1956</v>
      </c>
      <c r="B109">
        <v>6364.7759999999998</v>
      </c>
      <c r="C109">
        <v>8112.9859999999999</v>
      </c>
      <c r="D109">
        <v>1894.884</v>
      </c>
      <c r="E109">
        <v>7654.3280000000004</v>
      </c>
      <c r="F109">
        <v>9912.6859999999997</v>
      </c>
      <c r="G109">
        <v>3640.78</v>
      </c>
      <c r="N109">
        <f>IFERROR(SUM($B$3:$B109),"")</f>
        <v>269537.24699999997</v>
      </c>
      <c r="O109">
        <f>IFERROR(SUM($C$3:$C109),"")</f>
        <v>313425.97399999999</v>
      </c>
      <c r="P109">
        <f>IFERROR(SUM($D$3:$D109),"")</f>
        <v>59428.767999999989</v>
      </c>
      <c r="Q109">
        <f t="shared" si="18"/>
        <v>372854.74199999997</v>
      </c>
      <c r="R109">
        <f t="shared" si="19"/>
        <v>72.290148585531469</v>
      </c>
      <c r="S109">
        <f t="shared" si="20"/>
        <v>84.06114733013105</v>
      </c>
      <c r="T109">
        <f>IFERROR(SUM($E$3:$E109),"")</f>
        <v>329803.36199999996</v>
      </c>
      <c r="U109">
        <f>IFERROR(SUM($F$3:$F109),"")</f>
        <v>399721.20999999985</v>
      </c>
      <c r="V109">
        <f>IFERROR(SUM($G$3:$G109),"")</f>
        <v>150297.71100000001</v>
      </c>
      <c r="W109">
        <f t="shared" si="21"/>
        <v>550018.92099999986</v>
      </c>
      <c r="X109">
        <f t="shared" si="22"/>
        <v>59.96218482818341</v>
      </c>
      <c r="Y109">
        <f t="shared" si="23"/>
        <v>72.674083515755981</v>
      </c>
    </row>
    <row r="110" spans="1:25" x14ac:dyDescent="0.35">
      <c r="A110">
        <v>1957</v>
      </c>
      <c r="B110">
        <v>6411.0510000000004</v>
      </c>
      <c r="C110">
        <v>8305.0010000000002</v>
      </c>
      <c r="D110">
        <v>2037.6489999999999</v>
      </c>
      <c r="E110">
        <v>7726.0469999999996</v>
      </c>
      <c r="F110">
        <v>10153.611999999999</v>
      </c>
      <c r="G110">
        <v>3825.692</v>
      </c>
      <c r="N110">
        <f>IFERROR(SUM($B$3:$B110),"")</f>
        <v>275948.29799999995</v>
      </c>
      <c r="O110">
        <f>IFERROR(SUM($C$3:$C110),"")</f>
        <v>321730.97499999998</v>
      </c>
      <c r="P110">
        <f>IFERROR(SUM($D$3:$D110),"")</f>
        <v>61466.416999999987</v>
      </c>
      <c r="Q110">
        <f t="shared" si="18"/>
        <v>383197.39199999999</v>
      </c>
      <c r="R110">
        <f t="shared" si="19"/>
        <v>72.012050123764922</v>
      </c>
      <c r="S110">
        <f t="shared" si="20"/>
        <v>83.95959411957584</v>
      </c>
      <c r="T110">
        <f>IFERROR(SUM($E$3:$E110),"")</f>
        <v>337529.40899999999</v>
      </c>
      <c r="U110">
        <f>IFERROR(SUM($F$3:$F110),"")</f>
        <v>409874.82199999987</v>
      </c>
      <c r="V110">
        <f>IFERROR(SUM($G$3:$G110),"")</f>
        <v>154123.40300000002</v>
      </c>
      <c r="W110">
        <f t="shared" si="21"/>
        <v>563998.22499999986</v>
      </c>
      <c r="X110">
        <f t="shared" si="22"/>
        <v>59.845828238200582</v>
      </c>
      <c r="Y110">
        <f t="shared" si="23"/>
        <v>72.67306949414602</v>
      </c>
    </row>
    <row r="111" spans="1:25" x14ac:dyDescent="0.35">
      <c r="A111">
        <v>1958</v>
      </c>
      <c r="B111">
        <v>6278.59</v>
      </c>
      <c r="C111">
        <v>8274.3780000000006</v>
      </c>
      <c r="D111">
        <v>2370.933</v>
      </c>
      <c r="E111">
        <v>7611.049</v>
      </c>
      <c r="F111">
        <v>10161.925999999999</v>
      </c>
      <c r="G111">
        <v>4209.2669999999998</v>
      </c>
      <c r="N111">
        <f>IFERROR(SUM($B$3:$B111),"")</f>
        <v>282226.88799999998</v>
      </c>
      <c r="O111">
        <f>IFERROR(SUM($C$3:$C111),"")</f>
        <v>330005.353</v>
      </c>
      <c r="P111">
        <f>IFERROR(SUM($D$3:$D111),"")</f>
        <v>63837.349999999984</v>
      </c>
      <c r="Q111">
        <f t="shared" si="18"/>
        <v>393842.70299999998</v>
      </c>
      <c r="R111">
        <f t="shared" si="19"/>
        <v>71.659798658247581</v>
      </c>
      <c r="S111">
        <f t="shared" si="20"/>
        <v>83.791155831062852</v>
      </c>
      <c r="T111">
        <f>IFERROR(SUM($E$3:$E111),"")</f>
        <v>345140.45799999998</v>
      </c>
      <c r="U111">
        <f>IFERROR(SUM($F$3:$F111),"")</f>
        <v>420036.74799999985</v>
      </c>
      <c r="V111">
        <f>IFERROR(SUM($G$3:$G111),"")</f>
        <v>158332.67000000001</v>
      </c>
      <c r="W111">
        <f t="shared" si="21"/>
        <v>578369.41799999983</v>
      </c>
      <c r="X111">
        <f t="shared" si="22"/>
        <v>59.674742000276382</v>
      </c>
      <c r="Y111">
        <f t="shared" si="23"/>
        <v>72.624301169395494</v>
      </c>
    </row>
    <row r="112" spans="1:25" x14ac:dyDescent="0.35">
      <c r="A112">
        <v>1959</v>
      </c>
      <c r="B112">
        <v>6408.8969999999999</v>
      </c>
      <c r="C112">
        <v>8499.3780000000006</v>
      </c>
      <c r="D112">
        <v>2737.848</v>
      </c>
      <c r="E112">
        <v>7778.3869999999997</v>
      </c>
      <c r="F112">
        <v>10441.764999999999</v>
      </c>
      <c r="G112">
        <v>4618.7669999999998</v>
      </c>
      <c r="N112">
        <f>IFERROR(SUM($B$3:$B112),"")</f>
        <v>288635.78499999997</v>
      </c>
      <c r="O112">
        <f>IFERROR(SUM($C$3:$C112),"")</f>
        <v>338504.73100000003</v>
      </c>
      <c r="P112">
        <f>IFERROR(SUM($D$3:$D112),"")</f>
        <v>66575.197999999989</v>
      </c>
      <c r="Q112">
        <f t="shared" si="18"/>
        <v>405079.929</v>
      </c>
      <c r="R112">
        <f t="shared" si="19"/>
        <v>71.254032682522748</v>
      </c>
      <c r="S112">
        <f t="shared" si="20"/>
        <v>83.564923059912957</v>
      </c>
      <c r="T112">
        <f>IFERROR(SUM($E$3:$E112),"")</f>
        <v>352918.84499999997</v>
      </c>
      <c r="U112">
        <f>IFERROR(SUM($F$3:$F112),"")</f>
        <v>430478.51299999986</v>
      </c>
      <c r="V112">
        <f>IFERROR(SUM($G$3:$G112),"")</f>
        <v>162951.43700000001</v>
      </c>
      <c r="W112">
        <f t="shared" si="21"/>
        <v>593429.94999999984</v>
      </c>
      <c r="X112">
        <f t="shared" si="22"/>
        <v>59.471020126301354</v>
      </c>
      <c r="Y112">
        <f t="shared" si="23"/>
        <v>72.540746047616906</v>
      </c>
    </row>
    <row r="113" spans="1:25" x14ac:dyDescent="0.35">
      <c r="A113">
        <v>1960</v>
      </c>
      <c r="B113">
        <v>6748.9560000000001</v>
      </c>
      <c r="C113">
        <v>8927.2540000000008</v>
      </c>
      <c r="D113">
        <v>2916.0639999999999</v>
      </c>
      <c r="E113">
        <v>8134.7960000000003</v>
      </c>
      <c r="F113">
        <v>10902.814</v>
      </c>
      <c r="G113">
        <v>4843.6109999999999</v>
      </c>
      <c r="N113">
        <f>IFERROR(SUM($B$3:$B113),"")</f>
        <v>295384.74099999998</v>
      </c>
      <c r="O113">
        <f>IFERROR(SUM($C$3:$C113),"")</f>
        <v>347431.98500000004</v>
      </c>
      <c r="P113">
        <f>IFERROR(SUM($D$3:$D113),"")</f>
        <v>69491.261999999988</v>
      </c>
      <c r="Q113">
        <f t="shared" si="18"/>
        <v>416923.24700000003</v>
      </c>
      <c r="R113">
        <f t="shared" si="19"/>
        <v>70.848709714668416</v>
      </c>
      <c r="S113">
        <f t="shared" si="20"/>
        <v>83.332360932130996</v>
      </c>
      <c r="T113">
        <f>IFERROR(SUM($E$3:$E113),"")</f>
        <v>361053.64099999995</v>
      </c>
      <c r="U113">
        <f>IFERROR(SUM($F$3:$F113),"")</f>
        <v>441381.32699999987</v>
      </c>
      <c r="V113">
        <f>IFERROR(SUM($G$3:$G113),"")</f>
        <v>167795.04800000001</v>
      </c>
      <c r="W113">
        <f t="shared" si="21"/>
        <v>609176.37499999988</v>
      </c>
      <c r="X113">
        <f t="shared" si="22"/>
        <v>59.269146969135178</v>
      </c>
      <c r="Y113">
        <f t="shared" si="23"/>
        <v>72.45542426033839</v>
      </c>
    </row>
    <row r="114" spans="1:25" x14ac:dyDescent="0.35">
      <c r="A114">
        <v>1961</v>
      </c>
      <c r="B114">
        <v>6898.4989999999998</v>
      </c>
      <c r="C114">
        <v>9154.357</v>
      </c>
      <c r="D114">
        <v>2732.73</v>
      </c>
      <c r="E114">
        <v>8321.2739999999994</v>
      </c>
      <c r="F114">
        <v>11183.376</v>
      </c>
      <c r="G114">
        <v>4684.9960000000001</v>
      </c>
      <c r="N114">
        <f>IFERROR(SUM($B$3:$B114),"")</f>
        <v>302283.24</v>
      </c>
      <c r="O114">
        <f>IFERROR(SUM($C$3:$C114),"")</f>
        <v>356586.34200000006</v>
      </c>
      <c r="P114">
        <f>IFERROR(SUM($D$3:$D114),"")</f>
        <v>72223.991999999984</v>
      </c>
      <c r="Q114">
        <f t="shared" si="18"/>
        <v>428810.33400000003</v>
      </c>
      <c r="R114">
        <f t="shared" si="19"/>
        <v>70.493459702862467</v>
      </c>
      <c r="S114">
        <f t="shared" si="20"/>
        <v>83.157124193746697</v>
      </c>
      <c r="T114">
        <f>IFERROR(SUM($E$3:$E114),"")</f>
        <v>369374.91499999992</v>
      </c>
      <c r="U114">
        <f>IFERROR(SUM($F$3:$F114),"")</f>
        <v>452564.70299999986</v>
      </c>
      <c r="V114">
        <f>IFERROR(SUM($G$3:$G114),"")</f>
        <v>172480.04400000002</v>
      </c>
      <c r="W114">
        <f t="shared" si="21"/>
        <v>625044.74699999986</v>
      </c>
      <c r="X114">
        <f t="shared" si="22"/>
        <v>59.095755427571021</v>
      </c>
      <c r="Y114">
        <f t="shared" si="23"/>
        <v>72.405168617471787</v>
      </c>
    </row>
    <row r="115" spans="1:25" x14ac:dyDescent="0.35">
      <c r="A115">
        <v>1962</v>
      </c>
      <c r="B115">
        <v>7210.4859999999999</v>
      </c>
      <c r="C115">
        <v>9581.65</v>
      </c>
      <c r="D115">
        <v>2677.9140000000002</v>
      </c>
      <c r="E115">
        <v>8692.5130000000008</v>
      </c>
      <c r="F115">
        <v>11697.602000000001</v>
      </c>
      <c r="G115">
        <v>4673.3530000000001</v>
      </c>
      <c r="N115">
        <f>IFERROR(SUM($B$3:$B115),"")</f>
        <v>309493.72599999997</v>
      </c>
      <c r="O115">
        <f>IFERROR(SUM($C$3:$C115),"")</f>
        <v>366167.99200000009</v>
      </c>
      <c r="P115">
        <f>IFERROR(SUM($D$3:$D115),"")</f>
        <v>74901.905999999988</v>
      </c>
      <c r="Q115">
        <f t="shared" si="18"/>
        <v>441069.89800000004</v>
      </c>
      <c r="R115">
        <f t="shared" si="19"/>
        <v>70.16886153495787</v>
      </c>
      <c r="S115">
        <f t="shared" si="20"/>
        <v>83.018132423083671</v>
      </c>
      <c r="T115">
        <f>IFERROR(SUM($E$3:$E115),"")</f>
        <v>378067.4279999999</v>
      </c>
      <c r="U115">
        <f>IFERROR(SUM($F$3:$F115),"")</f>
        <v>464262.30499999988</v>
      </c>
      <c r="V115">
        <f>IFERROR(SUM($G$3:$G115),"")</f>
        <v>177153.39700000003</v>
      </c>
      <c r="W115">
        <f t="shared" si="21"/>
        <v>641415.70199999993</v>
      </c>
      <c r="X115">
        <f t="shared" si="22"/>
        <v>58.942652451623324</v>
      </c>
      <c r="Y115">
        <f t="shared" si="23"/>
        <v>72.380876170069172</v>
      </c>
    </row>
    <row r="116" spans="1:25" x14ac:dyDescent="0.35">
      <c r="A116">
        <v>1963</v>
      </c>
      <c r="B116">
        <v>7575.6530000000002</v>
      </c>
      <c r="C116">
        <v>10100.834999999999</v>
      </c>
      <c r="D116">
        <v>2791.5</v>
      </c>
      <c r="E116">
        <v>9144.8629999999994</v>
      </c>
      <c r="F116">
        <v>12331.325000000001</v>
      </c>
      <c r="G116">
        <v>4816.6139999999996</v>
      </c>
      <c r="N116">
        <f>IFERROR(SUM($B$3:$B116),"")</f>
        <v>317069.37899999996</v>
      </c>
      <c r="O116">
        <f>IFERROR(SUM($C$3:$C116),"")</f>
        <v>376268.82700000011</v>
      </c>
      <c r="P116">
        <f>IFERROR(SUM($D$3:$D116),"")</f>
        <v>77693.405999999988</v>
      </c>
      <c r="Q116">
        <f t="shared" si="18"/>
        <v>453962.23300000012</v>
      </c>
      <c r="R116">
        <f t="shared" si="19"/>
        <v>69.844880466080511</v>
      </c>
      <c r="S116">
        <f t="shared" si="20"/>
        <v>82.8854912694907</v>
      </c>
      <c r="T116">
        <f>IFERROR(SUM($E$3:$E116),"")</f>
        <v>387212.29099999991</v>
      </c>
      <c r="U116">
        <f>IFERROR(SUM($F$3:$F116),"")</f>
        <v>476593.62999999989</v>
      </c>
      <c r="V116">
        <f>IFERROR(SUM($G$3:$G116),"")</f>
        <v>181970.01100000003</v>
      </c>
      <c r="W116">
        <f t="shared" si="21"/>
        <v>658563.64099999995</v>
      </c>
      <c r="X116">
        <f t="shared" si="22"/>
        <v>58.796487824932917</v>
      </c>
      <c r="Y116">
        <f t="shared" si="23"/>
        <v>72.368652067750574</v>
      </c>
    </row>
    <row r="117" spans="1:25" x14ac:dyDescent="0.35">
      <c r="A117">
        <v>1964</v>
      </c>
      <c r="B117">
        <v>7928.415</v>
      </c>
      <c r="C117">
        <v>10598.999</v>
      </c>
      <c r="D117">
        <v>2903.5920000000001</v>
      </c>
      <c r="E117">
        <v>9524.5820000000003</v>
      </c>
      <c r="F117">
        <v>12872.726000000001</v>
      </c>
      <c r="G117">
        <v>4963.7039999999997</v>
      </c>
      <c r="N117">
        <f>IFERROR(SUM($B$3:$B117),"")</f>
        <v>324997.79399999994</v>
      </c>
      <c r="O117">
        <f>IFERROR(SUM($C$3:$C117),"")</f>
        <v>386867.82600000012</v>
      </c>
      <c r="P117">
        <f>IFERROR(SUM($D$3:$D117),"")</f>
        <v>80596.997999999992</v>
      </c>
      <c r="Q117">
        <f t="shared" si="18"/>
        <v>467464.82400000014</v>
      </c>
      <c r="R117">
        <f t="shared" si="19"/>
        <v>69.523475845532246</v>
      </c>
      <c r="S117">
        <f t="shared" si="20"/>
        <v>82.758703144688383</v>
      </c>
      <c r="T117">
        <f>IFERROR(SUM($E$3:$E117),"")</f>
        <v>396736.87299999991</v>
      </c>
      <c r="U117">
        <f>IFERROR(SUM($F$3:$F117),"")</f>
        <v>489466.35599999991</v>
      </c>
      <c r="V117">
        <f>IFERROR(SUM($G$3:$G117),"")</f>
        <v>186933.71500000003</v>
      </c>
      <c r="W117">
        <f t="shared" si="21"/>
        <v>676400.071</v>
      </c>
      <c r="X117">
        <f t="shared" si="22"/>
        <v>58.654173766341891</v>
      </c>
      <c r="Y117">
        <f t="shared" si="23"/>
        <v>72.363439476930509</v>
      </c>
    </row>
    <row r="118" spans="1:25" x14ac:dyDescent="0.35">
      <c r="A118">
        <v>1965</v>
      </c>
      <c r="B118">
        <v>8202.0370000000003</v>
      </c>
      <c r="C118">
        <v>10982.646000000001</v>
      </c>
      <c r="D118">
        <v>3123.9119999999998</v>
      </c>
      <c r="E118">
        <v>9860.3739999999998</v>
      </c>
      <c r="F118">
        <v>13349.254000000001</v>
      </c>
      <c r="G118">
        <v>5204.2460000000001</v>
      </c>
      <c r="N118">
        <f>IFERROR(SUM($B$3:$B118),"")</f>
        <v>333199.83099999995</v>
      </c>
      <c r="O118">
        <f>IFERROR(SUM($C$3:$C118),"")</f>
        <v>397850.47200000013</v>
      </c>
      <c r="P118">
        <f>IFERROR(SUM($D$3:$D118),"")</f>
        <v>83720.909999999989</v>
      </c>
      <c r="Q118">
        <f t="shared" si="18"/>
        <v>481571.3820000001</v>
      </c>
      <c r="R118">
        <f t="shared" si="19"/>
        <v>69.190122888157816</v>
      </c>
      <c r="S118">
        <f t="shared" si="20"/>
        <v>82.615057055030732</v>
      </c>
      <c r="T118">
        <f>IFERROR(SUM($E$3:$E118),"")</f>
        <v>406597.24699999992</v>
      </c>
      <c r="U118">
        <f>IFERROR(SUM($F$3:$F118),"")</f>
        <v>502815.60999999993</v>
      </c>
      <c r="V118">
        <f>IFERROR(SUM($G$3:$G118),"")</f>
        <v>192137.96100000004</v>
      </c>
      <c r="W118">
        <f t="shared" si="21"/>
        <v>694953.571</v>
      </c>
      <c r="X118">
        <f t="shared" si="22"/>
        <v>58.507109534659818</v>
      </c>
      <c r="Y118">
        <f t="shared" si="23"/>
        <v>72.352403237021406</v>
      </c>
    </row>
    <row r="119" spans="1:25" x14ac:dyDescent="0.35">
      <c r="A119">
        <v>1966</v>
      </c>
      <c r="B119">
        <v>8529.9840000000004</v>
      </c>
      <c r="C119">
        <v>11422.924000000001</v>
      </c>
      <c r="D119">
        <v>3386.761</v>
      </c>
      <c r="E119">
        <v>10194.626</v>
      </c>
      <c r="F119">
        <v>13839.799000000001</v>
      </c>
      <c r="G119">
        <v>5526.2070000000003</v>
      </c>
      <c r="N119">
        <f>IFERROR(SUM($B$3:$B119),"")</f>
        <v>341729.81499999994</v>
      </c>
      <c r="O119">
        <f>IFERROR(SUM($C$3:$C119),"")</f>
        <v>409273.39600000012</v>
      </c>
      <c r="P119">
        <f>IFERROR(SUM($D$3:$D119),"")</f>
        <v>87107.670999999988</v>
      </c>
      <c r="Q119">
        <f t="shared" si="18"/>
        <v>496381.0670000001</v>
      </c>
      <c r="R119">
        <f t="shared" si="19"/>
        <v>68.844248445116435</v>
      </c>
      <c r="S119">
        <f t="shared" si="20"/>
        <v>82.451451759339577</v>
      </c>
      <c r="T119">
        <f>IFERROR(SUM($E$3:$E119),"")</f>
        <v>416791.87299999991</v>
      </c>
      <c r="U119">
        <f>IFERROR(SUM($F$3:$F119),"")</f>
        <v>516655.40899999993</v>
      </c>
      <c r="V119">
        <f>IFERROR(SUM($G$3:$G119),"")</f>
        <v>197664.16800000003</v>
      </c>
      <c r="W119">
        <f t="shared" si="21"/>
        <v>714319.57699999993</v>
      </c>
      <c r="X119">
        <f t="shared" si="22"/>
        <v>58.348096065131358</v>
      </c>
      <c r="Y119">
        <f t="shared" si="23"/>
        <v>72.328328333076058</v>
      </c>
    </row>
    <row r="120" spans="1:25" x14ac:dyDescent="0.35">
      <c r="A120">
        <v>1967</v>
      </c>
      <c r="B120">
        <v>8826.0249999999996</v>
      </c>
      <c r="C120">
        <v>11818.596</v>
      </c>
      <c r="D120">
        <v>3377.3969999999999</v>
      </c>
      <c r="E120">
        <v>10536.778</v>
      </c>
      <c r="F120">
        <v>14313.971</v>
      </c>
      <c r="G120">
        <v>5494.4679999999998</v>
      </c>
      <c r="N120">
        <f>IFERROR(SUM($B$3:$B120),"")</f>
        <v>350555.83999999997</v>
      </c>
      <c r="O120">
        <f>IFERROR(SUM($C$3:$C120),"")</f>
        <v>421091.99200000014</v>
      </c>
      <c r="P120">
        <f>IFERROR(SUM($D$3:$D120),"")</f>
        <v>90485.067999999985</v>
      </c>
      <c r="Q120">
        <f t="shared" si="18"/>
        <v>511577.06000000011</v>
      </c>
      <c r="R120">
        <f t="shared" si="19"/>
        <v>68.524542519557059</v>
      </c>
      <c r="S120">
        <f t="shared" si="20"/>
        <v>82.312524334066126</v>
      </c>
      <c r="T120">
        <f>IFERROR(SUM($E$3:$E120),"")</f>
        <v>427328.6509999999</v>
      </c>
      <c r="U120">
        <f>IFERROR(SUM($F$3:$F120),"")</f>
        <v>530969.37999999989</v>
      </c>
      <c r="V120">
        <f>IFERROR(SUM($G$3:$G120),"")</f>
        <v>203158.63600000003</v>
      </c>
      <c r="W120">
        <f t="shared" si="21"/>
        <v>734128.01599999995</v>
      </c>
      <c r="X120">
        <f t="shared" si="22"/>
        <v>58.209010102673965</v>
      </c>
      <c r="Y120">
        <f t="shared" si="23"/>
        <v>72.326538209651972</v>
      </c>
    </row>
    <row r="121" spans="1:25" x14ac:dyDescent="0.35">
      <c r="A121">
        <v>1968</v>
      </c>
      <c r="B121">
        <v>9271.5519999999997</v>
      </c>
      <c r="C121">
        <v>12356.956</v>
      </c>
      <c r="D121">
        <v>3562.973</v>
      </c>
      <c r="E121">
        <v>11022.069</v>
      </c>
      <c r="F121">
        <v>14911.022999999999</v>
      </c>
      <c r="G121">
        <v>5779.8069999999998</v>
      </c>
      <c r="N121">
        <f>IFERROR(SUM($B$3:$B121),"")</f>
        <v>359827.39199999999</v>
      </c>
      <c r="O121">
        <f>IFERROR(SUM($C$3:$C121),"")</f>
        <v>433448.94800000015</v>
      </c>
      <c r="P121">
        <f>IFERROR(SUM($D$3:$D121),"")</f>
        <v>94048.040999999983</v>
      </c>
      <c r="Q121">
        <f t="shared" si="18"/>
        <v>527496.98900000018</v>
      </c>
      <c r="R121">
        <f t="shared" si="19"/>
        <v>68.214112971932025</v>
      </c>
      <c r="S121">
        <f t="shared" si="20"/>
        <v>82.170885718553365</v>
      </c>
      <c r="T121">
        <f>IFERROR(SUM($E$3:$E121),"")</f>
        <v>438350.71999999991</v>
      </c>
      <c r="U121">
        <f>IFERROR(SUM($F$3:$F121),"")</f>
        <v>545880.40299999993</v>
      </c>
      <c r="V121">
        <f>IFERROR(SUM($G$3:$G121),"")</f>
        <v>208938.44300000003</v>
      </c>
      <c r="W121">
        <f t="shared" si="21"/>
        <v>754818.8459999999</v>
      </c>
      <c r="X121">
        <f t="shared" si="22"/>
        <v>58.073632146699204</v>
      </c>
      <c r="Y121">
        <f t="shared" si="23"/>
        <v>72.319392380406995</v>
      </c>
    </row>
    <row r="122" spans="1:25" x14ac:dyDescent="0.35">
      <c r="A122">
        <v>1969</v>
      </c>
      <c r="B122">
        <v>9806.1679999999997</v>
      </c>
      <c r="C122">
        <v>13018.927</v>
      </c>
      <c r="D122">
        <v>3925.0619999999999</v>
      </c>
      <c r="E122">
        <v>11606.642</v>
      </c>
      <c r="F122">
        <v>15640.609</v>
      </c>
      <c r="G122">
        <v>6159.5259999999998</v>
      </c>
      <c r="N122">
        <f>IFERROR(SUM($B$3:$B122),"")</f>
        <v>369633.56</v>
      </c>
      <c r="O122">
        <f>IFERROR(SUM($C$3:$C122),"")</f>
        <v>446467.87500000017</v>
      </c>
      <c r="P122">
        <f>IFERROR(SUM($D$3:$D122),"")</f>
        <v>97973.102999999988</v>
      </c>
      <c r="Q122">
        <f t="shared" si="18"/>
        <v>544440.97800000012</v>
      </c>
      <c r="R122">
        <f t="shared" si="19"/>
        <v>67.892310633532063</v>
      </c>
      <c r="S122">
        <f t="shared" si="20"/>
        <v>82.00482569113305</v>
      </c>
      <c r="T122">
        <f>IFERROR(SUM($E$3:$E122),"")</f>
        <v>449957.36199999991</v>
      </c>
      <c r="U122">
        <f>IFERROR(SUM($F$3:$F122),"")</f>
        <v>561521.01199999999</v>
      </c>
      <c r="V122">
        <f>IFERROR(SUM($G$3:$G122),"")</f>
        <v>215097.96900000004</v>
      </c>
      <c r="W122">
        <f t="shared" si="21"/>
        <v>776618.98100000003</v>
      </c>
      <c r="X122">
        <f t="shared" si="22"/>
        <v>57.937981559582809</v>
      </c>
      <c r="Y122">
        <f t="shared" si="23"/>
        <v>72.303282013139452</v>
      </c>
    </row>
    <row r="123" spans="1:25" x14ac:dyDescent="0.35">
      <c r="A123">
        <v>1970</v>
      </c>
      <c r="B123">
        <v>10352.019</v>
      </c>
      <c r="C123">
        <v>13720.338</v>
      </c>
      <c r="D123">
        <v>4400.2659999999996</v>
      </c>
      <c r="E123">
        <v>12144.936</v>
      </c>
      <c r="F123">
        <v>16354.745000000001</v>
      </c>
      <c r="G123">
        <v>6724.4210000000003</v>
      </c>
      <c r="N123">
        <f>IFERROR(SUM($B$3:$B123),"")</f>
        <v>379985.57900000003</v>
      </c>
      <c r="O123">
        <f>IFERROR(SUM($C$3:$C123),"")</f>
        <v>460188.21300000016</v>
      </c>
      <c r="P123">
        <f>IFERROR(SUM($D$3:$D123),"")</f>
        <v>102373.36899999999</v>
      </c>
      <c r="Q123">
        <f t="shared" si="18"/>
        <v>562561.58200000017</v>
      </c>
      <c r="R123">
        <f t="shared" si="19"/>
        <v>67.545596990304233</v>
      </c>
      <c r="S123">
        <f t="shared" si="20"/>
        <v>81.802282225521765</v>
      </c>
      <c r="T123">
        <f>IFERROR(SUM($E$3:$E123),"")</f>
        <v>462102.29799999989</v>
      </c>
      <c r="U123">
        <f>IFERROR(SUM($F$3:$F123),"")</f>
        <v>577875.75699999998</v>
      </c>
      <c r="V123">
        <f>IFERROR(SUM($G$3:$G123),"")</f>
        <v>221822.39000000004</v>
      </c>
      <c r="W123">
        <f t="shared" si="21"/>
        <v>799698.147</v>
      </c>
      <c r="X123">
        <f t="shared" si="22"/>
        <v>57.784590314925396</v>
      </c>
      <c r="Y123">
        <f t="shared" si="23"/>
        <v>72.261735151926018</v>
      </c>
    </row>
    <row r="124" spans="1:25" x14ac:dyDescent="0.35">
      <c r="A124">
        <v>1971</v>
      </c>
      <c r="B124">
        <v>10493.987999999999</v>
      </c>
      <c r="C124">
        <v>14029.147000000001</v>
      </c>
      <c r="D124">
        <v>4705.308</v>
      </c>
      <c r="E124">
        <v>12286.099</v>
      </c>
      <c r="F124">
        <v>16642.456999999999</v>
      </c>
      <c r="G124">
        <v>6970.8230000000003</v>
      </c>
      <c r="N124">
        <f>IFERROR(SUM($B$3:$B124),"")</f>
        <v>390479.56700000004</v>
      </c>
      <c r="O124">
        <f>IFERROR(SUM($C$3:$C124),"")</f>
        <v>474217.36000000016</v>
      </c>
      <c r="P124">
        <f>IFERROR(SUM($D$3:$D124),"")</f>
        <v>107078.677</v>
      </c>
      <c r="Q124">
        <f t="shared" si="18"/>
        <v>581296.03700000013</v>
      </c>
      <c r="R124">
        <f t="shared" si="19"/>
        <v>67.173959935322927</v>
      </c>
      <c r="S124">
        <f t="shared" si="20"/>
        <v>81.579321002664955</v>
      </c>
      <c r="T124">
        <f>IFERROR(SUM($E$3:$E124),"")</f>
        <v>474388.39699999988</v>
      </c>
      <c r="U124">
        <f>IFERROR(SUM($F$3:$F124),"")</f>
        <v>594518.21400000004</v>
      </c>
      <c r="V124">
        <f>IFERROR(SUM($G$3:$G124),"")</f>
        <v>228793.21300000005</v>
      </c>
      <c r="W124">
        <f t="shared" si="21"/>
        <v>823311.42700000014</v>
      </c>
      <c r="X124">
        <f t="shared" si="22"/>
        <v>57.619557003913634</v>
      </c>
      <c r="Y124">
        <f t="shared" si="23"/>
        <v>72.210611258769745</v>
      </c>
    </row>
    <row r="125" spans="1:25" x14ac:dyDescent="0.35">
      <c r="A125">
        <v>1972</v>
      </c>
      <c r="B125">
        <v>10894.134</v>
      </c>
      <c r="C125">
        <v>14589.731</v>
      </c>
      <c r="D125">
        <v>4929.1279999999997</v>
      </c>
      <c r="E125">
        <v>12739.251</v>
      </c>
      <c r="F125">
        <v>17297.101999999999</v>
      </c>
      <c r="G125">
        <v>7187.0770000000002</v>
      </c>
      <c r="N125">
        <f>IFERROR(SUM($B$3:$B125),"")</f>
        <v>401373.70100000006</v>
      </c>
      <c r="O125">
        <f>IFERROR(SUM($C$3:$C125),"")</f>
        <v>488807.09100000013</v>
      </c>
      <c r="P125">
        <f>IFERROR(SUM($D$3:$D125),"")</f>
        <v>112007.80499999999</v>
      </c>
      <c r="Q125">
        <f t="shared" si="18"/>
        <v>600814.89600000018</v>
      </c>
      <c r="R125">
        <f t="shared" si="19"/>
        <v>66.804885110571547</v>
      </c>
      <c r="S125">
        <f t="shared" si="20"/>
        <v>81.357352198538038</v>
      </c>
      <c r="T125">
        <f>IFERROR(SUM($E$3:$E125),"")</f>
        <v>487127.64799999987</v>
      </c>
      <c r="U125">
        <f>IFERROR(SUM($F$3:$F125),"")</f>
        <v>611815.31599999999</v>
      </c>
      <c r="V125">
        <f>IFERROR(SUM($G$3:$G125),"")</f>
        <v>235980.29000000004</v>
      </c>
      <c r="W125">
        <f t="shared" si="21"/>
        <v>847795.60600000003</v>
      </c>
      <c r="X125">
        <f t="shared" si="22"/>
        <v>57.45814728839251</v>
      </c>
      <c r="Y125">
        <f t="shared" si="23"/>
        <v>72.16542662760628</v>
      </c>
    </row>
    <row r="126" spans="1:25" x14ac:dyDescent="0.35">
      <c r="A126">
        <v>1973</v>
      </c>
      <c r="B126">
        <v>11351.976000000001</v>
      </c>
      <c r="C126">
        <v>15201.677</v>
      </c>
      <c r="D126">
        <v>5292.5690000000004</v>
      </c>
      <c r="E126">
        <v>13274.075000000001</v>
      </c>
      <c r="F126">
        <v>18017.205999999998</v>
      </c>
      <c r="G126">
        <v>7568.9170000000004</v>
      </c>
      <c r="N126">
        <f>IFERROR(SUM($B$3:$B126),"")</f>
        <v>412725.67700000008</v>
      </c>
      <c r="O126">
        <f>IFERROR(SUM($C$3:$C126),"")</f>
        <v>504008.76800000016</v>
      </c>
      <c r="P126">
        <f>IFERROR(SUM($D$3:$D126),"")</f>
        <v>117300.374</v>
      </c>
      <c r="Q126">
        <f t="shared" si="18"/>
        <v>621309.14200000011</v>
      </c>
      <c r="R126">
        <f t="shared" si="19"/>
        <v>66.428392743656104</v>
      </c>
      <c r="S126">
        <f t="shared" si="20"/>
        <v>81.120449375264471</v>
      </c>
      <c r="T126">
        <f>IFERROR(SUM($E$3:$E126),"")</f>
        <v>500401.72299999988</v>
      </c>
      <c r="U126">
        <f>IFERROR(SUM($F$3:$F126),"")</f>
        <v>629832.522</v>
      </c>
      <c r="V126">
        <f>IFERROR(SUM($G$3:$G126),"")</f>
        <v>243549.20700000002</v>
      </c>
      <c r="W126">
        <f t="shared" si="21"/>
        <v>873381.72900000005</v>
      </c>
      <c r="X126">
        <f t="shared" si="22"/>
        <v>57.294732232714232</v>
      </c>
      <c r="Y126">
        <f t="shared" si="23"/>
        <v>72.114231508041996</v>
      </c>
    </row>
    <row r="127" spans="1:25" x14ac:dyDescent="0.35">
      <c r="A127">
        <v>1974</v>
      </c>
      <c r="B127">
        <v>11065.645</v>
      </c>
      <c r="C127">
        <v>15045.9</v>
      </c>
      <c r="D127">
        <v>5398.5389999999998</v>
      </c>
      <c r="E127">
        <v>12997.178</v>
      </c>
      <c r="F127">
        <v>17857.445</v>
      </c>
      <c r="G127">
        <v>7662.7470000000003</v>
      </c>
      <c r="N127">
        <f>IFERROR(SUM($B$3:$B127),"")</f>
        <v>423791.3220000001</v>
      </c>
      <c r="O127">
        <f>IFERROR(SUM($C$3:$C127),"")</f>
        <v>519054.66800000018</v>
      </c>
      <c r="P127">
        <f>IFERROR(SUM($D$3:$D127),"")</f>
        <v>122698.913</v>
      </c>
      <c r="Q127">
        <f t="shared" si="18"/>
        <v>641753.58100000024</v>
      </c>
      <c r="R127">
        <f t="shared" si="19"/>
        <v>66.036456133152441</v>
      </c>
      <c r="S127">
        <f t="shared" si="20"/>
        <v>80.880681209630836</v>
      </c>
      <c r="T127">
        <f>IFERROR(SUM($E$3:$E127),"")</f>
        <v>513398.9009999999</v>
      </c>
      <c r="U127">
        <f>IFERROR(SUM($F$3:$F127),"")</f>
        <v>647689.96699999995</v>
      </c>
      <c r="V127">
        <f>IFERROR(SUM($G$3:$G127),"")</f>
        <v>251211.95400000003</v>
      </c>
      <c r="W127">
        <f t="shared" si="21"/>
        <v>898901.92099999997</v>
      </c>
      <c r="X127">
        <f t="shared" si="22"/>
        <v>57.114006434524015</v>
      </c>
      <c r="Y127">
        <f t="shared" si="23"/>
        <v>72.053463438977332</v>
      </c>
    </row>
    <row r="128" spans="1:25" x14ac:dyDescent="0.35">
      <c r="A128">
        <v>1975</v>
      </c>
      <c r="B128">
        <v>10668.25</v>
      </c>
      <c r="C128">
        <v>14849.101000000001</v>
      </c>
      <c r="D128">
        <v>5634.3440000000001</v>
      </c>
      <c r="E128">
        <v>12567.922</v>
      </c>
      <c r="F128">
        <v>17635.179</v>
      </c>
      <c r="G128">
        <v>8027.6049999999996</v>
      </c>
      <c r="N128">
        <f>IFERROR(SUM($B$3:$B128),"")</f>
        <v>434459.5720000001</v>
      </c>
      <c r="O128">
        <f>IFERROR(SUM($C$3:$C128),"")</f>
        <v>533903.7690000002</v>
      </c>
      <c r="P128">
        <f>IFERROR(SUM($D$3:$D128),"")</f>
        <v>128333.257</v>
      </c>
      <c r="Q128">
        <f t="shared" si="18"/>
        <v>662237.02600000019</v>
      </c>
      <c r="R128">
        <f t="shared" si="19"/>
        <v>65.604844631565499</v>
      </c>
      <c r="S128">
        <f t="shared" si="20"/>
        <v>80.621250102074498</v>
      </c>
      <c r="T128">
        <f>IFERROR(SUM($E$3:$E128),"")</f>
        <v>525966.82299999986</v>
      </c>
      <c r="U128">
        <f>IFERROR(SUM($F$3:$F128),"")</f>
        <v>665325.14599999995</v>
      </c>
      <c r="V128">
        <f>IFERROR(SUM($G$3:$G128),"")</f>
        <v>259239.55900000004</v>
      </c>
      <c r="W128">
        <f t="shared" si="21"/>
        <v>924564.70499999996</v>
      </c>
      <c r="X128">
        <f t="shared" si="22"/>
        <v>56.888049063045287</v>
      </c>
      <c r="Y128">
        <f t="shared" si="23"/>
        <v>71.960906835611894</v>
      </c>
    </row>
    <row r="129" spans="1:25" x14ac:dyDescent="0.35">
      <c r="A129">
        <v>1976</v>
      </c>
      <c r="B129">
        <v>11153.432000000001</v>
      </c>
      <c r="C129">
        <v>15510.22</v>
      </c>
      <c r="D129">
        <v>5932.5569999999998</v>
      </c>
      <c r="E129">
        <v>13130.168</v>
      </c>
      <c r="F129">
        <v>18392.126</v>
      </c>
      <c r="G129">
        <v>8313.81</v>
      </c>
      <c r="N129">
        <f>IFERROR(SUM($B$3:$B129),"")</f>
        <v>445613.00400000007</v>
      </c>
      <c r="O129">
        <f>IFERROR(SUM($C$3:$C129),"")</f>
        <v>549413.98900000018</v>
      </c>
      <c r="P129">
        <f>IFERROR(SUM($D$3:$D129),"")</f>
        <v>134265.81399999998</v>
      </c>
      <c r="Q129">
        <f t="shared" si="18"/>
        <v>683679.80300000019</v>
      </c>
      <c r="R129">
        <f t="shared" si="19"/>
        <v>65.178611689952177</v>
      </c>
      <c r="S129">
        <f t="shared" si="20"/>
        <v>80.36130167794353</v>
      </c>
      <c r="T129">
        <f>IFERROR(SUM($E$3:$E129),"")</f>
        <v>539096.99099999981</v>
      </c>
      <c r="U129">
        <f>IFERROR(SUM($F$3:$F129),"")</f>
        <v>683717.272</v>
      </c>
      <c r="V129">
        <f>IFERROR(SUM($G$3:$G129),"")</f>
        <v>267553.36900000006</v>
      </c>
      <c r="W129">
        <f t="shared" si="21"/>
        <v>951270.64100000006</v>
      </c>
      <c r="X129">
        <f t="shared" si="22"/>
        <v>56.671252928954821</v>
      </c>
      <c r="Y129">
        <f t="shared" si="23"/>
        <v>71.874106330166867</v>
      </c>
    </row>
    <row r="130" spans="1:25" x14ac:dyDescent="0.35">
      <c r="A130">
        <v>1977</v>
      </c>
      <c r="B130">
        <v>11257.169</v>
      </c>
      <c r="C130">
        <v>15761.662</v>
      </c>
      <c r="D130">
        <v>6239.6490000000003</v>
      </c>
      <c r="E130">
        <v>13200.678</v>
      </c>
      <c r="F130">
        <v>18608.023000000001</v>
      </c>
      <c r="G130">
        <v>8669.3389999999999</v>
      </c>
      <c r="N130">
        <f>IFERROR(SUM($B$3:$B130),"")</f>
        <v>456870.17300000007</v>
      </c>
      <c r="O130">
        <f>IFERROR(SUM($C$3:$C130),"")</f>
        <v>565175.65100000019</v>
      </c>
      <c r="P130">
        <f>IFERROR(SUM($D$3:$D130),"")</f>
        <v>140505.46299999999</v>
      </c>
      <c r="Q130">
        <f t="shared" si="18"/>
        <v>705681.11400000018</v>
      </c>
      <c r="R130">
        <f t="shared" si="19"/>
        <v>64.741731631491547</v>
      </c>
      <c r="S130">
        <f t="shared" si="20"/>
        <v>80.08938312043307</v>
      </c>
      <c r="T130">
        <f>IFERROR(SUM($E$3:$E130),"")</f>
        <v>552297.66899999976</v>
      </c>
      <c r="U130">
        <f>IFERROR(SUM($F$3:$F130),"")</f>
        <v>702325.29500000004</v>
      </c>
      <c r="V130">
        <f>IFERROR(SUM($G$3:$G130),"")</f>
        <v>276222.70800000004</v>
      </c>
      <c r="W130">
        <f t="shared" si="21"/>
        <v>978548.00300000003</v>
      </c>
      <c r="X130">
        <f t="shared" si="22"/>
        <v>56.440528957882897</v>
      </c>
      <c r="Y130">
        <f t="shared" si="23"/>
        <v>71.77218622355106</v>
      </c>
    </row>
    <row r="131" spans="1:25" x14ac:dyDescent="0.35">
      <c r="A131">
        <v>1978</v>
      </c>
      <c r="B131">
        <v>11475.918</v>
      </c>
      <c r="C131">
        <v>16133.583000000001</v>
      </c>
      <c r="D131">
        <v>6585.7539999999999</v>
      </c>
      <c r="E131">
        <v>13448.47</v>
      </c>
      <c r="F131">
        <v>19025.561000000002</v>
      </c>
      <c r="G131">
        <v>9039.8430000000008</v>
      </c>
      <c r="N131">
        <f>IFERROR(SUM($B$3:$B131),"")</f>
        <v>468346.09100000007</v>
      </c>
      <c r="O131">
        <f>IFERROR(SUM($C$3:$C131),"")</f>
        <v>581309.23400000017</v>
      </c>
      <c r="P131">
        <f>IFERROR(SUM($D$3:$D131),"")</f>
        <v>147091.21699999998</v>
      </c>
      <c r="Q131">
        <f t="shared" ref="Q131:Q162" si="24">IFERROR(O131+P131,"")</f>
        <v>728400.45100000012</v>
      </c>
      <c r="R131">
        <f t="shared" ref="R131:R162" si="25">IFERROR(N131/Q131*100,NA())</f>
        <v>64.297885916602766</v>
      </c>
      <c r="S131">
        <f t="shared" ref="S131:S162" si="26">IFERROR(O131/Q131*100,NA())</f>
        <v>79.80627046591438</v>
      </c>
      <c r="T131">
        <f>IFERROR(SUM($E$3:$E131),"")</f>
        <v>565746.13899999973</v>
      </c>
      <c r="U131">
        <f>IFERROR(SUM($F$3:$F131),"")</f>
        <v>721350.85600000003</v>
      </c>
      <c r="V131">
        <f>IFERROR(SUM($G$3:$G131),"")</f>
        <v>285262.55100000004</v>
      </c>
      <c r="W131">
        <f t="shared" ref="W131:W162" si="27">IFERROR(U131+V131,"")</f>
        <v>1006613.4070000001</v>
      </c>
      <c r="X131">
        <f t="shared" ref="X131:X162" si="28">IFERROR(T131/W131*100,NA())</f>
        <v>56.202921108123064</v>
      </c>
      <c r="Y131">
        <f t="shared" ref="Y131:Y162" si="29">IFERROR(U131/W131*100,NA())</f>
        <v>71.661161175056748</v>
      </c>
    </row>
    <row r="132" spans="1:25" x14ac:dyDescent="0.35">
      <c r="A132">
        <v>1979</v>
      </c>
      <c r="B132">
        <v>11743.637000000001</v>
      </c>
      <c r="C132">
        <v>16437.349999999999</v>
      </c>
      <c r="D132">
        <v>6882.277</v>
      </c>
      <c r="E132">
        <v>13756.334999999999</v>
      </c>
      <c r="F132">
        <v>19385.358</v>
      </c>
      <c r="G132">
        <v>9406.8889999999992</v>
      </c>
      <c r="N132">
        <f>IFERROR(SUM($B$3:$B132),"")</f>
        <v>480089.72800000006</v>
      </c>
      <c r="O132">
        <f>IFERROR(SUM($C$3:$C132),"")</f>
        <v>597746.58400000015</v>
      </c>
      <c r="P132">
        <f>IFERROR(SUM($D$3:$D132),"")</f>
        <v>153973.49399999998</v>
      </c>
      <c r="Q132">
        <f t="shared" si="24"/>
        <v>751720.0780000001</v>
      </c>
      <c r="R132">
        <f t="shared" si="25"/>
        <v>63.865492229143307</v>
      </c>
      <c r="S132">
        <f t="shared" si="26"/>
        <v>79.517176871255529</v>
      </c>
      <c r="T132">
        <f>IFERROR(SUM($E$3:$E132),"")</f>
        <v>579502.4739999997</v>
      </c>
      <c r="U132">
        <f>IFERROR(SUM($F$3:$F132),"")</f>
        <v>740736.21400000004</v>
      </c>
      <c r="V132">
        <f>IFERROR(SUM($G$3:$G132),"")</f>
        <v>294669.44000000006</v>
      </c>
      <c r="W132">
        <f t="shared" si="27"/>
        <v>1035405.6540000001</v>
      </c>
      <c r="X132">
        <f t="shared" si="28"/>
        <v>55.968641059786947</v>
      </c>
      <c r="Y132">
        <f t="shared" si="29"/>
        <v>71.54067694515409</v>
      </c>
    </row>
    <row r="133" spans="1:25" x14ac:dyDescent="0.35">
      <c r="A133">
        <v>1980</v>
      </c>
      <c r="B133">
        <v>11421.004000000001</v>
      </c>
      <c r="C133">
        <v>16249.745000000001</v>
      </c>
      <c r="D133">
        <v>6874.3620000000001</v>
      </c>
      <c r="E133">
        <v>13384.493</v>
      </c>
      <c r="F133">
        <v>19154.857</v>
      </c>
      <c r="G133">
        <v>9472.9279999999999</v>
      </c>
      <c r="N133">
        <f>IFERROR(SUM($B$3:$B133),"")</f>
        <v>491510.73200000008</v>
      </c>
      <c r="O133">
        <f>IFERROR(SUM($C$3:$C133),"")</f>
        <v>613996.32900000014</v>
      </c>
      <c r="P133">
        <f>IFERROR(SUM($D$3:$D133),"")</f>
        <v>160847.85599999997</v>
      </c>
      <c r="Q133">
        <f t="shared" si="24"/>
        <v>774844.18500000006</v>
      </c>
      <c r="R133">
        <f t="shared" si="25"/>
        <v>63.433493018986788</v>
      </c>
      <c r="S133">
        <f t="shared" si="26"/>
        <v>79.241264358201263</v>
      </c>
      <c r="T133">
        <f>IFERROR(SUM($E$3:$E133),"")</f>
        <v>592886.96699999971</v>
      </c>
      <c r="U133">
        <f>IFERROR(SUM($F$3:$F133),"")</f>
        <v>759891.071</v>
      </c>
      <c r="V133">
        <f>IFERROR(SUM($G$3:$G133),"")</f>
        <v>304142.36800000007</v>
      </c>
      <c r="W133">
        <f t="shared" si="27"/>
        <v>1064033.439</v>
      </c>
      <c r="X133">
        <f t="shared" si="28"/>
        <v>55.720708134624672</v>
      </c>
      <c r="Y133">
        <f t="shared" si="29"/>
        <v>71.416089302058111</v>
      </c>
    </row>
    <row r="134" spans="1:25" x14ac:dyDescent="0.35">
      <c r="A134">
        <v>1981</v>
      </c>
      <c r="B134">
        <v>11008.27</v>
      </c>
      <c r="C134">
        <v>15717.598</v>
      </c>
      <c r="D134">
        <v>6746.1149999999998</v>
      </c>
      <c r="E134">
        <v>12978.811</v>
      </c>
      <c r="F134">
        <v>18634.061000000002</v>
      </c>
      <c r="G134">
        <v>9413.6779999999999</v>
      </c>
      <c r="N134">
        <f>IFERROR(SUM($B$3:$B134),"")</f>
        <v>502519.00200000009</v>
      </c>
      <c r="O134">
        <f>IFERROR(SUM($C$3:$C134),"")</f>
        <v>629713.92700000014</v>
      </c>
      <c r="P134">
        <f>IFERROR(SUM($D$3:$D134),"")</f>
        <v>167593.97099999996</v>
      </c>
      <c r="Q134">
        <f t="shared" si="24"/>
        <v>797307.89800000004</v>
      </c>
      <c r="R134">
        <f t="shared" si="25"/>
        <v>63.026969036747218</v>
      </c>
      <c r="S134">
        <f t="shared" si="26"/>
        <v>78.980018707904492</v>
      </c>
      <c r="T134">
        <f>IFERROR(SUM($E$3:$E134),"")</f>
        <v>605865.7779999997</v>
      </c>
      <c r="U134">
        <f>IFERROR(SUM($F$3:$F134),"")</f>
        <v>778525.13199999998</v>
      </c>
      <c r="V134">
        <f>IFERROR(SUM($G$3:$G134),"")</f>
        <v>313556.04600000009</v>
      </c>
      <c r="W134">
        <f t="shared" si="27"/>
        <v>1092081.1780000001</v>
      </c>
      <c r="X134">
        <f t="shared" si="28"/>
        <v>55.478089926388208</v>
      </c>
      <c r="Y134">
        <f t="shared" si="29"/>
        <v>71.288210774382549</v>
      </c>
    </row>
    <row r="135" spans="1:25" x14ac:dyDescent="0.35">
      <c r="A135">
        <v>1982</v>
      </c>
      <c r="B135">
        <v>10594.201999999999</v>
      </c>
      <c r="C135">
        <v>15398.5</v>
      </c>
      <c r="D135">
        <v>6985.4040000000005</v>
      </c>
      <c r="E135">
        <v>12468.414000000001</v>
      </c>
      <c r="F135">
        <v>18220.199000000001</v>
      </c>
      <c r="G135">
        <v>9683.5820000000003</v>
      </c>
      <c r="N135">
        <f>IFERROR(SUM($B$3:$B135),"")</f>
        <v>513113.20400000009</v>
      </c>
      <c r="O135">
        <f>IFERROR(SUM($C$3:$C135),"")</f>
        <v>645112.42700000014</v>
      </c>
      <c r="P135">
        <f>IFERROR(SUM($D$3:$D135),"")</f>
        <v>174579.37499999997</v>
      </c>
      <c r="Q135">
        <f t="shared" si="24"/>
        <v>819691.80200000014</v>
      </c>
      <c r="R135">
        <f t="shared" si="25"/>
        <v>62.598308626246336</v>
      </c>
      <c r="S135">
        <f t="shared" si="26"/>
        <v>78.701827372917904</v>
      </c>
      <c r="T135">
        <f>IFERROR(SUM($E$3:$E135),"")</f>
        <v>618334.19199999969</v>
      </c>
      <c r="U135">
        <f>IFERROR(SUM($F$3:$F135),"")</f>
        <v>796745.33100000001</v>
      </c>
      <c r="V135">
        <f>IFERROR(SUM($G$3:$G135),"")</f>
        <v>323239.62800000008</v>
      </c>
      <c r="W135">
        <f t="shared" si="27"/>
        <v>1119984.959</v>
      </c>
      <c r="X135">
        <f t="shared" si="28"/>
        <v>55.209151429327328</v>
      </c>
      <c r="Y135">
        <f t="shared" si="29"/>
        <v>71.1389313398806</v>
      </c>
    </row>
    <row r="136" spans="1:25" x14ac:dyDescent="0.35">
      <c r="A136">
        <v>1983</v>
      </c>
      <c r="B136">
        <v>10536.266</v>
      </c>
      <c r="C136">
        <v>15401.039000000001</v>
      </c>
      <c r="D136">
        <v>7205.3040000000001</v>
      </c>
      <c r="E136">
        <v>12408.1</v>
      </c>
      <c r="F136">
        <v>18227.567999999999</v>
      </c>
      <c r="G136">
        <v>9935.4699999999993</v>
      </c>
      <c r="N136">
        <f>IFERROR(SUM($B$3:$B136),"")</f>
        <v>523649.47000000009</v>
      </c>
      <c r="O136">
        <f>IFERROR(SUM($C$3:$C136),"")</f>
        <v>660513.46600000013</v>
      </c>
      <c r="P136">
        <f>IFERROR(SUM($D$3:$D136),"")</f>
        <v>181784.67899999997</v>
      </c>
      <c r="Q136">
        <f t="shared" si="24"/>
        <v>842298.14500000014</v>
      </c>
      <c r="R136">
        <f t="shared" si="25"/>
        <v>62.169134897002529</v>
      </c>
      <c r="S136">
        <f t="shared" si="26"/>
        <v>78.418012662250376</v>
      </c>
      <c r="T136">
        <f>IFERROR(SUM($E$3:$E136),"")</f>
        <v>630742.29199999967</v>
      </c>
      <c r="U136">
        <f>IFERROR(SUM($F$3:$F136),"")</f>
        <v>814972.89899999998</v>
      </c>
      <c r="V136">
        <f>IFERROR(SUM($G$3:$G136),"")</f>
        <v>333175.09800000006</v>
      </c>
      <c r="W136">
        <f t="shared" si="27"/>
        <v>1148147.997</v>
      </c>
      <c r="X136">
        <f t="shared" si="28"/>
        <v>54.935626212654512</v>
      </c>
      <c r="Y136">
        <f t="shared" si="29"/>
        <v>70.981519902438151</v>
      </c>
    </row>
    <row r="137" spans="1:25" x14ac:dyDescent="0.35">
      <c r="A137">
        <v>1984</v>
      </c>
      <c r="B137">
        <v>10745.463</v>
      </c>
      <c r="C137">
        <v>15656.59</v>
      </c>
      <c r="D137">
        <v>7572.2560000000003</v>
      </c>
      <c r="E137">
        <v>12686.045</v>
      </c>
      <c r="F137">
        <v>18575.028999999999</v>
      </c>
      <c r="G137">
        <v>10312.986000000001</v>
      </c>
      <c r="N137">
        <f>IFERROR(SUM($B$3:$B137),"")</f>
        <v>534394.93300000008</v>
      </c>
      <c r="O137">
        <f>IFERROR(SUM($C$3:$C137),"")</f>
        <v>676170.0560000001</v>
      </c>
      <c r="P137">
        <f>IFERROR(SUM($D$3:$D137),"")</f>
        <v>189356.93499999997</v>
      </c>
      <c r="Q137">
        <f t="shared" si="24"/>
        <v>865526.99100000004</v>
      </c>
      <c r="R137">
        <f t="shared" si="25"/>
        <v>61.742145370022328</v>
      </c>
      <c r="S137">
        <f t="shared" si="26"/>
        <v>78.122353552345785</v>
      </c>
      <c r="T137">
        <f>IFERROR(SUM($E$3:$E137),"")</f>
        <v>643428.33699999971</v>
      </c>
      <c r="U137">
        <f>IFERROR(SUM($F$3:$F137),"")</f>
        <v>833547.92799999996</v>
      </c>
      <c r="V137">
        <f>IFERROR(SUM($G$3:$G137),"")</f>
        <v>343488.08400000003</v>
      </c>
      <c r="W137">
        <f t="shared" si="27"/>
        <v>1177036.0120000001</v>
      </c>
      <c r="X137">
        <f t="shared" si="28"/>
        <v>54.665136023042905</v>
      </c>
      <c r="Y137">
        <f t="shared" si="29"/>
        <v>70.817538248778732</v>
      </c>
    </row>
    <row r="138" spans="1:25" x14ac:dyDescent="0.35">
      <c r="A138">
        <v>1985</v>
      </c>
      <c r="B138">
        <v>10807.509</v>
      </c>
      <c r="C138">
        <v>15979.126</v>
      </c>
      <c r="D138">
        <v>7965.4459999999999</v>
      </c>
      <c r="E138">
        <v>12728.306</v>
      </c>
      <c r="F138">
        <v>18870.223999999998</v>
      </c>
      <c r="G138">
        <v>10723.665000000001</v>
      </c>
      <c r="N138">
        <f>IFERROR(SUM($B$3:$B138),"")</f>
        <v>545202.44200000004</v>
      </c>
      <c r="O138">
        <f>IFERROR(SUM($C$3:$C138),"")</f>
        <v>692149.18200000015</v>
      </c>
      <c r="P138">
        <f>IFERROR(SUM($D$3:$D138),"")</f>
        <v>197322.38099999996</v>
      </c>
      <c r="Q138">
        <f t="shared" si="24"/>
        <v>889471.56300000008</v>
      </c>
      <c r="R138">
        <f t="shared" si="25"/>
        <v>61.295095276699698</v>
      </c>
      <c r="S138">
        <f t="shared" si="26"/>
        <v>77.815774083381243</v>
      </c>
      <c r="T138">
        <f>IFERROR(SUM($E$3:$E138),"")</f>
        <v>656156.64299999969</v>
      </c>
      <c r="U138">
        <f>IFERROR(SUM($F$3:$F138),"")</f>
        <v>852418.152</v>
      </c>
      <c r="V138">
        <f>IFERROR(SUM($G$3:$G138),"")</f>
        <v>354211.74900000001</v>
      </c>
      <c r="W138">
        <f t="shared" si="27"/>
        <v>1206629.9010000001</v>
      </c>
      <c r="X138">
        <f t="shared" si="28"/>
        <v>54.379279218607699</v>
      </c>
      <c r="Y138">
        <f t="shared" si="29"/>
        <v>70.644540740582883</v>
      </c>
    </row>
    <row r="139" spans="1:25" x14ac:dyDescent="0.35">
      <c r="A139">
        <v>1986</v>
      </c>
      <c r="B139">
        <v>10775.297</v>
      </c>
      <c r="C139">
        <v>15987.415999999999</v>
      </c>
      <c r="D139">
        <v>8309.7970000000005</v>
      </c>
      <c r="E139">
        <v>12660.713</v>
      </c>
      <c r="F139">
        <v>18868.080000000002</v>
      </c>
      <c r="G139">
        <v>11067.876</v>
      </c>
      <c r="N139">
        <f>IFERROR(SUM($B$3:$B139),"")</f>
        <v>555977.73900000006</v>
      </c>
      <c r="O139">
        <f>IFERROR(SUM($C$3:$C139),"")</f>
        <v>708136.59800000011</v>
      </c>
      <c r="P139">
        <f>IFERROR(SUM($D$3:$D139),"")</f>
        <v>205632.17799999996</v>
      </c>
      <c r="Q139">
        <f t="shared" si="24"/>
        <v>913768.77600000007</v>
      </c>
      <c r="R139">
        <f t="shared" si="25"/>
        <v>60.844466740675763</v>
      </c>
      <c r="S139">
        <f t="shared" si="26"/>
        <v>77.496256886764101</v>
      </c>
      <c r="T139">
        <f>IFERROR(SUM($E$3:$E139),"")</f>
        <v>668817.35599999968</v>
      </c>
      <c r="U139">
        <f>IFERROR(SUM($F$3:$F139),"")</f>
        <v>871286.23199999996</v>
      </c>
      <c r="V139">
        <f>IFERROR(SUM($G$3:$G139),"")</f>
        <v>365279.625</v>
      </c>
      <c r="W139">
        <f t="shared" si="27"/>
        <v>1236565.8569999998</v>
      </c>
      <c r="X139">
        <f t="shared" si="28"/>
        <v>54.086674980870008</v>
      </c>
      <c r="Y139">
        <f t="shared" si="29"/>
        <v>70.460156009305052</v>
      </c>
    </row>
    <row r="140" spans="1:25" x14ac:dyDescent="0.35">
      <c r="A140">
        <v>1987</v>
      </c>
      <c r="B140">
        <v>11019.668</v>
      </c>
      <c r="C140">
        <v>16258.655000000001</v>
      </c>
      <c r="D140">
        <v>8644.3970000000008</v>
      </c>
      <c r="E140">
        <v>12891.429</v>
      </c>
      <c r="F140">
        <v>19131.384999999998</v>
      </c>
      <c r="G140">
        <v>11486.931</v>
      </c>
      <c r="N140">
        <f>IFERROR(SUM($B$3:$B140),"")</f>
        <v>566997.40700000001</v>
      </c>
      <c r="O140">
        <f>IFERROR(SUM($C$3:$C140),"")</f>
        <v>724395.25300000014</v>
      </c>
      <c r="P140">
        <f>IFERROR(SUM($D$3:$D140),"")</f>
        <v>214276.57499999995</v>
      </c>
      <c r="Q140">
        <f t="shared" si="24"/>
        <v>938671.8280000001</v>
      </c>
      <c r="R140">
        <f t="shared" si="25"/>
        <v>60.404221165141855</v>
      </c>
      <c r="S140">
        <f t="shared" si="26"/>
        <v>77.172365398826059</v>
      </c>
      <c r="T140">
        <f>IFERROR(SUM($E$3:$E140),"")</f>
        <v>681708.78499999968</v>
      </c>
      <c r="U140">
        <f>IFERROR(SUM($F$3:$F140),"")</f>
        <v>890417.61699999997</v>
      </c>
      <c r="V140">
        <f>IFERROR(SUM($G$3:$G140),"")</f>
        <v>376766.55599999998</v>
      </c>
      <c r="W140">
        <f t="shared" si="27"/>
        <v>1267184.173</v>
      </c>
      <c r="X140">
        <f t="shared" si="28"/>
        <v>53.797135375048576</v>
      </c>
      <c r="Y140">
        <f t="shared" si="29"/>
        <v>70.267419367460803</v>
      </c>
    </row>
    <row r="141" spans="1:25" x14ac:dyDescent="0.35">
      <c r="A141">
        <v>1988</v>
      </c>
      <c r="B141">
        <v>11326.159</v>
      </c>
      <c r="C141">
        <v>16606.833999999999</v>
      </c>
      <c r="D141">
        <v>9197.0879999999997</v>
      </c>
      <c r="E141">
        <v>13222.606</v>
      </c>
      <c r="F141">
        <v>19498.968000000001</v>
      </c>
      <c r="G141">
        <v>11996.911</v>
      </c>
      <c r="N141">
        <f>IFERROR(SUM($B$3:$B141),"")</f>
        <v>578323.56599999999</v>
      </c>
      <c r="O141">
        <f>IFERROR(SUM($C$3:$C141),"")</f>
        <v>741002.08700000017</v>
      </c>
      <c r="P141">
        <f>IFERROR(SUM($D$3:$D141),"")</f>
        <v>223473.66299999994</v>
      </c>
      <c r="Q141">
        <f t="shared" si="24"/>
        <v>964475.75000000012</v>
      </c>
      <c r="R141">
        <f t="shared" si="25"/>
        <v>59.962478683367614</v>
      </c>
      <c r="S141">
        <f t="shared" si="26"/>
        <v>76.829519767604324</v>
      </c>
      <c r="T141">
        <f>IFERROR(SUM($E$3:$E141),"")</f>
        <v>694931.39099999971</v>
      </c>
      <c r="U141">
        <f>IFERROR(SUM($F$3:$F141),"")</f>
        <v>909916.58499999996</v>
      </c>
      <c r="V141">
        <f>IFERROR(SUM($G$3:$G141),"")</f>
        <v>388763.467</v>
      </c>
      <c r="W141">
        <f t="shared" si="27"/>
        <v>1298680.0519999999</v>
      </c>
      <c r="X141">
        <f t="shared" si="28"/>
        <v>53.510592538153482</v>
      </c>
      <c r="Y141">
        <f t="shared" si="29"/>
        <v>70.064723301070615</v>
      </c>
    </row>
    <row r="142" spans="1:25" x14ac:dyDescent="0.35">
      <c r="A142">
        <v>1989</v>
      </c>
      <c r="B142">
        <v>11531.85</v>
      </c>
      <c r="C142">
        <v>16695.624</v>
      </c>
      <c r="D142">
        <v>9459.5920000000006</v>
      </c>
      <c r="E142">
        <v>13437.741</v>
      </c>
      <c r="F142">
        <v>19605.875</v>
      </c>
      <c r="G142">
        <v>12385.933999999999</v>
      </c>
      <c r="N142">
        <f>IFERROR(SUM($B$3:$B142),"")</f>
        <v>589855.41599999997</v>
      </c>
      <c r="O142">
        <f>IFERROR(SUM($C$3:$C142),"")</f>
        <v>757697.71100000013</v>
      </c>
      <c r="P142">
        <f>IFERROR(SUM($D$3:$D142),"")</f>
        <v>232933.25499999995</v>
      </c>
      <c r="Q142">
        <f t="shared" si="24"/>
        <v>990630.96600000001</v>
      </c>
      <c r="R142">
        <f t="shared" si="25"/>
        <v>59.54340579335372</v>
      </c>
      <c r="S142">
        <f t="shared" si="26"/>
        <v>76.486374543636074</v>
      </c>
      <c r="T142">
        <f>IFERROR(SUM($E$3:$E142),"")</f>
        <v>708369.13199999975</v>
      </c>
      <c r="U142">
        <f>IFERROR(SUM($F$3:$F142),"")</f>
        <v>929522.46</v>
      </c>
      <c r="V142">
        <f>IFERROR(SUM($G$3:$G142),"")</f>
        <v>401149.40100000001</v>
      </c>
      <c r="W142">
        <f t="shared" si="27"/>
        <v>1330671.861</v>
      </c>
      <c r="X142">
        <f t="shared" si="28"/>
        <v>53.233945404666507</v>
      </c>
      <c r="Y142">
        <f t="shared" si="29"/>
        <v>69.853619606975357</v>
      </c>
    </row>
    <row r="143" spans="1:25" x14ac:dyDescent="0.35">
      <c r="A143">
        <v>1990</v>
      </c>
      <c r="B143">
        <v>11974.951999999999</v>
      </c>
      <c r="C143">
        <v>17191.795999999998</v>
      </c>
      <c r="D143">
        <v>9463.7080000000005</v>
      </c>
      <c r="E143">
        <v>13368.744000000001</v>
      </c>
      <c r="F143">
        <v>19234.575000000001</v>
      </c>
      <c r="G143">
        <v>12387.395</v>
      </c>
      <c r="N143">
        <f>IFERROR(SUM($B$3:$B143),"")</f>
        <v>601830.36800000002</v>
      </c>
      <c r="O143">
        <f>IFERROR(SUM($C$3:$C143),"")</f>
        <v>774889.5070000001</v>
      </c>
      <c r="P143">
        <f>IFERROR(SUM($D$3:$D143),"")</f>
        <v>242396.96299999996</v>
      </c>
      <c r="Q143">
        <f t="shared" si="24"/>
        <v>1017286.4700000001</v>
      </c>
      <c r="R143">
        <f t="shared" si="25"/>
        <v>59.160362960494304</v>
      </c>
      <c r="S143">
        <f t="shared" si="26"/>
        <v>76.172202211634641</v>
      </c>
      <c r="T143">
        <f>IFERROR(SUM($E$3:$E143),"")</f>
        <v>721737.8759999997</v>
      </c>
      <c r="U143">
        <f>IFERROR(SUM($F$3:$F143),"")</f>
        <v>948757.03499999992</v>
      </c>
      <c r="V143">
        <f>IFERROR(SUM($G$3:$G143),"")</f>
        <v>413536.79600000003</v>
      </c>
      <c r="W143">
        <f t="shared" si="27"/>
        <v>1362293.831</v>
      </c>
      <c r="X143">
        <f t="shared" si="28"/>
        <v>52.979603928045663</v>
      </c>
      <c r="Y143">
        <f t="shared" si="29"/>
        <v>69.644082165707161</v>
      </c>
    </row>
    <row r="144" spans="1:25" x14ac:dyDescent="0.35">
      <c r="A144">
        <v>1991</v>
      </c>
      <c r="B144">
        <v>11958.915000000001</v>
      </c>
      <c r="C144">
        <v>16845.830999999998</v>
      </c>
      <c r="D144">
        <v>10244.694</v>
      </c>
      <c r="E144">
        <v>13340.249</v>
      </c>
      <c r="F144">
        <v>18845.689999999999</v>
      </c>
      <c r="G144">
        <v>12998.885</v>
      </c>
      <c r="N144">
        <f>IFERROR(SUM($B$3:$B144),"")</f>
        <v>613789.28300000005</v>
      </c>
      <c r="O144">
        <f>IFERROR(SUM($C$3:$C144),"")</f>
        <v>791735.33800000011</v>
      </c>
      <c r="P144">
        <f>IFERROR(SUM($D$3:$D144),"")</f>
        <v>252641.65699999995</v>
      </c>
      <c r="Q144">
        <f t="shared" si="24"/>
        <v>1044376.9950000001</v>
      </c>
      <c r="R144">
        <f t="shared" si="25"/>
        <v>58.770854388649184</v>
      </c>
      <c r="S144">
        <f t="shared" si="26"/>
        <v>75.809342966234141</v>
      </c>
      <c r="T144">
        <f>IFERROR(SUM($E$3:$E144),"")</f>
        <v>735078.12499999965</v>
      </c>
      <c r="U144">
        <f>IFERROR(SUM($F$3:$F144),"")</f>
        <v>967602.72499999986</v>
      </c>
      <c r="V144">
        <f>IFERROR(SUM($G$3:$G144),"")</f>
        <v>426535.68100000004</v>
      </c>
      <c r="W144">
        <f t="shared" si="27"/>
        <v>1394138.406</v>
      </c>
      <c r="X144">
        <f t="shared" si="28"/>
        <v>52.726337775103204</v>
      </c>
      <c r="Y144">
        <f t="shared" si="29"/>
        <v>69.405069169294507</v>
      </c>
    </row>
    <row r="145" spans="1:25" x14ac:dyDescent="0.35">
      <c r="A145">
        <v>1992</v>
      </c>
      <c r="B145">
        <v>12019.986000000001</v>
      </c>
      <c r="C145">
        <v>16314.093000000001</v>
      </c>
      <c r="D145">
        <v>10110.022999999999</v>
      </c>
      <c r="E145">
        <v>13391.88</v>
      </c>
      <c r="F145">
        <v>18262.716</v>
      </c>
      <c r="G145">
        <v>12980.674999999999</v>
      </c>
      <c r="N145">
        <f>IFERROR(SUM($B$3:$B145),"")</f>
        <v>625809.26900000009</v>
      </c>
      <c r="O145">
        <f>IFERROR(SUM($C$3:$C145),"")</f>
        <v>808049.4310000001</v>
      </c>
      <c r="P145">
        <f>IFERROR(SUM($D$3:$D145),"")</f>
        <v>262751.67999999993</v>
      </c>
      <c r="Q145">
        <f t="shared" si="24"/>
        <v>1070801.111</v>
      </c>
      <c r="R145">
        <f t="shared" si="25"/>
        <v>58.443091118533594</v>
      </c>
      <c r="S145">
        <f t="shared" si="26"/>
        <v>75.462139766121339</v>
      </c>
      <c r="T145">
        <f>IFERROR(SUM($E$3:$E145),"")</f>
        <v>748470.00499999966</v>
      </c>
      <c r="U145">
        <f>IFERROR(SUM($F$3:$F145),"")</f>
        <v>985865.44099999988</v>
      </c>
      <c r="V145">
        <f>IFERROR(SUM($G$3:$G145),"")</f>
        <v>439516.35600000003</v>
      </c>
      <c r="W145">
        <f t="shared" si="27"/>
        <v>1425381.7969999998</v>
      </c>
      <c r="X145">
        <f t="shared" si="28"/>
        <v>52.510141954619037</v>
      </c>
      <c r="Y145">
        <f t="shared" si="29"/>
        <v>69.165008496316588</v>
      </c>
    </row>
    <row r="146" spans="1:25" x14ac:dyDescent="0.35">
      <c r="A146">
        <v>1993</v>
      </c>
      <c r="B146">
        <v>12052.668</v>
      </c>
      <c r="C146">
        <v>16109.819</v>
      </c>
      <c r="D146">
        <v>10547.611999999999</v>
      </c>
      <c r="E146">
        <v>13437.762000000001</v>
      </c>
      <c r="F146">
        <v>18043.395</v>
      </c>
      <c r="G146">
        <v>13371.601000000001</v>
      </c>
      <c r="N146">
        <f>IFERROR(SUM($B$3:$B146),"")</f>
        <v>637861.93700000003</v>
      </c>
      <c r="O146">
        <f>IFERROR(SUM($C$3:$C146),"")</f>
        <v>824159.25000000012</v>
      </c>
      <c r="P146">
        <f>IFERROR(SUM($D$3:$D146),"")</f>
        <v>273299.29199999996</v>
      </c>
      <c r="Q146">
        <f t="shared" si="24"/>
        <v>1097458.5420000001</v>
      </c>
      <c r="R146">
        <f t="shared" si="25"/>
        <v>58.12173422401591</v>
      </c>
      <c r="S146">
        <f t="shared" si="26"/>
        <v>75.097073689732142</v>
      </c>
      <c r="T146">
        <f>IFERROR(SUM($E$3:$E146),"")</f>
        <v>761907.76699999964</v>
      </c>
      <c r="U146">
        <f>IFERROR(SUM($F$3:$F146),"")</f>
        <v>1003908.8359999999</v>
      </c>
      <c r="V146">
        <f>IFERROR(SUM($G$3:$G146),"")</f>
        <v>452887.95700000005</v>
      </c>
      <c r="W146">
        <f t="shared" si="27"/>
        <v>1456796.7930000001</v>
      </c>
      <c r="X146">
        <f t="shared" si="28"/>
        <v>52.300208969501739</v>
      </c>
      <c r="Y146">
        <f t="shared" si="29"/>
        <v>68.912070703604286</v>
      </c>
    </row>
    <row r="147" spans="1:25" x14ac:dyDescent="0.35">
      <c r="A147">
        <v>1994</v>
      </c>
      <c r="B147">
        <v>12213.09</v>
      </c>
      <c r="C147">
        <v>15887.724</v>
      </c>
      <c r="D147">
        <v>11026.964</v>
      </c>
      <c r="E147">
        <v>13610.468000000001</v>
      </c>
      <c r="F147">
        <v>17798.919000000002</v>
      </c>
      <c r="G147">
        <v>13774.495999999999</v>
      </c>
      <c r="N147">
        <f>IFERROR(SUM($B$3:$B147),"")</f>
        <v>650075.027</v>
      </c>
      <c r="O147">
        <f>IFERROR(SUM($C$3:$C147),"")</f>
        <v>840046.97400000016</v>
      </c>
      <c r="P147">
        <f>IFERROR(SUM($D$3:$D147),"")</f>
        <v>284326.25599999994</v>
      </c>
      <c r="Q147">
        <f t="shared" si="24"/>
        <v>1124373.23</v>
      </c>
      <c r="R147">
        <f t="shared" si="25"/>
        <v>57.816658174972737</v>
      </c>
      <c r="S147">
        <f t="shared" si="26"/>
        <v>74.712466606840167</v>
      </c>
      <c r="T147">
        <f>IFERROR(SUM($E$3:$E147),"")</f>
        <v>775518.23499999964</v>
      </c>
      <c r="U147">
        <f>IFERROR(SUM($F$3:$F147),"")</f>
        <v>1021707.7549999999</v>
      </c>
      <c r="V147">
        <f>IFERROR(SUM($G$3:$G147),"")</f>
        <v>466662.45300000004</v>
      </c>
      <c r="W147">
        <f t="shared" si="27"/>
        <v>1488370.2079999999</v>
      </c>
      <c r="X147">
        <f t="shared" si="28"/>
        <v>52.105197405294987</v>
      </c>
      <c r="Y147">
        <f t="shared" si="29"/>
        <v>68.646076729318679</v>
      </c>
    </row>
    <row r="148" spans="1:25" x14ac:dyDescent="0.35">
      <c r="A148">
        <v>1995</v>
      </c>
      <c r="B148">
        <v>12340.436</v>
      </c>
      <c r="C148">
        <v>15970.284</v>
      </c>
      <c r="D148">
        <v>11547.357</v>
      </c>
      <c r="E148">
        <v>13777.983</v>
      </c>
      <c r="F148">
        <v>17879.937000000002</v>
      </c>
      <c r="G148">
        <v>14421.959000000001</v>
      </c>
      <c r="N148">
        <f>IFERROR(SUM($B$3:$B148),"")</f>
        <v>662415.46299999999</v>
      </c>
      <c r="O148">
        <f>IFERROR(SUM($C$3:$C148),"")</f>
        <v>856017.25800000015</v>
      </c>
      <c r="P148">
        <f>IFERROR(SUM($D$3:$D148),"")</f>
        <v>295873.61299999995</v>
      </c>
      <c r="Q148">
        <f t="shared" si="24"/>
        <v>1151890.871</v>
      </c>
      <c r="R148">
        <f t="shared" si="25"/>
        <v>57.506789894509026</v>
      </c>
      <c r="S148">
        <f t="shared" si="26"/>
        <v>74.314093422483609</v>
      </c>
      <c r="T148">
        <f>IFERROR(SUM($E$3:$E148),"")</f>
        <v>789296.21799999964</v>
      </c>
      <c r="U148">
        <f>IFERROR(SUM($F$3:$F148),"")</f>
        <v>1039587.6919999999</v>
      </c>
      <c r="V148">
        <f>IFERROR(SUM($G$3:$G148),"")</f>
        <v>481084.41200000001</v>
      </c>
      <c r="W148">
        <f t="shared" si="27"/>
        <v>1520672.1039999998</v>
      </c>
      <c r="X148">
        <f t="shared" si="28"/>
        <v>51.90443198923834</v>
      </c>
      <c r="Y148">
        <f t="shared" si="29"/>
        <v>68.363698476841392</v>
      </c>
    </row>
    <row r="149" spans="1:25" x14ac:dyDescent="0.35">
      <c r="A149">
        <v>1996</v>
      </c>
      <c r="B149">
        <v>12633.130999999999</v>
      </c>
      <c r="C149">
        <v>16230.737999999999</v>
      </c>
      <c r="D149">
        <v>12061.251</v>
      </c>
      <c r="E149">
        <v>14105.386</v>
      </c>
      <c r="F149">
        <v>18155.737000000001</v>
      </c>
      <c r="G149">
        <v>15040.64</v>
      </c>
      <c r="N149">
        <f>IFERROR(SUM($B$3:$B149),"")</f>
        <v>675048.59400000004</v>
      </c>
      <c r="O149">
        <f>IFERROR(SUM($C$3:$C149),"")</f>
        <v>872247.99600000016</v>
      </c>
      <c r="P149">
        <f>IFERROR(SUM($D$3:$D149),"")</f>
        <v>307934.86399999994</v>
      </c>
      <c r="Q149">
        <f t="shared" si="24"/>
        <v>1180182.8600000001</v>
      </c>
      <c r="R149">
        <f t="shared" si="25"/>
        <v>57.198644115200928</v>
      </c>
      <c r="S149">
        <f t="shared" si="26"/>
        <v>73.90786848065224</v>
      </c>
      <c r="T149">
        <f>IFERROR(SUM($E$3:$E149),"")</f>
        <v>803401.6039999997</v>
      </c>
      <c r="U149">
        <f>IFERROR(SUM($F$3:$F149),"")</f>
        <v>1057743.429</v>
      </c>
      <c r="V149">
        <f>IFERROR(SUM($G$3:$G149),"")</f>
        <v>496125.05200000003</v>
      </c>
      <c r="W149">
        <f t="shared" si="27"/>
        <v>1553868.4810000001</v>
      </c>
      <c r="X149">
        <f t="shared" si="28"/>
        <v>51.703320700794862</v>
      </c>
      <c r="Y149">
        <f t="shared" si="29"/>
        <v>68.071618797446988</v>
      </c>
    </row>
    <row r="150" spans="1:25" x14ac:dyDescent="0.35">
      <c r="A150">
        <v>1997</v>
      </c>
      <c r="B150">
        <v>12636.197</v>
      </c>
      <c r="C150">
        <v>16096.977000000001</v>
      </c>
      <c r="D150">
        <v>12309.654</v>
      </c>
      <c r="E150">
        <v>14108.635</v>
      </c>
      <c r="F150">
        <v>18006.532999999999</v>
      </c>
      <c r="G150">
        <v>15381.162</v>
      </c>
      <c r="N150">
        <f>IFERROR(SUM($B$3:$B150),"")</f>
        <v>687684.79100000008</v>
      </c>
      <c r="O150">
        <f>IFERROR(SUM($C$3:$C150),"")</f>
        <v>888344.97300000011</v>
      </c>
      <c r="P150">
        <f>IFERROR(SUM($D$3:$D150),"")</f>
        <v>320244.51799999992</v>
      </c>
      <c r="Q150">
        <f t="shared" si="24"/>
        <v>1208589.4909999999</v>
      </c>
      <c r="R150">
        <f t="shared" si="25"/>
        <v>56.899782442341305</v>
      </c>
      <c r="S150">
        <f t="shared" si="26"/>
        <v>73.502622653534246</v>
      </c>
      <c r="T150">
        <f>IFERROR(SUM($E$3:$E150),"")</f>
        <v>817510.23899999971</v>
      </c>
      <c r="U150">
        <f>IFERROR(SUM($F$3:$F150),"")</f>
        <v>1075749.9620000001</v>
      </c>
      <c r="V150">
        <f>IFERROR(SUM($G$3:$G150),"")</f>
        <v>511506.21400000004</v>
      </c>
      <c r="W150">
        <f t="shared" si="27"/>
        <v>1587256.176</v>
      </c>
      <c r="X150">
        <f t="shared" si="28"/>
        <v>51.504618558812886</v>
      </c>
      <c r="Y150">
        <f t="shared" si="29"/>
        <v>67.774186565836374</v>
      </c>
    </row>
    <row r="151" spans="1:25" x14ac:dyDescent="0.35">
      <c r="A151">
        <v>1998</v>
      </c>
      <c r="B151">
        <v>12673.241</v>
      </c>
      <c r="C151">
        <v>16041.1</v>
      </c>
      <c r="D151">
        <v>12150.263000000001</v>
      </c>
      <c r="E151">
        <v>14173.652</v>
      </c>
      <c r="F151">
        <v>17960.851999999999</v>
      </c>
      <c r="G151">
        <v>15437.89</v>
      </c>
      <c r="N151">
        <f>IFERROR(SUM($B$3:$B151),"")</f>
        <v>700358.03200000012</v>
      </c>
      <c r="O151">
        <f>IFERROR(SUM($C$3:$C151),"")</f>
        <v>904386.07300000009</v>
      </c>
      <c r="P151">
        <f>IFERROR(SUM($D$3:$D151),"")</f>
        <v>332394.7809999999</v>
      </c>
      <c r="Q151">
        <f t="shared" si="24"/>
        <v>1236780.8540000001</v>
      </c>
      <c r="R151">
        <f t="shared" si="25"/>
        <v>56.627496272674364</v>
      </c>
      <c r="S151">
        <f t="shared" si="26"/>
        <v>73.124197393178605</v>
      </c>
      <c r="T151">
        <f>IFERROR(SUM($E$3:$E151),"")</f>
        <v>831683.89099999971</v>
      </c>
      <c r="U151">
        <f>IFERROR(SUM($F$3:$F151),"")</f>
        <v>1093710.814</v>
      </c>
      <c r="V151">
        <f>IFERROR(SUM($G$3:$G151),"")</f>
        <v>526944.10400000005</v>
      </c>
      <c r="W151">
        <f t="shared" si="27"/>
        <v>1620654.9180000001</v>
      </c>
      <c r="X151">
        <f t="shared" si="28"/>
        <v>51.317765538042792</v>
      </c>
      <c r="Y151">
        <f t="shared" si="29"/>
        <v>67.48573072852021</v>
      </c>
    </row>
    <row r="152" spans="1:25" x14ac:dyDescent="0.35">
      <c r="A152">
        <v>1999</v>
      </c>
      <c r="B152">
        <v>12754.268</v>
      </c>
      <c r="C152">
        <v>16079.748</v>
      </c>
      <c r="D152">
        <v>12603.699000000001</v>
      </c>
      <c r="E152">
        <v>14204.499</v>
      </c>
      <c r="F152">
        <v>17934.117999999999</v>
      </c>
      <c r="G152">
        <v>16048.561</v>
      </c>
      <c r="N152">
        <f>IFERROR(SUM($B$3:$B152),"")</f>
        <v>713112.30000000016</v>
      </c>
      <c r="O152">
        <f>IFERROR(SUM($C$3:$C152),"")</f>
        <v>920465.82100000011</v>
      </c>
      <c r="P152">
        <f>IFERROR(SUM($D$3:$D152),"")</f>
        <v>344998.47999999992</v>
      </c>
      <c r="Q152">
        <f t="shared" si="24"/>
        <v>1265464.301</v>
      </c>
      <c r="R152">
        <f t="shared" si="25"/>
        <v>56.351830662981314</v>
      </c>
      <c r="S152">
        <f t="shared" si="26"/>
        <v>72.73739925121761</v>
      </c>
      <c r="T152">
        <f>IFERROR(SUM($E$3:$E152),"")</f>
        <v>845888.38999999966</v>
      </c>
      <c r="U152">
        <f>IFERROR(SUM($F$3:$F152),"")</f>
        <v>1111644.932</v>
      </c>
      <c r="V152">
        <f>IFERROR(SUM($G$3:$G152),"")</f>
        <v>542992.66500000004</v>
      </c>
      <c r="W152">
        <f t="shared" si="27"/>
        <v>1654637.5970000001</v>
      </c>
      <c r="X152">
        <f t="shared" si="28"/>
        <v>51.122275447727517</v>
      </c>
      <c r="Y152">
        <f t="shared" si="29"/>
        <v>67.183589567619379</v>
      </c>
    </row>
    <row r="153" spans="1:25" x14ac:dyDescent="0.35">
      <c r="A153">
        <v>2000</v>
      </c>
      <c r="B153">
        <v>13032.554</v>
      </c>
      <c r="C153">
        <v>16354.44</v>
      </c>
      <c r="D153">
        <v>13086.375</v>
      </c>
      <c r="E153">
        <v>14474.385</v>
      </c>
      <c r="F153">
        <v>18171.378000000001</v>
      </c>
      <c r="G153">
        <v>16583.919999999998</v>
      </c>
      <c r="N153">
        <f>IFERROR(SUM($B$3:$B153),"")</f>
        <v>726144.85400000017</v>
      </c>
      <c r="O153">
        <f>IFERROR(SUM($C$3:$C153),"")</f>
        <v>936820.26100000006</v>
      </c>
      <c r="P153">
        <f>IFERROR(SUM($D$3:$D153),"")</f>
        <v>358084.85499999992</v>
      </c>
      <c r="Q153">
        <f t="shared" si="24"/>
        <v>1294905.1159999999</v>
      </c>
      <c r="R153">
        <f t="shared" si="25"/>
        <v>56.077070437645894</v>
      </c>
      <c r="S153">
        <f t="shared" si="26"/>
        <v>72.346633697290912</v>
      </c>
      <c r="T153">
        <f>IFERROR(SUM($E$3:$E153),"")</f>
        <v>860362.77499999967</v>
      </c>
      <c r="U153">
        <f>IFERROR(SUM($F$3:$F153),"")</f>
        <v>1129816.31</v>
      </c>
      <c r="V153">
        <f>IFERROR(SUM($G$3:$G153),"")</f>
        <v>559576.58500000008</v>
      </c>
      <c r="W153">
        <f t="shared" si="27"/>
        <v>1689392.895</v>
      </c>
      <c r="X153">
        <f t="shared" si="28"/>
        <v>50.927334757140649</v>
      </c>
      <c r="Y153">
        <f t="shared" si="29"/>
        <v>66.877060590455486</v>
      </c>
    </row>
    <row r="154" spans="1:25" x14ac:dyDescent="0.35">
      <c r="A154">
        <v>2001</v>
      </c>
      <c r="B154">
        <v>12920.486999999999</v>
      </c>
      <c r="C154">
        <v>16301.445</v>
      </c>
      <c r="D154">
        <v>13295.259</v>
      </c>
      <c r="E154">
        <v>14360.838</v>
      </c>
      <c r="F154">
        <v>18098.643</v>
      </c>
      <c r="G154">
        <v>16920.435000000001</v>
      </c>
      <c r="N154">
        <f>IFERROR(SUM($B$3:$B154),"")</f>
        <v>739065.34100000013</v>
      </c>
      <c r="O154">
        <f>IFERROR(SUM($C$3:$C154),"")</f>
        <v>953121.70600000001</v>
      </c>
      <c r="P154">
        <f>IFERROR(SUM($D$3:$D154),"")</f>
        <v>371380.11399999994</v>
      </c>
      <c r="Q154">
        <f t="shared" si="24"/>
        <v>1324501.8199999998</v>
      </c>
      <c r="R154">
        <f t="shared" si="25"/>
        <v>55.799496070152642</v>
      </c>
      <c r="S154">
        <f t="shared" si="26"/>
        <v>71.960769823630756</v>
      </c>
      <c r="T154">
        <f>IFERROR(SUM($E$3:$E154),"")</f>
        <v>874723.61299999966</v>
      </c>
      <c r="U154">
        <f>IFERROR(SUM($F$3:$F154),"")</f>
        <v>1147914.953</v>
      </c>
      <c r="V154">
        <f>IFERROR(SUM($G$3:$G154),"")</f>
        <v>576497.02000000014</v>
      </c>
      <c r="W154">
        <f t="shared" si="27"/>
        <v>1724411.9730000002</v>
      </c>
      <c r="X154">
        <f t="shared" si="28"/>
        <v>50.725906958197598</v>
      </c>
      <c r="Y154">
        <f t="shared" si="29"/>
        <v>66.56848658983418</v>
      </c>
    </row>
    <row r="155" spans="1:25" x14ac:dyDescent="0.35">
      <c r="A155">
        <v>2002</v>
      </c>
      <c r="B155">
        <v>12969.549000000001</v>
      </c>
      <c r="C155">
        <v>16327.813</v>
      </c>
      <c r="D155">
        <v>13739.213</v>
      </c>
      <c r="E155">
        <v>14415.983</v>
      </c>
      <c r="F155">
        <v>18104.141</v>
      </c>
      <c r="G155">
        <v>17595.803</v>
      </c>
      <c r="N155">
        <f>IFERROR(SUM($B$3:$B155),"")</f>
        <v>752034.89000000013</v>
      </c>
      <c r="O155">
        <f>IFERROR(SUM($C$3:$C155),"")</f>
        <v>969449.51899999997</v>
      </c>
      <c r="P155">
        <f>IFERROR(SUM($D$3:$D155),"")</f>
        <v>385119.32699999993</v>
      </c>
      <c r="Q155">
        <f t="shared" si="24"/>
        <v>1354568.8459999999</v>
      </c>
      <c r="R155">
        <f t="shared" si="25"/>
        <v>55.518395555953916</v>
      </c>
      <c r="S155">
        <f t="shared" si="26"/>
        <v>71.568862805515906</v>
      </c>
      <c r="T155">
        <f>IFERROR(SUM($E$3:$E155),"")</f>
        <v>889139.59599999967</v>
      </c>
      <c r="U155">
        <f>IFERROR(SUM($F$3:$F155),"")</f>
        <v>1166019.094</v>
      </c>
      <c r="V155">
        <f>IFERROR(SUM($G$3:$G155),"")</f>
        <v>594092.82300000009</v>
      </c>
      <c r="W155">
        <f t="shared" si="27"/>
        <v>1760111.9170000001</v>
      </c>
      <c r="X155">
        <f t="shared" si="28"/>
        <v>50.516082949741183</v>
      </c>
      <c r="Y155">
        <f t="shared" si="29"/>
        <v>66.24687230045042</v>
      </c>
    </row>
    <row r="156" spans="1:25" x14ac:dyDescent="0.35">
      <c r="A156">
        <v>2003</v>
      </c>
      <c r="B156">
        <v>13121.954</v>
      </c>
      <c r="C156">
        <v>16583.224999999999</v>
      </c>
      <c r="D156">
        <v>15046.210999999999</v>
      </c>
      <c r="E156">
        <v>14549.835999999999</v>
      </c>
      <c r="F156">
        <v>18333.011999999999</v>
      </c>
      <c r="G156">
        <v>18987.055</v>
      </c>
      <c r="N156">
        <f>IFERROR(SUM($B$3:$B156),"")</f>
        <v>765156.84400000016</v>
      </c>
      <c r="O156">
        <f>IFERROR(SUM($C$3:$C156),"")</f>
        <v>986032.74399999995</v>
      </c>
      <c r="P156">
        <f>IFERROR(SUM($D$3:$D156),"")</f>
        <v>400165.53799999994</v>
      </c>
      <c r="Q156">
        <f t="shared" si="24"/>
        <v>1386198.2819999999</v>
      </c>
      <c r="R156">
        <f t="shared" si="25"/>
        <v>55.198224809226836</v>
      </c>
      <c r="S156">
        <f t="shared" si="26"/>
        <v>71.132157412383805</v>
      </c>
      <c r="T156">
        <f>IFERROR(SUM($E$3:$E156),"")</f>
        <v>903689.43199999968</v>
      </c>
      <c r="U156">
        <f>IFERROR(SUM($F$3:$F156),"")</f>
        <v>1184352.1060000001</v>
      </c>
      <c r="V156">
        <f>IFERROR(SUM($G$3:$G156),"")</f>
        <v>613079.87800000014</v>
      </c>
      <c r="W156">
        <f t="shared" si="27"/>
        <v>1797431.9840000002</v>
      </c>
      <c r="X156">
        <f t="shared" si="28"/>
        <v>50.276696979038491</v>
      </c>
      <c r="Y156">
        <f t="shared" si="29"/>
        <v>65.891344793161309</v>
      </c>
    </row>
    <row r="157" spans="1:25" x14ac:dyDescent="0.35">
      <c r="A157">
        <v>2004</v>
      </c>
      <c r="B157">
        <v>13221.197</v>
      </c>
      <c r="C157">
        <v>16715.097000000002</v>
      </c>
      <c r="D157">
        <v>15896.494000000001</v>
      </c>
      <c r="E157">
        <v>14652.648999999999</v>
      </c>
      <c r="F157">
        <v>18462.667000000001</v>
      </c>
      <c r="G157">
        <v>20117.173999999999</v>
      </c>
      <c r="N157">
        <f>IFERROR(SUM($B$3:$B157),"")</f>
        <v>778378.0410000002</v>
      </c>
      <c r="O157">
        <f>IFERROR(SUM($C$3:$C157),"")</f>
        <v>1002747.8409999999</v>
      </c>
      <c r="P157">
        <f>IFERROR(SUM($D$3:$D157),"")</f>
        <v>416062.03199999995</v>
      </c>
      <c r="Q157">
        <f t="shared" si="24"/>
        <v>1418809.8729999999</v>
      </c>
      <c r="R157">
        <f t="shared" si="25"/>
        <v>54.86133525094241</v>
      </c>
      <c r="S157">
        <f t="shared" si="26"/>
        <v>70.675279336740289</v>
      </c>
      <c r="T157">
        <f>IFERROR(SUM($E$3:$E157),"")</f>
        <v>918342.08099999966</v>
      </c>
      <c r="U157">
        <f>IFERROR(SUM($F$3:$F157),"")</f>
        <v>1202814.773</v>
      </c>
      <c r="V157">
        <f>IFERROR(SUM($G$3:$G157),"")</f>
        <v>633197.05200000014</v>
      </c>
      <c r="W157">
        <f t="shared" si="27"/>
        <v>1836011.8250000002</v>
      </c>
      <c r="X157">
        <f t="shared" si="28"/>
        <v>50.01830971322854</v>
      </c>
      <c r="Y157">
        <f t="shared" si="29"/>
        <v>65.512365259412192</v>
      </c>
    </row>
    <row r="158" spans="1:25" x14ac:dyDescent="0.35">
      <c r="A158">
        <v>2005</v>
      </c>
      <c r="B158">
        <v>13222.099</v>
      </c>
      <c r="C158">
        <v>16770.259999999998</v>
      </c>
      <c r="D158">
        <v>16897.812000000002</v>
      </c>
      <c r="E158">
        <v>14638.534</v>
      </c>
      <c r="F158">
        <v>18485.886999999999</v>
      </c>
      <c r="G158">
        <v>21348.936000000002</v>
      </c>
      <c r="N158">
        <f>IFERROR(SUM($B$3:$B158),"")</f>
        <v>791600.14000000025</v>
      </c>
      <c r="O158">
        <f>IFERROR(SUM($C$3:$C158),"")</f>
        <v>1019518.1009999999</v>
      </c>
      <c r="P158">
        <f>IFERROR(SUM($D$3:$D158),"")</f>
        <v>432959.84399999992</v>
      </c>
      <c r="Q158">
        <f t="shared" si="24"/>
        <v>1452477.9449999998</v>
      </c>
      <c r="R158">
        <f t="shared" si="25"/>
        <v>54.499976590006007</v>
      </c>
      <c r="S158">
        <f t="shared" si="26"/>
        <v>70.191640741229989</v>
      </c>
      <c r="T158">
        <f>IFERROR(SUM($E$3:$E158),"")</f>
        <v>932980.61499999964</v>
      </c>
      <c r="U158">
        <f>IFERROR(SUM($F$3:$F158),"")</f>
        <v>1221300.6600000001</v>
      </c>
      <c r="V158">
        <f>IFERROR(SUM($G$3:$G158),"")</f>
        <v>654545.98800000013</v>
      </c>
      <c r="W158">
        <f t="shared" si="27"/>
        <v>1875846.6480000003</v>
      </c>
      <c r="X158">
        <f t="shared" si="28"/>
        <v>49.736507832062372</v>
      </c>
      <c r="Y158">
        <f t="shared" si="29"/>
        <v>65.106636584719368</v>
      </c>
    </row>
    <row r="159" spans="1:25" x14ac:dyDescent="0.35">
      <c r="A159">
        <v>2006</v>
      </c>
      <c r="B159">
        <v>13118.285</v>
      </c>
      <c r="C159">
        <v>16797.792000000001</v>
      </c>
      <c r="D159">
        <v>17918.057000000001</v>
      </c>
      <c r="E159">
        <v>14529.594999999999</v>
      </c>
      <c r="F159">
        <v>18493.011999999999</v>
      </c>
      <c r="G159">
        <v>22361.418000000001</v>
      </c>
      <c r="N159">
        <f>IFERROR(SUM($B$3:$B159),"")</f>
        <v>804718.42500000028</v>
      </c>
      <c r="O159">
        <f>IFERROR(SUM($C$3:$C159),"")</f>
        <v>1036315.8929999999</v>
      </c>
      <c r="P159">
        <f>IFERROR(SUM($D$3:$D159),"")</f>
        <v>450877.90099999995</v>
      </c>
      <c r="Q159">
        <f t="shared" si="24"/>
        <v>1487193.7939999998</v>
      </c>
      <c r="R159">
        <f t="shared" si="25"/>
        <v>54.10985631103302</v>
      </c>
      <c r="S159">
        <f t="shared" si="26"/>
        <v>69.682639692349341</v>
      </c>
      <c r="T159">
        <f>IFERROR(SUM($E$3:$E159),"")</f>
        <v>947510.20999999961</v>
      </c>
      <c r="U159">
        <f>IFERROR(SUM($F$3:$F159),"")</f>
        <v>1239793.6720000003</v>
      </c>
      <c r="V159">
        <f>IFERROR(SUM($G$3:$G159),"")</f>
        <v>676907.40600000008</v>
      </c>
      <c r="W159">
        <f t="shared" si="27"/>
        <v>1916701.0780000002</v>
      </c>
      <c r="X159">
        <f t="shared" si="28"/>
        <v>49.434427771527531</v>
      </c>
      <c r="Y159">
        <f t="shared" si="29"/>
        <v>64.683725920041454</v>
      </c>
    </row>
    <row r="160" spans="1:25" x14ac:dyDescent="0.35">
      <c r="A160">
        <v>2007</v>
      </c>
      <c r="B160">
        <v>13191.788</v>
      </c>
      <c r="C160">
        <v>16932.345000000001</v>
      </c>
      <c r="D160">
        <v>18668.969000000001</v>
      </c>
      <c r="E160">
        <v>14614.02</v>
      </c>
      <c r="F160">
        <v>18620.751</v>
      </c>
      <c r="G160">
        <v>23128.172999999999</v>
      </c>
      <c r="N160">
        <f>IFERROR(SUM($B$3:$B160),"")</f>
        <v>817910.21300000022</v>
      </c>
      <c r="O160">
        <f>IFERROR(SUM($C$3:$C160),"")</f>
        <v>1053248.2379999999</v>
      </c>
      <c r="P160">
        <f>IFERROR(SUM($D$3:$D160),"")</f>
        <v>469546.86999999994</v>
      </c>
      <c r="Q160">
        <f t="shared" si="24"/>
        <v>1522795.1079999998</v>
      </c>
      <c r="R160">
        <f t="shared" si="25"/>
        <v>53.711113773817054</v>
      </c>
      <c r="S160">
        <f t="shared" si="26"/>
        <v>69.165459782919143</v>
      </c>
      <c r="T160">
        <f>IFERROR(SUM($E$3:$E160),"")</f>
        <v>962124.22999999963</v>
      </c>
      <c r="U160">
        <f>IFERROR(SUM($F$3:$F160),"")</f>
        <v>1258414.4230000002</v>
      </c>
      <c r="V160">
        <f>IFERROR(SUM($G$3:$G160),"")</f>
        <v>700035.57900000003</v>
      </c>
      <c r="W160">
        <f t="shared" si="27"/>
        <v>1958450.0020000003</v>
      </c>
      <c r="X160">
        <f t="shared" si="28"/>
        <v>49.126821160482173</v>
      </c>
      <c r="Y160">
        <f t="shared" si="29"/>
        <v>64.255631837161403</v>
      </c>
    </row>
    <row r="161" spans="1:25" x14ac:dyDescent="0.35">
      <c r="A161">
        <v>2008</v>
      </c>
      <c r="B161">
        <v>12822.44</v>
      </c>
      <c r="C161">
        <v>16559.697</v>
      </c>
      <c r="D161">
        <v>19612.766</v>
      </c>
      <c r="E161">
        <v>14235.392</v>
      </c>
      <c r="F161">
        <v>18233.544000000002</v>
      </c>
      <c r="G161">
        <v>24017.879000000001</v>
      </c>
      <c r="N161">
        <f>IFERROR(SUM($B$3:$B161),"")</f>
        <v>830732.65300000017</v>
      </c>
      <c r="O161">
        <f>IFERROR(SUM($C$3:$C161),"")</f>
        <v>1069807.9349999998</v>
      </c>
      <c r="P161">
        <f>IFERROR(SUM($D$3:$D161),"")</f>
        <v>489159.63599999994</v>
      </c>
      <c r="Q161">
        <f t="shared" si="24"/>
        <v>1558967.5709999998</v>
      </c>
      <c r="R161">
        <f t="shared" si="25"/>
        <v>53.28735943282814</v>
      </c>
      <c r="S161">
        <f t="shared" si="26"/>
        <v>68.622847254851592</v>
      </c>
      <c r="T161">
        <f>IFERROR(SUM($E$3:$E161),"")</f>
        <v>976359.62199999962</v>
      </c>
      <c r="U161">
        <f>IFERROR(SUM($F$3:$F161),"")</f>
        <v>1276647.9670000002</v>
      </c>
      <c r="V161">
        <f>IFERROR(SUM($G$3:$G161),"")</f>
        <v>724053.45799999998</v>
      </c>
      <c r="W161">
        <f t="shared" si="27"/>
        <v>2000701.4250000003</v>
      </c>
      <c r="X161">
        <f t="shared" si="28"/>
        <v>48.800866026273738</v>
      </c>
      <c r="Y161">
        <f t="shared" si="29"/>
        <v>63.810019378578687</v>
      </c>
    </row>
    <row r="162" spans="1:25" x14ac:dyDescent="0.35">
      <c r="A162">
        <v>2009</v>
      </c>
      <c r="B162">
        <v>11945.429</v>
      </c>
      <c r="C162">
        <v>15450.621999999999</v>
      </c>
      <c r="D162">
        <v>20147.199000000001</v>
      </c>
      <c r="E162">
        <v>13360.968999999999</v>
      </c>
      <c r="F162">
        <v>17085.629000000001</v>
      </c>
      <c r="G162">
        <v>24621.038</v>
      </c>
      <c r="N162">
        <f>IFERROR(SUM($B$3:$B162),"")</f>
        <v>842678.08200000017</v>
      </c>
      <c r="O162">
        <f>IFERROR(SUM($C$3:$C162),"")</f>
        <v>1085258.5569999998</v>
      </c>
      <c r="P162">
        <f>IFERROR(SUM($D$3:$D162),"")</f>
        <v>509306.83499999996</v>
      </c>
      <c r="Q162">
        <f t="shared" si="24"/>
        <v>1594565.3919999998</v>
      </c>
      <c r="R162">
        <f t="shared" si="25"/>
        <v>52.846881427864346</v>
      </c>
      <c r="S162">
        <f t="shared" si="26"/>
        <v>68.059833886072454</v>
      </c>
      <c r="T162">
        <f>IFERROR(SUM($E$3:$E162),"")</f>
        <v>989720.59099999967</v>
      </c>
      <c r="U162">
        <f>IFERROR(SUM($F$3:$F162),"")</f>
        <v>1293733.5960000001</v>
      </c>
      <c r="V162">
        <f>IFERROR(SUM($G$3:$G162),"")</f>
        <v>748674.49600000004</v>
      </c>
      <c r="W162">
        <f t="shared" si="27"/>
        <v>2042408.0920000002</v>
      </c>
      <c r="X162">
        <f t="shared" si="28"/>
        <v>48.45851301102266</v>
      </c>
      <c r="Y162">
        <f t="shared" si="29"/>
        <v>63.343540454402003</v>
      </c>
    </row>
    <row r="163" spans="1:25" x14ac:dyDescent="0.35">
      <c r="A163">
        <v>2010</v>
      </c>
      <c r="B163">
        <v>12267.41</v>
      </c>
      <c r="C163">
        <v>15929.107</v>
      </c>
      <c r="D163">
        <v>21555.933000000001</v>
      </c>
      <c r="E163">
        <v>13695.19</v>
      </c>
      <c r="F163">
        <v>17560.032999999999</v>
      </c>
      <c r="G163">
        <v>25880.047999999999</v>
      </c>
      <c r="N163">
        <f>IFERROR(SUM($B$3:$B163),"")</f>
        <v>854945.4920000002</v>
      </c>
      <c r="O163">
        <f>IFERROR(SUM($C$3:$C163),"")</f>
        <v>1101187.6639999999</v>
      </c>
      <c r="P163">
        <f>IFERROR(SUM($D$3:$D163),"")</f>
        <v>530862.76799999992</v>
      </c>
      <c r="Q163">
        <f t="shared" ref="Q163:Q177" si="30">IFERROR(O163+P163,"")</f>
        <v>1632050.4319999998</v>
      </c>
      <c r="R163">
        <f t="shared" ref="R163:R177" si="31">IFERROR(N163/Q163*100,NA())</f>
        <v>52.384747139970756</v>
      </c>
      <c r="S163">
        <f t="shared" ref="S163:S177" si="32">IFERROR(O163/Q163*100,NA())</f>
        <v>67.47264927656353</v>
      </c>
      <c r="T163">
        <f>IFERROR(SUM($E$3:$E163),"")</f>
        <v>1003415.7809999996</v>
      </c>
      <c r="U163">
        <f>IFERROR(SUM($F$3:$F163),"")</f>
        <v>1311293.6290000002</v>
      </c>
      <c r="V163">
        <f>IFERROR(SUM($G$3:$G163),"")</f>
        <v>774554.54399999999</v>
      </c>
      <c r="W163">
        <f t="shared" ref="W163:W177" si="33">IFERROR(U163+V163,"")</f>
        <v>2085848.1730000002</v>
      </c>
      <c r="X163">
        <f t="shared" ref="X163:X177" si="34">IFERROR(T163/W163*100,NA())</f>
        <v>48.10588776252218</v>
      </c>
      <c r="Y163">
        <f t="shared" ref="Y163:Y177" si="35">IFERROR(U163/W163*100,NA())</f>
        <v>62.866206945159099</v>
      </c>
    </row>
    <row r="164" spans="1:25" x14ac:dyDescent="0.35">
      <c r="A164">
        <v>2011</v>
      </c>
      <c r="B164">
        <v>12041.380999999999</v>
      </c>
      <c r="C164">
        <v>15818.934999999999</v>
      </c>
      <c r="D164">
        <v>22990.006000000001</v>
      </c>
      <c r="E164">
        <v>13434.759</v>
      </c>
      <c r="F164">
        <v>17404.231</v>
      </c>
      <c r="G164">
        <v>27402.531999999999</v>
      </c>
      <c r="N164">
        <f>IFERROR(SUM($B$3:$B164),"")</f>
        <v>866986.87300000025</v>
      </c>
      <c r="O164">
        <f>IFERROR(SUM($C$3:$C164),"")</f>
        <v>1117006.5989999999</v>
      </c>
      <c r="P164">
        <f>IFERROR(SUM($D$3:$D164),"")</f>
        <v>553852.77399999998</v>
      </c>
      <c r="Q164">
        <f t="shared" si="30"/>
        <v>1670859.3729999999</v>
      </c>
      <c r="R164">
        <f t="shared" si="31"/>
        <v>51.888679981687503</v>
      </c>
      <c r="S164">
        <f t="shared" si="32"/>
        <v>66.852220902016029</v>
      </c>
      <c r="T164">
        <f>IFERROR(SUM($E$3:$E164),"")</f>
        <v>1016850.5399999996</v>
      </c>
      <c r="U164">
        <f>IFERROR(SUM($F$3:$F164),"")</f>
        <v>1328697.8600000001</v>
      </c>
      <c r="V164">
        <f>IFERROR(SUM($G$3:$G164),"")</f>
        <v>801957.076</v>
      </c>
      <c r="W164">
        <f t="shared" si="33"/>
        <v>2130654.9360000002</v>
      </c>
      <c r="X164">
        <f t="shared" si="34"/>
        <v>47.72478747351699</v>
      </c>
      <c r="Y164">
        <f t="shared" si="35"/>
        <v>62.361006353024962</v>
      </c>
    </row>
    <row r="165" spans="1:25" x14ac:dyDescent="0.35">
      <c r="A165">
        <v>2012</v>
      </c>
      <c r="B165">
        <v>11833.886</v>
      </c>
      <c r="C165">
        <v>15621.683999999999</v>
      </c>
      <c r="D165">
        <v>23735.893</v>
      </c>
      <c r="E165">
        <v>13206.076999999999</v>
      </c>
      <c r="F165">
        <v>17175.864000000001</v>
      </c>
      <c r="G165">
        <v>28204.866000000002</v>
      </c>
      <c r="N165">
        <f>IFERROR(SUM($B$3:$B165),"")</f>
        <v>878820.75900000031</v>
      </c>
      <c r="O165">
        <f>IFERROR(SUM($C$3:$C165),"")</f>
        <v>1132628.2829999998</v>
      </c>
      <c r="P165">
        <f>IFERROR(SUM($D$3:$D165),"")</f>
        <v>577588.66700000002</v>
      </c>
      <c r="Q165">
        <f t="shared" si="30"/>
        <v>1710216.9499999997</v>
      </c>
      <c r="R165">
        <f t="shared" si="31"/>
        <v>51.386507366799307</v>
      </c>
      <c r="S165">
        <f t="shared" si="32"/>
        <v>66.227169775156298</v>
      </c>
      <c r="T165">
        <f>IFERROR(SUM($E$3:$E165),"")</f>
        <v>1030056.6169999996</v>
      </c>
      <c r="U165">
        <f>IFERROR(SUM($F$3:$F165),"")</f>
        <v>1345873.7240000002</v>
      </c>
      <c r="V165">
        <f>IFERROR(SUM($G$3:$G165),"")</f>
        <v>830161.94200000004</v>
      </c>
      <c r="W165">
        <f t="shared" si="33"/>
        <v>2176035.6660000002</v>
      </c>
      <c r="X165">
        <f t="shared" si="34"/>
        <v>47.336384834787879</v>
      </c>
      <c r="Y165">
        <f t="shared" si="35"/>
        <v>61.849800765168162</v>
      </c>
    </row>
    <row r="166" spans="1:25" x14ac:dyDescent="0.35">
      <c r="A166">
        <v>2013</v>
      </c>
      <c r="B166">
        <v>11921.143</v>
      </c>
      <c r="C166">
        <v>15603.499</v>
      </c>
      <c r="D166">
        <v>24051.050999999999</v>
      </c>
      <c r="E166">
        <v>13331.63</v>
      </c>
      <c r="F166">
        <v>17188.449000000001</v>
      </c>
      <c r="G166">
        <v>28629.203000000001</v>
      </c>
      <c r="N166">
        <f>IFERROR(SUM($B$3:$B166),"")</f>
        <v>890741.90200000035</v>
      </c>
      <c r="O166">
        <f>IFERROR(SUM($C$3:$C166),"")</f>
        <v>1148231.7819999999</v>
      </c>
      <c r="P166">
        <f>IFERROR(SUM($D$3:$D166),"")</f>
        <v>601639.71799999999</v>
      </c>
      <c r="Q166">
        <f t="shared" si="30"/>
        <v>1749871.5</v>
      </c>
      <c r="R166">
        <f t="shared" si="31"/>
        <v>50.903275011908036</v>
      </c>
      <c r="S166">
        <f t="shared" si="32"/>
        <v>65.618062926334872</v>
      </c>
      <c r="T166">
        <f>IFERROR(SUM($E$3:$E166),"")</f>
        <v>1043388.2469999996</v>
      </c>
      <c r="U166">
        <f>IFERROR(SUM($F$3:$F166),"")</f>
        <v>1363062.1730000002</v>
      </c>
      <c r="V166">
        <f>IFERROR(SUM($G$3:$G166),"")</f>
        <v>858791.14500000002</v>
      </c>
      <c r="W166">
        <f t="shared" si="33"/>
        <v>2221853.318</v>
      </c>
      <c r="X166">
        <f t="shared" si="34"/>
        <v>46.960266843321818</v>
      </c>
      <c r="Y166">
        <f t="shared" si="35"/>
        <v>61.347981973308649</v>
      </c>
    </row>
    <row r="167" spans="1:25" x14ac:dyDescent="0.35">
      <c r="A167">
        <v>2014</v>
      </c>
      <c r="B167">
        <v>11766.173000000001</v>
      </c>
      <c r="C167">
        <v>15403.626</v>
      </c>
      <c r="D167">
        <v>24496.273000000001</v>
      </c>
      <c r="E167">
        <v>13161.575000000001</v>
      </c>
      <c r="F167">
        <v>16961.733</v>
      </c>
      <c r="G167">
        <v>29268.339</v>
      </c>
      <c r="N167">
        <f>IFERROR(SUM($B$3:$B167),"")</f>
        <v>902508.0750000003</v>
      </c>
      <c r="O167">
        <f>IFERROR(SUM($C$3:$C167),"")</f>
        <v>1163635.4079999998</v>
      </c>
      <c r="P167">
        <f>IFERROR(SUM($D$3:$D167),"")</f>
        <v>626135.99100000004</v>
      </c>
      <c r="Q167">
        <f t="shared" si="30"/>
        <v>1789771.3989999997</v>
      </c>
      <c r="R167">
        <f t="shared" si="31"/>
        <v>50.425885423370786</v>
      </c>
      <c r="S167">
        <f t="shared" si="32"/>
        <v>65.015867872855651</v>
      </c>
      <c r="T167">
        <f>IFERROR(SUM($E$3:$E167),"")</f>
        <v>1056549.8219999997</v>
      </c>
      <c r="U167">
        <f>IFERROR(SUM($F$3:$F167),"")</f>
        <v>1380023.9060000002</v>
      </c>
      <c r="V167">
        <f>IFERROR(SUM($G$3:$G167),"")</f>
        <v>888059.48400000005</v>
      </c>
      <c r="W167">
        <f t="shared" si="33"/>
        <v>2268083.39</v>
      </c>
      <c r="X167">
        <f t="shared" si="34"/>
        <v>46.583376372241744</v>
      </c>
      <c r="Y167">
        <f t="shared" si="35"/>
        <v>60.845377735427974</v>
      </c>
    </row>
    <row r="168" spans="1:25" x14ac:dyDescent="0.35">
      <c r="A168">
        <v>2015</v>
      </c>
      <c r="B168">
        <v>11588.035</v>
      </c>
      <c r="C168">
        <v>15212.561</v>
      </c>
      <c r="D168">
        <v>24587.428</v>
      </c>
      <c r="E168">
        <v>12977.353999999999</v>
      </c>
      <c r="F168">
        <v>16735.429</v>
      </c>
      <c r="G168">
        <v>29718.654999999999</v>
      </c>
      <c r="N168">
        <f>IFERROR(SUM($B$3:$B168),"")</f>
        <v>914096.11000000034</v>
      </c>
      <c r="O168">
        <f>IFERROR(SUM($C$3:$C168),"")</f>
        <v>1178847.9689999998</v>
      </c>
      <c r="P168">
        <f>IFERROR(SUM($D$3:$D168),"")</f>
        <v>650723.41899999999</v>
      </c>
      <c r="Q168">
        <f t="shared" si="30"/>
        <v>1829571.3879999998</v>
      </c>
      <c r="R168">
        <f t="shared" si="31"/>
        <v>49.962308986436796</v>
      </c>
      <c r="S168">
        <f t="shared" si="32"/>
        <v>64.433012930348681</v>
      </c>
      <c r="T168">
        <f>IFERROR(SUM($E$3:$E168),"")</f>
        <v>1069527.1759999997</v>
      </c>
      <c r="U168">
        <f>IFERROR(SUM($F$3:$F168),"")</f>
        <v>1396759.3350000002</v>
      </c>
      <c r="V168">
        <f>IFERROR(SUM($G$3:$G168),"")</f>
        <v>917778.13900000008</v>
      </c>
      <c r="W168">
        <f t="shared" si="33"/>
        <v>2314537.4740000004</v>
      </c>
      <c r="X168">
        <f t="shared" si="34"/>
        <v>46.209110373643469</v>
      </c>
      <c r="Y168">
        <f t="shared" si="35"/>
        <v>60.347233548399224</v>
      </c>
    </row>
    <row r="169" spans="1:25" x14ac:dyDescent="0.35">
      <c r="A169">
        <v>2016</v>
      </c>
      <c r="B169">
        <v>11369.508</v>
      </c>
      <c r="C169">
        <v>15044.370999999999</v>
      </c>
      <c r="D169">
        <v>24743.116000000002</v>
      </c>
      <c r="E169">
        <v>12745.261</v>
      </c>
      <c r="F169">
        <v>16550.843000000001</v>
      </c>
      <c r="G169">
        <v>30139.285</v>
      </c>
      <c r="N169">
        <f>IFERROR(SUM($B$3:$B169),"")</f>
        <v>925465.61800000037</v>
      </c>
      <c r="O169">
        <f>IFERROR(SUM($C$3:$C169),"")</f>
        <v>1193892.3399999999</v>
      </c>
      <c r="P169">
        <f>IFERROR(SUM($D$3:$D169),"")</f>
        <v>675466.53500000003</v>
      </c>
      <c r="Q169">
        <f t="shared" si="30"/>
        <v>1869358.875</v>
      </c>
      <c r="R169">
        <f t="shared" si="31"/>
        <v>49.507113394692624</v>
      </c>
      <c r="S169">
        <f t="shared" si="32"/>
        <v>63.866406604242854</v>
      </c>
      <c r="T169">
        <f>IFERROR(SUM($E$3:$E169),"")</f>
        <v>1082272.4369999997</v>
      </c>
      <c r="U169">
        <f>IFERROR(SUM($F$3:$F169),"")</f>
        <v>1413310.1780000003</v>
      </c>
      <c r="V169">
        <f>IFERROR(SUM($G$3:$G169),"")</f>
        <v>947917.42400000012</v>
      </c>
      <c r="W169">
        <f t="shared" si="33"/>
        <v>2361227.6020000004</v>
      </c>
      <c r="X169">
        <f t="shared" si="34"/>
        <v>45.835159477353912</v>
      </c>
      <c r="Y169">
        <f t="shared" si="35"/>
        <v>59.854889753232698</v>
      </c>
    </row>
    <row r="170" spans="1:25" x14ac:dyDescent="0.35">
      <c r="A170">
        <v>2017</v>
      </c>
      <c r="B170">
        <v>11325.46</v>
      </c>
      <c r="C170">
        <v>15085.261</v>
      </c>
      <c r="D170">
        <v>25370.645</v>
      </c>
      <c r="E170">
        <v>12706.203</v>
      </c>
      <c r="F170">
        <v>16590.07</v>
      </c>
      <c r="G170">
        <v>31028.532999999999</v>
      </c>
      <c r="N170">
        <f>IFERROR(SUM($B$3:$B170),"")</f>
        <v>936791.07800000033</v>
      </c>
      <c r="O170">
        <f>IFERROR(SUM($C$3:$C170),"")</f>
        <v>1208977.6009999998</v>
      </c>
      <c r="P170">
        <f>IFERROR(SUM($D$3:$D170),"")</f>
        <v>700837.18</v>
      </c>
      <c r="Q170">
        <f t="shared" si="30"/>
        <v>1909814.781</v>
      </c>
      <c r="R170">
        <f t="shared" si="31"/>
        <v>49.051409975447264</v>
      </c>
      <c r="S170">
        <f t="shared" si="32"/>
        <v>63.303395335906131</v>
      </c>
      <c r="T170">
        <f>IFERROR(SUM($E$3:$E170),"")</f>
        <v>1094978.6399999997</v>
      </c>
      <c r="U170">
        <f>IFERROR(SUM($F$3:$F170),"")</f>
        <v>1429900.2480000004</v>
      </c>
      <c r="V170">
        <f>IFERROR(SUM($G$3:$G170),"")</f>
        <v>978945.95700000017</v>
      </c>
      <c r="W170">
        <f t="shared" si="33"/>
        <v>2408846.2050000005</v>
      </c>
      <c r="X170">
        <f t="shared" si="34"/>
        <v>45.45656081019915</v>
      </c>
      <c r="Y170">
        <f t="shared" si="35"/>
        <v>59.360379464325334</v>
      </c>
    </row>
    <row r="171" spans="1:25" x14ac:dyDescent="0.35">
      <c r="A171">
        <v>2018</v>
      </c>
      <c r="B171">
        <v>11412.57</v>
      </c>
      <c r="C171">
        <v>15244.098</v>
      </c>
      <c r="D171">
        <v>26095.018</v>
      </c>
      <c r="E171">
        <v>12791.475</v>
      </c>
      <c r="F171">
        <v>16746.100999999999</v>
      </c>
      <c r="G171">
        <v>31637.839</v>
      </c>
      <c r="N171">
        <f>IFERROR(SUM($B$3:$B171),"")</f>
        <v>948203.64800000028</v>
      </c>
      <c r="O171">
        <f>IFERROR(SUM($C$3:$C171),"")</f>
        <v>1224221.6989999998</v>
      </c>
      <c r="P171">
        <f>IFERROR(SUM($D$3:$D171),"")</f>
        <v>726932.19800000009</v>
      </c>
      <c r="Q171">
        <f t="shared" si="30"/>
        <v>1951153.8969999999</v>
      </c>
      <c r="R171">
        <f t="shared" si="31"/>
        <v>48.597071171982506</v>
      </c>
      <c r="S171">
        <f t="shared" si="32"/>
        <v>62.743471997893351</v>
      </c>
      <c r="T171">
        <f>IFERROR(SUM($E$3:$E171),"")</f>
        <v>1107770.1149999998</v>
      </c>
      <c r="U171">
        <f>IFERROR(SUM($F$3:$F171),"")</f>
        <v>1446646.3490000004</v>
      </c>
      <c r="V171">
        <f>IFERROR(SUM($G$3:$G171),"")</f>
        <v>1010583.7960000002</v>
      </c>
      <c r="W171">
        <f t="shared" si="33"/>
        <v>2457230.1450000005</v>
      </c>
      <c r="X171">
        <f t="shared" si="34"/>
        <v>45.082065969852394</v>
      </c>
      <c r="Y171">
        <f t="shared" si="35"/>
        <v>58.873050696681894</v>
      </c>
    </row>
    <row r="172" spans="1:25" x14ac:dyDescent="0.35">
      <c r="A172">
        <v>2019</v>
      </c>
      <c r="B172">
        <v>11146.928</v>
      </c>
      <c r="C172">
        <v>14929.248</v>
      </c>
      <c r="D172">
        <v>26848.478999999999</v>
      </c>
      <c r="E172">
        <v>12446.253000000001</v>
      </c>
      <c r="F172">
        <v>16332.204</v>
      </c>
      <c r="G172">
        <v>32109.751</v>
      </c>
      <c r="N172">
        <f>IFERROR(SUM($B$3:$B172),"")</f>
        <v>959350.57600000023</v>
      </c>
      <c r="O172">
        <f>IFERROR(SUM($C$3:$C172),"")</f>
        <v>1239150.9469999997</v>
      </c>
      <c r="P172">
        <f>IFERROR(SUM($D$3:$D172),"")</f>
        <v>753780.67700000014</v>
      </c>
      <c r="Q172">
        <f t="shared" si="30"/>
        <v>1992931.6239999998</v>
      </c>
      <c r="R172">
        <f t="shared" si="31"/>
        <v>48.137656327340231</v>
      </c>
      <c r="S172">
        <f t="shared" si="32"/>
        <v>62.177293594895545</v>
      </c>
      <c r="T172">
        <f>IFERROR(SUM($E$3:$E172),"")</f>
        <v>1120216.3679999998</v>
      </c>
      <c r="U172">
        <f>IFERROR(SUM($F$3:$F172),"")</f>
        <v>1462978.5530000003</v>
      </c>
      <c r="V172">
        <f>IFERROR(SUM($G$3:$G172),"")</f>
        <v>1042693.5470000003</v>
      </c>
      <c r="W172">
        <f t="shared" si="33"/>
        <v>2505672.1000000006</v>
      </c>
      <c r="X172">
        <f t="shared" si="34"/>
        <v>44.707221188279163</v>
      </c>
      <c r="Y172">
        <f t="shared" si="35"/>
        <v>58.386672102866136</v>
      </c>
    </row>
    <row r="173" spans="1:25" x14ac:dyDescent="0.35">
      <c r="A173">
        <v>2020</v>
      </c>
      <c r="B173">
        <v>10110.066999999999</v>
      </c>
      <c r="C173">
        <v>13754.537</v>
      </c>
      <c r="D173">
        <v>26317.035</v>
      </c>
      <c r="E173">
        <v>11410.817999999999</v>
      </c>
      <c r="F173">
        <v>15174.106</v>
      </c>
      <c r="G173">
        <v>31736.9</v>
      </c>
      <c r="N173">
        <f>IFERROR(SUM($B$3:$B173),"")</f>
        <v>969460.64300000027</v>
      </c>
      <c r="O173">
        <f>IFERROR(SUM($C$3:$C173),"")</f>
        <v>1252905.4839999997</v>
      </c>
      <c r="P173">
        <f>IFERROR(SUM($D$3:$D173),"")</f>
        <v>780097.71200000017</v>
      </c>
      <c r="Q173">
        <f t="shared" si="30"/>
        <v>2033003.196</v>
      </c>
      <c r="R173">
        <f t="shared" si="31"/>
        <v>47.686134724600812</v>
      </c>
      <c r="S173">
        <f t="shared" si="32"/>
        <v>61.628308625639747</v>
      </c>
      <c r="T173">
        <f>IFERROR(SUM($E$3:$E173),"")</f>
        <v>1131627.1859999998</v>
      </c>
      <c r="U173">
        <f>IFERROR(SUM($F$3:$F173),"")</f>
        <v>1478152.6590000002</v>
      </c>
      <c r="V173">
        <f>IFERROR(SUM($G$3:$G173),"")</f>
        <v>1074430.4470000002</v>
      </c>
      <c r="W173">
        <f t="shared" si="33"/>
        <v>2552583.1060000006</v>
      </c>
      <c r="X173">
        <f t="shared" si="34"/>
        <v>44.33262851814861</v>
      </c>
      <c r="Y173">
        <f t="shared" si="35"/>
        <v>57.908111023908027</v>
      </c>
    </row>
    <row r="174" spans="1:25" x14ac:dyDescent="0.35">
      <c r="A174">
        <v>2021</v>
      </c>
      <c r="B174">
        <v>10645.296</v>
      </c>
      <c r="C174">
        <v>14459.23</v>
      </c>
      <c r="D174">
        <v>27464.455999999998</v>
      </c>
      <c r="E174">
        <v>11897.638999999999</v>
      </c>
      <c r="F174">
        <v>15817.947</v>
      </c>
      <c r="G174">
        <v>33014.620000000003</v>
      </c>
      <c r="N174">
        <f>IFERROR(SUM($B$3:$B174),"")</f>
        <v>980105.93900000025</v>
      </c>
      <c r="O174">
        <f>IFERROR(SUM($C$3:$C174),"")</f>
        <v>1267364.7139999997</v>
      </c>
      <c r="P174">
        <f>IFERROR(SUM($D$3:$D174),"")</f>
        <v>807562.16800000018</v>
      </c>
      <c r="Q174">
        <f t="shared" si="30"/>
        <v>2074926.8819999998</v>
      </c>
      <c r="R174">
        <f t="shared" si="31"/>
        <v>47.235685628367136</v>
      </c>
      <c r="S174">
        <f t="shared" si="32"/>
        <v>61.07996985312564</v>
      </c>
      <c r="T174">
        <f>IFERROR(SUM($E$3:$E174),"")</f>
        <v>1143524.8249999997</v>
      </c>
      <c r="U174">
        <f>IFERROR(SUM($F$3:$F174),"")</f>
        <v>1493970.6060000001</v>
      </c>
      <c r="V174">
        <f>IFERROR(SUM($G$3:$G174),"")</f>
        <v>1107445.0670000003</v>
      </c>
      <c r="W174">
        <f t="shared" si="33"/>
        <v>2601415.6730000004</v>
      </c>
      <c r="X174">
        <f t="shared" si="34"/>
        <v>43.957789478575172</v>
      </c>
      <c r="Y174">
        <f t="shared" si="35"/>
        <v>57.429138353622889</v>
      </c>
    </row>
    <row r="175" spans="1:25" x14ac:dyDescent="0.35">
      <c r="A175">
        <v>2022</v>
      </c>
      <c r="B175">
        <v>10589.18</v>
      </c>
      <c r="C175">
        <v>14289.32</v>
      </c>
      <c r="D175">
        <v>28377.31</v>
      </c>
      <c r="E175">
        <v>11794.931</v>
      </c>
      <c r="F175">
        <v>15567.946</v>
      </c>
      <c r="G175">
        <v>33544.574999999997</v>
      </c>
      <c r="N175">
        <f>IFERROR(SUM($B$3:$B175),"")</f>
        <v>990695.1190000003</v>
      </c>
      <c r="O175">
        <f>IFERROR(SUM($C$3:$C175),"")</f>
        <v>1281654.0339999998</v>
      </c>
      <c r="P175">
        <f>IFERROR(SUM($D$3:$D175),"")</f>
        <v>835939.47800000024</v>
      </c>
      <c r="Q175">
        <f t="shared" si="30"/>
        <v>2117593.5120000001</v>
      </c>
      <c r="R175">
        <f t="shared" si="31"/>
        <v>46.784008044316309</v>
      </c>
      <c r="S175">
        <f t="shared" si="32"/>
        <v>60.524082017493427</v>
      </c>
      <c r="T175">
        <f>IFERROR(SUM($E$3:$E175),"")</f>
        <v>1155319.7559999998</v>
      </c>
      <c r="U175">
        <f>IFERROR(SUM($F$3:$F175),"")</f>
        <v>1509538.5520000001</v>
      </c>
      <c r="V175">
        <f>IFERROR(SUM($G$3:$G175),"")</f>
        <v>1140989.6420000002</v>
      </c>
      <c r="W175">
        <f t="shared" si="33"/>
        <v>2650528.1940000001</v>
      </c>
      <c r="X175">
        <f t="shared" si="34"/>
        <v>43.588283973560323</v>
      </c>
      <c r="Y175">
        <f t="shared" si="35"/>
        <v>56.952367283515116</v>
      </c>
    </row>
    <row r="176" spans="1:25" x14ac:dyDescent="0.35">
      <c r="A176">
        <v>2023</v>
      </c>
      <c r="B176">
        <v>10231.641</v>
      </c>
      <c r="C176">
        <v>13959.637000000001</v>
      </c>
      <c r="D176">
        <v>29295.151999999998</v>
      </c>
      <c r="E176">
        <v>11380.54</v>
      </c>
      <c r="F176">
        <v>15122.355</v>
      </c>
      <c r="G176">
        <v>34525.696000000004</v>
      </c>
      <c r="N176">
        <f>IFERROR(SUM($B$3:$B176),"")</f>
        <v>1000926.7600000002</v>
      </c>
      <c r="O176">
        <f>IFERROR(SUM($C$3:$C176),"")</f>
        <v>1295613.6709999999</v>
      </c>
      <c r="P176">
        <f>IFERROR(SUM($D$3:$D176),"")</f>
        <v>865234.63000000024</v>
      </c>
      <c r="Q176">
        <f t="shared" si="30"/>
        <v>2160848.301</v>
      </c>
      <c r="R176">
        <f t="shared" si="31"/>
        <v>46.321010111482153</v>
      </c>
      <c r="S176">
        <f t="shared" si="32"/>
        <v>59.958566753640888</v>
      </c>
      <c r="T176">
        <f>IFERROR(SUM($E$3:$E176),"")</f>
        <v>1166700.2959999999</v>
      </c>
      <c r="U176">
        <f>IFERROR(SUM($F$3:$F176),"")</f>
        <v>1524660.9070000001</v>
      </c>
      <c r="V176">
        <f>IFERROR(SUM($G$3:$G176),"")</f>
        <v>1175515.3380000002</v>
      </c>
      <c r="W176">
        <f t="shared" si="33"/>
        <v>2700176.2450000001</v>
      </c>
      <c r="X176">
        <f t="shared" si="34"/>
        <v>43.208301612178644</v>
      </c>
      <c r="Y176">
        <f t="shared" si="35"/>
        <v>56.465236660875817</v>
      </c>
    </row>
    <row r="177" spans="1:25" x14ac:dyDescent="0.35">
      <c r="A177">
        <v>2024</v>
      </c>
      <c r="B177">
        <v>10139.766</v>
      </c>
      <c r="C177">
        <v>13930.995999999999</v>
      </c>
      <c r="D177">
        <v>29763.416000000001</v>
      </c>
      <c r="E177">
        <v>8641.1509999999998</v>
      </c>
      <c r="F177">
        <v>11449.105</v>
      </c>
      <c r="G177">
        <v>24074.701000000001</v>
      </c>
      <c r="N177">
        <f>IFERROR(SUM($B$3:$B177),"")</f>
        <v>1011066.5260000002</v>
      </c>
      <c r="O177">
        <f>IFERROR(SUM($C$3:$C177),"")</f>
        <v>1309544.6669999999</v>
      </c>
      <c r="P177">
        <f>IFERROR(SUM($D$3:$D177),"")</f>
        <v>894998.04600000021</v>
      </c>
      <c r="Q177">
        <f t="shared" si="30"/>
        <v>2204542.713</v>
      </c>
      <c r="R177">
        <f t="shared" si="31"/>
        <v>45.862868523155718</v>
      </c>
      <c r="S177">
        <f t="shared" si="32"/>
        <v>59.40210000367545</v>
      </c>
      <c r="T177">
        <f>IFERROR(SUM($E$3:$E177),"")</f>
        <v>1175341.4469999999</v>
      </c>
      <c r="U177">
        <f>IFERROR(SUM($F$3:$F177),"")</f>
        <v>1536110.0120000001</v>
      </c>
      <c r="V177">
        <f>IFERROR(SUM($G$3:$G177),"")</f>
        <v>1199590.0390000003</v>
      </c>
      <c r="W177">
        <f t="shared" si="33"/>
        <v>2735700.0510000004</v>
      </c>
      <c r="X177">
        <f t="shared" si="34"/>
        <v>42.96309628573384</v>
      </c>
      <c r="Y177">
        <f t="shared" si="35"/>
        <v>56.150527593055919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FF87-C16A-4DE1-B9B9-1903FC0C6125}">
  <sheetPr>
    <tabColor rgb="FF5DBDD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6971-AF68-4C5A-8226-63BB9BE66DBD}">
  <sheetPr>
    <tabColor rgb="FF0B4C5B"/>
  </sheetPr>
  <dimension ref="A1:S177"/>
  <sheetViews>
    <sheetView workbookViewId="0">
      <selection sqref="A1:Q1"/>
    </sheetView>
  </sheetViews>
  <sheetFormatPr defaultRowHeight="14.5" x14ac:dyDescent="0.35"/>
  <cols>
    <col min="1" max="1" width="8.6328125" customWidth="1"/>
    <col min="2" max="8" width="11.6328125" customWidth="1"/>
    <col min="9" max="16" width="12.6328125" customWidth="1"/>
    <col min="17" max="17" width="11.6328125" customWidth="1"/>
  </cols>
  <sheetData>
    <row r="1" spans="1:19" ht="30" customHeight="1" x14ac:dyDescent="0.35">
      <c r="A1" s="10" t="s">
        <v>58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35">
      <c r="A2" s="1" t="s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1" t="s">
        <v>14</v>
      </c>
      <c r="J2" s="1" t="s">
        <v>20</v>
      </c>
      <c r="K2" s="1"/>
      <c r="L2" s="1"/>
      <c r="M2" s="1" t="s">
        <v>15</v>
      </c>
      <c r="N2" s="1" t="s">
        <v>21</v>
      </c>
      <c r="O2" s="1"/>
      <c r="P2" s="1"/>
      <c r="Q2" s="2" t="s">
        <v>35</v>
      </c>
      <c r="R2" t="s">
        <v>55</v>
      </c>
      <c r="S2" t="s">
        <v>56</v>
      </c>
    </row>
    <row r="3" spans="1:19" x14ac:dyDescent="0.35">
      <c r="A3" s="6">
        <f>vals_ghg_excLUC!$A3</f>
        <v>1850</v>
      </c>
      <c r="B3" s="7">
        <f t="shared" ref="B3:B34" si="0">IFERROR(_xlfn.AGGREGATE(5,6,I3:L3),"")</f>
        <v>38.924011769220925</v>
      </c>
      <c r="C3" s="7">
        <f t="shared" ref="C3:C34" si="1">IFERROR(_xlfn.AGGREGATE(4,6,I3:L3),"")</f>
        <v>55.006712353661904</v>
      </c>
      <c r="D3" s="7">
        <f t="shared" ref="D3:D34" si="2">IFERROR(_xlfn.AGGREGATE(5,6,M3:P3),"")</f>
        <v>51.529359089164636</v>
      </c>
      <c r="E3" s="7">
        <f t="shared" ref="E3:E34" si="3">IFERROR(_xlfn.AGGREGATE(4,6,M3:P3),"")</f>
        <v>66.203006196469715</v>
      </c>
      <c r="F3" s="7">
        <f t="shared" ref="F3:F34" si="4">IFERROR(MIN(C3,D3)-B3,"")</f>
        <v>12.605347319943711</v>
      </c>
      <c r="G3" s="7">
        <f t="shared" ref="G3:G34" si="5">IFERROR(MAX(0,C3-D3),"")</f>
        <v>3.4773532644972676</v>
      </c>
      <c r="H3" s="7">
        <f t="shared" ref="H3:H34" si="6">IFERROR(MAX(0,D3-C3),"")</f>
        <v>0</v>
      </c>
      <c r="I3" s="8">
        <f>vals_ghg_excLUC!$R3</f>
        <v>55.006712353661904</v>
      </c>
      <c r="J3" s="8">
        <f>vals_ghg_excLUC!$X3</f>
        <v>38.924011769220925</v>
      </c>
      <c r="K3" s="8"/>
      <c r="L3" s="8"/>
      <c r="M3" s="8">
        <f>vals_ghg_excLUC!$S3</f>
        <v>66.203006196469715</v>
      </c>
      <c r="N3" s="8">
        <f>vals_ghg_excLUC!$Y3</f>
        <v>51.529359089164636</v>
      </c>
      <c r="O3" s="8"/>
      <c r="P3" s="8"/>
      <c r="Q3" s="9">
        <f t="shared" ref="Q3:Q34" si="7">IFERROR(MAX(0,$E3-MAX($C3,$D3)),"")</f>
        <v>11.196293842807812</v>
      </c>
      <c r="R3" s="9"/>
      <c r="S3" s="9"/>
    </row>
    <row r="4" spans="1:19" x14ac:dyDescent="0.35">
      <c r="A4" s="3">
        <f>vals_ghg_excLUC!$A4</f>
        <v>1851</v>
      </c>
      <c r="B4" s="4">
        <f t="shared" si="0"/>
        <v>38.978507993348224</v>
      </c>
      <c r="C4" s="4">
        <f t="shared" si="1"/>
        <v>55.019520683150802</v>
      </c>
      <c r="D4" s="4">
        <f t="shared" si="2"/>
        <v>51.635556626776435</v>
      </c>
      <c r="E4" s="4">
        <f t="shared" si="3"/>
        <v>66.282443082951943</v>
      </c>
      <c r="F4" s="4">
        <f t="shared" si="4"/>
        <v>12.657048633428211</v>
      </c>
      <c r="G4" s="4">
        <f t="shared" si="5"/>
        <v>3.3839640563743671</v>
      </c>
      <c r="H4" s="4">
        <f t="shared" si="6"/>
        <v>0</v>
      </c>
      <c r="I4" s="5">
        <f>vals_ghg_excLUC!$R4</f>
        <v>55.019520683150802</v>
      </c>
      <c r="J4" s="5">
        <f>vals_ghg_excLUC!$X4</f>
        <v>38.978507993348224</v>
      </c>
      <c r="K4" s="5"/>
      <c r="L4" s="5"/>
      <c r="M4" s="5">
        <f>vals_ghg_excLUC!$S4</f>
        <v>66.282443082951943</v>
      </c>
      <c r="N4" s="5">
        <f>vals_ghg_excLUC!$Y4</f>
        <v>51.635556626776435</v>
      </c>
      <c r="O4" s="5"/>
      <c r="P4" s="5"/>
      <c r="Q4" s="9">
        <f t="shared" si="7"/>
        <v>11.262922399801141</v>
      </c>
      <c r="R4" s="9">
        <v>68.613</v>
      </c>
      <c r="S4" s="9">
        <v>80.697999999999993</v>
      </c>
    </row>
    <row r="5" spans="1:19" x14ac:dyDescent="0.35">
      <c r="A5" s="6">
        <f>vals_ghg_excLUC!$A5</f>
        <v>1852</v>
      </c>
      <c r="B5" s="7">
        <f t="shared" si="0"/>
        <v>39.1339356076613</v>
      </c>
      <c r="C5" s="7">
        <f t="shared" si="1"/>
        <v>55.201107085219512</v>
      </c>
      <c r="D5" s="7">
        <f t="shared" si="2"/>
        <v>51.825837052603617</v>
      </c>
      <c r="E5" s="7">
        <f t="shared" si="3"/>
        <v>66.498566996716619</v>
      </c>
      <c r="F5" s="7">
        <f t="shared" si="4"/>
        <v>12.691901444942317</v>
      </c>
      <c r="G5" s="7">
        <f t="shared" si="5"/>
        <v>3.3752700326158944</v>
      </c>
      <c r="H5" s="7">
        <f t="shared" si="6"/>
        <v>0</v>
      </c>
      <c r="I5" s="8">
        <f>vals_ghg_excLUC!$R5</f>
        <v>55.201107085219512</v>
      </c>
      <c r="J5" s="8">
        <f>vals_ghg_excLUC!$X5</f>
        <v>39.1339356076613</v>
      </c>
      <c r="K5" s="8"/>
      <c r="L5" s="8"/>
      <c r="M5" s="8">
        <f>vals_ghg_excLUC!$S5</f>
        <v>66.498566996716619</v>
      </c>
      <c r="N5" s="8">
        <f>vals_ghg_excLUC!$Y5</f>
        <v>51.825837052603617</v>
      </c>
      <c r="O5" s="8"/>
      <c r="P5" s="8"/>
      <c r="Q5" s="9">
        <f t="shared" si="7"/>
        <v>11.297459911497107</v>
      </c>
      <c r="R5" s="9">
        <v>68.953000000000003</v>
      </c>
      <c r="S5" s="9">
        <v>81.052000000000007</v>
      </c>
    </row>
    <row r="6" spans="1:19" x14ac:dyDescent="0.35">
      <c r="A6" s="3">
        <f>vals_ghg_excLUC!$A6</f>
        <v>1853</v>
      </c>
      <c r="B6" s="4">
        <f t="shared" si="0"/>
        <v>39.33865498962458</v>
      </c>
      <c r="C6" s="4">
        <f t="shared" si="1"/>
        <v>55.474499088925157</v>
      </c>
      <c r="D6" s="4">
        <f t="shared" si="2"/>
        <v>52.048164643769503</v>
      </c>
      <c r="E6" s="4">
        <f t="shared" si="3"/>
        <v>66.770062285895605</v>
      </c>
      <c r="F6" s="4">
        <f t="shared" si="4"/>
        <v>12.709509654144924</v>
      </c>
      <c r="G6" s="4">
        <f t="shared" si="5"/>
        <v>3.4263344451556534</v>
      </c>
      <c r="H6" s="4">
        <f t="shared" si="6"/>
        <v>0</v>
      </c>
      <c r="I6" s="5">
        <f>vals_ghg_excLUC!$R6</f>
        <v>55.474499088925157</v>
      </c>
      <c r="J6" s="5">
        <f>vals_ghg_excLUC!$X6</f>
        <v>39.33865498962458</v>
      </c>
      <c r="K6" s="5"/>
      <c r="L6" s="5"/>
      <c r="M6" s="5">
        <f>vals_ghg_excLUC!$S6</f>
        <v>66.770062285895605</v>
      </c>
      <c r="N6" s="5">
        <f>vals_ghg_excLUC!$Y6</f>
        <v>52.048164643769503</v>
      </c>
      <c r="O6" s="5"/>
      <c r="P6" s="5"/>
      <c r="Q6" s="9">
        <f t="shared" si="7"/>
        <v>11.295563196970448</v>
      </c>
      <c r="R6" s="9">
        <v>69.393000000000001</v>
      </c>
      <c r="S6" s="9">
        <v>81.445999999999998</v>
      </c>
    </row>
    <row r="7" spans="1:19" x14ac:dyDescent="0.35">
      <c r="A7" s="6">
        <f>vals_ghg_excLUC!$A7</f>
        <v>1854</v>
      </c>
      <c r="B7" s="7">
        <f t="shared" si="0"/>
        <v>39.810694339382209</v>
      </c>
      <c r="C7" s="7">
        <f t="shared" si="1"/>
        <v>56.185264239603804</v>
      </c>
      <c r="D7" s="7">
        <f t="shared" si="2"/>
        <v>52.482155383555408</v>
      </c>
      <c r="E7" s="7">
        <f t="shared" si="3"/>
        <v>67.37014934494654</v>
      </c>
      <c r="F7" s="7">
        <f t="shared" si="4"/>
        <v>12.671461044173199</v>
      </c>
      <c r="G7" s="7">
        <f t="shared" si="5"/>
        <v>3.7031088560483951</v>
      </c>
      <c r="H7" s="7">
        <f t="shared" si="6"/>
        <v>0</v>
      </c>
      <c r="I7" s="8">
        <f>vals_ghg_excLUC!$R7</f>
        <v>56.185264239603804</v>
      </c>
      <c r="J7" s="8">
        <f>vals_ghg_excLUC!$X7</f>
        <v>39.810694339382209</v>
      </c>
      <c r="K7" s="8"/>
      <c r="L7" s="8"/>
      <c r="M7" s="8">
        <f>vals_ghg_excLUC!$S7</f>
        <v>67.37014934494654</v>
      </c>
      <c r="N7" s="8">
        <f>vals_ghg_excLUC!$Y7</f>
        <v>52.482155383555408</v>
      </c>
      <c r="O7" s="8"/>
      <c r="P7" s="8"/>
      <c r="Q7" s="9">
        <f t="shared" si="7"/>
        <v>11.184885105342737</v>
      </c>
      <c r="R7" s="9">
        <v>70.388999999999996</v>
      </c>
      <c r="S7" s="9">
        <v>82.179000000000002</v>
      </c>
    </row>
    <row r="8" spans="1:19" x14ac:dyDescent="0.35">
      <c r="A8" s="3">
        <f>vals_ghg_excLUC!$A8</f>
        <v>1855</v>
      </c>
      <c r="B8" s="4">
        <f t="shared" si="0"/>
        <v>40.15611218208516</v>
      </c>
      <c r="C8" s="4">
        <f t="shared" si="1"/>
        <v>56.672594596128022</v>
      </c>
      <c r="D8" s="4">
        <f t="shared" si="2"/>
        <v>52.819035838324837</v>
      </c>
      <c r="E8" s="4">
        <f t="shared" si="3"/>
        <v>67.813552046647089</v>
      </c>
      <c r="F8" s="4">
        <f t="shared" si="4"/>
        <v>12.662923656239677</v>
      </c>
      <c r="G8" s="4">
        <f t="shared" si="5"/>
        <v>3.8535587578031851</v>
      </c>
      <c r="H8" s="4">
        <f t="shared" si="6"/>
        <v>0</v>
      </c>
      <c r="I8" s="5">
        <f>vals_ghg_excLUC!$R8</f>
        <v>56.672594596128022</v>
      </c>
      <c r="J8" s="5">
        <f>vals_ghg_excLUC!$X8</f>
        <v>40.15611218208516</v>
      </c>
      <c r="K8" s="5"/>
      <c r="L8" s="5"/>
      <c r="M8" s="5">
        <f>vals_ghg_excLUC!$S8</f>
        <v>67.813552046647089</v>
      </c>
      <c r="N8" s="5">
        <f>vals_ghg_excLUC!$Y8</f>
        <v>52.819035838324837</v>
      </c>
      <c r="O8" s="5"/>
      <c r="P8" s="5"/>
      <c r="Q8" s="9">
        <f t="shared" si="7"/>
        <v>11.140957450519068</v>
      </c>
      <c r="R8" s="9">
        <v>71.013999999999996</v>
      </c>
      <c r="S8" s="9">
        <v>82.697999999999993</v>
      </c>
    </row>
    <row r="9" spans="1:19" x14ac:dyDescent="0.35">
      <c r="A9" s="6">
        <f>vals_ghg_excLUC!$A9</f>
        <v>1856</v>
      </c>
      <c r="B9" s="7">
        <f t="shared" si="0"/>
        <v>40.510650670848811</v>
      </c>
      <c r="C9" s="7">
        <f t="shared" si="1"/>
        <v>57.167398973486861</v>
      </c>
      <c r="D9" s="7">
        <f t="shared" si="2"/>
        <v>53.162121474431125</v>
      </c>
      <c r="E9" s="7">
        <f t="shared" si="3"/>
        <v>68.251964890138268</v>
      </c>
      <c r="F9" s="7">
        <f t="shared" si="4"/>
        <v>12.651470803582313</v>
      </c>
      <c r="G9" s="7">
        <f t="shared" si="5"/>
        <v>4.0052774990557367</v>
      </c>
      <c r="H9" s="7">
        <f t="shared" si="6"/>
        <v>0</v>
      </c>
      <c r="I9" s="8">
        <f>vals_ghg_excLUC!$R9</f>
        <v>57.167398973486861</v>
      </c>
      <c r="J9" s="8">
        <f>vals_ghg_excLUC!$X9</f>
        <v>40.510650670848811</v>
      </c>
      <c r="K9" s="8"/>
      <c r="L9" s="8"/>
      <c r="M9" s="8">
        <f>vals_ghg_excLUC!$S9</f>
        <v>68.251964890138268</v>
      </c>
      <c r="N9" s="8">
        <f>vals_ghg_excLUC!$Y9</f>
        <v>53.162121474431125</v>
      </c>
      <c r="O9" s="8"/>
      <c r="P9" s="8"/>
      <c r="Q9" s="9">
        <f t="shared" si="7"/>
        <v>11.084565916651407</v>
      </c>
      <c r="R9" s="9">
        <v>71.563000000000002</v>
      </c>
      <c r="S9" s="9">
        <v>83.153000000000006</v>
      </c>
    </row>
    <row r="10" spans="1:19" x14ac:dyDescent="0.35">
      <c r="A10" s="3">
        <f>vals_ghg_excLUC!$A10</f>
        <v>1857</v>
      </c>
      <c r="B10" s="4">
        <f t="shared" si="0"/>
        <v>40.789132103291642</v>
      </c>
      <c r="C10" s="4">
        <f t="shared" si="1"/>
        <v>57.538602822781769</v>
      </c>
      <c r="D10" s="4">
        <f t="shared" si="2"/>
        <v>53.443023039995339</v>
      </c>
      <c r="E10" s="4">
        <f t="shared" si="3"/>
        <v>68.594670828122588</v>
      </c>
      <c r="F10" s="4">
        <f t="shared" si="4"/>
        <v>12.653890936703696</v>
      </c>
      <c r="G10" s="4">
        <f t="shared" si="5"/>
        <v>4.0955797827864302</v>
      </c>
      <c r="H10" s="4">
        <f t="shared" si="6"/>
        <v>0</v>
      </c>
      <c r="I10" s="5">
        <f>vals_ghg_excLUC!$R10</f>
        <v>57.538602822781769</v>
      </c>
      <c r="J10" s="5">
        <f>vals_ghg_excLUC!$X10</f>
        <v>40.789132103291642</v>
      </c>
      <c r="K10" s="5"/>
      <c r="L10" s="5"/>
      <c r="M10" s="5">
        <f>vals_ghg_excLUC!$S10</f>
        <v>68.594670828122588</v>
      </c>
      <c r="N10" s="5">
        <f>vals_ghg_excLUC!$Y10</f>
        <v>53.443023039995339</v>
      </c>
      <c r="O10" s="5"/>
      <c r="P10" s="5"/>
      <c r="Q10" s="9">
        <f t="shared" si="7"/>
        <v>11.056068005340819</v>
      </c>
      <c r="R10" s="9">
        <v>71.978999999999999</v>
      </c>
      <c r="S10" s="9">
        <v>83.522000000000006</v>
      </c>
    </row>
    <row r="11" spans="1:19" x14ac:dyDescent="0.35">
      <c r="A11" s="6">
        <f>vals_ghg_excLUC!$A11</f>
        <v>1858</v>
      </c>
      <c r="B11" s="7">
        <f t="shared" si="0"/>
        <v>41.014921832404525</v>
      </c>
      <c r="C11" s="7">
        <f t="shared" si="1"/>
        <v>57.819107437304517</v>
      </c>
      <c r="D11" s="7">
        <f t="shared" si="2"/>
        <v>53.682749482915135</v>
      </c>
      <c r="E11" s="7">
        <f t="shared" si="3"/>
        <v>68.875926462176892</v>
      </c>
      <c r="F11" s="7">
        <f t="shared" si="4"/>
        <v>12.66782765051061</v>
      </c>
      <c r="G11" s="7">
        <f t="shared" si="5"/>
        <v>4.136357954389382</v>
      </c>
      <c r="H11" s="7">
        <f t="shared" si="6"/>
        <v>0</v>
      </c>
      <c r="I11" s="8">
        <f>vals_ghg_excLUC!$R11</f>
        <v>57.819107437304517</v>
      </c>
      <c r="J11" s="8">
        <f>vals_ghg_excLUC!$X11</f>
        <v>41.014921832404525</v>
      </c>
      <c r="K11" s="8"/>
      <c r="L11" s="8"/>
      <c r="M11" s="8">
        <f>vals_ghg_excLUC!$S11</f>
        <v>68.875926462176892</v>
      </c>
      <c r="N11" s="8">
        <f>vals_ghg_excLUC!$Y11</f>
        <v>53.682749482915135</v>
      </c>
      <c r="O11" s="8"/>
      <c r="P11" s="8"/>
      <c r="Q11" s="9">
        <f t="shared" si="7"/>
        <v>11.056819024872375</v>
      </c>
      <c r="R11" s="9">
        <v>72.269000000000005</v>
      </c>
      <c r="S11" s="9">
        <v>83.820999999999998</v>
      </c>
    </row>
    <row r="12" spans="1:19" x14ac:dyDescent="0.35">
      <c r="A12" s="3">
        <f>vals_ghg_excLUC!$A12</f>
        <v>1859</v>
      </c>
      <c r="B12" s="4">
        <f t="shared" si="0"/>
        <v>41.270398721526455</v>
      </c>
      <c r="C12" s="4">
        <f t="shared" si="1"/>
        <v>58.156471501757864</v>
      </c>
      <c r="D12" s="4">
        <f t="shared" si="2"/>
        <v>53.93926045463666</v>
      </c>
      <c r="E12" s="4">
        <f t="shared" si="3"/>
        <v>69.187975645967654</v>
      </c>
      <c r="F12" s="4">
        <f t="shared" si="4"/>
        <v>12.668861733110205</v>
      </c>
      <c r="G12" s="4">
        <f t="shared" si="5"/>
        <v>4.2172110471212036</v>
      </c>
      <c r="H12" s="4">
        <f t="shared" si="6"/>
        <v>0</v>
      </c>
      <c r="I12" s="5">
        <f>vals_ghg_excLUC!$R12</f>
        <v>58.156471501757864</v>
      </c>
      <c r="J12" s="5">
        <f>vals_ghg_excLUC!$X12</f>
        <v>41.270398721526455</v>
      </c>
      <c r="K12" s="5"/>
      <c r="L12" s="5"/>
      <c r="M12" s="5">
        <f>vals_ghg_excLUC!$S12</f>
        <v>69.187975645967654</v>
      </c>
      <c r="N12" s="5">
        <f>vals_ghg_excLUC!$Y12</f>
        <v>53.93926045463666</v>
      </c>
      <c r="O12" s="5"/>
      <c r="P12" s="5"/>
      <c r="Q12" s="9">
        <f t="shared" si="7"/>
        <v>11.031504144209791</v>
      </c>
      <c r="R12" s="9">
        <v>72.650000000000006</v>
      </c>
      <c r="S12" s="9">
        <v>84.156000000000006</v>
      </c>
    </row>
    <row r="13" spans="1:19" x14ac:dyDescent="0.35">
      <c r="A13" s="6">
        <f>vals_ghg_excLUC!$A13</f>
        <v>1860</v>
      </c>
      <c r="B13" s="7">
        <f t="shared" si="0"/>
        <v>41.586275966331677</v>
      </c>
      <c r="C13" s="7">
        <f t="shared" si="1"/>
        <v>58.585274256022956</v>
      </c>
      <c r="D13" s="7">
        <f t="shared" si="2"/>
        <v>54.243931437026738</v>
      </c>
      <c r="E13" s="7">
        <f t="shared" si="3"/>
        <v>69.569003635194122</v>
      </c>
      <c r="F13" s="7">
        <f t="shared" si="4"/>
        <v>12.657655470695062</v>
      </c>
      <c r="G13" s="7">
        <f t="shared" si="5"/>
        <v>4.3413428189962175</v>
      </c>
      <c r="H13" s="7">
        <f t="shared" si="6"/>
        <v>0</v>
      </c>
      <c r="I13" s="8">
        <f>vals_ghg_excLUC!$R13</f>
        <v>58.585274256022956</v>
      </c>
      <c r="J13" s="8">
        <f>vals_ghg_excLUC!$X13</f>
        <v>41.586275966331677</v>
      </c>
      <c r="K13" s="8"/>
      <c r="L13" s="8"/>
      <c r="M13" s="8">
        <f>vals_ghg_excLUC!$S13</f>
        <v>69.569003635194122</v>
      </c>
      <c r="N13" s="8">
        <f>vals_ghg_excLUC!$Y13</f>
        <v>54.243931437026738</v>
      </c>
      <c r="O13" s="8"/>
      <c r="P13" s="8"/>
      <c r="Q13" s="9">
        <f t="shared" si="7"/>
        <v>10.983729379171166</v>
      </c>
      <c r="R13" s="9">
        <v>73.131</v>
      </c>
      <c r="S13" s="9">
        <v>84.549000000000007</v>
      </c>
    </row>
    <row r="14" spans="1:19" x14ac:dyDescent="0.35">
      <c r="A14" s="3">
        <f>vals_ghg_excLUC!$A14</f>
        <v>1861</v>
      </c>
      <c r="B14" s="4">
        <f t="shared" si="0"/>
        <v>41.900178550576456</v>
      </c>
      <c r="C14" s="4">
        <f t="shared" si="1"/>
        <v>59.003180089109939</v>
      </c>
      <c r="D14" s="4">
        <f t="shared" si="2"/>
        <v>54.546343002180976</v>
      </c>
      <c r="E14" s="4">
        <f t="shared" si="3"/>
        <v>69.943845302964505</v>
      </c>
      <c r="F14" s="4">
        <f t="shared" si="4"/>
        <v>12.64616445160452</v>
      </c>
      <c r="G14" s="4">
        <f t="shared" si="5"/>
        <v>4.4568370869289637</v>
      </c>
      <c r="H14" s="4">
        <f t="shared" si="6"/>
        <v>0</v>
      </c>
      <c r="I14" s="5">
        <f>vals_ghg_excLUC!$R14</f>
        <v>59.003180089109939</v>
      </c>
      <c r="J14" s="5">
        <f>vals_ghg_excLUC!$X14</f>
        <v>41.900178550576456</v>
      </c>
      <c r="K14" s="5"/>
      <c r="L14" s="5"/>
      <c r="M14" s="5">
        <f>vals_ghg_excLUC!$S14</f>
        <v>69.943845302964505</v>
      </c>
      <c r="N14" s="5">
        <f>vals_ghg_excLUC!$Y14</f>
        <v>54.546343002180976</v>
      </c>
      <c r="O14" s="5"/>
      <c r="P14" s="5"/>
      <c r="Q14" s="9">
        <f t="shared" si="7"/>
        <v>10.940665213854565</v>
      </c>
      <c r="R14" s="9">
        <v>73.561999999999998</v>
      </c>
      <c r="S14" s="9">
        <v>84.918999999999997</v>
      </c>
    </row>
    <row r="15" spans="1:19" x14ac:dyDescent="0.35">
      <c r="A15" s="6">
        <f>vals_ghg_excLUC!$A15</f>
        <v>1862</v>
      </c>
      <c r="B15" s="7">
        <f t="shared" si="0"/>
        <v>42.171697469897431</v>
      </c>
      <c r="C15" s="7">
        <f t="shared" si="1"/>
        <v>59.351385287987888</v>
      </c>
      <c r="D15" s="7">
        <f t="shared" si="2"/>
        <v>54.817831047029074</v>
      </c>
      <c r="E15" s="7">
        <f t="shared" si="3"/>
        <v>70.274543525925353</v>
      </c>
      <c r="F15" s="7">
        <f t="shared" si="4"/>
        <v>12.646133577131643</v>
      </c>
      <c r="G15" s="7">
        <f t="shared" si="5"/>
        <v>4.5335542409588143</v>
      </c>
      <c r="H15" s="7">
        <f t="shared" si="6"/>
        <v>0</v>
      </c>
      <c r="I15" s="8">
        <f>vals_ghg_excLUC!$R15</f>
        <v>59.351385287987888</v>
      </c>
      <c r="J15" s="8">
        <f>vals_ghg_excLUC!$X15</f>
        <v>42.171697469897431</v>
      </c>
      <c r="K15" s="8"/>
      <c r="L15" s="8"/>
      <c r="M15" s="8">
        <f>vals_ghg_excLUC!$S15</f>
        <v>70.274543525925353</v>
      </c>
      <c r="N15" s="8">
        <f>vals_ghg_excLUC!$Y15</f>
        <v>54.817831047029074</v>
      </c>
      <c r="O15" s="8"/>
      <c r="P15" s="8"/>
      <c r="Q15" s="9">
        <f t="shared" si="7"/>
        <v>10.923158237937464</v>
      </c>
      <c r="R15" s="9">
        <v>73.882000000000005</v>
      </c>
      <c r="S15" s="9">
        <v>85.233000000000004</v>
      </c>
    </row>
    <row r="16" spans="1:19" x14ac:dyDescent="0.35">
      <c r="A16" s="3">
        <f>vals_ghg_excLUC!$A16</f>
        <v>1863</v>
      </c>
      <c r="B16" s="4">
        <f t="shared" si="0"/>
        <v>42.455431549052172</v>
      </c>
      <c r="C16" s="4">
        <f t="shared" si="1"/>
        <v>59.71074884346352</v>
      </c>
      <c r="D16" s="4">
        <f t="shared" si="2"/>
        <v>55.09932068164224</v>
      </c>
      <c r="E16" s="4">
        <f t="shared" si="3"/>
        <v>70.61539687913654</v>
      </c>
      <c r="F16" s="4">
        <f t="shared" si="4"/>
        <v>12.643889132590068</v>
      </c>
      <c r="G16" s="4">
        <f t="shared" si="5"/>
        <v>4.61142816182128</v>
      </c>
      <c r="H16" s="4">
        <f t="shared" si="6"/>
        <v>0</v>
      </c>
      <c r="I16" s="5">
        <f>vals_ghg_excLUC!$R16</f>
        <v>59.71074884346352</v>
      </c>
      <c r="J16" s="5">
        <f>vals_ghg_excLUC!$X16</f>
        <v>42.455431549052172</v>
      </c>
      <c r="K16" s="5"/>
      <c r="L16" s="5"/>
      <c r="M16" s="5">
        <f>vals_ghg_excLUC!$S16</f>
        <v>70.61539687913654</v>
      </c>
      <c r="N16" s="5">
        <f>vals_ghg_excLUC!$Y16</f>
        <v>55.09932068164224</v>
      </c>
      <c r="O16" s="5"/>
      <c r="P16" s="5"/>
      <c r="Q16" s="9">
        <f t="shared" si="7"/>
        <v>10.90464803567302</v>
      </c>
      <c r="R16" s="9">
        <v>74.149000000000001</v>
      </c>
      <c r="S16" s="9">
        <v>85.492000000000004</v>
      </c>
    </row>
    <row r="17" spans="1:19" x14ac:dyDescent="0.35">
      <c r="A17" s="6">
        <f>vals_ghg_excLUC!$A17</f>
        <v>1864</v>
      </c>
      <c r="B17" s="7">
        <f t="shared" si="0"/>
        <v>42.766701918732871</v>
      </c>
      <c r="C17" s="7">
        <f t="shared" si="1"/>
        <v>60.105410425259898</v>
      </c>
      <c r="D17" s="7">
        <f t="shared" si="2"/>
        <v>55.40349805869932</v>
      </c>
      <c r="E17" s="7">
        <f t="shared" si="3"/>
        <v>70.984825989205262</v>
      </c>
      <c r="F17" s="7">
        <f t="shared" si="4"/>
        <v>12.636796139966449</v>
      </c>
      <c r="G17" s="7">
        <f t="shared" si="5"/>
        <v>4.7019123665605775</v>
      </c>
      <c r="H17" s="7">
        <f t="shared" si="6"/>
        <v>0</v>
      </c>
      <c r="I17" s="8">
        <f>vals_ghg_excLUC!$R17</f>
        <v>60.105410425259898</v>
      </c>
      <c r="J17" s="8">
        <f>vals_ghg_excLUC!$X17</f>
        <v>42.766701918732871</v>
      </c>
      <c r="K17" s="8"/>
      <c r="L17" s="8"/>
      <c r="M17" s="8">
        <f>vals_ghg_excLUC!$S17</f>
        <v>70.984825989205262</v>
      </c>
      <c r="N17" s="8">
        <f>vals_ghg_excLUC!$Y17</f>
        <v>55.40349805869932</v>
      </c>
      <c r="O17" s="8"/>
      <c r="P17" s="8"/>
      <c r="Q17" s="9">
        <f t="shared" si="7"/>
        <v>10.879415563945365</v>
      </c>
      <c r="R17" s="9">
        <v>74.441000000000003</v>
      </c>
      <c r="S17" s="9">
        <v>85.772000000000006</v>
      </c>
    </row>
    <row r="18" spans="1:19" x14ac:dyDescent="0.35">
      <c r="A18" s="3">
        <f>vals_ghg_excLUC!$A18</f>
        <v>1865</v>
      </c>
      <c r="B18" s="4">
        <f t="shared" si="0"/>
        <v>43.087725093152265</v>
      </c>
      <c r="C18" s="4">
        <f t="shared" si="1"/>
        <v>60.508391677506999</v>
      </c>
      <c r="D18" s="4">
        <f t="shared" si="2"/>
        <v>55.716430867252456</v>
      </c>
      <c r="E18" s="4">
        <f t="shared" si="3"/>
        <v>71.36342068166654</v>
      </c>
      <c r="F18" s="4">
        <f t="shared" si="4"/>
        <v>12.62870577410019</v>
      </c>
      <c r="G18" s="4">
        <f t="shared" si="5"/>
        <v>4.7919608102545439</v>
      </c>
      <c r="H18" s="4">
        <f t="shared" si="6"/>
        <v>0</v>
      </c>
      <c r="I18" s="5">
        <f>vals_ghg_excLUC!$R18</f>
        <v>60.508391677506999</v>
      </c>
      <c r="J18" s="5">
        <f>vals_ghg_excLUC!$X18</f>
        <v>43.087725093152265</v>
      </c>
      <c r="K18" s="5"/>
      <c r="L18" s="5"/>
      <c r="M18" s="5">
        <f>vals_ghg_excLUC!$S18</f>
        <v>71.36342068166654</v>
      </c>
      <c r="N18" s="5">
        <f>vals_ghg_excLUC!$Y18</f>
        <v>55.716430867252456</v>
      </c>
      <c r="O18" s="5"/>
      <c r="P18" s="5"/>
      <c r="Q18" s="9">
        <f t="shared" si="7"/>
        <v>10.85502900415954</v>
      </c>
      <c r="R18" s="9">
        <v>74.721000000000004</v>
      </c>
      <c r="S18" s="9">
        <v>86.051000000000002</v>
      </c>
    </row>
    <row r="19" spans="1:19" x14ac:dyDescent="0.35">
      <c r="A19" s="6">
        <f>vals_ghg_excLUC!$A19</f>
        <v>1866</v>
      </c>
      <c r="B19" s="7">
        <f t="shared" si="0"/>
        <v>43.390046405267299</v>
      </c>
      <c r="C19" s="7">
        <f t="shared" si="1"/>
        <v>60.877889068801593</v>
      </c>
      <c r="D19" s="7">
        <f t="shared" si="2"/>
        <v>56.016436659449319</v>
      </c>
      <c r="E19" s="7">
        <f t="shared" si="3"/>
        <v>71.720406187947972</v>
      </c>
      <c r="F19" s="7">
        <f t="shared" si="4"/>
        <v>12.62639025418202</v>
      </c>
      <c r="G19" s="7">
        <f t="shared" si="5"/>
        <v>4.8614524093522746</v>
      </c>
      <c r="H19" s="7">
        <f t="shared" si="6"/>
        <v>0</v>
      </c>
      <c r="I19" s="8">
        <f>vals_ghg_excLUC!$R19</f>
        <v>60.877889068801593</v>
      </c>
      <c r="J19" s="8">
        <f>vals_ghg_excLUC!$X19</f>
        <v>43.390046405267299</v>
      </c>
      <c r="K19" s="8"/>
      <c r="L19" s="8"/>
      <c r="M19" s="8">
        <f>vals_ghg_excLUC!$S19</f>
        <v>71.720406187947972</v>
      </c>
      <c r="N19" s="8">
        <f>vals_ghg_excLUC!$Y19</f>
        <v>56.016436659449319</v>
      </c>
      <c r="O19" s="8"/>
      <c r="P19" s="8"/>
      <c r="Q19" s="9">
        <f t="shared" si="7"/>
        <v>10.842517119146379</v>
      </c>
      <c r="R19" s="9">
        <v>74.980999999999995</v>
      </c>
      <c r="S19" s="9">
        <v>86.325999999999993</v>
      </c>
    </row>
    <row r="20" spans="1:19" x14ac:dyDescent="0.35">
      <c r="A20" s="3">
        <f>vals_ghg_excLUC!$A20</f>
        <v>1867</v>
      </c>
      <c r="B20" s="4">
        <f t="shared" si="0"/>
        <v>43.709969067303128</v>
      </c>
      <c r="C20" s="4">
        <f t="shared" si="1"/>
        <v>61.267293206333285</v>
      </c>
      <c r="D20" s="4">
        <f t="shared" si="2"/>
        <v>56.33152125892623</v>
      </c>
      <c r="E20" s="4">
        <f t="shared" si="3"/>
        <v>72.096368838191765</v>
      </c>
      <c r="F20" s="4">
        <f t="shared" si="4"/>
        <v>12.621552191623103</v>
      </c>
      <c r="G20" s="4">
        <f t="shared" si="5"/>
        <v>4.9357719474070549</v>
      </c>
      <c r="H20" s="4">
        <f t="shared" si="6"/>
        <v>0</v>
      </c>
      <c r="I20" s="5">
        <f>vals_ghg_excLUC!$R20</f>
        <v>61.267293206333285</v>
      </c>
      <c r="J20" s="5">
        <f>vals_ghg_excLUC!$X20</f>
        <v>43.709969067303128</v>
      </c>
      <c r="K20" s="5"/>
      <c r="L20" s="5"/>
      <c r="M20" s="5">
        <f>vals_ghg_excLUC!$S20</f>
        <v>72.096368838191765</v>
      </c>
      <c r="N20" s="5">
        <f>vals_ghg_excLUC!$Y20</f>
        <v>56.33152125892623</v>
      </c>
      <c r="O20" s="5"/>
      <c r="P20" s="5"/>
      <c r="Q20" s="9">
        <f t="shared" si="7"/>
        <v>10.82907563185848</v>
      </c>
      <c r="R20" s="9">
        <v>75.23</v>
      </c>
      <c r="S20" s="9">
        <v>86.602999999999994</v>
      </c>
    </row>
    <row r="21" spans="1:19" x14ac:dyDescent="0.35">
      <c r="A21" s="6">
        <f>vals_ghg_excLUC!$A21</f>
        <v>1868</v>
      </c>
      <c r="B21" s="7">
        <f t="shared" si="0"/>
        <v>44.009474624971865</v>
      </c>
      <c r="C21" s="7">
        <f t="shared" si="1"/>
        <v>61.622669489344695</v>
      </c>
      <c r="D21" s="7">
        <f t="shared" si="2"/>
        <v>56.630532645836915</v>
      </c>
      <c r="E21" s="7">
        <f t="shared" si="3"/>
        <v>72.447390087251122</v>
      </c>
      <c r="F21" s="7">
        <f t="shared" si="4"/>
        <v>12.62105802086505</v>
      </c>
      <c r="G21" s="7">
        <f t="shared" si="5"/>
        <v>4.9921368435077795</v>
      </c>
      <c r="H21" s="7">
        <f t="shared" si="6"/>
        <v>0</v>
      </c>
      <c r="I21" s="8">
        <f>vals_ghg_excLUC!$R21</f>
        <v>61.622669489344695</v>
      </c>
      <c r="J21" s="8">
        <f>vals_ghg_excLUC!$X21</f>
        <v>44.009474624971865</v>
      </c>
      <c r="K21" s="8"/>
      <c r="L21" s="8"/>
      <c r="M21" s="8">
        <f>vals_ghg_excLUC!$S21</f>
        <v>72.447390087251122</v>
      </c>
      <c r="N21" s="8">
        <f>vals_ghg_excLUC!$Y21</f>
        <v>56.630532645836915</v>
      </c>
      <c r="O21" s="8"/>
      <c r="P21" s="8"/>
      <c r="Q21" s="9">
        <f t="shared" si="7"/>
        <v>10.824720597906428</v>
      </c>
      <c r="R21" s="9">
        <v>75.447999999999993</v>
      </c>
      <c r="S21" s="9">
        <v>86.861000000000004</v>
      </c>
    </row>
    <row r="22" spans="1:19" x14ac:dyDescent="0.35">
      <c r="A22" s="3">
        <f>vals_ghg_excLUC!$A22</f>
        <v>1869</v>
      </c>
      <c r="B22" s="4">
        <f t="shared" si="0"/>
        <v>44.321297011774099</v>
      </c>
      <c r="C22" s="4">
        <f t="shared" si="1"/>
        <v>61.993223179128499</v>
      </c>
      <c r="D22" s="4">
        <f t="shared" si="2"/>
        <v>56.939104337983757</v>
      </c>
      <c r="E22" s="4">
        <f t="shared" si="3"/>
        <v>72.809762402565653</v>
      </c>
      <c r="F22" s="4">
        <f t="shared" si="4"/>
        <v>12.617807326209658</v>
      </c>
      <c r="G22" s="4">
        <f t="shared" si="5"/>
        <v>5.0541188411447422</v>
      </c>
      <c r="H22" s="4">
        <f t="shared" si="6"/>
        <v>0</v>
      </c>
      <c r="I22" s="5">
        <f>vals_ghg_excLUC!$R22</f>
        <v>61.993223179128499</v>
      </c>
      <c r="J22" s="5">
        <f>vals_ghg_excLUC!$X22</f>
        <v>44.321297011774099</v>
      </c>
      <c r="K22" s="5"/>
      <c r="L22" s="5"/>
      <c r="M22" s="5">
        <f>vals_ghg_excLUC!$S22</f>
        <v>72.809762402565653</v>
      </c>
      <c r="N22" s="5">
        <f>vals_ghg_excLUC!$Y22</f>
        <v>56.939104337983757</v>
      </c>
      <c r="O22" s="5"/>
      <c r="P22" s="5"/>
      <c r="Q22" s="9">
        <f t="shared" si="7"/>
        <v>10.816539223437154</v>
      </c>
      <c r="R22" s="9">
        <v>75.674999999999997</v>
      </c>
      <c r="S22" s="9">
        <v>87.123999999999995</v>
      </c>
    </row>
    <row r="23" spans="1:19" x14ac:dyDescent="0.35">
      <c r="A23" s="6">
        <f>vals_ghg_excLUC!$A23</f>
        <v>1870</v>
      </c>
      <c r="B23" s="7">
        <f t="shared" si="0"/>
        <v>44.608735756308896</v>
      </c>
      <c r="C23" s="7">
        <f t="shared" si="1"/>
        <v>62.322887470570755</v>
      </c>
      <c r="D23" s="7">
        <f t="shared" si="2"/>
        <v>57.227485712433221</v>
      </c>
      <c r="E23" s="7">
        <f t="shared" si="3"/>
        <v>73.139793552040516</v>
      </c>
      <c r="F23" s="7">
        <f t="shared" si="4"/>
        <v>12.618749956124326</v>
      </c>
      <c r="G23" s="7">
        <f t="shared" si="5"/>
        <v>5.0954017581375339</v>
      </c>
      <c r="H23" s="7">
        <f t="shared" si="6"/>
        <v>0</v>
      </c>
      <c r="I23" s="8">
        <f>vals_ghg_excLUC!$R23</f>
        <v>62.322887470570755</v>
      </c>
      <c r="J23" s="8">
        <f>vals_ghg_excLUC!$X23</f>
        <v>44.608735756308896</v>
      </c>
      <c r="K23" s="8"/>
      <c r="L23" s="8"/>
      <c r="M23" s="8">
        <f>vals_ghg_excLUC!$S23</f>
        <v>73.139793552040516</v>
      </c>
      <c r="N23" s="8">
        <f>vals_ghg_excLUC!$Y23</f>
        <v>57.227485712433221</v>
      </c>
      <c r="O23" s="8"/>
      <c r="P23" s="8"/>
      <c r="Q23" s="9">
        <f t="shared" si="7"/>
        <v>10.81690608146976</v>
      </c>
      <c r="R23" s="9">
        <v>75.823999999999998</v>
      </c>
      <c r="S23" s="9">
        <v>87.328000000000003</v>
      </c>
    </row>
    <row r="24" spans="1:19" x14ac:dyDescent="0.35">
      <c r="A24" s="3">
        <f>vals_ghg_excLUC!$A24</f>
        <v>1871</v>
      </c>
      <c r="B24" s="4">
        <f t="shared" si="0"/>
        <v>44.902368845218241</v>
      </c>
      <c r="C24" s="4">
        <f t="shared" si="1"/>
        <v>62.651317540440644</v>
      </c>
      <c r="D24" s="4">
        <f t="shared" si="2"/>
        <v>57.525932766178144</v>
      </c>
      <c r="E24" s="4">
        <f t="shared" si="3"/>
        <v>73.477024311528766</v>
      </c>
      <c r="F24" s="4">
        <f t="shared" si="4"/>
        <v>12.623563920959903</v>
      </c>
      <c r="G24" s="4">
        <f t="shared" si="5"/>
        <v>5.1253847742624998</v>
      </c>
      <c r="H24" s="4">
        <f t="shared" si="6"/>
        <v>0</v>
      </c>
      <c r="I24" s="5">
        <f>vals_ghg_excLUC!$R24</f>
        <v>62.651317540440644</v>
      </c>
      <c r="J24" s="5">
        <f>vals_ghg_excLUC!$X24</f>
        <v>44.902368845218241</v>
      </c>
      <c r="K24" s="5"/>
      <c r="L24" s="5"/>
      <c r="M24" s="5">
        <f>vals_ghg_excLUC!$S24</f>
        <v>73.477024311528766</v>
      </c>
      <c r="N24" s="5">
        <f>vals_ghg_excLUC!$Y24</f>
        <v>57.525932766178144</v>
      </c>
      <c r="O24" s="5"/>
      <c r="P24" s="5"/>
      <c r="Q24" s="9">
        <f t="shared" si="7"/>
        <v>10.825706771088122</v>
      </c>
      <c r="R24" s="9">
        <v>75.95</v>
      </c>
      <c r="S24" s="9">
        <v>87.504999999999995</v>
      </c>
    </row>
    <row r="25" spans="1:19" x14ac:dyDescent="0.35">
      <c r="A25" s="6">
        <f>vals_ghg_excLUC!$A25</f>
        <v>1872</v>
      </c>
      <c r="B25" s="7">
        <f t="shared" si="0"/>
        <v>45.250397241774451</v>
      </c>
      <c r="C25" s="7">
        <f t="shared" si="1"/>
        <v>63.046166819798444</v>
      </c>
      <c r="D25" s="7">
        <f t="shared" si="2"/>
        <v>57.86719476062715</v>
      </c>
      <c r="E25" s="7">
        <f t="shared" si="3"/>
        <v>73.859795780514474</v>
      </c>
      <c r="F25" s="7">
        <f t="shared" si="4"/>
        <v>12.6167975188527</v>
      </c>
      <c r="G25" s="7">
        <f t="shared" si="5"/>
        <v>5.1789720591712936</v>
      </c>
      <c r="H25" s="7">
        <f t="shared" si="6"/>
        <v>0</v>
      </c>
      <c r="I25" s="8">
        <f>vals_ghg_excLUC!$R25</f>
        <v>63.046166819798444</v>
      </c>
      <c r="J25" s="8">
        <f>vals_ghg_excLUC!$X25</f>
        <v>45.250397241774451</v>
      </c>
      <c r="K25" s="8"/>
      <c r="L25" s="8"/>
      <c r="M25" s="8">
        <f>vals_ghg_excLUC!$S25</f>
        <v>73.859795780514474</v>
      </c>
      <c r="N25" s="8">
        <f>vals_ghg_excLUC!$Y25</f>
        <v>57.86719476062715</v>
      </c>
      <c r="O25" s="8"/>
      <c r="P25" s="8"/>
      <c r="Q25" s="9">
        <f t="shared" si="7"/>
        <v>10.813628960716031</v>
      </c>
      <c r="R25" s="9">
        <v>76.135999999999996</v>
      </c>
      <c r="S25" s="9">
        <v>87.697000000000003</v>
      </c>
    </row>
    <row r="26" spans="1:19" x14ac:dyDescent="0.35">
      <c r="A26" s="3">
        <f>vals_ghg_excLUC!$A26</f>
        <v>1873</v>
      </c>
      <c r="B26" s="4">
        <f t="shared" si="0"/>
        <v>45.612376993680378</v>
      </c>
      <c r="C26" s="4">
        <f t="shared" si="1"/>
        <v>63.454114029549388</v>
      </c>
      <c r="D26" s="4">
        <f t="shared" si="2"/>
        <v>58.218991188409994</v>
      </c>
      <c r="E26" s="4">
        <f t="shared" si="3"/>
        <v>74.248477908351859</v>
      </c>
      <c r="F26" s="4">
        <f t="shared" si="4"/>
        <v>12.606614194729616</v>
      </c>
      <c r="G26" s="4">
        <f t="shared" si="5"/>
        <v>5.2351228411393933</v>
      </c>
      <c r="H26" s="4">
        <f t="shared" si="6"/>
        <v>0</v>
      </c>
      <c r="I26" s="5">
        <f>vals_ghg_excLUC!$R26</f>
        <v>63.454114029549388</v>
      </c>
      <c r="J26" s="5">
        <f>vals_ghg_excLUC!$X26</f>
        <v>45.612376993680378</v>
      </c>
      <c r="K26" s="5"/>
      <c r="L26" s="5"/>
      <c r="M26" s="5">
        <f>vals_ghg_excLUC!$S26</f>
        <v>74.248477908351859</v>
      </c>
      <c r="N26" s="5">
        <f>vals_ghg_excLUC!$Y26</f>
        <v>58.218991188409994</v>
      </c>
      <c r="O26" s="5"/>
      <c r="P26" s="5"/>
      <c r="Q26" s="9">
        <f t="shared" si="7"/>
        <v>10.794363878802471</v>
      </c>
      <c r="R26" s="9">
        <v>76.319999999999993</v>
      </c>
      <c r="S26" s="9">
        <v>87.870999999999995</v>
      </c>
    </row>
    <row r="27" spans="1:19" x14ac:dyDescent="0.35">
      <c r="A27" s="6">
        <f>vals_ghg_excLUC!$A27</f>
        <v>1874</v>
      </c>
      <c r="B27" s="7">
        <f t="shared" si="0"/>
        <v>45.871303724091803</v>
      </c>
      <c r="C27" s="7">
        <f t="shared" si="1"/>
        <v>63.7201663227453</v>
      </c>
      <c r="D27" s="7">
        <f t="shared" si="2"/>
        <v>58.493924216312763</v>
      </c>
      <c r="E27" s="7">
        <f t="shared" si="3"/>
        <v>74.537945951310249</v>
      </c>
      <c r="F27" s="7">
        <f t="shared" si="4"/>
        <v>12.62262049222096</v>
      </c>
      <c r="G27" s="7">
        <f t="shared" si="5"/>
        <v>5.2262421064325366</v>
      </c>
      <c r="H27" s="7">
        <f t="shared" si="6"/>
        <v>0</v>
      </c>
      <c r="I27" s="8">
        <f>vals_ghg_excLUC!$R27</f>
        <v>63.7201663227453</v>
      </c>
      <c r="J27" s="8">
        <f>vals_ghg_excLUC!$X27</f>
        <v>45.871303724091803</v>
      </c>
      <c r="K27" s="8"/>
      <c r="L27" s="8"/>
      <c r="M27" s="8">
        <f>vals_ghg_excLUC!$S27</f>
        <v>74.537945951310249</v>
      </c>
      <c r="N27" s="8">
        <f>vals_ghg_excLUC!$Y27</f>
        <v>58.493924216312763</v>
      </c>
      <c r="O27" s="8"/>
      <c r="P27" s="8"/>
      <c r="Q27" s="9">
        <f t="shared" si="7"/>
        <v>10.817779628564949</v>
      </c>
      <c r="R27" s="9">
        <v>76.33</v>
      </c>
      <c r="S27" s="9">
        <v>87.947000000000003</v>
      </c>
    </row>
    <row r="28" spans="1:19" x14ac:dyDescent="0.35">
      <c r="A28" s="3">
        <f>vals_ghg_excLUC!$A28</f>
        <v>1875</v>
      </c>
      <c r="B28" s="4">
        <f t="shared" si="0"/>
        <v>46.170572663744402</v>
      </c>
      <c r="C28" s="4">
        <f t="shared" si="1"/>
        <v>64.036572734827942</v>
      </c>
      <c r="D28" s="4">
        <f t="shared" si="2"/>
        <v>58.797863802965431</v>
      </c>
      <c r="E28" s="4">
        <f t="shared" si="3"/>
        <v>74.857511739847709</v>
      </c>
      <c r="F28" s="4">
        <f t="shared" si="4"/>
        <v>12.627291139221029</v>
      </c>
      <c r="G28" s="4">
        <f t="shared" si="5"/>
        <v>5.2387089318625115</v>
      </c>
      <c r="H28" s="4">
        <f t="shared" si="6"/>
        <v>0</v>
      </c>
      <c r="I28" s="5">
        <f>vals_ghg_excLUC!$R28</f>
        <v>64.036572734827942</v>
      </c>
      <c r="J28" s="5">
        <f>vals_ghg_excLUC!$X28</f>
        <v>46.170572663744402</v>
      </c>
      <c r="K28" s="5"/>
      <c r="L28" s="5"/>
      <c r="M28" s="5">
        <f>vals_ghg_excLUC!$S28</f>
        <v>74.857511739847709</v>
      </c>
      <c r="N28" s="5">
        <f>vals_ghg_excLUC!$Y28</f>
        <v>58.797863802965431</v>
      </c>
      <c r="O28" s="5"/>
      <c r="P28" s="5"/>
      <c r="Q28" s="9">
        <f t="shared" si="7"/>
        <v>10.820939005019767</v>
      </c>
      <c r="R28" s="9">
        <v>76.388000000000005</v>
      </c>
      <c r="S28" s="9">
        <v>88.033000000000001</v>
      </c>
    </row>
    <row r="29" spans="1:19" x14ac:dyDescent="0.35">
      <c r="A29" s="6">
        <f>vals_ghg_excLUC!$A29</f>
        <v>1876</v>
      </c>
      <c r="B29" s="7">
        <f t="shared" si="0"/>
        <v>46.431829452695425</v>
      </c>
      <c r="C29" s="7">
        <f t="shared" si="1"/>
        <v>64.290785597006604</v>
      </c>
      <c r="D29" s="7">
        <f t="shared" si="2"/>
        <v>59.084754353151823</v>
      </c>
      <c r="E29" s="7">
        <f t="shared" si="3"/>
        <v>75.152070022271118</v>
      </c>
      <c r="F29" s="7">
        <f t="shared" si="4"/>
        <v>12.652924900456398</v>
      </c>
      <c r="G29" s="7">
        <f t="shared" si="5"/>
        <v>5.2060312438547811</v>
      </c>
      <c r="H29" s="7">
        <f t="shared" si="6"/>
        <v>0</v>
      </c>
      <c r="I29" s="8">
        <f>vals_ghg_excLUC!$R29</f>
        <v>64.290785597006604</v>
      </c>
      <c r="J29" s="8">
        <f>vals_ghg_excLUC!$X29</f>
        <v>46.431829452695425</v>
      </c>
      <c r="K29" s="8"/>
      <c r="L29" s="8"/>
      <c r="M29" s="8">
        <f>vals_ghg_excLUC!$S29</f>
        <v>75.152070022271118</v>
      </c>
      <c r="N29" s="8">
        <f>vals_ghg_excLUC!$Y29</f>
        <v>59.084754353151823</v>
      </c>
      <c r="O29" s="8"/>
      <c r="P29" s="8"/>
      <c r="Q29" s="9">
        <f t="shared" si="7"/>
        <v>10.861284425264515</v>
      </c>
      <c r="R29" s="9">
        <v>76.356999999999999</v>
      </c>
      <c r="S29" s="9">
        <v>88.087999999999994</v>
      </c>
    </row>
    <row r="30" spans="1:19" x14ac:dyDescent="0.35">
      <c r="A30" s="3">
        <f>vals_ghg_excLUC!$A30</f>
        <v>1877</v>
      </c>
      <c r="B30" s="4">
        <f t="shared" si="0"/>
        <v>46.684187771138376</v>
      </c>
      <c r="C30" s="4">
        <f t="shared" si="1"/>
        <v>64.536296918433479</v>
      </c>
      <c r="D30" s="4">
        <f t="shared" si="2"/>
        <v>59.359731232966674</v>
      </c>
      <c r="E30" s="4">
        <f t="shared" si="3"/>
        <v>75.429956588488906</v>
      </c>
      <c r="F30" s="4">
        <f t="shared" si="4"/>
        <v>12.675543461828298</v>
      </c>
      <c r="G30" s="4">
        <f t="shared" si="5"/>
        <v>5.1765656854668052</v>
      </c>
      <c r="H30" s="4">
        <f t="shared" si="6"/>
        <v>0</v>
      </c>
      <c r="I30" s="5">
        <f>vals_ghg_excLUC!$R30</f>
        <v>64.536296918433479</v>
      </c>
      <c r="J30" s="5">
        <f>vals_ghg_excLUC!$X30</f>
        <v>46.684187771138376</v>
      </c>
      <c r="K30" s="5"/>
      <c r="L30" s="5"/>
      <c r="M30" s="5">
        <f>vals_ghg_excLUC!$S30</f>
        <v>75.429956588488906</v>
      </c>
      <c r="N30" s="5">
        <f>vals_ghg_excLUC!$Y30</f>
        <v>59.359731232966674</v>
      </c>
      <c r="O30" s="5"/>
      <c r="P30" s="5"/>
      <c r="Q30" s="9">
        <f t="shared" si="7"/>
        <v>10.893659670055428</v>
      </c>
      <c r="R30" s="9">
        <v>76.325000000000003</v>
      </c>
      <c r="S30" s="9">
        <v>88.126000000000005</v>
      </c>
    </row>
    <row r="31" spans="1:19" x14ac:dyDescent="0.35">
      <c r="A31" s="6">
        <f>vals_ghg_excLUC!$A31</f>
        <v>1878</v>
      </c>
      <c r="B31" s="7">
        <f t="shared" si="0"/>
        <v>46.906254756760987</v>
      </c>
      <c r="C31" s="7">
        <f t="shared" si="1"/>
        <v>64.73551849620263</v>
      </c>
      <c r="D31" s="7">
        <f t="shared" si="2"/>
        <v>59.613479974895093</v>
      </c>
      <c r="E31" s="7">
        <f t="shared" si="3"/>
        <v>75.675554827772089</v>
      </c>
      <c r="F31" s="7">
        <f t="shared" si="4"/>
        <v>12.707225218134106</v>
      </c>
      <c r="G31" s="7">
        <f t="shared" si="5"/>
        <v>5.1220385213075375</v>
      </c>
      <c r="H31" s="7">
        <f t="shared" si="6"/>
        <v>0</v>
      </c>
      <c r="I31" s="8">
        <f>vals_ghg_excLUC!$R31</f>
        <v>64.73551849620263</v>
      </c>
      <c r="J31" s="8">
        <f>vals_ghg_excLUC!$X31</f>
        <v>46.906254756760987</v>
      </c>
      <c r="K31" s="8"/>
      <c r="L31" s="8"/>
      <c r="M31" s="8">
        <f>vals_ghg_excLUC!$S31</f>
        <v>75.675554827772089</v>
      </c>
      <c r="N31" s="8">
        <f>vals_ghg_excLUC!$Y31</f>
        <v>59.613479974895093</v>
      </c>
      <c r="O31" s="8"/>
      <c r="P31" s="8"/>
      <c r="Q31" s="9">
        <f t="shared" si="7"/>
        <v>10.940036331569459</v>
      </c>
      <c r="R31" s="9">
        <v>76.245000000000005</v>
      </c>
      <c r="S31" s="9">
        <v>88.13</v>
      </c>
    </row>
    <row r="32" spans="1:19" x14ac:dyDescent="0.35">
      <c r="A32" s="3">
        <f>vals_ghg_excLUC!$A32</f>
        <v>1879</v>
      </c>
      <c r="B32" s="4">
        <f t="shared" si="0"/>
        <v>47.153803645871925</v>
      </c>
      <c r="C32" s="4">
        <f t="shared" si="1"/>
        <v>64.964535211840186</v>
      </c>
      <c r="D32" s="4">
        <f t="shared" si="2"/>
        <v>59.887021146298004</v>
      </c>
      <c r="E32" s="4">
        <f t="shared" si="3"/>
        <v>75.941683229313853</v>
      </c>
      <c r="F32" s="4">
        <f t="shared" si="4"/>
        <v>12.733217500426079</v>
      </c>
      <c r="G32" s="4">
        <f t="shared" si="5"/>
        <v>5.0775140655421822</v>
      </c>
      <c r="H32" s="4">
        <f t="shared" si="6"/>
        <v>0</v>
      </c>
      <c r="I32" s="5">
        <f>vals_ghg_excLUC!$R32</f>
        <v>64.964535211840186</v>
      </c>
      <c r="J32" s="5">
        <f>vals_ghg_excLUC!$X32</f>
        <v>47.153803645871925</v>
      </c>
      <c r="K32" s="5"/>
      <c r="L32" s="5"/>
      <c r="M32" s="5">
        <f>vals_ghg_excLUC!$S32</f>
        <v>75.941683229313853</v>
      </c>
      <c r="N32" s="5">
        <f>vals_ghg_excLUC!$Y32</f>
        <v>59.887021146298004</v>
      </c>
      <c r="O32" s="5"/>
      <c r="P32" s="5"/>
      <c r="Q32" s="9">
        <f t="shared" si="7"/>
        <v>10.977148017473667</v>
      </c>
      <c r="R32" s="9">
        <v>76.183999999999997</v>
      </c>
      <c r="S32" s="9">
        <v>88.141999999999996</v>
      </c>
    </row>
    <row r="33" spans="1:19" x14ac:dyDescent="0.35">
      <c r="A33" s="6">
        <f>vals_ghg_excLUC!$A33</f>
        <v>1880</v>
      </c>
      <c r="B33" s="7">
        <f t="shared" si="0"/>
        <v>47.472078995042899</v>
      </c>
      <c r="C33" s="7">
        <f t="shared" si="1"/>
        <v>65.276499844501345</v>
      </c>
      <c r="D33" s="7">
        <f t="shared" si="2"/>
        <v>60.213423738426044</v>
      </c>
      <c r="E33" s="7">
        <f t="shared" si="3"/>
        <v>76.262670428814388</v>
      </c>
      <c r="F33" s="7">
        <f t="shared" si="4"/>
        <v>12.741344743383145</v>
      </c>
      <c r="G33" s="7">
        <f t="shared" si="5"/>
        <v>5.0630761060753002</v>
      </c>
      <c r="H33" s="7">
        <f t="shared" si="6"/>
        <v>0</v>
      </c>
      <c r="I33" s="8">
        <f>vals_ghg_excLUC!$R33</f>
        <v>65.276499844501345</v>
      </c>
      <c r="J33" s="8">
        <f>vals_ghg_excLUC!$X33</f>
        <v>47.472078995042899</v>
      </c>
      <c r="K33" s="8"/>
      <c r="L33" s="8"/>
      <c r="M33" s="8">
        <f>vals_ghg_excLUC!$S33</f>
        <v>76.262670428814388</v>
      </c>
      <c r="N33" s="8">
        <f>vals_ghg_excLUC!$Y33</f>
        <v>60.213423738426044</v>
      </c>
      <c r="O33" s="8"/>
      <c r="P33" s="8"/>
      <c r="Q33" s="9">
        <f t="shared" si="7"/>
        <v>10.986170584313044</v>
      </c>
      <c r="R33" s="9">
        <v>76.191000000000003</v>
      </c>
      <c r="S33" s="9">
        <v>88.183000000000007</v>
      </c>
    </row>
    <row r="34" spans="1:19" x14ac:dyDescent="0.35">
      <c r="A34" s="3">
        <f>vals_ghg_excLUC!$A34</f>
        <v>1881</v>
      </c>
      <c r="B34" s="4">
        <f t="shared" si="0"/>
        <v>47.781822341478403</v>
      </c>
      <c r="C34" s="4">
        <f t="shared" si="1"/>
        <v>65.582938738858303</v>
      </c>
      <c r="D34" s="4">
        <f t="shared" si="2"/>
        <v>60.530063906939361</v>
      </c>
      <c r="E34" s="4">
        <f t="shared" si="3"/>
        <v>76.574840952841441</v>
      </c>
      <c r="F34" s="4">
        <f t="shared" si="4"/>
        <v>12.748241565460958</v>
      </c>
      <c r="G34" s="4">
        <f t="shared" si="5"/>
        <v>5.0528748319189418</v>
      </c>
      <c r="H34" s="4">
        <f t="shared" si="6"/>
        <v>0</v>
      </c>
      <c r="I34" s="5">
        <f>vals_ghg_excLUC!$R34</f>
        <v>65.582938738858303</v>
      </c>
      <c r="J34" s="5">
        <f>vals_ghg_excLUC!$X34</f>
        <v>47.781822341478403</v>
      </c>
      <c r="K34" s="5"/>
      <c r="L34" s="5"/>
      <c r="M34" s="5">
        <f>vals_ghg_excLUC!$S34</f>
        <v>76.574840952841441</v>
      </c>
      <c r="N34" s="5">
        <f>vals_ghg_excLUC!$Y34</f>
        <v>60.530063906939361</v>
      </c>
      <c r="O34" s="5"/>
      <c r="P34" s="5"/>
      <c r="Q34" s="9">
        <f t="shared" si="7"/>
        <v>10.991902213983138</v>
      </c>
      <c r="R34" s="9">
        <v>76.198999999999998</v>
      </c>
      <c r="S34" s="9">
        <v>88.215999999999994</v>
      </c>
    </row>
    <row r="35" spans="1:19" x14ac:dyDescent="0.35">
      <c r="A35" s="6">
        <f>vals_ghg_excLUC!$A35</f>
        <v>1882</v>
      </c>
      <c r="B35" s="7">
        <f t="shared" ref="B35:B66" si="8">IFERROR(_xlfn.AGGREGATE(5,6,I35:L35),"")</f>
        <v>48.102729155073227</v>
      </c>
      <c r="C35" s="7">
        <f t="shared" ref="C35:C66" si="9">IFERROR(_xlfn.AGGREGATE(4,6,I35:L35),"")</f>
        <v>65.902180783263859</v>
      </c>
      <c r="D35" s="7">
        <f t="shared" ref="D35:D66" si="10">IFERROR(_xlfn.AGGREGATE(5,6,M35:P35),"")</f>
        <v>60.85204550423741</v>
      </c>
      <c r="E35" s="7">
        <f t="shared" ref="E35:E66" si="11">IFERROR(_xlfn.AGGREGATE(4,6,M35:P35),"")</f>
        <v>76.891102009394174</v>
      </c>
      <c r="F35" s="7">
        <f t="shared" ref="F35:F66" si="12">IFERROR(MIN(C35,D35)-B35,"")</f>
        <v>12.749316349164182</v>
      </c>
      <c r="G35" s="7">
        <f t="shared" ref="G35:G66" si="13">IFERROR(MAX(0,C35-D35),"")</f>
        <v>5.0501352790264491</v>
      </c>
      <c r="H35" s="7">
        <f t="shared" ref="H35:H66" si="14">IFERROR(MAX(0,D35-C35),"")</f>
        <v>0</v>
      </c>
      <c r="I35" s="8">
        <f>vals_ghg_excLUC!$R35</f>
        <v>65.902180783263859</v>
      </c>
      <c r="J35" s="8">
        <f>vals_ghg_excLUC!$X35</f>
        <v>48.102729155073227</v>
      </c>
      <c r="K35" s="8"/>
      <c r="L35" s="8"/>
      <c r="M35" s="8">
        <f>vals_ghg_excLUC!$S35</f>
        <v>76.891102009394174</v>
      </c>
      <c r="N35" s="8">
        <f>vals_ghg_excLUC!$Y35</f>
        <v>60.85204550423741</v>
      </c>
      <c r="O35" s="8"/>
      <c r="P35" s="8"/>
      <c r="Q35" s="9">
        <f t="shared" ref="Q35:Q66" si="15">IFERROR(MAX(0,$E35-MAX($C35,$D35)),"")</f>
        <v>10.988921226130316</v>
      </c>
      <c r="R35" s="9">
        <v>76.228999999999999</v>
      </c>
      <c r="S35" s="9">
        <v>88.253</v>
      </c>
    </row>
    <row r="36" spans="1:19" x14ac:dyDescent="0.35">
      <c r="A36" s="3">
        <f>vals_ghg_excLUC!$A36</f>
        <v>1883</v>
      </c>
      <c r="B36" s="4">
        <f t="shared" si="8"/>
        <v>48.432983966709756</v>
      </c>
      <c r="C36" s="4">
        <f t="shared" si="9"/>
        <v>66.22738454254737</v>
      </c>
      <c r="D36" s="4">
        <f t="shared" si="10"/>
        <v>61.183436905547197</v>
      </c>
      <c r="E36" s="4">
        <f t="shared" si="11"/>
        <v>77.215843253942211</v>
      </c>
      <c r="F36" s="4">
        <f t="shared" si="12"/>
        <v>12.750452938837441</v>
      </c>
      <c r="G36" s="4">
        <f t="shared" si="13"/>
        <v>5.0439476370001728</v>
      </c>
      <c r="H36" s="4">
        <f t="shared" si="14"/>
        <v>0</v>
      </c>
      <c r="I36" s="5">
        <f>vals_ghg_excLUC!$R36</f>
        <v>66.22738454254737</v>
      </c>
      <c r="J36" s="5">
        <f>vals_ghg_excLUC!$X36</f>
        <v>48.432983966709756</v>
      </c>
      <c r="K36" s="5"/>
      <c r="L36" s="5"/>
      <c r="M36" s="5">
        <f>vals_ghg_excLUC!$S36</f>
        <v>77.215843253942211</v>
      </c>
      <c r="N36" s="5">
        <f>vals_ghg_excLUC!$Y36</f>
        <v>61.183436905547197</v>
      </c>
      <c r="O36" s="5"/>
      <c r="P36" s="5"/>
      <c r="Q36" s="9">
        <f t="shared" si="15"/>
        <v>10.988458711394841</v>
      </c>
      <c r="R36" s="9">
        <v>76.275000000000006</v>
      </c>
      <c r="S36" s="9">
        <v>88.31</v>
      </c>
    </row>
    <row r="37" spans="1:19" x14ac:dyDescent="0.35">
      <c r="A37" s="6">
        <f>vals_ghg_excLUC!$A37</f>
        <v>1884</v>
      </c>
      <c r="B37" s="7">
        <f t="shared" si="8"/>
        <v>48.73646011529523</v>
      </c>
      <c r="C37" s="7">
        <f t="shared" si="9"/>
        <v>66.518089252820872</v>
      </c>
      <c r="D37" s="7">
        <f t="shared" si="10"/>
        <v>61.492088960909271</v>
      </c>
      <c r="E37" s="7">
        <f t="shared" si="11"/>
        <v>77.5131946356111</v>
      </c>
      <c r="F37" s="7">
        <f t="shared" si="12"/>
        <v>12.755628845614041</v>
      </c>
      <c r="G37" s="7">
        <f t="shared" si="13"/>
        <v>5.0260002919116005</v>
      </c>
      <c r="H37" s="7">
        <f t="shared" si="14"/>
        <v>0</v>
      </c>
      <c r="I37" s="8">
        <f>vals_ghg_excLUC!$R37</f>
        <v>66.518089252820872</v>
      </c>
      <c r="J37" s="8">
        <f>vals_ghg_excLUC!$X37</f>
        <v>48.73646011529523</v>
      </c>
      <c r="K37" s="8"/>
      <c r="L37" s="8"/>
      <c r="M37" s="8">
        <f>vals_ghg_excLUC!$S37</f>
        <v>77.5131946356111</v>
      </c>
      <c r="N37" s="8">
        <f>vals_ghg_excLUC!$Y37</f>
        <v>61.492088960909271</v>
      </c>
      <c r="O37" s="8"/>
      <c r="P37" s="8"/>
      <c r="Q37" s="9">
        <f t="shared" si="15"/>
        <v>10.995105382790229</v>
      </c>
      <c r="R37" s="9">
        <v>76.278000000000006</v>
      </c>
      <c r="S37" s="9">
        <v>88.338999999999999</v>
      </c>
    </row>
    <row r="38" spans="1:19" x14ac:dyDescent="0.35">
      <c r="A38" s="3">
        <f>vals_ghg_excLUC!$A38</f>
        <v>1885</v>
      </c>
      <c r="B38" s="4">
        <f t="shared" si="8"/>
        <v>49.011977643404968</v>
      </c>
      <c r="C38" s="4">
        <f t="shared" si="9"/>
        <v>66.772484961645588</v>
      </c>
      <c r="D38" s="4">
        <f t="shared" si="10"/>
        <v>61.779139175370226</v>
      </c>
      <c r="E38" s="4">
        <f t="shared" si="11"/>
        <v>77.78562231758572</v>
      </c>
      <c r="F38" s="4">
        <f t="shared" si="12"/>
        <v>12.767161531965257</v>
      </c>
      <c r="G38" s="4">
        <f t="shared" si="13"/>
        <v>4.9933457862753627</v>
      </c>
      <c r="H38" s="4">
        <f t="shared" si="14"/>
        <v>0</v>
      </c>
      <c r="I38" s="5">
        <f>vals_ghg_excLUC!$R38</f>
        <v>66.772484961645588</v>
      </c>
      <c r="J38" s="5">
        <f>vals_ghg_excLUC!$X38</f>
        <v>49.011977643404968</v>
      </c>
      <c r="K38" s="5"/>
      <c r="L38" s="5"/>
      <c r="M38" s="5">
        <f>vals_ghg_excLUC!$S38</f>
        <v>77.78562231758572</v>
      </c>
      <c r="N38" s="5">
        <f>vals_ghg_excLUC!$Y38</f>
        <v>61.779139175370226</v>
      </c>
      <c r="O38" s="5"/>
      <c r="P38" s="5"/>
      <c r="Q38" s="9">
        <f t="shared" si="15"/>
        <v>11.013137355940131</v>
      </c>
      <c r="R38" s="9">
        <v>76.239000000000004</v>
      </c>
      <c r="S38" s="9">
        <v>88.347999999999999</v>
      </c>
    </row>
    <row r="39" spans="1:19" x14ac:dyDescent="0.35">
      <c r="A39" s="6">
        <f>vals_ghg_excLUC!$A39</f>
        <v>1886</v>
      </c>
      <c r="B39" s="7">
        <f t="shared" si="8"/>
        <v>49.270042659552097</v>
      </c>
      <c r="C39" s="7">
        <f t="shared" si="9"/>
        <v>67.008169028648183</v>
      </c>
      <c r="D39" s="7">
        <f t="shared" si="10"/>
        <v>62.049972618186644</v>
      </c>
      <c r="E39" s="7">
        <f t="shared" si="11"/>
        <v>78.041026315415863</v>
      </c>
      <c r="F39" s="7">
        <f t="shared" si="12"/>
        <v>12.779929958634547</v>
      </c>
      <c r="G39" s="7">
        <f t="shared" si="13"/>
        <v>4.9581964104615395</v>
      </c>
      <c r="H39" s="7">
        <f t="shared" si="14"/>
        <v>0</v>
      </c>
      <c r="I39" s="8">
        <f>vals_ghg_excLUC!$R39</f>
        <v>67.008169028648183</v>
      </c>
      <c r="J39" s="8">
        <f>vals_ghg_excLUC!$X39</f>
        <v>49.270042659552097</v>
      </c>
      <c r="K39" s="8"/>
      <c r="L39" s="8"/>
      <c r="M39" s="8">
        <f>vals_ghg_excLUC!$S39</f>
        <v>78.041026315415863</v>
      </c>
      <c r="N39" s="8">
        <f>vals_ghg_excLUC!$Y39</f>
        <v>62.049972618186644</v>
      </c>
      <c r="O39" s="8"/>
      <c r="P39" s="8"/>
      <c r="Q39" s="9">
        <f t="shared" si="15"/>
        <v>11.03285728676768</v>
      </c>
      <c r="R39" s="9">
        <v>76.183000000000007</v>
      </c>
      <c r="S39" s="9">
        <v>88.34</v>
      </c>
    </row>
    <row r="40" spans="1:19" x14ac:dyDescent="0.35">
      <c r="A40" s="3">
        <f>vals_ghg_excLUC!$A40</f>
        <v>1887</v>
      </c>
      <c r="B40" s="4">
        <f t="shared" si="8"/>
        <v>49.535854388596682</v>
      </c>
      <c r="C40" s="4">
        <f t="shared" si="9"/>
        <v>67.253014897248633</v>
      </c>
      <c r="D40" s="4">
        <f t="shared" si="10"/>
        <v>62.324206455949003</v>
      </c>
      <c r="E40" s="4">
        <f t="shared" si="11"/>
        <v>78.298888536839868</v>
      </c>
      <c r="F40" s="4">
        <f t="shared" si="12"/>
        <v>12.788352067352321</v>
      </c>
      <c r="G40" s="4">
        <f t="shared" si="13"/>
        <v>4.9288084412996298</v>
      </c>
      <c r="H40" s="4">
        <f t="shared" si="14"/>
        <v>0</v>
      </c>
      <c r="I40" s="5">
        <f>vals_ghg_excLUC!$R40</f>
        <v>67.253014897248633</v>
      </c>
      <c r="J40" s="5">
        <f>vals_ghg_excLUC!$X40</f>
        <v>49.535854388596682</v>
      </c>
      <c r="K40" s="5"/>
      <c r="L40" s="5"/>
      <c r="M40" s="5">
        <f>vals_ghg_excLUC!$S40</f>
        <v>78.298888536839868</v>
      </c>
      <c r="N40" s="5">
        <f>vals_ghg_excLUC!$Y40</f>
        <v>62.324206455949003</v>
      </c>
      <c r="O40" s="5"/>
      <c r="P40" s="5"/>
      <c r="Q40" s="9">
        <f t="shared" si="15"/>
        <v>11.045873639591235</v>
      </c>
      <c r="R40" s="9">
        <v>76.141000000000005</v>
      </c>
      <c r="S40" s="9">
        <v>88.332999999999998</v>
      </c>
    </row>
    <row r="41" spans="1:19" x14ac:dyDescent="0.35">
      <c r="A41" s="6">
        <f>vals_ghg_excLUC!$A41</f>
        <v>1888</v>
      </c>
      <c r="B41" s="7">
        <f t="shared" si="8"/>
        <v>49.848005510277545</v>
      </c>
      <c r="C41" s="7">
        <f t="shared" si="9"/>
        <v>67.546594254485242</v>
      </c>
      <c r="D41" s="7">
        <f t="shared" si="10"/>
        <v>62.634986532308844</v>
      </c>
      <c r="E41" s="7">
        <f t="shared" si="11"/>
        <v>78.591471673663293</v>
      </c>
      <c r="F41" s="7">
        <f t="shared" si="12"/>
        <v>12.786981022031298</v>
      </c>
      <c r="G41" s="7">
        <f t="shared" si="13"/>
        <v>4.9116077221763987</v>
      </c>
      <c r="H41" s="7">
        <f t="shared" si="14"/>
        <v>0</v>
      </c>
      <c r="I41" s="8">
        <f>vals_ghg_excLUC!$R41</f>
        <v>67.546594254485242</v>
      </c>
      <c r="J41" s="8">
        <f>vals_ghg_excLUC!$X41</f>
        <v>49.848005510277545</v>
      </c>
      <c r="K41" s="8"/>
      <c r="L41" s="8"/>
      <c r="M41" s="8">
        <f>vals_ghg_excLUC!$S41</f>
        <v>78.591471673663293</v>
      </c>
      <c r="N41" s="8">
        <f>vals_ghg_excLUC!$Y41</f>
        <v>62.634986532308844</v>
      </c>
      <c r="O41" s="8"/>
      <c r="P41" s="8"/>
      <c r="Q41" s="9">
        <f t="shared" si="15"/>
        <v>11.04487741917805</v>
      </c>
      <c r="R41" s="9">
        <v>76.153999999999996</v>
      </c>
      <c r="S41" s="9">
        <v>88.355000000000004</v>
      </c>
    </row>
    <row r="42" spans="1:19" x14ac:dyDescent="0.35">
      <c r="A42" s="3">
        <f>vals_ghg_excLUC!$A42</f>
        <v>1889</v>
      </c>
      <c r="B42" s="4">
        <f t="shared" si="8"/>
        <v>50.124148474324336</v>
      </c>
      <c r="C42" s="4">
        <f t="shared" si="9"/>
        <v>67.791999016765743</v>
      </c>
      <c r="D42" s="4">
        <f t="shared" si="10"/>
        <v>62.919570274443437</v>
      </c>
      <c r="E42" s="4">
        <f t="shared" si="11"/>
        <v>78.852874189119831</v>
      </c>
      <c r="F42" s="4">
        <f t="shared" si="12"/>
        <v>12.795421800119101</v>
      </c>
      <c r="G42" s="4">
        <f t="shared" si="13"/>
        <v>4.8724287423223061</v>
      </c>
      <c r="H42" s="4">
        <f t="shared" si="14"/>
        <v>0</v>
      </c>
      <c r="I42" s="5">
        <f>vals_ghg_excLUC!$R42</f>
        <v>67.791999016765743</v>
      </c>
      <c r="J42" s="5">
        <f>vals_ghg_excLUC!$X42</f>
        <v>50.124148474324336</v>
      </c>
      <c r="K42" s="5"/>
      <c r="L42" s="5"/>
      <c r="M42" s="5">
        <f>vals_ghg_excLUC!$S42</f>
        <v>78.852874189119831</v>
      </c>
      <c r="N42" s="5">
        <f>vals_ghg_excLUC!$Y42</f>
        <v>62.919570274443437</v>
      </c>
      <c r="O42" s="5"/>
      <c r="P42" s="5"/>
      <c r="Q42" s="9">
        <f t="shared" si="15"/>
        <v>11.060875172354088</v>
      </c>
      <c r="R42" s="9">
        <v>76.119</v>
      </c>
      <c r="S42" s="9">
        <v>88.352000000000004</v>
      </c>
    </row>
    <row r="43" spans="1:19" x14ac:dyDescent="0.35">
      <c r="A43" s="6">
        <f>vals_ghg_excLUC!$A43</f>
        <v>1890</v>
      </c>
      <c r="B43" s="7">
        <f t="shared" si="8"/>
        <v>50.433788652669357</v>
      </c>
      <c r="C43" s="7">
        <f t="shared" si="9"/>
        <v>68.075098552739703</v>
      </c>
      <c r="D43" s="7">
        <f t="shared" si="10"/>
        <v>63.23033498274058</v>
      </c>
      <c r="E43" s="7">
        <f t="shared" si="11"/>
        <v>79.141772895100289</v>
      </c>
      <c r="F43" s="7">
        <f t="shared" si="12"/>
        <v>12.796546330071223</v>
      </c>
      <c r="G43" s="7">
        <f t="shared" si="13"/>
        <v>4.8447635699991238</v>
      </c>
      <c r="H43" s="7">
        <f t="shared" si="14"/>
        <v>0</v>
      </c>
      <c r="I43" s="8">
        <f>vals_ghg_excLUC!$R43</f>
        <v>68.075098552739703</v>
      </c>
      <c r="J43" s="8">
        <f>vals_ghg_excLUC!$X43</f>
        <v>50.433788652669357</v>
      </c>
      <c r="K43" s="8"/>
      <c r="L43" s="8"/>
      <c r="M43" s="8">
        <f>vals_ghg_excLUC!$S43</f>
        <v>79.141772895100289</v>
      </c>
      <c r="N43" s="8">
        <f>vals_ghg_excLUC!$Y43</f>
        <v>63.23033498274058</v>
      </c>
      <c r="O43" s="8"/>
      <c r="P43" s="8"/>
      <c r="Q43" s="9">
        <f t="shared" si="15"/>
        <v>11.066674342360585</v>
      </c>
      <c r="R43" s="9">
        <v>76.138999999999996</v>
      </c>
      <c r="S43" s="9">
        <v>88.385999999999996</v>
      </c>
    </row>
    <row r="44" spans="1:19" x14ac:dyDescent="0.35">
      <c r="A44" s="3">
        <f>vals_ghg_excLUC!$A44</f>
        <v>1891</v>
      </c>
      <c r="B44" s="4">
        <f t="shared" si="8"/>
        <v>50.745005754902152</v>
      </c>
      <c r="C44" s="4">
        <f t="shared" si="9"/>
        <v>68.352609290358032</v>
      </c>
      <c r="D44" s="4">
        <f t="shared" si="10"/>
        <v>63.544316477857812</v>
      </c>
      <c r="E44" s="4">
        <f t="shared" si="11"/>
        <v>79.429349064791197</v>
      </c>
      <c r="F44" s="4">
        <f t="shared" si="12"/>
        <v>12.79931072295566</v>
      </c>
      <c r="G44" s="4">
        <f t="shared" si="13"/>
        <v>4.8082928125002198</v>
      </c>
      <c r="H44" s="4">
        <f t="shared" si="14"/>
        <v>0</v>
      </c>
      <c r="I44" s="5">
        <f>vals_ghg_excLUC!$R44</f>
        <v>68.352609290358032</v>
      </c>
      <c r="J44" s="5">
        <f>vals_ghg_excLUC!$X44</f>
        <v>50.745005754902152</v>
      </c>
      <c r="K44" s="5"/>
      <c r="L44" s="5"/>
      <c r="M44" s="5">
        <f>vals_ghg_excLUC!$S44</f>
        <v>79.429349064791197</v>
      </c>
      <c r="N44" s="5">
        <f>vals_ghg_excLUC!$Y44</f>
        <v>63.544316477857812</v>
      </c>
      <c r="O44" s="5"/>
      <c r="P44" s="5"/>
      <c r="Q44" s="9">
        <f t="shared" si="15"/>
        <v>11.076739774433165</v>
      </c>
      <c r="R44" s="9">
        <v>76.16</v>
      </c>
      <c r="S44" s="9">
        <v>88.427000000000007</v>
      </c>
    </row>
    <row r="45" spans="1:19" x14ac:dyDescent="0.35">
      <c r="A45" s="6">
        <f>vals_ghg_excLUC!$A45</f>
        <v>1892</v>
      </c>
      <c r="B45" s="7">
        <f t="shared" si="8"/>
        <v>51.03585879095489</v>
      </c>
      <c r="C45" s="7">
        <f t="shared" si="9"/>
        <v>68.606949994372641</v>
      </c>
      <c r="D45" s="7">
        <f t="shared" si="10"/>
        <v>63.837426847652857</v>
      </c>
      <c r="E45" s="7">
        <f t="shared" si="11"/>
        <v>79.691916889440279</v>
      </c>
      <c r="F45" s="7">
        <f t="shared" si="12"/>
        <v>12.801568056697967</v>
      </c>
      <c r="G45" s="7">
        <f t="shared" si="13"/>
        <v>4.7695231467197843</v>
      </c>
      <c r="H45" s="7">
        <f t="shared" si="14"/>
        <v>0</v>
      </c>
      <c r="I45" s="8">
        <f>vals_ghg_excLUC!$R45</f>
        <v>68.606949994372641</v>
      </c>
      <c r="J45" s="8">
        <f>vals_ghg_excLUC!$X45</f>
        <v>51.03585879095489</v>
      </c>
      <c r="K45" s="8"/>
      <c r="L45" s="8"/>
      <c r="M45" s="8">
        <f>vals_ghg_excLUC!$S45</f>
        <v>79.691916889440279</v>
      </c>
      <c r="N45" s="8">
        <f>vals_ghg_excLUC!$Y45</f>
        <v>63.837426847652857</v>
      </c>
      <c r="O45" s="8"/>
      <c r="P45" s="8"/>
      <c r="Q45" s="9">
        <f t="shared" si="15"/>
        <v>11.084966895067637</v>
      </c>
      <c r="R45" s="9">
        <v>76.155000000000001</v>
      </c>
      <c r="S45" s="9">
        <v>88.447000000000003</v>
      </c>
    </row>
    <row r="46" spans="1:19" x14ac:dyDescent="0.35">
      <c r="A46" s="3">
        <f>vals_ghg_excLUC!$A46</f>
        <v>1893</v>
      </c>
      <c r="B46" s="4">
        <f t="shared" si="8"/>
        <v>51.281535933819264</v>
      </c>
      <c r="C46" s="4">
        <f t="shared" si="9"/>
        <v>68.802453797634627</v>
      </c>
      <c r="D46" s="4">
        <f t="shared" si="10"/>
        <v>64.098753066220539</v>
      </c>
      <c r="E46" s="4">
        <f t="shared" si="11"/>
        <v>79.918389148365307</v>
      </c>
      <c r="F46" s="4">
        <f t="shared" si="12"/>
        <v>12.817217132401275</v>
      </c>
      <c r="G46" s="4">
        <f t="shared" si="13"/>
        <v>4.703700731414088</v>
      </c>
      <c r="H46" s="4">
        <f t="shared" si="14"/>
        <v>0</v>
      </c>
      <c r="I46" s="5">
        <f>vals_ghg_excLUC!$R46</f>
        <v>68.802453797634627</v>
      </c>
      <c r="J46" s="5">
        <f>vals_ghg_excLUC!$X46</f>
        <v>51.281535933819264</v>
      </c>
      <c r="K46" s="5"/>
      <c r="L46" s="5"/>
      <c r="M46" s="5">
        <f>vals_ghg_excLUC!$S46</f>
        <v>79.918389148365307</v>
      </c>
      <c r="N46" s="5">
        <f>vals_ghg_excLUC!$Y46</f>
        <v>64.098753066220539</v>
      </c>
      <c r="O46" s="5"/>
      <c r="P46" s="5"/>
      <c r="Q46" s="9">
        <f t="shared" si="15"/>
        <v>11.11593535073068</v>
      </c>
      <c r="R46" s="9">
        <v>76.081999999999994</v>
      </c>
      <c r="S46" s="9">
        <v>88.438999999999993</v>
      </c>
    </row>
    <row r="47" spans="1:19" x14ac:dyDescent="0.35">
      <c r="A47" s="6">
        <f>vals_ghg_excLUC!$A47</f>
        <v>1894</v>
      </c>
      <c r="B47" s="7">
        <f t="shared" si="8"/>
        <v>51.531925320078486</v>
      </c>
      <c r="C47" s="7">
        <f t="shared" si="9"/>
        <v>69.002367120093538</v>
      </c>
      <c r="D47" s="7">
        <f t="shared" si="10"/>
        <v>64.359926399371929</v>
      </c>
      <c r="E47" s="7">
        <f t="shared" si="11"/>
        <v>80.141054156343202</v>
      </c>
      <c r="F47" s="7">
        <f t="shared" si="12"/>
        <v>12.828001079293443</v>
      </c>
      <c r="G47" s="7">
        <f t="shared" si="13"/>
        <v>4.6424407207216092</v>
      </c>
      <c r="H47" s="7">
        <f t="shared" si="14"/>
        <v>0</v>
      </c>
      <c r="I47" s="8">
        <f>vals_ghg_excLUC!$R47</f>
        <v>69.002367120093538</v>
      </c>
      <c r="J47" s="8">
        <f>vals_ghg_excLUC!$X47</f>
        <v>51.531925320078486</v>
      </c>
      <c r="K47" s="8"/>
      <c r="L47" s="8"/>
      <c r="M47" s="8">
        <f>vals_ghg_excLUC!$S47</f>
        <v>80.141054156343202</v>
      </c>
      <c r="N47" s="8">
        <f>vals_ghg_excLUC!$Y47</f>
        <v>64.359926399371929</v>
      </c>
      <c r="O47" s="8"/>
      <c r="P47" s="8"/>
      <c r="Q47" s="9">
        <f t="shared" si="15"/>
        <v>11.138687036249664</v>
      </c>
      <c r="R47" s="9">
        <v>76.05</v>
      </c>
      <c r="S47" s="9">
        <v>88.444000000000003</v>
      </c>
    </row>
    <row r="48" spans="1:19" x14ac:dyDescent="0.35">
      <c r="A48" s="3">
        <f>vals_ghg_excLUC!$A48</f>
        <v>1895</v>
      </c>
      <c r="B48" s="4">
        <f t="shared" si="8"/>
        <v>51.791266089281763</v>
      </c>
      <c r="C48" s="4">
        <f t="shared" si="9"/>
        <v>69.205865473748034</v>
      </c>
      <c r="D48" s="4">
        <f t="shared" si="10"/>
        <v>64.630474651502183</v>
      </c>
      <c r="E48" s="4">
        <f t="shared" si="11"/>
        <v>80.369910056633131</v>
      </c>
      <c r="F48" s="4">
        <f t="shared" si="12"/>
        <v>12.839208562220421</v>
      </c>
      <c r="G48" s="4">
        <f t="shared" si="13"/>
        <v>4.5753908222458506</v>
      </c>
      <c r="H48" s="4">
        <f t="shared" si="14"/>
        <v>0</v>
      </c>
      <c r="I48" s="5">
        <f>vals_ghg_excLUC!$R48</f>
        <v>69.205865473748034</v>
      </c>
      <c r="J48" s="5">
        <f>vals_ghg_excLUC!$X48</f>
        <v>51.791266089281763</v>
      </c>
      <c r="K48" s="5"/>
      <c r="L48" s="5"/>
      <c r="M48" s="5">
        <f>vals_ghg_excLUC!$S48</f>
        <v>80.369910056633131</v>
      </c>
      <c r="N48" s="5">
        <f>vals_ghg_excLUC!$Y48</f>
        <v>64.630474651502183</v>
      </c>
      <c r="O48" s="5"/>
      <c r="P48" s="5"/>
      <c r="Q48" s="9">
        <f t="shared" si="15"/>
        <v>11.164044582885097</v>
      </c>
      <c r="R48" s="9">
        <v>76.012</v>
      </c>
      <c r="S48" s="9">
        <v>88.453999999999994</v>
      </c>
    </row>
    <row r="49" spans="1:19" x14ac:dyDescent="0.35">
      <c r="A49" s="6">
        <f>vals_ghg_excLUC!$A49</f>
        <v>1896</v>
      </c>
      <c r="B49" s="7">
        <f t="shared" si="8"/>
        <v>52.047222286395666</v>
      </c>
      <c r="C49" s="7">
        <f t="shared" si="9"/>
        <v>69.403466417268049</v>
      </c>
      <c r="D49" s="7">
        <f t="shared" si="10"/>
        <v>64.897272312074932</v>
      </c>
      <c r="E49" s="7">
        <f t="shared" si="11"/>
        <v>80.592433444327852</v>
      </c>
      <c r="F49" s="7">
        <f t="shared" si="12"/>
        <v>12.850050025679266</v>
      </c>
      <c r="G49" s="7">
        <f t="shared" si="13"/>
        <v>4.5061941051931171</v>
      </c>
      <c r="H49" s="7">
        <f t="shared" si="14"/>
        <v>0</v>
      </c>
      <c r="I49" s="8">
        <f>vals_ghg_excLUC!$R49</f>
        <v>69.403466417268049</v>
      </c>
      <c r="J49" s="8">
        <f>vals_ghg_excLUC!$X49</f>
        <v>52.047222286395666</v>
      </c>
      <c r="K49" s="8"/>
      <c r="L49" s="8"/>
      <c r="M49" s="8">
        <f>vals_ghg_excLUC!$S49</f>
        <v>80.592433444327852</v>
      </c>
      <c r="N49" s="8">
        <f>vals_ghg_excLUC!$Y49</f>
        <v>64.897272312074932</v>
      </c>
      <c r="O49" s="8"/>
      <c r="P49" s="8"/>
      <c r="Q49" s="9">
        <f t="shared" si="15"/>
        <v>11.188967027059803</v>
      </c>
      <c r="R49" s="9">
        <v>75.988</v>
      </c>
      <c r="S49" s="9">
        <v>88.465000000000003</v>
      </c>
    </row>
    <row r="50" spans="1:19" x14ac:dyDescent="0.35">
      <c r="A50" s="3">
        <f>vals_ghg_excLUC!$A50</f>
        <v>1897</v>
      </c>
      <c r="B50" s="4">
        <f t="shared" si="8"/>
        <v>52.305870384805594</v>
      </c>
      <c r="C50" s="4">
        <f t="shared" si="9"/>
        <v>69.598110103126658</v>
      </c>
      <c r="D50" s="4">
        <f t="shared" si="10"/>
        <v>65.169001901681696</v>
      </c>
      <c r="E50" s="4">
        <f t="shared" si="11"/>
        <v>80.817033707178751</v>
      </c>
      <c r="F50" s="4">
        <f t="shared" si="12"/>
        <v>12.863131516876102</v>
      </c>
      <c r="G50" s="4">
        <f t="shared" si="13"/>
        <v>4.4291082014449614</v>
      </c>
      <c r="H50" s="4">
        <f t="shared" si="14"/>
        <v>0</v>
      </c>
      <c r="I50" s="5">
        <f>vals_ghg_excLUC!$R50</f>
        <v>69.598110103126658</v>
      </c>
      <c r="J50" s="5">
        <f>vals_ghg_excLUC!$X50</f>
        <v>52.305870384805594</v>
      </c>
      <c r="K50" s="5"/>
      <c r="L50" s="5"/>
      <c r="M50" s="5">
        <f>vals_ghg_excLUC!$S50</f>
        <v>80.817033707178751</v>
      </c>
      <c r="N50" s="5">
        <f>vals_ghg_excLUC!$Y50</f>
        <v>65.169001901681696</v>
      </c>
      <c r="O50" s="5"/>
      <c r="P50" s="5"/>
      <c r="Q50" s="9">
        <f t="shared" si="15"/>
        <v>11.218923604052094</v>
      </c>
      <c r="R50" s="9">
        <v>75.963999999999999</v>
      </c>
      <c r="S50" s="9">
        <v>88.483000000000004</v>
      </c>
    </row>
    <row r="51" spans="1:19" x14ac:dyDescent="0.35">
      <c r="A51" s="6">
        <f>vals_ghg_excLUC!$A51</f>
        <v>1898</v>
      </c>
      <c r="B51" s="7">
        <f t="shared" si="8"/>
        <v>52.569014356439162</v>
      </c>
      <c r="C51" s="7">
        <f t="shared" si="9"/>
        <v>69.789809788308261</v>
      </c>
      <c r="D51" s="7">
        <f t="shared" si="10"/>
        <v>65.447420465492002</v>
      </c>
      <c r="E51" s="7">
        <f t="shared" si="11"/>
        <v>81.044023107725423</v>
      </c>
      <c r="F51" s="7">
        <f t="shared" si="12"/>
        <v>12.87840610905284</v>
      </c>
      <c r="G51" s="7">
        <f t="shared" si="13"/>
        <v>4.3423893228162598</v>
      </c>
      <c r="H51" s="7">
        <f t="shared" si="14"/>
        <v>0</v>
      </c>
      <c r="I51" s="8">
        <f>vals_ghg_excLUC!$R51</f>
        <v>69.789809788308261</v>
      </c>
      <c r="J51" s="8">
        <f>vals_ghg_excLUC!$X51</f>
        <v>52.569014356439162</v>
      </c>
      <c r="K51" s="8"/>
      <c r="L51" s="8"/>
      <c r="M51" s="8">
        <f>vals_ghg_excLUC!$S51</f>
        <v>81.044023107725423</v>
      </c>
      <c r="N51" s="8">
        <f>vals_ghg_excLUC!$Y51</f>
        <v>65.447420465492002</v>
      </c>
      <c r="O51" s="8"/>
      <c r="P51" s="8"/>
      <c r="Q51" s="9">
        <f t="shared" si="15"/>
        <v>11.254213319417161</v>
      </c>
      <c r="R51" s="9">
        <v>75.942999999999998</v>
      </c>
      <c r="S51" s="9">
        <v>88.512</v>
      </c>
    </row>
    <row r="52" spans="1:19" x14ac:dyDescent="0.35">
      <c r="A52" s="3">
        <f>vals_ghg_excLUC!$A52</f>
        <v>1899</v>
      </c>
      <c r="B52" s="4">
        <f t="shared" si="8"/>
        <v>52.870053313896456</v>
      </c>
      <c r="C52" s="4">
        <f t="shared" si="9"/>
        <v>70.017771289296732</v>
      </c>
      <c r="D52" s="4">
        <f t="shared" si="10"/>
        <v>65.755522994578058</v>
      </c>
      <c r="E52" s="4">
        <f t="shared" si="11"/>
        <v>81.296044754070721</v>
      </c>
      <c r="F52" s="4">
        <f t="shared" si="12"/>
        <v>12.885469680681602</v>
      </c>
      <c r="G52" s="4">
        <f t="shared" si="13"/>
        <v>4.2622482947186739</v>
      </c>
      <c r="H52" s="4">
        <f t="shared" si="14"/>
        <v>0</v>
      </c>
      <c r="I52" s="5">
        <f>vals_ghg_excLUC!$R52</f>
        <v>70.017771289296732</v>
      </c>
      <c r="J52" s="5">
        <f>vals_ghg_excLUC!$X52</f>
        <v>52.870053313896456</v>
      </c>
      <c r="K52" s="5"/>
      <c r="L52" s="5"/>
      <c r="M52" s="5">
        <f>vals_ghg_excLUC!$S52</f>
        <v>81.296044754070721</v>
      </c>
      <c r="N52" s="5">
        <f>vals_ghg_excLUC!$Y52</f>
        <v>65.755522994578058</v>
      </c>
      <c r="O52" s="5"/>
      <c r="P52" s="5"/>
      <c r="Q52" s="9">
        <f t="shared" si="15"/>
        <v>11.278273464773989</v>
      </c>
      <c r="R52" s="9">
        <v>75.962999999999994</v>
      </c>
      <c r="S52" s="9">
        <v>88.564999999999998</v>
      </c>
    </row>
    <row r="53" spans="1:19" x14ac:dyDescent="0.35">
      <c r="A53" s="6">
        <f>vals_ghg_excLUC!$A53</f>
        <v>1900</v>
      </c>
      <c r="B53" s="7">
        <f t="shared" si="8"/>
        <v>53.183072771588115</v>
      </c>
      <c r="C53" s="7">
        <f t="shared" si="9"/>
        <v>70.254585909686668</v>
      </c>
      <c r="D53" s="7">
        <f t="shared" si="10"/>
        <v>66.074175193173659</v>
      </c>
      <c r="E53" s="7">
        <f t="shared" si="11"/>
        <v>81.556533045559632</v>
      </c>
      <c r="F53" s="7">
        <f t="shared" si="12"/>
        <v>12.891102421585543</v>
      </c>
      <c r="G53" s="7">
        <f t="shared" si="13"/>
        <v>4.1804107165130091</v>
      </c>
      <c r="H53" s="7">
        <f t="shared" si="14"/>
        <v>0</v>
      </c>
      <c r="I53" s="8">
        <f>vals_ghg_excLUC!$R53</f>
        <v>70.254585909686668</v>
      </c>
      <c r="J53" s="8">
        <f>vals_ghg_excLUC!$X53</f>
        <v>53.183072771588115</v>
      </c>
      <c r="K53" s="8"/>
      <c r="L53" s="8"/>
      <c r="M53" s="8">
        <f>vals_ghg_excLUC!$S53</f>
        <v>81.556533045559632</v>
      </c>
      <c r="N53" s="8">
        <f>vals_ghg_excLUC!$Y53</f>
        <v>66.074175193173659</v>
      </c>
      <c r="O53" s="8"/>
      <c r="P53" s="8"/>
      <c r="Q53" s="9">
        <f t="shared" si="15"/>
        <v>11.301947135872965</v>
      </c>
      <c r="R53" s="9">
        <v>75.981999999999999</v>
      </c>
      <c r="S53" s="9">
        <v>88.626000000000005</v>
      </c>
    </row>
    <row r="54" spans="1:19" x14ac:dyDescent="0.35">
      <c r="A54" s="3">
        <f>vals_ghg_excLUC!$A54</f>
        <v>1901</v>
      </c>
      <c r="B54" s="4">
        <f t="shared" si="8"/>
        <v>53.483358367517845</v>
      </c>
      <c r="C54" s="4">
        <f t="shared" si="9"/>
        <v>70.475753136695616</v>
      </c>
      <c r="D54" s="4">
        <f t="shared" si="10"/>
        <v>66.382056827613852</v>
      </c>
      <c r="E54" s="4">
        <f t="shared" si="11"/>
        <v>81.803187249693167</v>
      </c>
      <c r="F54" s="4">
        <f t="shared" si="12"/>
        <v>12.898698460096007</v>
      </c>
      <c r="G54" s="4">
        <f t="shared" si="13"/>
        <v>4.0936963090817642</v>
      </c>
      <c r="H54" s="4">
        <f t="shared" si="14"/>
        <v>0</v>
      </c>
      <c r="I54" s="5">
        <f>vals_ghg_excLUC!$R54</f>
        <v>70.475753136695616</v>
      </c>
      <c r="J54" s="5">
        <f>vals_ghg_excLUC!$X54</f>
        <v>53.483358367517845</v>
      </c>
      <c r="K54" s="5"/>
      <c r="L54" s="5"/>
      <c r="M54" s="5">
        <f>vals_ghg_excLUC!$S54</f>
        <v>81.803187249693167</v>
      </c>
      <c r="N54" s="5">
        <f>vals_ghg_excLUC!$Y54</f>
        <v>66.382056827613852</v>
      </c>
      <c r="O54" s="5"/>
      <c r="P54" s="5"/>
      <c r="Q54" s="9">
        <f t="shared" si="15"/>
        <v>11.327434112997551</v>
      </c>
      <c r="R54" s="9">
        <v>75.983999999999995</v>
      </c>
      <c r="S54" s="9">
        <v>88.676000000000002</v>
      </c>
    </row>
    <row r="55" spans="1:19" x14ac:dyDescent="0.35">
      <c r="A55" s="6">
        <f>vals_ghg_excLUC!$A55</f>
        <v>1902</v>
      </c>
      <c r="B55" s="7">
        <f t="shared" si="8"/>
        <v>53.78193542230445</v>
      </c>
      <c r="C55" s="7">
        <f t="shared" si="9"/>
        <v>70.700351675601809</v>
      </c>
      <c r="D55" s="7">
        <f t="shared" si="10"/>
        <v>66.680446279189397</v>
      </c>
      <c r="E55" s="7">
        <f t="shared" si="11"/>
        <v>82.037919080859865</v>
      </c>
      <c r="F55" s="7">
        <f t="shared" si="12"/>
        <v>12.898510856884947</v>
      </c>
      <c r="G55" s="7">
        <f t="shared" si="13"/>
        <v>4.0199053964124118</v>
      </c>
      <c r="H55" s="7">
        <f t="shared" si="14"/>
        <v>0</v>
      </c>
      <c r="I55" s="8">
        <f>vals_ghg_excLUC!$R55</f>
        <v>70.700351675601809</v>
      </c>
      <c r="J55" s="8">
        <f>vals_ghg_excLUC!$X55</f>
        <v>53.78193542230445</v>
      </c>
      <c r="K55" s="8"/>
      <c r="L55" s="8"/>
      <c r="M55" s="8">
        <f>vals_ghg_excLUC!$S55</f>
        <v>82.037919080859865</v>
      </c>
      <c r="N55" s="8">
        <f>vals_ghg_excLUC!$Y55</f>
        <v>66.680446279189397</v>
      </c>
      <c r="O55" s="8"/>
      <c r="P55" s="8"/>
      <c r="Q55" s="9">
        <f t="shared" si="15"/>
        <v>11.337567405258056</v>
      </c>
      <c r="R55" s="9">
        <v>76.003</v>
      </c>
      <c r="S55" s="9">
        <v>88.721000000000004</v>
      </c>
    </row>
    <row r="56" spans="1:19" x14ac:dyDescent="0.35">
      <c r="A56" s="3">
        <f>vals_ghg_excLUC!$A56</f>
        <v>1903</v>
      </c>
      <c r="B56" s="4">
        <f t="shared" si="8"/>
        <v>54.122788327678137</v>
      </c>
      <c r="C56" s="4">
        <f t="shared" si="9"/>
        <v>70.970146957256901</v>
      </c>
      <c r="D56" s="4">
        <f t="shared" si="10"/>
        <v>67.004623753194878</v>
      </c>
      <c r="E56" s="4">
        <f t="shared" si="11"/>
        <v>82.291660747646162</v>
      </c>
      <c r="F56" s="4">
        <f t="shared" si="12"/>
        <v>12.881835425516741</v>
      </c>
      <c r="G56" s="4">
        <f t="shared" si="13"/>
        <v>3.9655232040620234</v>
      </c>
      <c r="H56" s="4">
        <f t="shared" si="14"/>
        <v>0</v>
      </c>
      <c r="I56" s="5">
        <f>vals_ghg_excLUC!$R56</f>
        <v>70.970146957256901</v>
      </c>
      <c r="J56" s="5">
        <f>vals_ghg_excLUC!$X56</f>
        <v>54.122788327678137</v>
      </c>
      <c r="K56" s="5"/>
      <c r="L56" s="5"/>
      <c r="M56" s="5">
        <f>vals_ghg_excLUC!$S56</f>
        <v>82.291660747646162</v>
      </c>
      <c r="N56" s="5">
        <f>vals_ghg_excLUC!$Y56</f>
        <v>67.004623753194878</v>
      </c>
      <c r="O56" s="5"/>
      <c r="P56" s="5"/>
      <c r="Q56" s="9">
        <f t="shared" si="15"/>
        <v>11.321513790389261</v>
      </c>
      <c r="R56" s="9">
        <v>76.084999999999994</v>
      </c>
      <c r="S56" s="9">
        <v>88.781999999999996</v>
      </c>
    </row>
    <row r="57" spans="1:19" x14ac:dyDescent="0.35">
      <c r="A57" s="6">
        <f>vals_ghg_excLUC!$A57</f>
        <v>1904</v>
      </c>
      <c r="B57" s="7">
        <f t="shared" si="8"/>
        <v>54.435352510482971</v>
      </c>
      <c r="C57" s="7">
        <f t="shared" si="9"/>
        <v>71.205985878608018</v>
      </c>
      <c r="D57" s="7">
        <f t="shared" si="10"/>
        <v>67.308520931497711</v>
      </c>
      <c r="E57" s="7">
        <f t="shared" si="11"/>
        <v>82.522842763246487</v>
      </c>
      <c r="F57" s="7">
        <f t="shared" si="12"/>
        <v>12.873168421014739</v>
      </c>
      <c r="G57" s="7">
        <f t="shared" si="13"/>
        <v>3.8974649471103078</v>
      </c>
      <c r="H57" s="7">
        <f t="shared" si="14"/>
        <v>0</v>
      </c>
      <c r="I57" s="8">
        <f>vals_ghg_excLUC!$R57</f>
        <v>71.205985878608018</v>
      </c>
      <c r="J57" s="8">
        <f>vals_ghg_excLUC!$X57</f>
        <v>54.435352510482971</v>
      </c>
      <c r="K57" s="8"/>
      <c r="L57" s="8"/>
      <c r="M57" s="8">
        <f>vals_ghg_excLUC!$S57</f>
        <v>82.522842763246487</v>
      </c>
      <c r="N57" s="8">
        <f>vals_ghg_excLUC!$Y57</f>
        <v>67.308520931497711</v>
      </c>
      <c r="O57" s="8"/>
      <c r="P57" s="8"/>
      <c r="Q57" s="9">
        <f t="shared" si="15"/>
        <v>11.316856884638469</v>
      </c>
      <c r="R57" s="9">
        <v>76.14</v>
      </c>
      <c r="S57" s="9">
        <v>88.831000000000003</v>
      </c>
    </row>
    <row r="58" spans="1:19" x14ac:dyDescent="0.35">
      <c r="A58" s="3">
        <f>vals_ghg_excLUC!$A58</f>
        <v>1905</v>
      </c>
      <c r="B58" s="4">
        <f t="shared" si="8"/>
        <v>54.775980414616313</v>
      </c>
      <c r="C58" s="4">
        <f t="shared" si="9"/>
        <v>71.473760457286289</v>
      </c>
      <c r="D58" s="4">
        <f t="shared" si="10"/>
        <v>67.62618659399763</v>
      </c>
      <c r="E58" s="4">
        <f t="shared" si="11"/>
        <v>82.762613718678068</v>
      </c>
      <c r="F58" s="4">
        <f t="shared" si="12"/>
        <v>12.850206179381317</v>
      </c>
      <c r="G58" s="4">
        <f t="shared" si="13"/>
        <v>3.8475738632886589</v>
      </c>
      <c r="H58" s="4">
        <f t="shared" si="14"/>
        <v>0</v>
      </c>
      <c r="I58" s="5">
        <f>vals_ghg_excLUC!$R58</f>
        <v>71.473760457286289</v>
      </c>
      <c r="J58" s="5">
        <f>vals_ghg_excLUC!$X58</f>
        <v>54.775980414616313</v>
      </c>
      <c r="K58" s="5"/>
      <c r="L58" s="5"/>
      <c r="M58" s="5">
        <f>vals_ghg_excLUC!$S58</f>
        <v>82.762613718678068</v>
      </c>
      <c r="N58" s="5">
        <f>vals_ghg_excLUC!$Y58</f>
        <v>67.62618659399763</v>
      </c>
      <c r="O58" s="5"/>
      <c r="P58" s="5"/>
      <c r="Q58" s="9">
        <f t="shared" si="15"/>
        <v>11.288853261391779</v>
      </c>
      <c r="R58" s="9">
        <v>76.257999999999996</v>
      </c>
      <c r="S58" s="9">
        <v>88.894000000000005</v>
      </c>
    </row>
    <row r="59" spans="1:19" x14ac:dyDescent="0.35">
      <c r="A59" s="6">
        <f>vals_ghg_excLUC!$A59</f>
        <v>1906</v>
      </c>
      <c r="B59" s="7">
        <f t="shared" si="8"/>
        <v>55.103241512419423</v>
      </c>
      <c r="C59" s="7">
        <f t="shared" si="9"/>
        <v>71.722230466086785</v>
      </c>
      <c r="D59" s="7">
        <f t="shared" si="10"/>
        <v>67.934420566138542</v>
      </c>
      <c r="E59" s="7">
        <f t="shared" si="11"/>
        <v>82.992181724238961</v>
      </c>
      <c r="F59" s="7">
        <f t="shared" si="12"/>
        <v>12.831179053719119</v>
      </c>
      <c r="G59" s="7">
        <f t="shared" si="13"/>
        <v>3.7878098999482432</v>
      </c>
      <c r="H59" s="7">
        <f t="shared" si="14"/>
        <v>0</v>
      </c>
      <c r="I59" s="8">
        <f>vals_ghg_excLUC!$R59</f>
        <v>71.722230466086785</v>
      </c>
      <c r="J59" s="8">
        <f>vals_ghg_excLUC!$X59</f>
        <v>55.103241512419423</v>
      </c>
      <c r="K59" s="8"/>
      <c r="L59" s="8"/>
      <c r="M59" s="8">
        <f>vals_ghg_excLUC!$S59</f>
        <v>82.992181724238961</v>
      </c>
      <c r="N59" s="8">
        <f>vals_ghg_excLUC!$Y59</f>
        <v>67.934420566138542</v>
      </c>
      <c r="O59" s="8"/>
      <c r="P59" s="8"/>
      <c r="Q59" s="9">
        <f t="shared" si="15"/>
        <v>11.269951258152176</v>
      </c>
      <c r="R59" s="9">
        <v>76.349000000000004</v>
      </c>
      <c r="S59" s="9">
        <v>88.942999999999998</v>
      </c>
    </row>
    <row r="60" spans="1:19" x14ac:dyDescent="0.35">
      <c r="A60" s="3">
        <f>vals_ghg_excLUC!$A60</f>
        <v>1907</v>
      </c>
      <c r="B60" s="4">
        <f t="shared" si="8"/>
        <v>55.494399740604742</v>
      </c>
      <c r="C60" s="4">
        <f t="shared" si="9"/>
        <v>72.008939554155688</v>
      </c>
      <c r="D60" s="4">
        <f t="shared" si="10"/>
        <v>68.293920215758291</v>
      </c>
      <c r="E60" s="4">
        <f t="shared" si="11"/>
        <v>83.241239870661175</v>
      </c>
      <c r="F60" s="4">
        <f t="shared" si="12"/>
        <v>12.79952047515355</v>
      </c>
      <c r="G60" s="4">
        <f t="shared" si="13"/>
        <v>3.7150193383973971</v>
      </c>
      <c r="H60" s="4">
        <f t="shared" si="14"/>
        <v>0</v>
      </c>
      <c r="I60" s="5">
        <f>vals_ghg_excLUC!$R60</f>
        <v>72.008939554155688</v>
      </c>
      <c r="J60" s="5">
        <f>vals_ghg_excLUC!$X60</f>
        <v>55.494399740604742</v>
      </c>
      <c r="K60" s="5"/>
      <c r="L60" s="5"/>
      <c r="M60" s="5">
        <f>vals_ghg_excLUC!$S60</f>
        <v>83.241239870661175</v>
      </c>
      <c r="N60" s="5">
        <f>vals_ghg_excLUC!$Y60</f>
        <v>68.293920215758291</v>
      </c>
      <c r="O60" s="5"/>
      <c r="P60" s="5"/>
      <c r="Q60" s="9">
        <f t="shared" si="15"/>
        <v>11.232300316505487</v>
      </c>
      <c r="R60" s="9">
        <v>76.483999999999995</v>
      </c>
      <c r="S60" s="9">
        <v>89.01</v>
      </c>
    </row>
    <row r="61" spans="1:19" x14ac:dyDescent="0.35">
      <c r="A61" s="6">
        <f>vals_ghg_excLUC!$A61</f>
        <v>1908</v>
      </c>
      <c r="B61" s="7">
        <f t="shared" si="8"/>
        <v>55.811041549521093</v>
      </c>
      <c r="C61" s="7">
        <f t="shared" si="9"/>
        <v>72.21595035906762</v>
      </c>
      <c r="D61" s="7">
        <f t="shared" si="10"/>
        <v>68.596672288380148</v>
      </c>
      <c r="E61" s="7">
        <f t="shared" si="11"/>
        <v>83.437300461616303</v>
      </c>
      <c r="F61" s="7">
        <f t="shared" si="12"/>
        <v>12.785630738859055</v>
      </c>
      <c r="G61" s="7">
        <f t="shared" si="13"/>
        <v>3.6192780706874714</v>
      </c>
      <c r="H61" s="7">
        <f t="shared" si="14"/>
        <v>0</v>
      </c>
      <c r="I61" s="8">
        <f>vals_ghg_excLUC!$R61</f>
        <v>72.21595035906762</v>
      </c>
      <c r="J61" s="8">
        <f>vals_ghg_excLUC!$X61</f>
        <v>55.811041549521093</v>
      </c>
      <c r="K61" s="8"/>
      <c r="L61" s="8"/>
      <c r="M61" s="8">
        <f>vals_ghg_excLUC!$S61</f>
        <v>83.437300461616303</v>
      </c>
      <c r="N61" s="8">
        <f>vals_ghg_excLUC!$Y61</f>
        <v>68.596672288380148</v>
      </c>
      <c r="O61" s="8"/>
      <c r="P61" s="8"/>
      <c r="Q61" s="9">
        <f t="shared" si="15"/>
        <v>11.221350102548683</v>
      </c>
      <c r="R61" s="9">
        <v>76.525000000000006</v>
      </c>
      <c r="S61" s="9">
        <v>89.025000000000006</v>
      </c>
    </row>
    <row r="62" spans="1:19" x14ac:dyDescent="0.35">
      <c r="A62" s="3">
        <f>vals_ghg_excLUC!$A62</f>
        <v>1909</v>
      </c>
      <c r="B62" s="4">
        <f t="shared" si="8"/>
        <v>56.131421475130161</v>
      </c>
      <c r="C62" s="4">
        <f t="shared" si="9"/>
        <v>72.426643826654171</v>
      </c>
      <c r="D62" s="4">
        <f t="shared" si="10"/>
        <v>68.902279791735154</v>
      </c>
      <c r="E62" s="4">
        <f t="shared" si="11"/>
        <v>83.634219816732298</v>
      </c>
      <c r="F62" s="4">
        <f t="shared" si="12"/>
        <v>12.770858316604993</v>
      </c>
      <c r="G62" s="4">
        <f t="shared" si="13"/>
        <v>3.5243640349190173</v>
      </c>
      <c r="H62" s="4">
        <f t="shared" si="14"/>
        <v>0</v>
      </c>
      <c r="I62" s="5">
        <f>vals_ghg_excLUC!$R62</f>
        <v>72.426643826654171</v>
      </c>
      <c r="J62" s="5">
        <f>vals_ghg_excLUC!$X62</f>
        <v>56.131421475130161</v>
      </c>
      <c r="K62" s="5"/>
      <c r="L62" s="5"/>
      <c r="M62" s="5">
        <f>vals_ghg_excLUC!$S62</f>
        <v>83.634219816732298</v>
      </c>
      <c r="N62" s="5">
        <f>vals_ghg_excLUC!$Y62</f>
        <v>68.902279791735154</v>
      </c>
      <c r="O62" s="5"/>
      <c r="P62" s="5"/>
      <c r="Q62" s="9">
        <f t="shared" si="15"/>
        <v>11.207575990078126</v>
      </c>
      <c r="R62" s="9">
        <v>76.584000000000003</v>
      </c>
      <c r="S62" s="9">
        <v>89.052999999999997</v>
      </c>
    </row>
    <row r="63" spans="1:19" x14ac:dyDescent="0.35">
      <c r="A63" s="6">
        <f>vals_ghg_excLUC!$A63</f>
        <v>1910</v>
      </c>
      <c r="B63" s="7">
        <f t="shared" si="8"/>
        <v>56.468931799841371</v>
      </c>
      <c r="C63" s="7">
        <f t="shared" si="9"/>
        <v>72.658001968485692</v>
      </c>
      <c r="D63" s="7">
        <f t="shared" si="10"/>
        <v>69.213405066746205</v>
      </c>
      <c r="E63" s="7">
        <f t="shared" si="11"/>
        <v>83.833653507478417</v>
      </c>
      <c r="F63" s="7">
        <f t="shared" si="12"/>
        <v>12.744473266904834</v>
      </c>
      <c r="G63" s="7">
        <f t="shared" si="13"/>
        <v>3.4445969017394873</v>
      </c>
      <c r="H63" s="7">
        <f t="shared" si="14"/>
        <v>0</v>
      </c>
      <c r="I63" s="8">
        <f>vals_ghg_excLUC!$R63</f>
        <v>72.658001968485692</v>
      </c>
      <c r="J63" s="8">
        <f>vals_ghg_excLUC!$X63</f>
        <v>56.468931799841371</v>
      </c>
      <c r="K63" s="8"/>
      <c r="L63" s="8"/>
      <c r="M63" s="8">
        <f>vals_ghg_excLUC!$S63</f>
        <v>83.833653507478417</v>
      </c>
      <c r="N63" s="8">
        <f>vals_ghg_excLUC!$Y63</f>
        <v>69.213405066746205</v>
      </c>
      <c r="O63" s="8"/>
      <c r="P63" s="8"/>
      <c r="Q63" s="9">
        <f t="shared" si="15"/>
        <v>11.175651538992724</v>
      </c>
      <c r="R63" s="9">
        <v>76.671000000000006</v>
      </c>
      <c r="S63" s="9">
        <v>89.085999999999999</v>
      </c>
    </row>
    <row r="64" spans="1:19" x14ac:dyDescent="0.35">
      <c r="A64" s="3">
        <f>vals_ghg_excLUC!$A64</f>
        <v>1911</v>
      </c>
      <c r="B64" s="4">
        <f t="shared" si="8"/>
        <v>56.780373506035545</v>
      </c>
      <c r="C64" s="4">
        <f t="shared" si="9"/>
        <v>72.862418323065384</v>
      </c>
      <c r="D64" s="4">
        <f t="shared" si="10"/>
        <v>69.500776661923382</v>
      </c>
      <c r="E64" s="4">
        <f t="shared" si="11"/>
        <v>84.012958541786858</v>
      </c>
      <c r="F64" s="4">
        <f t="shared" si="12"/>
        <v>12.720403155887837</v>
      </c>
      <c r="G64" s="4">
        <f t="shared" si="13"/>
        <v>3.3616416611420021</v>
      </c>
      <c r="H64" s="4">
        <f t="shared" si="14"/>
        <v>0</v>
      </c>
      <c r="I64" s="5">
        <f>vals_ghg_excLUC!$R64</f>
        <v>72.862418323065384</v>
      </c>
      <c r="J64" s="5">
        <f>vals_ghg_excLUC!$X64</f>
        <v>56.780373506035545</v>
      </c>
      <c r="K64" s="5"/>
      <c r="L64" s="5"/>
      <c r="M64" s="5">
        <f>vals_ghg_excLUC!$S64</f>
        <v>84.012958541786858</v>
      </c>
      <c r="N64" s="5">
        <f>vals_ghg_excLUC!$Y64</f>
        <v>69.500776661923382</v>
      </c>
      <c r="O64" s="5"/>
      <c r="P64" s="5"/>
      <c r="Q64" s="9">
        <f t="shared" si="15"/>
        <v>11.150540218721474</v>
      </c>
      <c r="R64" s="9">
        <v>76.733999999999995</v>
      </c>
      <c r="S64" s="9">
        <v>89.096000000000004</v>
      </c>
    </row>
    <row r="65" spans="1:19" x14ac:dyDescent="0.35">
      <c r="A65" s="6">
        <f>vals_ghg_excLUC!$A65</f>
        <v>1912</v>
      </c>
      <c r="B65" s="7">
        <f t="shared" si="8"/>
        <v>57.099144150728534</v>
      </c>
      <c r="C65" s="7">
        <f t="shared" si="9"/>
        <v>73.065410841349149</v>
      </c>
      <c r="D65" s="7">
        <f t="shared" si="10"/>
        <v>69.8010034955973</v>
      </c>
      <c r="E65" s="7">
        <f t="shared" si="11"/>
        <v>84.202498448864233</v>
      </c>
      <c r="F65" s="7">
        <f t="shared" si="12"/>
        <v>12.701859344868765</v>
      </c>
      <c r="G65" s="7">
        <f t="shared" si="13"/>
        <v>3.2644073457518488</v>
      </c>
      <c r="H65" s="7">
        <f t="shared" si="14"/>
        <v>0</v>
      </c>
      <c r="I65" s="8">
        <f>vals_ghg_excLUC!$R65</f>
        <v>73.065410841349149</v>
      </c>
      <c r="J65" s="8">
        <f>vals_ghg_excLUC!$X65</f>
        <v>57.099144150728534</v>
      </c>
      <c r="K65" s="8"/>
      <c r="L65" s="8"/>
      <c r="M65" s="8">
        <f>vals_ghg_excLUC!$S65</f>
        <v>84.202498448864233</v>
      </c>
      <c r="N65" s="8">
        <f>vals_ghg_excLUC!$Y65</f>
        <v>69.8010034955973</v>
      </c>
      <c r="O65" s="8"/>
      <c r="P65" s="8"/>
      <c r="Q65" s="9">
        <f t="shared" si="15"/>
        <v>11.137087607515085</v>
      </c>
      <c r="R65" s="9">
        <v>76.802999999999997</v>
      </c>
      <c r="S65" s="9">
        <v>89.126999999999995</v>
      </c>
    </row>
    <row r="66" spans="1:19" x14ac:dyDescent="0.35">
      <c r="A66" s="3">
        <f>vals_ghg_excLUC!$A66</f>
        <v>1913</v>
      </c>
      <c r="B66" s="4">
        <f t="shared" si="8"/>
        <v>57.442435331697581</v>
      </c>
      <c r="C66" s="4">
        <f t="shared" si="9"/>
        <v>73.283210351292482</v>
      </c>
      <c r="D66" s="4">
        <f t="shared" si="10"/>
        <v>70.117341210071828</v>
      </c>
      <c r="E66" s="4">
        <f t="shared" si="11"/>
        <v>84.397116075794088</v>
      </c>
      <c r="F66" s="4">
        <f t="shared" si="12"/>
        <v>12.674905878374247</v>
      </c>
      <c r="G66" s="4">
        <f t="shared" si="13"/>
        <v>3.1658691412206537</v>
      </c>
      <c r="H66" s="4">
        <f t="shared" si="14"/>
        <v>0</v>
      </c>
      <c r="I66" s="5">
        <f>vals_ghg_excLUC!$R66</f>
        <v>73.283210351292482</v>
      </c>
      <c r="J66" s="5">
        <f>vals_ghg_excLUC!$X66</f>
        <v>57.442435331697581</v>
      </c>
      <c r="K66" s="5"/>
      <c r="L66" s="5"/>
      <c r="M66" s="5">
        <f>vals_ghg_excLUC!$S66</f>
        <v>84.397116075794088</v>
      </c>
      <c r="N66" s="5">
        <f>vals_ghg_excLUC!$Y66</f>
        <v>70.117341210071828</v>
      </c>
      <c r="O66" s="5"/>
      <c r="P66" s="5"/>
      <c r="Q66" s="9">
        <f t="shared" si="15"/>
        <v>11.113905724501606</v>
      </c>
      <c r="R66" s="9">
        <v>76.905000000000001</v>
      </c>
      <c r="S66" s="9">
        <v>89.165999999999997</v>
      </c>
    </row>
    <row r="67" spans="1:19" x14ac:dyDescent="0.35">
      <c r="A67" s="6">
        <f>vals_ghg_excLUC!$A67</f>
        <v>1914</v>
      </c>
      <c r="B67" s="7">
        <f t="shared" ref="B67:B98" si="16">IFERROR(_xlfn.AGGREGATE(5,6,I67:L67),"")</f>
        <v>57.704213672104743</v>
      </c>
      <c r="C67" s="7">
        <f t="shared" ref="C67:C98" si="17">IFERROR(_xlfn.AGGREGATE(4,6,I67:L67),"")</f>
        <v>73.442440208781292</v>
      </c>
      <c r="D67" s="7">
        <f t="shared" ref="D67:D98" si="18">IFERROR(_xlfn.AGGREGATE(5,6,M67:P67),"")</f>
        <v>70.355245611920409</v>
      </c>
      <c r="E67" s="7">
        <f t="shared" ref="E67:E98" si="19">IFERROR(_xlfn.AGGREGATE(4,6,M67:P67),"")</f>
        <v>84.532484450871905</v>
      </c>
      <c r="F67" s="7">
        <f t="shared" ref="F67:F98" si="20">IFERROR(MIN(C67,D67)-B67,"")</f>
        <v>12.651031939815667</v>
      </c>
      <c r="G67" s="7">
        <f t="shared" ref="G67:G98" si="21">IFERROR(MAX(0,C67-D67),"")</f>
        <v>3.0871945968608827</v>
      </c>
      <c r="H67" s="7">
        <f t="shared" ref="H67:H98" si="22">IFERROR(MAX(0,D67-C67),"")</f>
        <v>0</v>
      </c>
      <c r="I67" s="8">
        <f>vals_ghg_excLUC!$R67</f>
        <v>73.442440208781292</v>
      </c>
      <c r="J67" s="8">
        <f>vals_ghg_excLUC!$X67</f>
        <v>57.704213672104743</v>
      </c>
      <c r="K67" s="8"/>
      <c r="L67" s="8"/>
      <c r="M67" s="8">
        <f>vals_ghg_excLUC!$S67</f>
        <v>84.532484450871905</v>
      </c>
      <c r="N67" s="8">
        <f>vals_ghg_excLUC!$Y67</f>
        <v>70.355245611920409</v>
      </c>
      <c r="O67" s="8"/>
      <c r="P67" s="8"/>
      <c r="Q67" s="9">
        <f t="shared" ref="Q67:Q98" si="23">IFERROR(MAX(0,$E67-MAX($C67,$D67)),"")</f>
        <v>11.090044242090613</v>
      </c>
      <c r="R67" s="9">
        <v>76.938999999999993</v>
      </c>
      <c r="S67" s="9">
        <v>89.144999999999996</v>
      </c>
    </row>
    <row r="68" spans="1:19" x14ac:dyDescent="0.35">
      <c r="A68" s="3">
        <f>vals_ghg_excLUC!$A68</f>
        <v>1915</v>
      </c>
      <c r="B68" s="4">
        <f t="shared" si="16"/>
        <v>57.941440142077461</v>
      </c>
      <c r="C68" s="4">
        <f t="shared" si="17"/>
        <v>73.588670784588601</v>
      </c>
      <c r="D68" s="4">
        <f t="shared" si="18"/>
        <v>70.565647273282579</v>
      </c>
      <c r="E68" s="4">
        <f t="shared" si="19"/>
        <v>84.649552356279429</v>
      </c>
      <c r="F68" s="4">
        <f t="shared" si="20"/>
        <v>12.624207131205118</v>
      </c>
      <c r="G68" s="4">
        <f t="shared" si="21"/>
        <v>3.0230235113060218</v>
      </c>
      <c r="H68" s="4">
        <f t="shared" si="22"/>
        <v>0</v>
      </c>
      <c r="I68" s="5">
        <f>vals_ghg_excLUC!$R68</f>
        <v>73.588670784588601</v>
      </c>
      <c r="J68" s="5">
        <f>vals_ghg_excLUC!$X68</f>
        <v>57.941440142077461</v>
      </c>
      <c r="K68" s="5"/>
      <c r="L68" s="5"/>
      <c r="M68" s="5">
        <f>vals_ghg_excLUC!$S68</f>
        <v>84.649552356279429</v>
      </c>
      <c r="N68" s="5">
        <f>vals_ghg_excLUC!$Y68</f>
        <v>70.565647273282579</v>
      </c>
      <c r="O68" s="5"/>
      <c r="P68" s="5"/>
      <c r="Q68" s="9">
        <f t="shared" si="23"/>
        <v>11.060881571690828</v>
      </c>
      <c r="R68" s="9">
        <v>76.968000000000004</v>
      </c>
      <c r="S68" s="9">
        <v>89.102999999999994</v>
      </c>
    </row>
    <row r="69" spans="1:19" x14ac:dyDescent="0.35">
      <c r="A69" s="6">
        <f>vals_ghg_excLUC!$A69</f>
        <v>1916</v>
      </c>
      <c r="B69" s="7">
        <f t="shared" si="16"/>
        <v>58.199838250484135</v>
      </c>
      <c r="C69" s="7">
        <f t="shared" si="17"/>
        <v>73.74985659228733</v>
      </c>
      <c r="D69" s="7">
        <f t="shared" si="18"/>
        <v>70.792337735375355</v>
      </c>
      <c r="E69" s="7">
        <f t="shared" si="19"/>
        <v>84.775581038773524</v>
      </c>
      <c r="F69" s="7">
        <f t="shared" si="20"/>
        <v>12.592499484891221</v>
      </c>
      <c r="G69" s="7">
        <f t="shared" si="21"/>
        <v>2.9575188569119746</v>
      </c>
      <c r="H69" s="7">
        <f t="shared" si="22"/>
        <v>0</v>
      </c>
      <c r="I69" s="8">
        <f>vals_ghg_excLUC!$R69</f>
        <v>73.74985659228733</v>
      </c>
      <c r="J69" s="8">
        <f>vals_ghg_excLUC!$X69</f>
        <v>58.199838250484135</v>
      </c>
      <c r="K69" s="8"/>
      <c r="L69" s="8"/>
      <c r="M69" s="8">
        <f>vals_ghg_excLUC!$S69</f>
        <v>84.775581038773524</v>
      </c>
      <c r="N69" s="8">
        <f>vals_ghg_excLUC!$Y69</f>
        <v>70.792337735375355</v>
      </c>
      <c r="O69" s="8"/>
      <c r="P69" s="8"/>
      <c r="Q69" s="9">
        <f t="shared" si="23"/>
        <v>11.025724446486194</v>
      </c>
      <c r="R69" s="9">
        <v>77.015000000000001</v>
      </c>
      <c r="S69" s="9">
        <v>89.063000000000002</v>
      </c>
    </row>
    <row r="70" spans="1:19" x14ac:dyDescent="0.35">
      <c r="A70" s="3">
        <f>vals_ghg_excLUC!$A70</f>
        <v>1917</v>
      </c>
      <c r="B70" s="4">
        <f t="shared" si="16"/>
        <v>58.464504139122617</v>
      </c>
      <c r="C70" s="4">
        <f t="shared" si="17"/>
        <v>73.922290216443571</v>
      </c>
      <c r="D70" s="4">
        <f t="shared" si="18"/>
        <v>71.016146391058328</v>
      </c>
      <c r="E70" s="4">
        <f t="shared" si="19"/>
        <v>84.897950729728862</v>
      </c>
      <c r="F70" s="4">
        <f t="shared" si="20"/>
        <v>12.551642251935711</v>
      </c>
      <c r="G70" s="4">
        <f t="shared" si="21"/>
        <v>2.906143825385243</v>
      </c>
      <c r="H70" s="4">
        <f t="shared" si="22"/>
        <v>0</v>
      </c>
      <c r="I70" s="5">
        <f>vals_ghg_excLUC!$R70</f>
        <v>73.922290216443571</v>
      </c>
      <c r="J70" s="5">
        <f>vals_ghg_excLUC!$X70</f>
        <v>58.464504139122617</v>
      </c>
      <c r="K70" s="5"/>
      <c r="L70" s="5"/>
      <c r="M70" s="5">
        <f>vals_ghg_excLUC!$S70</f>
        <v>84.897950729728862</v>
      </c>
      <c r="N70" s="5">
        <f>vals_ghg_excLUC!$Y70</f>
        <v>71.016146391058328</v>
      </c>
      <c r="O70" s="5"/>
      <c r="P70" s="5"/>
      <c r="Q70" s="9">
        <f t="shared" si="23"/>
        <v>10.975660513285291</v>
      </c>
      <c r="R70" s="9">
        <v>77.09</v>
      </c>
      <c r="S70" s="9">
        <v>89.016000000000005</v>
      </c>
    </row>
    <row r="71" spans="1:19" x14ac:dyDescent="0.35">
      <c r="A71" s="6">
        <f>vals_ghg_excLUC!$A71</f>
        <v>1918</v>
      </c>
      <c r="B71" s="7">
        <f t="shared" si="16"/>
        <v>58.742339318332611</v>
      </c>
      <c r="C71" s="7">
        <f t="shared" si="17"/>
        <v>74.134008972702446</v>
      </c>
      <c r="D71" s="7">
        <f t="shared" si="18"/>
        <v>71.213453067497738</v>
      </c>
      <c r="E71" s="7">
        <f t="shared" si="19"/>
        <v>84.998415748064531</v>
      </c>
      <c r="F71" s="7">
        <f t="shared" si="20"/>
        <v>12.471113749165127</v>
      </c>
      <c r="G71" s="7">
        <f t="shared" si="21"/>
        <v>2.9205559052047079</v>
      </c>
      <c r="H71" s="7">
        <f t="shared" si="22"/>
        <v>0</v>
      </c>
      <c r="I71" s="8">
        <f>vals_ghg_excLUC!$R71</f>
        <v>74.134008972702446</v>
      </c>
      <c r="J71" s="8">
        <f>vals_ghg_excLUC!$X71</f>
        <v>58.742339318332611</v>
      </c>
      <c r="K71" s="8"/>
      <c r="L71" s="8"/>
      <c r="M71" s="8">
        <f>vals_ghg_excLUC!$S71</f>
        <v>84.998415748064531</v>
      </c>
      <c r="N71" s="8">
        <f>vals_ghg_excLUC!$Y71</f>
        <v>71.213453067497738</v>
      </c>
      <c r="O71" s="8"/>
      <c r="P71" s="8"/>
      <c r="Q71" s="9">
        <f t="shared" si="23"/>
        <v>10.864406775362085</v>
      </c>
      <c r="R71" s="9">
        <v>77.239000000000004</v>
      </c>
      <c r="S71" s="9">
        <v>88.942999999999998</v>
      </c>
    </row>
    <row r="72" spans="1:19" x14ac:dyDescent="0.35">
      <c r="A72" s="3">
        <f>vals_ghg_excLUC!$A72</f>
        <v>1919</v>
      </c>
      <c r="B72" s="4">
        <f t="shared" si="16"/>
        <v>58.9506655888149</v>
      </c>
      <c r="C72" s="4">
        <f t="shared" si="17"/>
        <v>74.30563931886411</v>
      </c>
      <c r="D72" s="4">
        <f t="shared" si="18"/>
        <v>71.32056014535894</v>
      </c>
      <c r="E72" s="4">
        <f t="shared" si="19"/>
        <v>85.020481936812715</v>
      </c>
      <c r="F72" s="4">
        <f t="shared" si="20"/>
        <v>12.36989455654404</v>
      </c>
      <c r="G72" s="4">
        <f t="shared" si="21"/>
        <v>2.98507917350517</v>
      </c>
      <c r="H72" s="4">
        <f t="shared" si="22"/>
        <v>0</v>
      </c>
      <c r="I72" s="5">
        <f>vals_ghg_excLUC!$R72</f>
        <v>74.30563931886411</v>
      </c>
      <c r="J72" s="5">
        <f>vals_ghg_excLUC!$X72</f>
        <v>58.9506655888149</v>
      </c>
      <c r="K72" s="5"/>
      <c r="L72" s="5"/>
      <c r="M72" s="5">
        <f>vals_ghg_excLUC!$S72</f>
        <v>85.020481936812715</v>
      </c>
      <c r="N72" s="5">
        <f>vals_ghg_excLUC!$Y72</f>
        <v>71.32056014535894</v>
      </c>
      <c r="O72" s="5"/>
      <c r="P72" s="5"/>
      <c r="Q72" s="9">
        <f t="shared" si="23"/>
        <v>10.714842617948605</v>
      </c>
      <c r="R72" s="9">
        <v>77.347999999999999</v>
      </c>
      <c r="S72" s="9">
        <v>88.789000000000001</v>
      </c>
    </row>
    <row r="73" spans="1:19" x14ac:dyDescent="0.35">
      <c r="A73" s="6">
        <f>vals_ghg_excLUC!$A73</f>
        <v>1920</v>
      </c>
      <c r="B73" s="7">
        <f t="shared" si="16"/>
        <v>59.194793373944719</v>
      </c>
      <c r="C73" s="7">
        <f t="shared" si="17"/>
        <v>74.482939991927523</v>
      </c>
      <c r="D73" s="7">
        <f t="shared" si="18"/>
        <v>71.47129519119332</v>
      </c>
      <c r="E73" s="7">
        <f t="shared" si="19"/>
        <v>85.067872335938233</v>
      </c>
      <c r="F73" s="7">
        <f t="shared" si="20"/>
        <v>12.276501817248601</v>
      </c>
      <c r="G73" s="7">
        <f t="shared" si="21"/>
        <v>3.0116448007342029</v>
      </c>
      <c r="H73" s="7">
        <f t="shared" si="22"/>
        <v>0</v>
      </c>
      <c r="I73" s="8">
        <f>vals_ghg_excLUC!$R73</f>
        <v>74.482939991927523</v>
      </c>
      <c r="J73" s="8">
        <f>vals_ghg_excLUC!$X73</f>
        <v>59.194793373944719</v>
      </c>
      <c r="K73" s="8"/>
      <c r="L73" s="8"/>
      <c r="M73" s="8">
        <f>vals_ghg_excLUC!$S73</f>
        <v>85.067872335938233</v>
      </c>
      <c r="N73" s="8">
        <f>vals_ghg_excLUC!$Y73</f>
        <v>71.47129519119332</v>
      </c>
      <c r="O73" s="8"/>
      <c r="P73" s="8"/>
      <c r="Q73" s="9">
        <f t="shared" si="23"/>
        <v>10.58493234401071</v>
      </c>
      <c r="R73" s="9">
        <v>77.47</v>
      </c>
      <c r="S73" s="9">
        <v>88.658000000000001</v>
      </c>
    </row>
    <row r="74" spans="1:19" x14ac:dyDescent="0.35">
      <c r="A74" s="3">
        <f>vals_ghg_excLUC!$A74</f>
        <v>1921</v>
      </c>
      <c r="B74" s="4">
        <f t="shared" si="16"/>
        <v>59.328953187102599</v>
      </c>
      <c r="C74" s="4">
        <f t="shared" si="17"/>
        <v>74.553209334141172</v>
      </c>
      <c r="D74" s="4">
        <f t="shared" si="18"/>
        <v>71.543315128148279</v>
      </c>
      <c r="E74" s="4">
        <f t="shared" si="19"/>
        <v>85.0507023621537</v>
      </c>
      <c r="F74" s="4">
        <f t="shared" si="20"/>
        <v>12.214361941045681</v>
      </c>
      <c r="G74" s="4">
        <f t="shared" si="21"/>
        <v>3.009894205992893</v>
      </c>
      <c r="H74" s="4">
        <f t="shared" si="22"/>
        <v>0</v>
      </c>
      <c r="I74" s="5">
        <f>vals_ghg_excLUC!$R74</f>
        <v>74.553209334141172</v>
      </c>
      <c r="J74" s="5">
        <f>vals_ghg_excLUC!$X74</f>
        <v>59.328953187102599</v>
      </c>
      <c r="K74" s="5"/>
      <c r="L74" s="5"/>
      <c r="M74" s="5">
        <f>vals_ghg_excLUC!$S74</f>
        <v>85.0507023621537</v>
      </c>
      <c r="N74" s="5">
        <f>vals_ghg_excLUC!$Y74</f>
        <v>71.543315128148279</v>
      </c>
      <c r="O74" s="5"/>
      <c r="P74" s="5"/>
      <c r="Q74" s="9">
        <f t="shared" si="23"/>
        <v>10.497493028012528</v>
      </c>
      <c r="R74" s="9">
        <v>77.471000000000004</v>
      </c>
      <c r="S74" s="9">
        <v>88.462999999999994</v>
      </c>
    </row>
    <row r="75" spans="1:19" x14ac:dyDescent="0.35">
      <c r="A75" s="6">
        <f>vals_ghg_excLUC!$A75</f>
        <v>1922</v>
      </c>
      <c r="B75" s="7">
        <f t="shared" si="16"/>
        <v>59.481656728674025</v>
      </c>
      <c r="C75" s="7">
        <f t="shared" si="17"/>
        <v>74.643043603112275</v>
      </c>
      <c r="D75" s="7">
        <f t="shared" si="18"/>
        <v>71.62871971766495</v>
      </c>
      <c r="E75" s="7">
        <f t="shared" si="19"/>
        <v>85.04778711249746</v>
      </c>
      <c r="F75" s="7">
        <f t="shared" si="20"/>
        <v>12.147062988990925</v>
      </c>
      <c r="G75" s="7">
        <f t="shared" si="21"/>
        <v>3.0143238854473253</v>
      </c>
      <c r="H75" s="7">
        <f t="shared" si="22"/>
        <v>0</v>
      </c>
      <c r="I75" s="8">
        <f>vals_ghg_excLUC!$R75</f>
        <v>74.643043603112275</v>
      </c>
      <c r="J75" s="8">
        <f>vals_ghg_excLUC!$X75</f>
        <v>59.481656728674025</v>
      </c>
      <c r="K75" s="8"/>
      <c r="L75" s="8"/>
      <c r="M75" s="8">
        <f>vals_ghg_excLUC!$S75</f>
        <v>85.04778711249746</v>
      </c>
      <c r="N75" s="8">
        <f>vals_ghg_excLUC!$Y75</f>
        <v>71.62871971766495</v>
      </c>
      <c r="O75" s="8"/>
      <c r="P75" s="8"/>
      <c r="Q75" s="9">
        <f t="shared" si="23"/>
        <v>10.404743509385185</v>
      </c>
      <c r="R75" s="9">
        <v>77.491</v>
      </c>
      <c r="S75" s="9">
        <v>88.284000000000006</v>
      </c>
    </row>
    <row r="76" spans="1:19" x14ac:dyDescent="0.35">
      <c r="A76" s="3">
        <f>vals_ghg_excLUC!$A76</f>
        <v>1923</v>
      </c>
      <c r="B76" s="4">
        <f t="shared" si="16"/>
        <v>59.701247788848008</v>
      </c>
      <c r="C76" s="4">
        <f t="shared" si="17"/>
        <v>74.800571034831805</v>
      </c>
      <c r="D76" s="4">
        <f t="shared" si="18"/>
        <v>71.756985200775802</v>
      </c>
      <c r="E76" s="4">
        <f t="shared" si="19"/>
        <v>85.080161138712427</v>
      </c>
      <c r="F76" s="4">
        <f t="shared" si="20"/>
        <v>12.055737411927794</v>
      </c>
      <c r="G76" s="4">
        <f t="shared" si="21"/>
        <v>3.0435858340560031</v>
      </c>
      <c r="H76" s="4">
        <f t="shared" si="22"/>
        <v>0</v>
      </c>
      <c r="I76" s="5">
        <f>vals_ghg_excLUC!$R76</f>
        <v>74.800571034831805</v>
      </c>
      <c r="J76" s="5">
        <f>vals_ghg_excLUC!$X76</f>
        <v>59.701247788848008</v>
      </c>
      <c r="K76" s="5"/>
      <c r="L76" s="5"/>
      <c r="M76" s="5">
        <f>vals_ghg_excLUC!$S76</f>
        <v>85.080161138712427</v>
      </c>
      <c r="N76" s="5">
        <f>vals_ghg_excLUC!$Y76</f>
        <v>71.756985200775802</v>
      </c>
      <c r="O76" s="5"/>
      <c r="P76" s="5"/>
      <c r="Q76" s="9">
        <f t="shared" si="23"/>
        <v>10.279590103880622</v>
      </c>
      <c r="R76" s="9">
        <v>77.575999999999993</v>
      </c>
      <c r="S76" s="9">
        <v>88.135999999999996</v>
      </c>
    </row>
    <row r="77" spans="1:19" x14ac:dyDescent="0.35">
      <c r="A77" s="6">
        <f>vals_ghg_excLUC!$A77</f>
        <v>1924</v>
      </c>
      <c r="B77" s="7">
        <f t="shared" si="16"/>
        <v>59.896179299918252</v>
      </c>
      <c r="C77" s="7">
        <f t="shared" si="17"/>
        <v>74.929766369557328</v>
      </c>
      <c r="D77" s="7">
        <f t="shared" si="18"/>
        <v>71.871364816632664</v>
      </c>
      <c r="E77" s="7">
        <f t="shared" si="19"/>
        <v>85.100378851931794</v>
      </c>
      <c r="F77" s="7">
        <f t="shared" si="20"/>
        <v>11.975185516714411</v>
      </c>
      <c r="G77" s="7">
        <f t="shared" si="21"/>
        <v>3.0584015529246642</v>
      </c>
      <c r="H77" s="7">
        <f t="shared" si="22"/>
        <v>0</v>
      </c>
      <c r="I77" s="8">
        <f>vals_ghg_excLUC!$R77</f>
        <v>74.929766369557328</v>
      </c>
      <c r="J77" s="8">
        <f>vals_ghg_excLUC!$X77</f>
        <v>59.896179299918252</v>
      </c>
      <c r="K77" s="8"/>
      <c r="L77" s="8"/>
      <c r="M77" s="8">
        <f>vals_ghg_excLUC!$S77</f>
        <v>85.100378851931794</v>
      </c>
      <c r="N77" s="8">
        <f>vals_ghg_excLUC!$Y77</f>
        <v>71.871364816632664</v>
      </c>
      <c r="O77" s="8"/>
      <c r="P77" s="8"/>
      <c r="Q77" s="9">
        <f t="shared" si="23"/>
        <v>10.170612482374466</v>
      </c>
      <c r="R77" s="9">
        <v>77.629000000000005</v>
      </c>
      <c r="S77" s="9">
        <v>87.977999999999994</v>
      </c>
    </row>
    <row r="78" spans="1:19" x14ac:dyDescent="0.35">
      <c r="A78" s="3">
        <f>vals_ghg_excLUC!$A78</f>
        <v>1925</v>
      </c>
      <c r="B78" s="4">
        <f t="shared" si="16"/>
        <v>60.0872110961011</v>
      </c>
      <c r="C78" s="4">
        <f t="shared" si="17"/>
        <v>75.057542441188104</v>
      </c>
      <c r="D78" s="4">
        <f t="shared" si="18"/>
        <v>71.983105033859445</v>
      </c>
      <c r="E78" s="4">
        <f t="shared" si="19"/>
        <v>85.122491827685494</v>
      </c>
      <c r="F78" s="4">
        <f t="shared" si="20"/>
        <v>11.895893937758345</v>
      </c>
      <c r="G78" s="4">
        <f t="shared" si="21"/>
        <v>3.0744374073286593</v>
      </c>
      <c r="H78" s="4">
        <f t="shared" si="22"/>
        <v>0</v>
      </c>
      <c r="I78" s="5">
        <f>vals_ghg_excLUC!$R78</f>
        <v>75.057542441188104</v>
      </c>
      <c r="J78" s="5">
        <f>vals_ghg_excLUC!$X78</f>
        <v>60.0872110961011</v>
      </c>
      <c r="K78" s="5"/>
      <c r="L78" s="5"/>
      <c r="M78" s="5">
        <f>vals_ghg_excLUC!$S78</f>
        <v>85.122491827685494</v>
      </c>
      <c r="N78" s="5">
        <f>vals_ghg_excLUC!$Y78</f>
        <v>71.983105033859445</v>
      </c>
      <c r="O78" s="5"/>
      <c r="P78" s="5"/>
      <c r="Q78" s="9">
        <f t="shared" si="23"/>
        <v>10.064949386497389</v>
      </c>
      <c r="R78" s="9">
        <v>77.662999999999997</v>
      </c>
      <c r="S78" s="9">
        <v>87.819000000000003</v>
      </c>
    </row>
    <row r="79" spans="1:19" x14ac:dyDescent="0.35">
      <c r="A79" s="6">
        <f>vals_ghg_excLUC!$A79</f>
        <v>1926</v>
      </c>
      <c r="B79" s="7">
        <f t="shared" si="16"/>
        <v>60.240950226138715</v>
      </c>
      <c r="C79" s="7">
        <f t="shared" si="17"/>
        <v>75.149784093436097</v>
      </c>
      <c r="D79" s="7">
        <f t="shared" si="18"/>
        <v>72.076927179384882</v>
      </c>
      <c r="E79" s="7">
        <f t="shared" si="19"/>
        <v>85.137410566398344</v>
      </c>
      <c r="F79" s="7">
        <f t="shared" si="20"/>
        <v>11.835976953246167</v>
      </c>
      <c r="G79" s="7">
        <f t="shared" si="21"/>
        <v>3.072856914051215</v>
      </c>
      <c r="H79" s="7">
        <f t="shared" si="22"/>
        <v>0</v>
      </c>
      <c r="I79" s="8">
        <f>vals_ghg_excLUC!$R79</f>
        <v>75.149784093436097</v>
      </c>
      <c r="J79" s="8">
        <f>vals_ghg_excLUC!$X79</f>
        <v>60.240950226138715</v>
      </c>
      <c r="K79" s="8"/>
      <c r="L79" s="8"/>
      <c r="M79" s="8">
        <f>vals_ghg_excLUC!$S79</f>
        <v>85.137410566398344</v>
      </c>
      <c r="N79" s="8">
        <f>vals_ghg_excLUC!$Y79</f>
        <v>72.076927179384882</v>
      </c>
      <c r="O79" s="8"/>
      <c r="P79" s="8"/>
      <c r="Q79" s="9">
        <f t="shared" si="23"/>
        <v>9.9876264729622477</v>
      </c>
      <c r="R79" s="9">
        <v>77.653999999999996</v>
      </c>
      <c r="S79" s="9">
        <v>87.656999999999996</v>
      </c>
    </row>
    <row r="80" spans="1:19" x14ac:dyDescent="0.35">
      <c r="A80" s="3">
        <f>vals_ghg_excLUC!$A80</f>
        <v>1927</v>
      </c>
      <c r="B80" s="4">
        <f t="shared" si="16"/>
        <v>60.422328508344755</v>
      </c>
      <c r="C80" s="4">
        <f t="shared" si="17"/>
        <v>75.260806670952533</v>
      </c>
      <c r="D80" s="4">
        <f t="shared" si="18"/>
        <v>72.200496886523638</v>
      </c>
      <c r="E80" s="4">
        <f t="shared" si="19"/>
        <v>85.177178618116727</v>
      </c>
      <c r="F80" s="4">
        <f t="shared" si="20"/>
        <v>11.778168378178883</v>
      </c>
      <c r="G80" s="4">
        <f t="shared" si="21"/>
        <v>3.0603097844288953</v>
      </c>
      <c r="H80" s="4">
        <f t="shared" si="22"/>
        <v>0</v>
      </c>
      <c r="I80" s="5">
        <f>vals_ghg_excLUC!$R80</f>
        <v>75.260806670952533</v>
      </c>
      <c r="J80" s="5">
        <f>vals_ghg_excLUC!$X80</f>
        <v>60.422328508344755</v>
      </c>
      <c r="K80" s="5"/>
      <c r="L80" s="5"/>
      <c r="M80" s="5">
        <f>vals_ghg_excLUC!$S80</f>
        <v>85.177178618116727</v>
      </c>
      <c r="N80" s="5">
        <f>vals_ghg_excLUC!$Y80</f>
        <v>72.200496886523638</v>
      </c>
      <c r="O80" s="5"/>
      <c r="P80" s="5"/>
      <c r="Q80" s="9">
        <f t="shared" si="23"/>
        <v>9.916371947164194</v>
      </c>
      <c r="R80" s="9">
        <v>77.652000000000001</v>
      </c>
      <c r="S80" s="9">
        <v>87.515000000000001</v>
      </c>
    </row>
    <row r="81" spans="1:19" x14ac:dyDescent="0.35">
      <c r="A81" s="6">
        <f>vals_ghg_excLUC!$A81</f>
        <v>1928</v>
      </c>
      <c r="B81" s="7">
        <f t="shared" si="16"/>
        <v>60.57375266200463</v>
      </c>
      <c r="C81" s="7">
        <f t="shared" si="17"/>
        <v>75.345591607489865</v>
      </c>
      <c r="D81" s="7">
        <f t="shared" si="18"/>
        <v>72.304391882350984</v>
      </c>
      <c r="E81" s="7">
        <f t="shared" si="19"/>
        <v>85.206201564434707</v>
      </c>
      <c r="F81" s="7">
        <f t="shared" si="20"/>
        <v>11.730639220346355</v>
      </c>
      <c r="G81" s="7">
        <f t="shared" si="21"/>
        <v>3.0411997251388811</v>
      </c>
      <c r="H81" s="7">
        <f t="shared" si="22"/>
        <v>0</v>
      </c>
      <c r="I81" s="8">
        <f>vals_ghg_excLUC!$R81</f>
        <v>75.345591607489865</v>
      </c>
      <c r="J81" s="8">
        <f>vals_ghg_excLUC!$X81</f>
        <v>60.57375266200463</v>
      </c>
      <c r="K81" s="8"/>
      <c r="L81" s="8"/>
      <c r="M81" s="8">
        <f>vals_ghg_excLUC!$S81</f>
        <v>85.206201564434707</v>
      </c>
      <c r="N81" s="8">
        <f>vals_ghg_excLUC!$Y81</f>
        <v>72.304391882350984</v>
      </c>
      <c r="O81" s="8"/>
      <c r="P81" s="8"/>
      <c r="Q81" s="9">
        <f t="shared" si="23"/>
        <v>9.8606099569448418</v>
      </c>
      <c r="R81" s="9">
        <v>77.63</v>
      </c>
      <c r="S81" s="9">
        <v>87.369</v>
      </c>
    </row>
    <row r="82" spans="1:19" x14ac:dyDescent="0.35">
      <c r="A82" s="3">
        <f>vals_ghg_excLUC!$A82</f>
        <v>1929</v>
      </c>
      <c r="B82" s="4">
        <f t="shared" si="16"/>
        <v>60.741673269147043</v>
      </c>
      <c r="C82" s="4">
        <f t="shared" si="17"/>
        <v>75.44084393205695</v>
      </c>
      <c r="D82" s="4">
        <f t="shared" si="18"/>
        <v>72.424758779207238</v>
      </c>
      <c r="E82" s="4">
        <f t="shared" si="19"/>
        <v>85.249340858352255</v>
      </c>
      <c r="F82" s="4">
        <f t="shared" si="20"/>
        <v>11.683085510060195</v>
      </c>
      <c r="G82" s="4">
        <f t="shared" si="21"/>
        <v>3.0160851528497119</v>
      </c>
      <c r="H82" s="4">
        <f t="shared" si="22"/>
        <v>0</v>
      </c>
      <c r="I82" s="5">
        <f>vals_ghg_excLUC!$R82</f>
        <v>75.44084393205695</v>
      </c>
      <c r="J82" s="5">
        <f>vals_ghg_excLUC!$X82</f>
        <v>60.741673269147043</v>
      </c>
      <c r="K82" s="5"/>
      <c r="L82" s="5"/>
      <c r="M82" s="5">
        <f>vals_ghg_excLUC!$S82</f>
        <v>85.249340858352255</v>
      </c>
      <c r="N82" s="5">
        <f>vals_ghg_excLUC!$Y82</f>
        <v>72.424758779207238</v>
      </c>
      <c r="O82" s="5"/>
      <c r="P82" s="5"/>
      <c r="Q82" s="9">
        <f t="shared" si="23"/>
        <v>9.8084969262953052</v>
      </c>
      <c r="R82" s="9">
        <v>77.613</v>
      </c>
      <c r="S82" s="9">
        <v>87.234999999999999</v>
      </c>
    </row>
    <row r="83" spans="1:19" x14ac:dyDescent="0.35">
      <c r="A83" s="6">
        <f>vals_ghg_excLUC!$A83</f>
        <v>1930</v>
      </c>
      <c r="B83" s="7">
        <f t="shared" si="16"/>
        <v>60.839760747836792</v>
      </c>
      <c r="C83" s="7">
        <f t="shared" si="17"/>
        <v>75.471877136628834</v>
      </c>
      <c r="D83" s="7">
        <f t="shared" si="18"/>
        <v>72.500646011158665</v>
      </c>
      <c r="E83" s="7">
        <f t="shared" si="19"/>
        <v>85.261819802122901</v>
      </c>
      <c r="F83" s="7">
        <f t="shared" si="20"/>
        <v>11.660885263321873</v>
      </c>
      <c r="G83" s="7">
        <f t="shared" si="21"/>
        <v>2.9712311254701689</v>
      </c>
      <c r="H83" s="7">
        <f t="shared" si="22"/>
        <v>0</v>
      </c>
      <c r="I83" s="8">
        <f>vals_ghg_excLUC!$R83</f>
        <v>75.471877136628834</v>
      </c>
      <c r="J83" s="8">
        <f>vals_ghg_excLUC!$X83</f>
        <v>60.839760747836792</v>
      </c>
      <c r="K83" s="8"/>
      <c r="L83" s="8"/>
      <c r="M83" s="8">
        <f>vals_ghg_excLUC!$S83</f>
        <v>85.261819802122901</v>
      </c>
      <c r="N83" s="8">
        <f>vals_ghg_excLUC!$Y83</f>
        <v>72.500646011158665</v>
      </c>
      <c r="O83" s="8"/>
      <c r="P83" s="8"/>
      <c r="Q83" s="9">
        <f t="shared" si="23"/>
        <v>9.7899426654940669</v>
      </c>
      <c r="R83" s="9">
        <v>77.501000000000005</v>
      </c>
      <c r="S83" s="9">
        <v>87.072000000000003</v>
      </c>
    </row>
    <row r="84" spans="1:19" x14ac:dyDescent="0.35">
      <c r="A84" s="3">
        <f>vals_ghg_excLUC!$A84</f>
        <v>1931</v>
      </c>
      <c r="B84" s="4">
        <f t="shared" si="16"/>
        <v>60.865251612580259</v>
      </c>
      <c r="C84" s="4">
        <f t="shared" si="17"/>
        <v>75.434060694240401</v>
      </c>
      <c r="D84" s="4">
        <f t="shared" si="18"/>
        <v>72.533784003790089</v>
      </c>
      <c r="E84" s="4">
        <f t="shared" si="19"/>
        <v>85.244263583960517</v>
      </c>
      <c r="F84" s="4">
        <f t="shared" si="20"/>
        <v>11.66853239120983</v>
      </c>
      <c r="G84" s="4">
        <f t="shared" si="21"/>
        <v>2.9002766904503119</v>
      </c>
      <c r="H84" s="4">
        <f t="shared" si="22"/>
        <v>0</v>
      </c>
      <c r="I84" s="5">
        <f>vals_ghg_excLUC!$R84</f>
        <v>75.434060694240401</v>
      </c>
      <c r="J84" s="5">
        <f>vals_ghg_excLUC!$X84</f>
        <v>60.865251612580259</v>
      </c>
      <c r="K84" s="5"/>
      <c r="L84" s="5"/>
      <c r="M84" s="5">
        <f>vals_ghg_excLUC!$S84</f>
        <v>85.244263583960517</v>
      </c>
      <c r="N84" s="5">
        <f>vals_ghg_excLUC!$Y84</f>
        <v>72.533784003790089</v>
      </c>
      <c r="O84" s="5"/>
      <c r="P84" s="5"/>
      <c r="Q84" s="9">
        <f t="shared" si="23"/>
        <v>9.8102028897201166</v>
      </c>
      <c r="R84" s="9">
        <v>77.302999999999997</v>
      </c>
      <c r="S84" s="9">
        <v>86.884</v>
      </c>
    </row>
    <row r="85" spans="1:19" x14ac:dyDescent="0.35">
      <c r="A85" s="6">
        <f>vals_ghg_excLUC!$A85</f>
        <v>1932</v>
      </c>
      <c r="B85" s="7">
        <f t="shared" si="16"/>
        <v>60.834782386301534</v>
      </c>
      <c r="C85" s="7">
        <f t="shared" si="17"/>
        <v>75.344385319698205</v>
      </c>
      <c r="D85" s="7">
        <f t="shared" si="18"/>
        <v>72.525972549218437</v>
      </c>
      <c r="E85" s="7">
        <f t="shared" si="19"/>
        <v>85.193099875007178</v>
      </c>
      <c r="F85" s="7">
        <f t="shared" si="20"/>
        <v>11.691190162916904</v>
      </c>
      <c r="G85" s="7">
        <f t="shared" si="21"/>
        <v>2.8184127704797675</v>
      </c>
      <c r="H85" s="7">
        <f t="shared" si="22"/>
        <v>0</v>
      </c>
      <c r="I85" s="8">
        <f>vals_ghg_excLUC!$R85</f>
        <v>75.344385319698205</v>
      </c>
      <c r="J85" s="8">
        <f>vals_ghg_excLUC!$X85</f>
        <v>60.834782386301534</v>
      </c>
      <c r="K85" s="8"/>
      <c r="L85" s="8"/>
      <c r="M85" s="8">
        <f>vals_ghg_excLUC!$S85</f>
        <v>85.193099875007178</v>
      </c>
      <c r="N85" s="8">
        <f>vals_ghg_excLUC!$Y85</f>
        <v>72.525972549218437</v>
      </c>
      <c r="O85" s="8"/>
      <c r="P85" s="8"/>
      <c r="Q85" s="9">
        <f t="shared" si="23"/>
        <v>9.8487145553089732</v>
      </c>
      <c r="R85" s="9">
        <v>77.03</v>
      </c>
      <c r="S85" s="9">
        <v>86.638999999999996</v>
      </c>
    </row>
    <row r="86" spans="1:19" x14ac:dyDescent="0.35">
      <c r="A86" s="3">
        <f>vals_ghg_excLUC!$A86</f>
        <v>1933</v>
      </c>
      <c r="B86" s="4">
        <f t="shared" si="16"/>
        <v>60.811239366985461</v>
      </c>
      <c r="C86" s="4">
        <f t="shared" si="17"/>
        <v>75.256694679008234</v>
      </c>
      <c r="D86" s="4">
        <f t="shared" si="18"/>
        <v>72.524121812734464</v>
      </c>
      <c r="E86" s="4">
        <f t="shared" si="19"/>
        <v>85.144270336669067</v>
      </c>
      <c r="F86" s="4">
        <f t="shared" si="20"/>
        <v>11.712882445749003</v>
      </c>
      <c r="G86" s="4">
        <f t="shared" si="21"/>
        <v>2.7325728662737703</v>
      </c>
      <c r="H86" s="4">
        <f t="shared" si="22"/>
        <v>0</v>
      </c>
      <c r="I86" s="5">
        <f>vals_ghg_excLUC!$R86</f>
        <v>75.256694679008234</v>
      </c>
      <c r="J86" s="5">
        <f>vals_ghg_excLUC!$X86</f>
        <v>60.811239366985461</v>
      </c>
      <c r="K86" s="5"/>
      <c r="L86" s="5"/>
      <c r="M86" s="5">
        <f>vals_ghg_excLUC!$S86</f>
        <v>85.144270336669067</v>
      </c>
      <c r="N86" s="5">
        <f>vals_ghg_excLUC!$Y86</f>
        <v>72.524121812734464</v>
      </c>
      <c r="O86" s="5"/>
      <c r="P86" s="5"/>
      <c r="Q86" s="9">
        <f t="shared" si="23"/>
        <v>9.8875756576608325</v>
      </c>
      <c r="R86" s="9">
        <v>76.748999999999995</v>
      </c>
      <c r="S86" s="9">
        <v>86.393000000000001</v>
      </c>
    </row>
    <row r="87" spans="1:19" x14ac:dyDescent="0.35">
      <c r="A87" s="6">
        <f>vals_ghg_excLUC!$A87</f>
        <v>1934</v>
      </c>
      <c r="B87" s="7">
        <f t="shared" si="16"/>
        <v>60.791244716431777</v>
      </c>
      <c r="C87" s="7">
        <f t="shared" si="17"/>
        <v>75.157632521766644</v>
      </c>
      <c r="D87" s="7">
        <f t="shared" si="18"/>
        <v>72.531871671944174</v>
      </c>
      <c r="E87" s="7">
        <f t="shared" si="19"/>
        <v>85.096368028086985</v>
      </c>
      <c r="F87" s="7">
        <f t="shared" si="20"/>
        <v>11.740626955512397</v>
      </c>
      <c r="G87" s="7">
        <f t="shared" si="21"/>
        <v>2.6257608498224698</v>
      </c>
      <c r="H87" s="7">
        <f t="shared" si="22"/>
        <v>0</v>
      </c>
      <c r="I87" s="8">
        <f>vals_ghg_excLUC!$R87</f>
        <v>75.157632521766644</v>
      </c>
      <c r="J87" s="8">
        <f>vals_ghg_excLUC!$X87</f>
        <v>60.791244716431777</v>
      </c>
      <c r="K87" s="8"/>
      <c r="L87" s="8"/>
      <c r="M87" s="8">
        <f>vals_ghg_excLUC!$S87</f>
        <v>85.096368028086985</v>
      </c>
      <c r="N87" s="8">
        <f>vals_ghg_excLUC!$Y87</f>
        <v>72.531871671944174</v>
      </c>
      <c r="O87" s="8"/>
      <c r="P87" s="8"/>
      <c r="Q87" s="9">
        <f t="shared" si="23"/>
        <v>9.9387355063203415</v>
      </c>
      <c r="R87" s="9">
        <v>76.454999999999998</v>
      </c>
      <c r="S87" s="9">
        <v>86.159000000000006</v>
      </c>
    </row>
    <row r="88" spans="1:19" x14ac:dyDescent="0.35">
      <c r="A88" s="3">
        <f>vals_ghg_excLUC!$A88</f>
        <v>1935</v>
      </c>
      <c r="B88" s="4">
        <f t="shared" si="16"/>
        <v>60.76613781541451</v>
      </c>
      <c r="C88" s="4">
        <f t="shared" si="17"/>
        <v>75.044687169767698</v>
      </c>
      <c r="D88" s="4">
        <f t="shared" si="18"/>
        <v>72.538362314270586</v>
      </c>
      <c r="E88" s="4">
        <f t="shared" si="19"/>
        <v>85.04233630608303</v>
      </c>
      <c r="F88" s="4">
        <f t="shared" si="20"/>
        <v>11.772224498856076</v>
      </c>
      <c r="G88" s="4">
        <f t="shared" si="21"/>
        <v>2.5063248554971125</v>
      </c>
      <c r="H88" s="4">
        <f t="shared" si="22"/>
        <v>0</v>
      </c>
      <c r="I88" s="5">
        <f>vals_ghg_excLUC!$R88</f>
        <v>75.044687169767698</v>
      </c>
      <c r="J88" s="5">
        <f>vals_ghg_excLUC!$X88</f>
        <v>60.76613781541451</v>
      </c>
      <c r="K88" s="5"/>
      <c r="L88" s="5"/>
      <c r="M88" s="5">
        <f>vals_ghg_excLUC!$S88</f>
        <v>85.04233630608303</v>
      </c>
      <c r="N88" s="5">
        <f>vals_ghg_excLUC!$Y88</f>
        <v>72.538362314270586</v>
      </c>
      <c r="O88" s="5"/>
      <c r="P88" s="5"/>
      <c r="Q88" s="9">
        <f t="shared" si="23"/>
        <v>9.9976491363153315</v>
      </c>
      <c r="R88" s="9">
        <v>76.135000000000005</v>
      </c>
      <c r="S88" s="9">
        <v>85.92</v>
      </c>
    </row>
    <row r="89" spans="1:19" x14ac:dyDescent="0.35">
      <c r="A89" s="6">
        <f>vals_ghg_excLUC!$A89</f>
        <v>1936</v>
      </c>
      <c r="B89" s="7">
        <f t="shared" si="16"/>
        <v>60.760029526995574</v>
      </c>
      <c r="C89" s="7">
        <f t="shared" si="17"/>
        <v>74.941677625624294</v>
      </c>
      <c r="D89" s="7">
        <f t="shared" si="18"/>
        <v>72.565027587662442</v>
      </c>
      <c r="E89" s="7">
        <f t="shared" si="19"/>
        <v>85.004246155030785</v>
      </c>
      <c r="F89" s="7">
        <f t="shared" si="20"/>
        <v>11.804998060666868</v>
      </c>
      <c r="G89" s="7">
        <f t="shared" si="21"/>
        <v>2.376650037961852</v>
      </c>
      <c r="H89" s="7">
        <f t="shared" si="22"/>
        <v>0</v>
      </c>
      <c r="I89" s="8">
        <f>vals_ghg_excLUC!$R89</f>
        <v>74.941677625624294</v>
      </c>
      <c r="J89" s="8">
        <f>vals_ghg_excLUC!$X89</f>
        <v>60.760029526995574</v>
      </c>
      <c r="K89" s="8"/>
      <c r="L89" s="8"/>
      <c r="M89" s="8">
        <f>vals_ghg_excLUC!$S89</f>
        <v>85.004246155030785</v>
      </c>
      <c r="N89" s="8">
        <f>vals_ghg_excLUC!$Y89</f>
        <v>72.565027587662442</v>
      </c>
      <c r="O89" s="8"/>
      <c r="P89" s="8"/>
      <c r="Q89" s="9">
        <f t="shared" si="23"/>
        <v>10.062568529406491</v>
      </c>
      <c r="R89" s="9">
        <v>75.817999999999998</v>
      </c>
      <c r="S89" s="9">
        <v>85.701999999999998</v>
      </c>
    </row>
    <row r="90" spans="1:19" x14ac:dyDescent="0.35">
      <c r="A90" s="3">
        <f>vals_ghg_excLUC!$A90</f>
        <v>1937</v>
      </c>
      <c r="B90" s="4">
        <f t="shared" si="16"/>
        <v>60.769388501507237</v>
      </c>
      <c r="C90" s="4">
        <f t="shared" si="17"/>
        <v>74.850016146092614</v>
      </c>
      <c r="D90" s="4">
        <f t="shared" si="18"/>
        <v>72.59972985533814</v>
      </c>
      <c r="E90" s="4">
        <f t="shared" si="19"/>
        <v>84.969979442098762</v>
      </c>
      <c r="F90" s="4">
        <f t="shared" si="20"/>
        <v>11.830341353830903</v>
      </c>
      <c r="G90" s="4">
        <f t="shared" si="21"/>
        <v>2.2502862907544738</v>
      </c>
      <c r="H90" s="4">
        <f t="shared" si="22"/>
        <v>0</v>
      </c>
      <c r="I90" s="5">
        <f>vals_ghg_excLUC!$R90</f>
        <v>74.850016146092614</v>
      </c>
      <c r="J90" s="5">
        <f>vals_ghg_excLUC!$X90</f>
        <v>60.769388501507237</v>
      </c>
      <c r="K90" s="5"/>
      <c r="L90" s="5"/>
      <c r="M90" s="5">
        <f>vals_ghg_excLUC!$S90</f>
        <v>84.969979442098762</v>
      </c>
      <c r="N90" s="5">
        <f>vals_ghg_excLUC!$Y90</f>
        <v>72.59972985533814</v>
      </c>
      <c r="O90" s="5"/>
      <c r="P90" s="5"/>
      <c r="Q90" s="9">
        <f t="shared" si="23"/>
        <v>10.119963296006148</v>
      </c>
      <c r="R90" s="9">
        <v>75.509</v>
      </c>
      <c r="S90" s="9">
        <v>85.495000000000005</v>
      </c>
    </row>
    <row r="91" spans="1:19" x14ac:dyDescent="0.35">
      <c r="A91" s="6">
        <f>vals_ghg_excLUC!$A91</f>
        <v>1938</v>
      </c>
      <c r="B91" s="7">
        <f t="shared" si="16"/>
        <v>60.728254270554814</v>
      </c>
      <c r="C91" s="7">
        <f t="shared" si="17"/>
        <v>74.712079211890511</v>
      </c>
      <c r="D91" s="7">
        <f t="shared" si="18"/>
        <v>72.601869312125928</v>
      </c>
      <c r="E91" s="7">
        <f t="shared" si="19"/>
        <v>84.91384293626993</v>
      </c>
      <c r="F91" s="7">
        <f t="shared" si="20"/>
        <v>11.873615041571114</v>
      </c>
      <c r="G91" s="7">
        <f t="shared" si="21"/>
        <v>2.110209899764584</v>
      </c>
      <c r="H91" s="7">
        <f t="shared" si="22"/>
        <v>0</v>
      </c>
      <c r="I91" s="8">
        <f>vals_ghg_excLUC!$R91</f>
        <v>74.712079211890511</v>
      </c>
      <c r="J91" s="8">
        <f>vals_ghg_excLUC!$X91</f>
        <v>60.728254270554814</v>
      </c>
      <c r="K91" s="8"/>
      <c r="L91" s="8"/>
      <c r="M91" s="8">
        <f>vals_ghg_excLUC!$S91</f>
        <v>84.91384293626993</v>
      </c>
      <c r="N91" s="8">
        <f>vals_ghg_excLUC!$Y91</f>
        <v>72.601869312125928</v>
      </c>
      <c r="O91" s="8"/>
      <c r="P91" s="8"/>
      <c r="Q91" s="9">
        <f t="shared" si="23"/>
        <v>10.201763724379418</v>
      </c>
      <c r="R91" s="9">
        <v>75.12</v>
      </c>
      <c r="S91" s="9">
        <v>85.271000000000001</v>
      </c>
    </row>
    <row r="92" spans="1:19" x14ac:dyDescent="0.35">
      <c r="A92" s="3">
        <f>vals_ghg_excLUC!$A92</f>
        <v>1939</v>
      </c>
      <c r="B92" s="4">
        <f t="shared" si="16"/>
        <v>60.704969776737997</v>
      </c>
      <c r="C92" s="4">
        <f t="shared" si="17"/>
        <v>74.59124785950759</v>
      </c>
      <c r="D92" s="4">
        <f t="shared" si="18"/>
        <v>72.610362144550621</v>
      </c>
      <c r="E92" s="4">
        <f t="shared" si="19"/>
        <v>84.860898446930193</v>
      </c>
      <c r="F92" s="4">
        <f t="shared" si="20"/>
        <v>11.905392367812624</v>
      </c>
      <c r="G92" s="4">
        <f t="shared" si="21"/>
        <v>1.980885714956969</v>
      </c>
      <c r="H92" s="4">
        <f t="shared" si="22"/>
        <v>0</v>
      </c>
      <c r="I92" s="5">
        <f>vals_ghg_excLUC!$R92</f>
        <v>74.59124785950759</v>
      </c>
      <c r="J92" s="5">
        <f>vals_ghg_excLUC!$X92</f>
        <v>60.704969776737997</v>
      </c>
      <c r="K92" s="5"/>
      <c r="L92" s="5"/>
      <c r="M92" s="5">
        <f>vals_ghg_excLUC!$S92</f>
        <v>84.860898446930193</v>
      </c>
      <c r="N92" s="5">
        <f>vals_ghg_excLUC!$Y92</f>
        <v>72.610362144550621</v>
      </c>
      <c r="O92" s="5"/>
      <c r="P92" s="5"/>
      <c r="Q92" s="9">
        <f t="shared" si="23"/>
        <v>10.269650587422603</v>
      </c>
      <c r="R92" s="9">
        <v>74.766999999999996</v>
      </c>
      <c r="S92" s="9">
        <v>85.072999999999993</v>
      </c>
    </row>
    <row r="93" spans="1:19" x14ac:dyDescent="0.35">
      <c r="A93" s="6">
        <f>vals_ghg_excLUC!$A93</f>
        <v>1940</v>
      </c>
      <c r="B93" s="7">
        <f t="shared" si="16"/>
        <v>60.657039849741508</v>
      </c>
      <c r="C93" s="7">
        <f t="shared" si="17"/>
        <v>74.417343504795539</v>
      </c>
      <c r="D93" s="7">
        <f t="shared" si="18"/>
        <v>72.637959946399434</v>
      </c>
      <c r="E93" s="7">
        <f t="shared" si="19"/>
        <v>84.81973277274912</v>
      </c>
      <c r="F93" s="7">
        <f t="shared" si="20"/>
        <v>11.980920096657925</v>
      </c>
      <c r="G93" s="7">
        <f t="shared" si="21"/>
        <v>1.7793835583961055</v>
      </c>
      <c r="H93" s="7">
        <f t="shared" si="22"/>
        <v>0</v>
      </c>
      <c r="I93" s="8">
        <f>vals_ghg_excLUC!$R93</f>
        <v>74.417343504795539</v>
      </c>
      <c r="J93" s="8">
        <f>vals_ghg_excLUC!$X93</f>
        <v>60.657039849741508</v>
      </c>
      <c r="K93" s="8"/>
      <c r="L93" s="8"/>
      <c r="M93" s="8">
        <f>vals_ghg_excLUC!$S93</f>
        <v>84.81973277274912</v>
      </c>
      <c r="N93" s="8">
        <f>vals_ghg_excLUC!$Y93</f>
        <v>72.637959946399434</v>
      </c>
      <c r="O93" s="8"/>
      <c r="P93" s="8"/>
      <c r="Q93" s="9">
        <f t="shared" si="23"/>
        <v>10.402389267953581</v>
      </c>
      <c r="R93" s="9">
        <v>74.338999999999999</v>
      </c>
      <c r="S93" s="9">
        <v>84.887</v>
      </c>
    </row>
    <row r="94" spans="1:19" x14ac:dyDescent="0.35">
      <c r="A94" s="3">
        <f>vals_ghg_excLUC!$A94</f>
        <v>1941</v>
      </c>
      <c r="B94" s="4">
        <f t="shared" si="16"/>
        <v>60.633707568515938</v>
      </c>
      <c r="C94" s="4">
        <f t="shared" si="17"/>
        <v>74.28552366216023</v>
      </c>
      <c r="D94" s="4">
        <f t="shared" si="18"/>
        <v>72.664344159770948</v>
      </c>
      <c r="E94" s="4">
        <f t="shared" si="19"/>
        <v>84.783161736872799</v>
      </c>
      <c r="F94" s="4">
        <f t="shared" si="20"/>
        <v>12.030636591255011</v>
      </c>
      <c r="G94" s="4">
        <f t="shared" si="21"/>
        <v>1.6211795023892819</v>
      </c>
      <c r="H94" s="4">
        <f t="shared" si="22"/>
        <v>0</v>
      </c>
      <c r="I94" s="5">
        <f>vals_ghg_excLUC!$R94</f>
        <v>74.28552366216023</v>
      </c>
      <c r="J94" s="5">
        <f>vals_ghg_excLUC!$X94</f>
        <v>60.633707568515938</v>
      </c>
      <c r="K94" s="5"/>
      <c r="L94" s="5"/>
      <c r="M94" s="5">
        <f>vals_ghg_excLUC!$S94</f>
        <v>84.783161736872799</v>
      </c>
      <c r="N94" s="5">
        <f>vals_ghg_excLUC!$Y94</f>
        <v>72.664344159770948</v>
      </c>
      <c r="O94" s="5"/>
      <c r="P94" s="5"/>
      <c r="Q94" s="9">
        <f t="shared" si="23"/>
        <v>10.497638074712569</v>
      </c>
      <c r="R94" s="9">
        <v>74.004999999999995</v>
      </c>
      <c r="S94" s="9">
        <v>84.724999999999994</v>
      </c>
    </row>
    <row r="95" spans="1:19" x14ac:dyDescent="0.35">
      <c r="A95" s="6">
        <f>vals_ghg_excLUC!$A95</f>
        <v>1942</v>
      </c>
      <c r="B95" s="7">
        <f t="shared" si="16"/>
        <v>60.65025252976055</v>
      </c>
      <c r="C95" s="7">
        <f t="shared" si="17"/>
        <v>74.229119699985816</v>
      </c>
      <c r="D95" s="7">
        <f t="shared" si="18"/>
        <v>72.698370687353815</v>
      </c>
      <c r="E95" s="7">
        <f t="shared" si="19"/>
        <v>84.756773402140723</v>
      </c>
      <c r="F95" s="7">
        <f t="shared" si="20"/>
        <v>12.048118157593265</v>
      </c>
      <c r="G95" s="7">
        <f t="shared" si="21"/>
        <v>1.5307490126320005</v>
      </c>
      <c r="H95" s="7">
        <f t="shared" si="22"/>
        <v>0</v>
      </c>
      <c r="I95" s="8">
        <f>vals_ghg_excLUC!$R95</f>
        <v>74.229119699985816</v>
      </c>
      <c r="J95" s="8">
        <f>vals_ghg_excLUC!$X95</f>
        <v>60.65025252976055</v>
      </c>
      <c r="K95" s="8"/>
      <c r="L95" s="8"/>
      <c r="M95" s="8">
        <f>vals_ghg_excLUC!$S95</f>
        <v>84.756773402140723</v>
      </c>
      <c r="N95" s="8">
        <f>vals_ghg_excLUC!$Y95</f>
        <v>72.698370687353815</v>
      </c>
      <c r="O95" s="8"/>
      <c r="P95" s="8"/>
      <c r="Q95" s="9">
        <f t="shared" si="23"/>
        <v>10.527653702154907</v>
      </c>
      <c r="R95" s="9">
        <v>73.777000000000001</v>
      </c>
      <c r="S95" s="9">
        <v>84.58</v>
      </c>
    </row>
    <row r="96" spans="1:19" x14ac:dyDescent="0.35">
      <c r="A96" s="3">
        <f>vals_ghg_excLUC!$A96</f>
        <v>1943</v>
      </c>
      <c r="B96" s="4">
        <f t="shared" si="16"/>
        <v>60.646778327165954</v>
      </c>
      <c r="C96" s="4">
        <f t="shared" si="17"/>
        <v>74.169903261508026</v>
      </c>
      <c r="D96" s="4">
        <f t="shared" si="18"/>
        <v>72.730515684684065</v>
      </c>
      <c r="E96" s="4">
        <f t="shared" si="19"/>
        <v>84.737080515571279</v>
      </c>
      <c r="F96" s="4">
        <f t="shared" si="20"/>
        <v>12.08373735751811</v>
      </c>
      <c r="G96" s="4">
        <f t="shared" si="21"/>
        <v>1.439387576823961</v>
      </c>
      <c r="H96" s="4">
        <f t="shared" si="22"/>
        <v>0</v>
      </c>
      <c r="I96" s="5">
        <f>vals_ghg_excLUC!$R96</f>
        <v>74.169903261508026</v>
      </c>
      <c r="J96" s="5">
        <f>vals_ghg_excLUC!$X96</f>
        <v>60.646778327165954</v>
      </c>
      <c r="K96" s="5"/>
      <c r="L96" s="5"/>
      <c r="M96" s="5">
        <f>vals_ghg_excLUC!$S96</f>
        <v>84.737080515571279</v>
      </c>
      <c r="N96" s="5">
        <f>vals_ghg_excLUC!$Y96</f>
        <v>72.730515684684065</v>
      </c>
      <c r="O96" s="5"/>
      <c r="P96" s="5"/>
      <c r="Q96" s="9">
        <f t="shared" si="23"/>
        <v>10.567177254063253</v>
      </c>
      <c r="R96" s="9">
        <v>73.528999999999996</v>
      </c>
      <c r="S96" s="9">
        <v>84.436999999999998</v>
      </c>
    </row>
    <row r="97" spans="1:19" x14ac:dyDescent="0.35">
      <c r="A97" s="6">
        <f>vals_ghg_excLUC!$A97</f>
        <v>1944</v>
      </c>
      <c r="B97" s="7">
        <f t="shared" si="16"/>
        <v>60.634857671176704</v>
      </c>
      <c r="C97" s="7">
        <f t="shared" si="17"/>
        <v>74.082231242912982</v>
      </c>
      <c r="D97" s="7">
        <f t="shared" si="18"/>
        <v>72.742252115952681</v>
      </c>
      <c r="E97" s="7">
        <f t="shared" si="19"/>
        <v>84.709369946739614</v>
      </c>
      <c r="F97" s="7">
        <f t="shared" si="20"/>
        <v>12.107394444775977</v>
      </c>
      <c r="G97" s="7">
        <f t="shared" si="21"/>
        <v>1.3399791269603014</v>
      </c>
      <c r="H97" s="7">
        <f t="shared" si="22"/>
        <v>0</v>
      </c>
      <c r="I97" s="8">
        <f>vals_ghg_excLUC!$R97</f>
        <v>74.082231242912982</v>
      </c>
      <c r="J97" s="8">
        <f>vals_ghg_excLUC!$X97</f>
        <v>60.634857671176704</v>
      </c>
      <c r="K97" s="8"/>
      <c r="L97" s="8"/>
      <c r="M97" s="8">
        <f>vals_ghg_excLUC!$S97</f>
        <v>84.709369946739614</v>
      </c>
      <c r="N97" s="8">
        <f>vals_ghg_excLUC!$Y97</f>
        <v>72.742252115952681</v>
      </c>
      <c r="O97" s="8"/>
      <c r="P97" s="8"/>
      <c r="Q97" s="9">
        <f t="shared" si="23"/>
        <v>10.627138703826631</v>
      </c>
      <c r="R97" s="9">
        <v>73.260999999999996</v>
      </c>
      <c r="S97" s="9">
        <v>84.287999999999997</v>
      </c>
    </row>
    <row r="98" spans="1:19" x14ac:dyDescent="0.35">
      <c r="A98" s="3">
        <f>vals_ghg_excLUC!$A98</f>
        <v>1945</v>
      </c>
      <c r="B98" s="4">
        <f t="shared" si="16"/>
        <v>60.57735462215166</v>
      </c>
      <c r="C98" s="4">
        <f t="shared" si="17"/>
        <v>73.989009564636959</v>
      </c>
      <c r="D98" s="4">
        <f t="shared" si="18"/>
        <v>72.688114185048079</v>
      </c>
      <c r="E98" s="4">
        <f t="shared" si="19"/>
        <v>84.642910411212384</v>
      </c>
      <c r="F98" s="4">
        <f t="shared" si="20"/>
        <v>12.110759562896419</v>
      </c>
      <c r="G98" s="4">
        <f t="shared" si="21"/>
        <v>1.30089537958888</v>
      </c>
      <c r="H98" s="4">
        <f t="shared" si="22"/>
        <v>0</v>
      </c>
      <c r="I98" s="5">
        <f>vals_ghg_excLUC!$R98</f>
        <v>73.989009564636959</v>
      </c>
      <c r="J98" s="5">
        <f>vals_ghg_excLUC!$X98</f>
        <v>60.57735462215166</v>
      </c>
      <c r="K98" s="5"/>
      <c r="L98" s="5"/>
      <c r="M98" s="5">
        <f>vals_ghg_excLUC!$S98</f>
        <v>84.642910411212384</v>
      </c>
      <c r="N98" s="5">
        <f>vals_ghg_excLUC!$Y98</f>
        <v>72.688114185048079</v>
      </c>
      <c r="O98" s="5"/>
      <c r="P98" s="5"/>
      <c r="Q98" s="9">
        <f t="shared" si="23"/>
        <v>10.653900846575425</v>
      </c>
      <c r="R98" s="9">
        <v>73.004999999999995</v>
      </c>
      <c r="S98" s="9">
        <v>84.087999999999994</v>
      </c>
    </row>
    <row r="99" spans="1:19" x14ac:dyDescent="0.35">
      <c r="A99" s="6">
        <f>vals_ghg_excLUC!$A99</f>
        <v>1946</v>
      </c>
      <c r="B99" s="7">
        <f t="shared" ref="B99:B130" si="24">IFERROR(_xlfn.AGGREGATE(5,6,I99:L99),"")</f>
        <v>60.507607805790919</v>
      </c>
      <c r="C99" s="7">
        <f t="shared" ref="C99:C130" si="25">IFERROR(_xlfn.AGGREGATE(4,6,I99:L99),"")</f>
        <v>73.872589199169539</v>
      </c>
      <c r="D99" s="7">
        <f t="shared" ref="D99:D130" si="26">IFERROR(_xlfn.AGGREGATE(5,6,M99:P99),"")</f>
        <v>72.633027068889334</v>
      </c>
      <c r="E99" s="7">
        <f t="shared" ref="E99:E130" si="27">IFERROR(_xlfn.AGGREGATE(4,6,M99:P99),"")</f>
        <v>84.576086276637014</v>
      </c>
      <c r="F99" s="7">
        <f t="shared" ref="F99:F130" si="28">IFERROR(MIN(C99,D99)-B99,"")</f>
        <v>12.125419263098415</v>
      </c>
      <c r="G99" s="7">
        <f t="shared" ref="G99:G130" si="29">IFERROR(MAX(0,C99-D99),"")</f>
        <v>1.2395621302802056</v>
      </c>
      <c r="H99" s="7">
        <f t="shared" ref="H99:H130" si="30">IFERROR(MAX(0,D99-C99),"")</f>
        <v>0</v>
      </c>
      <c r="I99" s="8">
        <f>vals_ghg_excLUC!$R99</f>
        <v>73.872589199169539</v>
      </c>
      <c r="J99" s="8">
        <f>vals_ghg_excLUC!$X99</f>
        <v>60.507607805790919</v>
      </c>
      <c r="K99" s="8"/>
      <c r="L99" s="8"/>
      <c r="M99" s="8">
        <f>vals_ghg_excLUC!$S99</f>
        <v>84.576086276637014</v>
      </c>
      <c r="N99" s="8">
        <f>vals_ghg_excLUC!$Y99</f>
        <v>72.633027068889334</v>
      </c>
      <c r="O99" s="8"/>
      <c r="P99" s="8"/>
      <c r="Q99" s="9">
        <f t="shared" ref="Q99:Q130" si="31">IFERROR(MAX(0,$E99-MAX($C99,$D99)),"")</f>
        <v>10.703497077467475</v>
      </c>
      <c r="R99" s="9">
        <v>72.712999999999994</v>
      </c>
      <c r="S99" s="9">
        <v>83.864999999999995</v>
      </c>
    </row>
    <row r="100" spans="1:19" x14ac:dyDescent="0.35">
      <c r="A100" s="3">
        <f>vals_ghg_excLUC!$A100</f>
        <v>1947</v>
      </c>
      <c r="B100" s="4">
        <f t="shared" si="24"/>
        <v>60.469074726295133</v>
      </c>
      <c r="C100" s="4">
        <f t="shared" si="25"/>
        <v>73.768603594007359</v>
      </c>
      <c r="D100" s="4">
        <f t="shared" si="26"/>
        <v>72.610882685677467</v>
      </c>
      <c r="E100" s="4">
        <f t="shared" si="27"/>
        <v>84.525685034086536</v>
      </c>
      <c r="F100" s="4">
        <f t="shared" si="28"/>
        <v>12.141807959382334</v>
      </c>
      <c r="G100" s="4">
        <f t="shared" si="29"/>
        <v>1.1577209083298925</v>
      </c>
      <c r="H100" s="4">
        <f t="shared" si="30"/>
        <v>0</v>
      </c>
      <c r="I100" s="5">
        <f>vals_ghg_excLUC!$R100</f>
        <v>73.768603594007359</v>
      </c>
      <c r="J100" s="5">
        <f>vals_ghg_excLUC!$X100</f>
        <v>60.469074726295133</v>
      </c>
      <c r="K100" s="5"/>
      <c r="L100" s="5"/>
      <c r="M100" s="5">
        <f>vals_ghg_excLUC!$S100</f>
        <v>84.525685034086536</v>
      </c>
      <c r="N100" s="5">
        <f>vals_ghg_excLUC!$Y100</f>
        <v>72.610882685677467</v>
      </c>
      <c r="O100" s="5"/>
      <c r="P100" s="5"/>
      <c r="Q100" s="9">
        <f t="shared" si="31"/>
        <v>10.757081440079176</v>
      </c>
      <c r="R100" s="9">
        <v>72.456999999999994</v>
      </c>
      <c r="S100" s="9">
        <v>83.686000000000007</v>
      </c>
    </row>
    <row r="101" spans="1:19" x14ac:dyDescent="0.35">
      <c r="A101" s="6">
        <f>vals_ghg_excLUC!$A101</f>
        <v>1948</v>
      </c>
      <c r="B101" s="7">
        <f t="shared" si="24"/>
        <v>60.449655518334446</v>
      </c>
      <c r="C101" s="7">
        <f t="shared" si="25"/>
        <v>73.684729702071976</v>
      </c>
      <c r="D101" s="7">
        <f t="shared" si="26"/>
        <v>72.609245681205635</v>
      </c>
      <c r="E101" s="7">
        <f t="shared" si="27"/>
        <v>84.497787281922896</v>
      </c>
      <c r="F101" s="7">
        <f t="shared" si="28"/>
        <v>12.15959016287119</v>
      </c>
      <c r="G101" s="7">
        <f t="shared" si="29"/>
        <v>1.075484020866341</v>
      </c>
      <c r="H101" s="7">
        <f t="shared" si="30"/>
        <v>0</v>
      </c>
      <c r="I101" s="8">
        <f>vals_ghg_excLUC!$R101</f>
        <v>73.684729702071976</v>
      </c>
      <c r="J101" s="8">
        <f>vals_ghg_excLUC!$X101</f>
        <v>60.449655518334446</v>
      </c>
      <c r="K101" s="8"/>
      <c r="L101" s="8"/>
      <c r="M101" s="8">
        <f>vals_ghg_excLUC!$S101</f>
        <v>84.497787281922896</v>
      </c>
      <c r="N101" s="8">
        <f>vals_ghg_excLUC!$Y101</f>
        <v>72.609245681205635</v>
      </c>
      <c r="O101" s="8"/>
      <c r="P101" s="8"/>
      <c r="Q101" s="9">
        <f t="shared" si="31"/>
        <v>10.81305757985092</v>
      </c>
      <c r="R101" s="9">
        <v>72.260999999999996</v>
      </c>
      <c r="S101" s="9">
        <v>83.567999999999998</v>
      </c>
    </row>
    <row r="102" spans="1:19" x14ac:dyDescent="0.35">
      <c r="A102" s="3">
        <f>vals_ghg_excLUC!$A102</f>
        <v>1949</v>
      </c>
      <c r="B102" s="4">
        <f t="shared" si="24"/>
        <v>60.376575203168194</v>
      </c>
      <c r="C102" s="4">
        <f t="shared" si="25"/>
        <v>73.547498345023541</v>
      </c>
      <c r="D102" s="4">
        <f t="shared" si="26"/>
        <v>72.581082136249393</v>
      </c>
      <c r="E102" s="4">
        <f t="shared" si="27"/>
        <v>84.455376676410324</v>
      </c>
      <c r="F102" s="4">
        <f t="shared" si="28"/>
        <v>12.204506933081198</v>
      </c>
      <c r="G102" s="4">
        <f t="shared" si="29"/>
        <v>0.9664162087741488</v>
      </c>
      <c r="H102" s="4">
        <f t="shared" si="30"/>
        <v>0</v>
      </c>
      <c r="I102" s="5">
        <f>vals_ghg_excLUC!$R102</f>
        <v>73.547498345023541</v>
      </c>
      <c r="J102" s="5">
        <f>vals_ghg_excLUC!$X102</f>
        <v>60.376575203168194</v>
      </c>
      <c r="K102" s="5"/>
      <c r="L102" s="5"/>
      <c r="M102" s="5">
        <f>vals_ghg_excLUC!$S102</f>
        <v>84.455376676410324</v>
      </c>
      <c r="N102" s="5">
        <f>vals_ghg_excLUC!$Y102</f>
        <v>72.581082136249393</v>
      </c>
      <c r="O102" s="5"/>
      <c r="P102" s="5"/>
      <c r="Q102" s="9">
        <f t="shared" si="31"/>
        <v>10.907878331386783</v>
      </c>
      <c r="R102" s="9">
        <v>71.994</v>
      </c>
      <c r="S102" s="9">
        <v>83.426000000000002</v>
      </c>
    </row>
    <row r="103" spans="1:19" x14ac:dyDescent="0.35">
      <c r="A103" s="6">
        <f>vals_ghg_excLUC!$A103</f>
        <v>1950</v>
      </c>
      <c r="B103" s="7">
        <f t="shared" si="24"/>
        <v>60.349673033601135</v>
      </c>
      <c r="C103" s="7">
        <f t="shared" si="25"/>
        <v>73.423612141177671</v>
      </c>
      <c r="D103" s="7">
        <f t="shared" si="26"/>
        <v>72.601759226609531</v>
      </c>
      <c r="E103" s="7">
        <f t="shared" si="27"/>
        <v>84.422926739592612</v>
      </c>
      <c r="F103" s="7">
        <f t="shared" si="28"/>
        <v>12.252086193008395</v>
      </c>
      <c r="G103" s="7">
        <f t="shared" si="29"/>
        <v>0.82185291456814014</v>
      </c>
      <c r="H103" s="7">
        <f t="shared" si="30"/>
        <v>0</v>
      </c>
      <c r="I103" s="8">
        <f>vals_ghg_excLUC!$R103</f>
        <v>73.423612141177671</v>
      </c>
      <c r="J103" s="8">
        <f>vals_ghg_excLUC!$X103</f>
        <v>60.349673033601135</v>
      </c>
      <c r="K103" s="8"/>
      <c r="L103" s="8"/>
      <c r="M103" s="8">
        <f>vals_ghg_excLUC!$S103</f>
        <v>84.422926739592612</v>
      </c>
      <c r="N103" s="8">
        <f>vals_ghg_excLUC!$Y103</f>
        <v>72.601759226609531</v>
      </c>
      <c r="O103" s="8"/>
      <c r="P103" s="8"/>
      <c r="Q103" s="9">
        <f t="shared" si="31"/>
        <v>10.999314598414941</v>
      </c>
      <c r="R103" s="9">
        <v>71.783000000000001</v>
      </c>
      <c r="S103" s="9">
        <v>83.316999999999993</v>
      </c>
    </row>
    <row r="104" spans="1:19" x14ac:dyDescent="0.35">
      <c r="A104" s="3">
        <f>vals_ghg_excLUC!$A104</f>
        <v>1951</v>
      </c>
      <c r="B104" s="4">
        <f t="shared" si="24"/>
        <v>60.325475700713703</v>
      </c>
      <c r="C104" s="4">
        <f t="shared" si="25"/>
        <v>73.294571006143386</v>
      </c>
      <c r="D104" s="4">
        <f t="shared" si="26"/>
        <v>72.628198128568087</v>
      </c>
      <c r="E104" s="4">
        <f t="shared" si="27"/>
        <v>84.39003242651053</v>
      </c>
      <c r="F104" s="4">
        <f t="shared" si="28"/>
        <v>12.302722427854384</v>
      </c>
      <c r="G104" s="4">
        <f t="shared" si="29"/>
        <v>0.66637287757529862</v>
      </c>
      <c r="H104" s="4">
        <f t="shared" si="30"/>
        <v>0</v>
      </c>
      <c r="I104" s="5">
        <f>vals_ghg_excLUC!$R104</f>
        <v>73.294571006143386</v>
      </c>
      <c r="J104" s="5">
        <f>vals_ghg_excLUC!$X104</f>
        <v>60.325475700713703</v>
      </c>
      <c r="K104" s="5"/>
      <c r="L104" s="5"/>
      <c r="M104" s="5">
        <f>vals_ghg_excLUC!$S104</f>
        <v>84.39003242651053</v>
      </c>
      <c r="N104" s="5">
        <f>vals_ghg_excLUC!$Y104</f>
        <v>72.628198128568087</v>
      </c>
      <c r="O104" s="5"/>
      <c r="P104" s="5"/>
      <c r="Q104" s="9">
        <f t="shared" si="31"/>
        <v>11.095461420367144</v>
      </c>
      <c r="R104" s="9">
        <v>71.594999999999999</v>
      </c>
      <c r="S104" s="9">
        <v>83.218000000000004</v>
      </c>
    </row>
    <row r="105" spans="1:19" x14ac:dyDescent="0.35">
      <c r="A105" s="6">
        <f>vals_ghg_excLUC!$A105</f>
        <v>1952</v>
      </c>
      <c r="B105" s="7">
        <f t="shared" si="24"/>
        <v>60.275971243729643</v>
      </c>
      <c r="C105" s="7">
        <f t="shared" si="25"/>
        <v>73.133232086184961</v>
      </c>
      <c r="D105" s="7">
        <f t="shared" si="26"/>
        <v>72.641508539318551</v>
      </c>
      <c r="E105" s="7">
        <f t="shared" si="27"/>
        <v>84.3399746454905</v>
      </c>
      <c r="F105" s="7">
        <f t="shared" si="28"/>
        <v>12.365537295588908</v>
      </c>
      <c r="G105" s="7">
        <f t="shared" si="29"/>
        <v>0.49172354686641029</v>
      </c>
      <c r="H105" s="7">
        <f t="shared" si="30"/>
        <v>0</v>
      </c>
      <c r="I105" s="8">
        <f>vals_ghg_excLUC!$R105</f>
        <v>73.133232086184961</v>
      </c>
      <c r="J105" s="8">
        <f>vals_ghg_excLUC!$X105</f>
        <v>60.275971243729643</v>
      </c>
      <c r="K105" s="8"/>
      <c r="L105" s="8"/>
      <c r="M105" s="8">
        <f>vals_ghg_excLUC!$S105</f>
        <v>84.3399746454905</v>
      </c>
      <c r="N105" s="8">
        <f>vals_ghg_excLUC!$Y105</f>
        <v>72.641508539318551</v>
      </c>
      <c r="O105" s="8"/>
      <c r="P105" s="8"/>
      <c r="Q105" s="9">
        <f t="shared" si="31"/>
        <v>11.206742559305539</v>
      </c>
      <c r="R105" s="9">
        <v>71.394000000000005</v>
      </c>
      <c r="S105" s="9">
        <v>83.122</v>
      </c>
    </row>
    <row r="106" spans="1:19" x14ac:dyDescent="0.35">
      <c r="A106" s="3">
        <f>vals_ghg_excLUC!$A106</f>
        <v>1953</v>
      </c>
      <c r="B106" s="4">
        <f t="shared" si="24"/>
        <v>60.219825239146594</v>
      </c>
      <c r="C106" s="4">
        <f t="shared" si="25"/>
        <v>72.964567370718598</v>
      </c>
      <c r="D106" s="4">
        <f t="shared" si="26"/>
        <v>72.656137559478637</v>
      </c>
      <c r="E106" s="4">
        <f t="shared" si="27"/>
        <v>84.292665143514583</v>
      </c>
      <c r="F106" s="4">
        <f t="shared" si="28"/>
        <v>12.436312320332043</v>
      </c>
      <c r="G106" s="4">
        <f t="shared" si="29"/>
        <v>0.30842981123996083</v>
      </c>
      <c r="H106" s="4">
        <f t="shared" si="30"/>
        <v>0</v>
      </c>
      <c r="I106" s="5">
        <f>vals_ghg_excLUC!$R106</f>
        <v>72.964567370718598</v>
      </c>
      <c r="J106" s="5">
        <f>vals_ghg_excLUC!$X106</f>
        <v>60.219825239146594</v>
      </c>
      <c r="K106" s="5"/>
      <c r="L106" s="5"/>
      <c r="M106" s="5">
        <f>vals_ghg_excLUC!$S106</f>
        <v>84.292665143514583</v>
      </c>
      <c r="N106" s="5">
        <f>vals_ghg_excLUC!$Y106</f>
        <v>72.656137559478637</v>
      </c>
      <c r="O106" s="5"/>
      <c r="P106" s="5"/>
      <c r="Q106" s="9">
        <f t="shared" si="31"/>
        <v>11.328097772795985</v>
      </c>
      <c r="R106" s="9">
        <v>71.186999999999998</v>
      </c>
      <c r="S106" s="9">
        <v>83.034000000000006</v>
      </c>
    </row>
    <row r="107" spans="1:19" x14ac:dyDescent="0.35">
      <c r="A107" s="6">
        <f>vals_ghg_excLUC!$A107</f>
        <v>1954</v>
      </c>
      <c r="B107" s="7">
        <f t="shared" si="24"/>
        <v>60.136429257815472</v>
      </c>
      <c r="C107" s="7">
        <f t="shared" si="25"/>
        <v>72.759708740762392</v>
      </c>
      <c r="D107" s="7">
        <f t="shared" si="26"/>
        <v>72.656958770308833</v>
      </c>
      <c r="E107" s="7">
        <f t="shared" si="27"/>
        <v>84.22663530122523</v>
      </c>
      <c r="F107" s="7">
        <f t="shared" si="28"/>
        <v>12.520529512493361</v>
      </c>
      <c r="G107" s="7">
        <f t="shared" si="29"/>
        <v>0.1027499704535586</v>
      </c>
      <c r="H107" s="7">
        <f t="shared" si="30"/>
        <v>0</v>
      </c>
      <c r="I107" s="8">
        <f>vals_ghg_excLUC!$R107</f>
        <v>72.759708740762392</v>
      </c>
      <c r="J107" s="8">
        <f>vals_ghg_excLUC!$X107</f>
        <v>60.136429257815472</v>
      </c>
      <c r="K107" s="8"/>
      <c r="L107" s="8"/>
      <c r="M107" s="8">
        <f>vals_ghg_excLUC!$S107</f>
        <v>84.22663530122523</v>
      </c>
      <c r="N107" s="8">
        <f>vals_ghg_excLUC!$Y107</f>
        <v>72.656958770308833</v>
      </c>
      <c r="O107" s="8"/>
      <c r="P107" s="8"/>
      <c r="Q107" s="9">
        <f t="shared" si="31"/>
        <v>11.466926560462838</v>
      </c>
      <c r="R107" s="9">
        <v>70.941999999999993</v>
      </c>
      <c r="S107" s="9">
        <v>82.92</v>
      </c>
    </row>
    <row r="108" spans="1:19" x14ac:dyDescent="0.35">
      <c r="A108" s="3">
        <f>vals_ghg_excLUC!$A108</f>
        <v>1955</v>
      </c>
      <c r="B108" s="4">
        <f t="shared" si="24"/>
        <v>60.050284878082238</v>
      </c>
      <c r="C108" s="4">
        <f t="shared" si="25"/>
        <v>72.529899334504933</v>
      </c>
      <c r="D108" s="4">
        <f t="shared" si="26"/>
        <v>72.662371894943362</v>
      </c>
      <c r="E108" s="4">
        <f t="shared" si="27"/>
        <v>84.143756377759274</v>
      </c>
      <c r="F108" s="4">
        <f t="shared" si="28"/>
        <v>12.479614456422695</v>
      </c>
      <c r="G108" s="4">
        <f t="shared" si="29"/>
        <v>0</v>
      </c>
      <c r="H108" s="4">
        <f t="shared" si="30"/>
        <v>0.13247256043842981</v>
      </c>
      <c r="I108" s="5">
        <f>vals_ghg_excLUC!$R108</f>
        <v>72.529899334504933</v>
      </c>
      <c r="J108" s="5">
        <f>vals_ghg_excLUC!$X108</f>
        <v>60.050284878082238</v>
      </c>
      <c r="K108" s="5"/>
      <c r="L108" s="5"/>
      <c r="M108" s="5">
        <f>vals_ghg_excLUC!$S108</f>
        <v>84.143756377759274</v>
      </c>
      <c r="N108" s="5">
        <f>vals_ghg_excLUC!$Y108</f>
        <v>72.662371894943362</v>
      </c>
      <c r="O108" s="5"/>
      <c r="P108" s="5"/>
      <c r="Q108" s="9">
        <f t="shared" si="31"/>
        <v>11.481384482815912</v>
      </c>
      <c r="R108" s="9">
        <v>70.653000000000006</v>
      </c>
      <c r="S108" s="9">
        <v>82.766999999999996</v>
      </c>
    </row>
    <row r="109" spans="1:19" x14ac:dyDescent="0.35">
      <c r="A109" s="6">
        <f>vals_ghg_excLUC!$A109</f>
        <v>1956</v>
      </c>
      <c r="B109" s="7">
        <f t="shared" si="24"/>
        <v>59.96218482818341</v>
      </c>
      <c r="C109" s="7">
        <f t="shared" si="25"/>
        <v>72.290148585531469</v>
      </c>
      <c r="D109" s="7">
        <f t="shared" si="26"/>
        <v>72.674083515755981</v>
      </c>
      <c r="E109" s="7">
        <f t="shared" si="27"/>
        <v>84.06114733013105</v>
      </c>
      <c r="F109" s="7">
        <f t="shared" si="28"/>
        <v>12.327963757348058</v>
      </c>
      <c r="G109" s="7">
        <f t="shared" si="29"/>
        <v>0</v>
      </c>
      <c r="H109" s="7">
        <f t="shared" si="30"/>
        <v>0.38393493022451253</v>
      </c>
      <c r="I109" s="8">
        <f>vals_ghg_excLUC!$R109</f>
        <v>72.290148585531469</v>
      </c>
      <c r="J109" s="8">
        <f>vals_ghg_excLUC!$X109</f>
        <v>59.96218482818341</v>
      </c>
      <c r="K109" s="8"/>
      <c r="L109" s="8"/>
      <c r="M109" s="8">
        <f>vals_ghg_excLUC!$S109</f>
        <v>84.06114733013105</v>
      </c>
      <c r="N109" s="8">
        <f>vals_ghg_excLUC!$Y109</f>
        <v>72.674083515755981</v>
      </c>
      <c r="O109" s="8"/>
      <c r="P109" s="8"/>
      <c r="Q109" s="9">
        <f t="shared" si="31"/>
        <v>11.387063814375068</v>
      </c>
      <c r="R109" s="9">
        <v>70.358000000000004</v>
      </c>
      <c r="S109" s="9">
        <v>82.617000000000004</v>
      </c>
    </row>
    <row r="110" spans="1:19" x14ac:dyDescent="0.35">
      <c r="A110" s="3">
        <f>vals_ghg_excLUC!$A110</f>
        <v>1957</v>
      </c>
      <c r="B110" s="4">
        <f t="shared" si="24"/>
        <v>59.845828238200582</v>
      </c>
      <c r="C110" s="4">
        <f t="shared" si="25"/>
        <v>72.012050123764922</v>
      </c>
      <c r="D110" s="4">
        <f t="shared" si="26"/>
        <v>72.67306949414602</v>
      </c>
      <c r="E110" s="4">
        <f t="shared" si="27"/>
        <v>83.95959411957584</v>
      </c>
      <c r="F110" s="4">
        <f t="shared" si="28"/>
        <v>12.16622188556434</v>
      </c>
      <c r="G110" s="4">
        <f t="shared" si="29"/>
        <v>0</v>
      </c>
      <c r="H110" s="4">
        <f t="shared" si="30"/>
        <v>0.66101937038109781</v>
      </c>
      <c r="I110" s="5">
        <f>vals_ghg_excLUC!$R110</f>
        <v>72.012050123764922</v>
      </c>
      <c r="J110" s="5">
        <f>vals_ghg_excLUC!$X110</f>
        <v>59.845828238200582</v>
      </c>
      <c r="K110" s="5"/>
      <c r="L110" s="5"/>
      <c r="M110" s="5">
        <f>vals_ghg_excLUC!$S110</f>
        <v>83.95959411957584</v>
      </c>
      <c r="N110" s="5">
        <f>vals_ghg_excLUC!$Y110</f>
        <v>72.67306949414602</v>
      </c>
      <c r="O110" s="5"/>
      <c r="P110" s="5"/>
      <c r="Q110" s="9">
        <f t="shared" si="31"/>
        <v>11.28652462542982</v>
      </c>
      <c r="R110" s="9">
        <v>70.007000000000005</v>
      </c>
      <c r="S110" s="9">
        <v>82.438000000000002</v>
      </c>
    </row>
    <row r="111" spans="1:19" x14ac:dyDescent="0.35">
      <c r="A111" s="6">
        <f>vals_ghg_excLUC!$A111</f>
        <v>1958</v>
      </c>
      <c r="B111" s="7">
        <f t="shared" si="24"/>
        <v>59.674742000276382</v>
      </c>
      <c r="C111" s="7">
        <f t="shared" si="25"/>
        <v>71.659798658247581</v>
      </c>
      <c r="D111" s="7">
        <f t="shared" si="26"/>
        <v>72.624301169395494</v>
      </c>
      <c r="E111" s="7">
        <f t="shared" si="27"/>
        <v>83.791155831062852</v>
      </c>
      <c r="F111" s="7">
        <f t="shared" si="28"/>
        <v>11.985056657971199</v>
      </c>
      <c r="G111" s="7">
        <f t="shared" si="29"/>
        <v>0</v>
      </c>
      <c r="H111" s="7">
        <f t="shared" si="30"/>
        <v>0.96450251114791286</v>
      </c>
      <c r="I111" s="8">
        <f>vals_ghg_excLUC!$R111</f>
        <v>71.659798658247581</v>
      </c>
      <c r="J111" s="8">
        <f>vals_ghg_excLUC!$X111</f>
        <v>59.674742000276382</v>
      </c>
      <c r="K111" s="8"/>
      <c r="L111" s="8"/>
      <c r="M111" s="8">
        <f>vals_ghg_excLUC!$S111</f>
        <v>83.791155831062852</v>
      </c>
      <c r="N111" s="8">
        <f>vals_ghg_excLUC!$Y111</f>
        <v>72.624301169395494</v>
      </c>
      <c r="O111" s="8"/>
      <c r="P111" s="8"/>
      <c r="Q111" s="9">
        <f t="shared" si="31"/>
        <v>11.166854661667358</v>
      </c>
      <c r="R111" s="9">
        <v>69.597999999999999</v>
      </c>
      <c r="S111" s="9">
        <v>82.203999999999994</v>
      </c>
    </row>
    <row r="112" spans="1:19" x14ac:dyDescent="0.35">
      <c r="A112" s="3">
        <f>vals_ghg_excLUC!$A112</f>
        <v>1959</v>
      </c>
      <c r="B112" s="4">
        <f t="shared" si="24"/>
        <v>59.471020126301354</v>
      </c>
      <c r="C112" s="4">
        <f t="shared" si="25"/>
        <v>71.254032682522748</v>
      </c>
      <c r="D112" s="4">
        <f t="shared" si="26"/>
        <v>72.540746047616906</v>
      </c>
      <c r="E112" s="4">
        <f t="shared" si="27"/>
        <v>83.564923059912957</v>
      </c>
      <c r="F112" s="4">
        <f t="shared" si="28"/>
        <v>11.783012556221394</v>
      </c>
      <c r="G112" s="4">
        <f t="shared" si="29"/>
        <v>0</v>
      </c>
      <c r="H112" s="4">
        <f t="shared" si="30"/>
        <v>1.2867133650941582</v>
      </c>
      <c r="I112" s="5">
        <f>vals_ghg_excLUC!$R112</f>
        <v>71.254032682522748</v>
      </c>
      <c r="J112" s="5">
        <f>vals_ghg_excLUC!$X112</f>
        <v>59.471020126301354</v>
      </c>
      <c r="K112" s="5"/>
      <c r="L112" s="5"/>
      <c r="M112" s="5">
        <f>vals_ghg_excLUC!$S112</f>
        <v>83.564923059912957</v>
      </c>
      <c r="N112" s="5">
        <f>vals_ghg_excLUC!$Y112</f>
        <v>72.540746047616906</v>
      </c>
      <c r="O112" s="5"/>
      <c r="P112" s="5"/>
      <c r="Q112" s="9">
        <f t="shared" si="31"/>
        <v>11.02417701229605</v>
      </c>
      <c r="R112" s="9">
        <v>69.085999999999999</v>
      </c>
      <c r="S112" s="9">
        <v>81.855000000000004</v>
      </c>
    </row>
    <row r="113" spans="1:19" x14ac:dyDescent="0.35">
      <c r="A113" s="6">
        <f>vals_ghg_excLUC!$A113</f>
        <v>1960</v>
      </c>
      <c r="B113" s="7">
        <f t="shared" si="24"/>
        <v>59.269146969135178</v>
      </c>
      <c r="C113" s="7">
        <f t="shared" si="25"/>
        <v>70.848709714668416</v>
      </c>
      <c r="D113" s="7">
        <f t="shared" si="26"/>
        <v>72.45542426033839</v>
      </c>
      <c r="E113" s="7">
        <f t="shared" si="27"/>
        <v>83.332360932130996</v>
      </c>
      <c r="F113" s="7">
        <f t="shared" si="28"/>
        <v>11.579562745533238</v>
      </c>
      <c r="G113" s="7">
        <f t="shared" si="29"/>
        <v>0</v>
      </c>
      <c r="H113" s="7">
        <f t="shared" si="30"/>
        <v>1.6067145456699734</v>
      </c>
      <c r="I113" s="8">
        <f>vals_ghg_excLUC!$R113</f>
        <v>70.848709714668416</v>
      </c>
      <c r="J113" s="8">
        <f>vals_ghg_excLUC!$X113</f>
        <v>59.269146969135178</v>
      </c>
      <c r="K113" s="8"/>
      <c r="L113" s="8"/>
      <c r="M113" s="8">
        <f>vals_ghg_excLUC!$S113</f>
        <v>83.332360932130996</v>
      </c>
      <c r="N113" s="8">
        <f>vals_ghg_excLUC!$Y113</f>
        <v>72.45542426033839</v>
      </c>
      <c r="O113" s="8"/>
      <c r="P113" s="8"/>
      <c r="Q113" s="9">
        <f t="shared" si="31"/>
        <v>10.876936671792606</v>
      </c>
      <c r="R113" s="9">
        <v>68.591999999999999</v>
      </c>
      <c r="S113" s="9">
        <v>81.497</v>
      </c>
    </row>
    <row r="114" spans="1:19" x14ac:dyDescent="0.35">
      <c r="A114" s="3">
        <f>vals_ghg_excLUC!$A114</f>
        <v>1961</v>
      </c>
      <c r="B114" s="4">
        <f t="shared" si="24"/>
        <v>59.095755427571021</v>
      </c>
      <c r="C114" s="4">
        <f t="shared" si="25"/>
        <v>70.493459702862467</v>
      </c>
      <c r="D114" s="4">
        <f t="shared" si="26"/>
        <v>72.405168617471787</v>
      </c>
      <c r="E114" s="4">
        <f t="shared" si="27"/>
        <v>83.157124193746697</v>
      </c>
      <c r="F114" s="4">
        <f t="shared" si="28"/>
        <v>11.397704275291446</v>
      </c>
      <c r="G114" s="4">
        <f t="shared" si="29"/>
        <v>0</v>
      </c>
      <c r="H114" s="4">
        <f t="shared" si="30"/>
        <v>1.9117089146093207</v>
      </c>
      <c r="I114" s="5">
        <f>vals_ghg_excLUC!$R114</f>
        <v>70.493459702862467</v>
      </c>
      <c r="J114" s="5">
        <f>vals_ghg_excLUC!$X114</f>
        <v>59.095755427571021</v>
      </c>
      <c r="K114" s="5"/>
      <c r="L114" s="5"/>
      <c r="M114" s="5">
        <f>vals_ghg_excLUC!$S114</f>
        <v>83.157124193746697</v>
      </c>
      <c r="N114" s="5">
        <f>vals_ghg_excLUC!$Y114</f>
        <v>72.405168617471787</v>
      </c>
      <c r="O114" s="5"/>
      <c r="P114" s="5"/>
      <c r="Q114" s="9">
        <f t="shared" si="31"/>
        <v>10.751955576274909</v>
      </c>
      <c r="R114" s="9">
        <v>68.153999999999996</v>
      </c>
      <c r="S114" s="9">
        <v>81.218000000000004</v>
      </c>
    </row>
    <row r="115" spans="1:19" x14ac:dyDescent="0.35">
      <c r="A115" s="6">
        <f>vals_ghg_excLUC!$A115</f>
        <v>1962</v>
      </c>
      <c r="B115" s="7">
        <f t="shared" si="24"/>
        <v>58.942652451623324</v>
      </c>
      <c r="C115" s="7">
        <f t="shared" si="25"/>
        <v>70.16886153495787</v>
      </c>
      <c r="D115" s="7">
        <f t="shared" si="26"/>
        <v>72.380876170069172</v>
      </c>
      <c r="E115" s="7">
        <f t="shared" si="27"/>
        <v>83.018132423083671</v>
      </c>
      <c r="F115" s="7">
        <f t="shared" si="28"/>
        <v>11.226209083334545</v>
      </c>
      <c r="G115" s="7">
        <f t="shared" si="29"/>
        <v>0</v>
      </c>
      <c r="H115" s="7">
        <f t="shared" si="30"/>
        <v>2.2120146351113021</v>
      </c>
      <c r="I115" s="8">
        <f>vals_ghg_excLUC!$R115</f>
        <v>70.16886153495787</v>
      </c>
      <c r="J115" s="8">
        <f>vals_ghg_excLUC!$X115</f>
        <v>58.942652451623324</v>
      </c>
      <c r="K115" s="8"/>
      <c r="L115" s="8"/>
      <c r="M115" s="8">
        <f>vals_ghg_excLUC!$S115</f>
        <v>83.018132423083671</v>
      </c>
      <c r="N115" s="8">
        <f>vals_ghg_excLUC!$Y115</f>
        <v>72.380876170069172</v>
      </c>
      <c r="O115" s="8"/>
      <c r="P115" s="8"/>
      <c r="Q115" s="9">
        <f t="shared" si="31"/>
        <v>10.637256253014499</v>
      </c>
      <c r="R115" s="9">
        <v>67.748999999999995</v>
      </c>
      <c r="S115" s="9">
        <v>80.998000000000005</v>
      </c>
    </row>
    <row r="116" spans="1:19" x14ac:dyDescent="0.35">
      <c r="A116" s="3">
        <f>vals_ghg_excLUC!$A116</f>
        <v>1963</v>
      </c>
      <c r="B116" s="4">
        <f t="shared" si="24"/>
        <v>58.796487824932917</v>
      </c>
      <c r="C116" s="4">
        <f t="shared" si="25"/>
        <v>69.844880466080511</v>
      </c>
      <c r="D116" s="4">
        <f t="shared" si="26"/>
        <v>72.368652067750574</v>
      </c>
      <c r="E116" s="4">
        <f t="shared" si="27"/>
        <v>82.8854912694907</v>
      </c>
      <c r="F116" s="4">
        <f t="shared" si="28"/>
        <v>11.048392641147593</v>
      </c>
      <c r="G116" s="4">
        <f t="shared" si="29"/>
        <v>0</v>
      </c>
      <c r="H116" s="4">
        <f t="shared" si="30"/>
        <v>2.5237716016700631</v>
      </c>
      <c r="I116" s="5">
        <f>vals_ghg_excLUC!$R116</f>
        <v>69.844880466080511</v>
      </c>
      <c r="J116" s="5">
        <f>vals_ghg_excLUC!$X116</f>
        <v>58.796487824932917</v>
      </c>
      <c r="K116" s="5"/>
      <c r="L116" s="5"/>
      <c r="M116" s="5">
        <f>vals_ghg_excLUC!$S116</f>
        <v>82.8854912694907</v>
      </c>
      <c r="N116" s="5">
        <f>vals_ghg_excLUC!$Y116</f>
        <v>72.368652067750574</v>
      </c>
      <c r="O116" s="5"/>
      <c r="P116" s="5"/>
      <c r="Q116" s="9">
        <f t="shared" si="31"/>
        <v>10.516839201740126</v>
      </c>
      <c r="R116" s="9">
        <v>67.347999999999999</v>
      </c>
      <c r="S116" s="9">
        <v>80.778000000000006</v>
      </c>
    </row>
    <row r="117" spans="1:19" x14ac:dyDescent="0.35">
      <c r="A117" s="6">
        <f>vals_ghg_excLUC!$A117</f>
        <v>1964</v>
      </c>
      <c r="B117" s="7">
        <f t="shared" si="24"/>
        <v>58.654173766341891</v>
      </c>
      <c r="C117" s="7">
        <f t="shared" si="25"/>
        <v>69.523475845532246</v>
      </c>
      <c r="D117" s="7">
        <f t="shared" si="26"/>
        <v>72.363439476930509</v>
      </c>
      <c r="E117" s="7">
        <f t="shared" si="27"/>
        <v>82.758703144688383</v>
      </c>
      <c r="F117" s="7">
        <f t="shared" si="28"/>
        <v>10.869302079190355</v>
      </c>
      <c r="G117" s="7">
        <f t="shared" si="29"/>
        <v>0</v>
      </c>
      <c r="H117" s="7">
        <f t="shared" si="30"/>
        <v>2.8399636313982626</v>
      </c>
      <c r="I117" s="8">
        <f>vals_ghg_excLUC!$R117</f>
        <v>69.523475845532246</v>
      </c>
      <c r="J117" s="8">
        <f>vals_ghg_excLUC!$X117</f>
        <v>58.654173766341891</v>
      </c>
      <c r="K117" s="8"/>
      <c r="L117" s="8"/>
      <c r="M117" s="8">
        <f>vals_ghg_excLUC!$S117</f>
        <v>82.758703144688383</v>
      </c>
      <c r="N117" s="8">
        <f>vals_ghg_excLUC!$Y117</f>
        <v>72.363439476930509</v>
      </c>
      <c r="O117" s="8"/>
      <c r="P117" s="8"/>
      <c r="Q117" s="9">
        <f t="shared" si="31"/>
        <v>10.395263667757874</v>
      </c>
      <c r="R117" s="9">
        <v>66.97</v>
      </c>
      <c r="S117" s="9">
        <v>80.581000000000003</v>
      </c>
    </row>
    <row r="118" spans="1:19" x14ac:dyDescent="0.35">
      <c r="A118" s="3">
        <f>vals_ghg_excLUC!$A118</f>
        <v>1965</v>
      </c>
      <c r="B118" s="4">
        <f t="shared" si="24"/>
        <v>58.507109534659818</v>
      </c>
      <c r="C118" s="4">
        <f t="shared" si="25"/>
        <v>69.190122888157816</v>
      </c>
      <c r="D118" s="4">
        <f t="shared" si="26"/>
        <v>72.352403237021406</v>
      </c>
      <c r="E118" s="4">
        <f t="shared" si="27"/>
        <v>82.615057055030732</v>
      </c>
      <c r="F118" s="4">
        <f t="shared" si="28"/>
        <v>10.683013353497998</v>
      </c>
      <c r="G118" s="4">
        <f t="shared" si="29"/>
        <v>0</v>
      </c>
      <c r="H118" s="4">
        <f t="shared" si="30"/>
        <v>3.1622803488635896</v>
      </c>
      <c r="I118" s="5">
        <f>vals_ghg_excLUC!$R118</f>
        <v>69.190122888157816</v>
      </c>
      <c r="J118" s="5">
        <f>vals_ghg_excLUC!$X118</f>
        <v>58.507109534659818</v>
      </c>
      <c r="K118" s="5"/>
      <c r="L118" s="5"/>
      <c r="M118" s="5">
        <f>vals_ghg_excLUC!$S118</f>
        <v>82.615057055030732</v>
      </c>
      <c r="N118" s="5">
        <f>vals_ghg_excLUC!$Y118</f>
        <v>72.352403237021406</v>
      </c>
      <c r="O118" s="5"/>
      <c r="P118" s="5"/>
      <c r="Q118" s="9">
        <f t="shared" si="31"/>
        <v>10.262653818009326</v>
      </c>
      <c r="R118" s="9">
        <v>66.569000000000003</v>
      </c>
      <c r="S118" s="9">
        <v>80.364999999999995</v>
      </c>
    </row>
    <row r="119" spans="1:19" x14ac:dyDescent="0.35">
      <c r="A119" s="6">
        <f>vals_ghg_excLUC!$A119</f>
        <v>1966</v>
      </c>
      <c r="B119" s="7">
        <f t="shared" si="24"/>
        <v>58.348096065131358</v>
      </c>
      <c r="C119" s="7">
        <f t="shared" si="25"/>
        <v>68.844248445116435</v>
      </c>
      <c r="D119" s="7">
        <f t="shared" si="26"/>
        <v>72.328328333076058</v>
      </c>
      <c r="E119" s="7">
        <f t="shared" si="27"/>
        <v>82.451451759339577</v>
      </c>
      <c r="F119" s="7">
        <f t="shared" si="28"/>
        <v>10.496152379985077</v>
      </c>
      <c r="G119" s="7">
        <f t="shared" si="29"/>
        <v>0</v>
      </c>
      <c r="H119" s="7">
        <f t="shared" si="30"/>
        <v>3.4840798879596235</v>
      </c>
      <c r="I119" s="8">
        <f>vals_ghg_excLUC!$R119</f>
        <v>68.844248445116435</v>
      </c>
      <c r="J119" s="8">
        <f>vals_ghg_excLUC!$X119</f>
        <v>58.348096065131358</v>
      </c>
      <c r="K119" s="8"/>
      <c r="L119" s="8"/>
      <c r="M119" s="8">
        <f>vals_ghg_excLUC!$S119</f>
        <v>82.451451759339577</v>
      </c>
      <c r="N119" s="8">
        <f>vals_ghg_excLUC!$Y119</f>
        <v>72.328328333076058</v>
      </c>
      <c r="O119" s="8"/>
      <c r="P119" s="8"/>
      <c r="Q119" s="9">
        <f t="shared" si="31"/>
        <v>10.123123426263518</v>
      </c>
      <c r="R119" s="9">
        <v>66.152000000000001</v>
      </c>
      <c r="S119" s="9">
        <v>80.106999999999999</v>
      </c>
    </row>
    <row r="120" spans="1:19" x14ac:dyDescent="0.35">
      <c r="A120" s="3">
        <f>vals_ghg_excLUC!$A120</f>
        <v>1967</v>
      </c>
      <c r="B120" s="4">
        <f t="shared" si="24"/>
        <v>58.209010102673965</v>
      </c>
      <c r="C120" s="4">
        <f t="shared" si="25"/>
        <v>68.524542519557059</v>
      </c>
      <c r="D120" s="4">
        <f t="shared" si="26"/>
        <v>72.326538209651972</v>
      </c>
      <c r="E120" s="4">
        <f t="shared" si="27"/>
        <v>82.312524334066126</v>
      </c>
      <c r="F120" s="4">
        <f t="shared" si="28"/>
        <v>10.315532416883094</v>
      </c>
      <c r="G120" s="4">
        <f t="shared" si="29"/>
        <v>0</v>
      </c>
      <c r="H120" s="4">
        <f t="shared" si="30"/>
        <v>3.8019956900949126</v>
      </c>
      <c r="I120" s="5">
        <f>vals_ghg_excLUC!$R120</f>
        <v>68.524542519557059</v>
      </c>
      <c r="J120" s="5">
        <f>vals_ghg_excLUC!$X120</f>
        <v>58.209010102673965</v>
      </c>
      <c r="K120" s="5"/>
      <c r="L120" s="5"/>
      <c r="M120" s="5">
        <f>vals_ghg_excLUC!$S120</f>
        <v>82.312524334066126</v>
      </c>
      <c r="N120" s="5">
        <f>vals_ghg_excLUC!$Y120</f>
        <v>72.326538209651972</v>
      </c>
      <c r="O120" s="5"/>
      <c r="P120" s="5"/>
      <c r="Q120" s="9">
        <f t="shared" si="31"/>
        <v>9.9859861244141541</v>
      </c>
      <c r="R120" s="9">
        <v>65.772000000000006</v>
      </c>
      <c r="S120" s="9">
        <v>79.876999999999995</v>
      </c>
    </row>
    <row r="121" spans="1:19" x14ac:dyDescent="0.35">
      <c r="A121" s="6">
        <f>vals_ghg_excLUC!$A121</f>
        <v>1968</v>
      </c>
      <c r="B121" s="7">
        <f t="shared" si="24"/>
        <v>58.073632146699204</v>
      </c>
      <c r="C121" s="7">
        <f t="shared" si="25"/>
        <v>68.214112971932025</v>
      </c>
      <c r="D121" s="7">
        <f t="shared" si="26"/>
        <v>72.319392380406995</v>
      </c>
      <c r="E121" s="7">
        <f t="shared" si="27"/>
        <v>82.170885718553365</v>
      </c>
      <c r="F121" s="7">
        <f t="shared" si="28"/>
        <v>10.140480825232821</v>
      </c>
      <c r="G121" s="7">
        <f t="shared" si="29"/>
        <v>0</v>
      </c>
      <c r="H121" s="7">
        <f t="shared" si="30"/>
        <v>4.1052794084749706</v>
      </c>
      <c r="I121" s="8">
        <f>vals_ghg_excLUC!$R121</f>
        <v>68.214112971932025</v>
      </c>
      <c r="J121" s="8">
        <f>vals_ghg_excLUC!$X121</f>
        <v>58.073632146699204</v>
      </c>
      <c r="K121" s="8"/>
      <c r="L121" s="8"/>
      <c r="M121" s="8">
        <f>vals_ghg_excLUC!$S121</f>
        <v>82.170885718553365</v>
      </c>
      <c r="N121" s="8">
        <f>vals_ghg_excLUC!$Y121</f>
        <v>72.319392380406995</v>
      </c>
      <c r="O121" s="8"/>
      <c r="P121" s="8"/>
      <c r="Q121" s="9">
        <f t="shared" si="31"/>
        <v>9.8514933381463692</v>
      </c>
      <c r="R121" s="9">
        <v>65.405000000000001</v>
      </c>
      <c r="S121" s="9">
        <v>79.638999999999996</v>
      </c>
    </row>
    <row r="122" spans="1:19" x14ac:dyDescent="0.35">
      <c r="A122" s="3">
        <f>vals_ghg_excLUC!$A122</f>
        <v>1969</v>
      </c>
      <c r="B122" s="4">
        <f t="shared" si="24"/>
        <v>57.937981559582809</v>
      </c>
      <c r="C122" s="4">
        <f t="shared" si="25"/>
        <v>67.892310633532063</v>
      </c>
      <c r="D122" s="4">
        <f t="shared" si="26"/>
        <v>72.303282013139452</v>
      </c>
      <c r="E122" s="4">
        <f t="shared" si="27"/>
        <v>82.00482569113305</v>
      </c>
      <c r="F122" s="4">
        <f t="shared" si="28"/>
        <v>9.9543290739492534</v>
      </c>
      <c r="G122" s="4">
        <f t="shared" si="29"/>
        <v>0</v>
      </c>
      <c r="H122" s="4">
        <f t="shared" si="30"/>
        <v>4.4109713796073891</v>
      </c>
      <c r="I122" s="5">
        <f>vals_ghg_excLUC!$R122</f>
        <v>67.892310633532063</v>
      </c>
      <c r="J122" s="5">
        <f>vals_ghg_excLUC!$X122</f>
        <v>57.937981559582809</v>
      </c>
      <c r="K122" s="5"/>
      <c r="L122" s="5"/>
      <c r="M122" s="5">
        <f>vals_ghg_excLUC!$S122</f>
        <v>82.00482569113305</v>
      </c>
      <c r="N122" s="5">
        <f>vals_ghg_excLUC!$Y122</f>
        <v>72.303282013139452</v>
      </c>
      <c r="O122" s="5"/>
      <c r="P122" s="5"/>
      <c r="Q122" s="9">
        <f t="shared" si="31"/>
        <v>9.7015436779935982</v>
      </c>
      <c r="R122" s="9">
        <v>65.025999999999996</v>
      </c>
      <c r="S122" s="9">
        <v>79.350999999999999</v>
      </c>
    </row>
    <row r="123" spans="1:19" x14ac:dyDescent="0.35">
      <c r="A123" s="6">
        <f>vals_ghg_excLUC!$A123</f>
        <v>1970</v>
      </c>
      <c r="B123" s="7">
        <f t="shared" si="24"/>
        <v>57.784590314925396</v>
      </c>
      <c r="C123" s="7">
        <f t="shared" si="25"/>
        <v>67.545596990304233</v>
      </c>
      <c r="D123" s="7">
        <f t="shared" si="26"/>
        <v>72.261735151926018</v>
      </c>
      <c r="E123" s="7">
        <f t="shared" si="27"/>
        <v>81.802282225521765</v>
      </c>
      <c r="F123" s="7">
        <f t="shared" si="28"/>
        <v>9.7610066753788374</v>
      </c>
      <c r="G123" s="7">
        <f t="shared" si="29"/>
        <v>0</v>
      </c>
      <c r="H123" s="7">
        <f t="shared" si="30"/>
        <v>4.7161381616217852</v>
      </c>
      <c r="I123" s="8">
        <f>vals_ghg_excLUC!$R123</f>
        <v>67.545596990304233</v>
      </c>
      <c r="J123" s="8">
        <f>vals_ghg_excLUC!$X123</f>
        <v>57.784590314925396</v>
      </c>
      <c r="K123" s="8"/>
      <c r="L123" s="8"/>
      <c r="M123" s="8">
        <f>vals_ghg_excLUC!$S123</f>
        <v>81.802282225521765</v>
      </c>
      <c r="N123" s="8">
        <f>vals_ghg_excLUC!$Y123</f>
        <v>72.261735151926018</v>
      </c>
      <c r="O123" s="8"/>
      <c r="P123" s="8"/>
      <c r="Q123" s="9">
        <f t="shared" si="31"/>
        <v>9.5405470735957465</v>
      </c>
      <c r="R123" s="9">
        <v>64.59</v>
      </c>
      <c r="S123" s="9">
        <v>78.995999999999995</v>
      </c>
    </row>
    <row r="124" spans="1:19" x14ac:dyDescent="0.35">
      <c r="A124" s="3">
        <f>vals_ghg_excLUC!$A124</f>
        <v>1971</v>
      </c>
      <c r="B124" s="4">
        <f t="shared" si="24"/>
        <v>57.619557003913634</v>
      </c>
      <c r="C124" s="4">
        <f t="shared" si="25"/>
        <v>67.173959935322927</v>
      </c>
      <c r="D124" s="4">
        <f t="shared" si="26"/>
        <v>72.210611258769745</v>
      </c>
      <c r="E124" s="4">
        <f t="shared" si="27"/>
        <v>81.579321002664955</v>
      </c>
      <c r="F124" s="4">
        <f t="shared" si="28"/>
        <v>9.5544029314092924</v>
      </c>
      <c r="G124" s="4">
        <f t="shared" si="29"/>
        <v>0</v>
      </c>
      <c r="H124" s="4">
        <f t="shared" si="30"/>
        <v>5.0366513234468187</v>
      </c>
      <c r="I124" s="5">
        <f>vals_ghg_excLUC!$R124</f>
        <v>67.173959935322927</v>
      </c>
      <c r="J124" s="5">
        <f>vals_ghg_excLUC!$X124</f>
        <v>57.619557003913634</v>
      </c>
      <c r="K124" s="5"/>
      <c r="L124" s="5"/>
      <c r="M124" s="5">
        <f>vals_ghg_excLUC!$S124</f>
        <v>81.579321002664955</v>
      </c>
      <c r="N124" s="5">
        <f>vals_ghg_excLUC!$Y124</f>
        <v>72.210611258769745</v>
      </c>
      <c r="O124" s="5"/>
      <c r="P124" s="5"/>
      <c r="Q124" s="9">
        <f t="shared" si="31"/>
        <v>9.3687097438952094</v>
      </c>
      <c r="R124" s="9">
        <v>64.14</v>
      </c>
      <c r="S124" s="9">
        <v>78.634</v>
      </c>
    </row>
    <row r="125" spans="1:19" x14ac:dyDescent="0.35">
      <c r="A125" s="6">
        <f>vals_ghg_excLUC!$A125</f>
        <v>1972</v>
      </c>
      <c r="B125" s="7">
        <f t="shared" si="24"/>
        <v>57.45814728839251</v>
      </c>
      <c r="C125" s="7">
        <f t="shared" si="25"/>
        <v>66.804885110571547</v>
      </c>
      <c r="D125" s="7">
        <f t="shared" si="26"/>
        <v>72.16542662760628</v>
      </c>
      <c r="E125" s="7">
        <f t="shared" si="27"/>
        <v>81.357352198538038</v>
      </c>
      <c r="F125" s="7">
        <f t="shared" si="28"/>
        <v>9.3467378221790369</v>
      </c>
      <c r="G125" s="7">
        <f t="shared" si="29"/>
        <v>0</v>
      </c>
      <c r="H125" s="7">
        <f t="shared" si="30"/>
        <v>5.3605415170347328</v>
      </c>
      <c r="I125" s="8">
        <f>vals_ghg_excLUC!$R125</f>
        <v>66.804885110571547</v>
      </c>
      <c r="J125" s="8">
        <f>vals_ghg_excLUC!$X125</f>
        <v>57.45814728839251</v>
      </c>
      <c r="K125" s="8"/>
      <c r="L125" s="8"/>
      <c r="M125" s="8">
        <f>vals_ghg_excLUC!$S125</f>
        <v>81.357352198538038</v>
      </c>
      <c r="N125" s="8">
        <f>vals_ghg_excLUC!$Y125</f>
        <v>72.16542662760628</v>
      </c>
      <c r="O125" s="8"/>
      <c r="P125" s="8"/>
      <c r="Q125" s="9">
        <f t="shared" si="31"/>
        <v>9.1919255709317582</v>
      </c>
      <c r="R125" s="9">
        <v>63.69</v>
      </c>
      <c r="S125" s="9">
        <v>78.27</v>
      </c>
    </row>
    <row r="126" spans="1:19" x14ac:dyDescent="0.35">
      <c r="A126" s="3">
        <f>vals_ghg_excLUC!$A126</f>
        <v>1973</v>
      </c>
      <c r="B126" s="4">
        <f t="shared" si="24"/>
        <v>57.294732232714232</v>
      </c>
      <c r="C126" s="4">
        <f t="shared" si="25"/>
        <v>66.428392743656104</v>
      </c>
      <c r="D126" s="4">
        <f t="shared" si="26"/>
        <v>72.114231508041996</v>
      </c>
      <c r="E126" s="4">
        <f t="shared" si="27"/>
        <v>81.120449375264471</v>
      </c>
      <c r="F126" s="4">
        <f t="shared" si="28"/>
        <v>9.1336605109418727</v>
      </c>
      <c r="G126" s="4">
        <f t="shared" si="29"/>
        <v>0</v>
      </c>
      <c r="H126" s="4">
        <f t="shared" si="30"/>
        <v>5.6858387643858919</v>
      </c>
      <c r="I126" s="5">
        <f>vals_ghg_excLUC!$R126</f>
        <v>66.428392743656104</v>
      </c>
      <c r="J126" s="5">
        <f>vals_ghg_excLUC!$X126</f>
        <v>57.294732232714232</v>
      </c>
      <c r="K126" s="5"/>
      <c r="L126" s="5"/>
      <c r="M126" s="5">
        <f>vals_ghg_excLUC!$S126</f>
        <v>81.120449375264471</v>
      </c>
      <c r="N126" s="5">
        <f>vals_ghg_excLUC!$Y126</f>
        <v>72.114231508041996</v>
      </c>
      <c r="O126" s="5"/>
      <c r="P126" s="5"/>
      <c r="Q126" s="9">
        <f t="shared" si="31"/>
        <v>9.0062178672224746</v>
      </c>
      <c r="R126" s="9">
        <v>63.216000000000001</v>
      </c>
      <c r="S126" s="9">
        <v>77.873000000000005</v>
      </c>
    </row>
    <row r="127" spans="1:19" x14ac:dyDescent="0.35">
      <c r="A127" s="6">
        <f>vals_ghg_excLUC!$A127</f>
        <v>1974</v>
      </c>
      <c r="B127" s="7">
        <f t="shared" si="24"/>
        <v>57.114006434524015</v>
      </c>
      <c r="C127" s="7">
        <f t="shared" si="25"/>
        <v>66.036456133152441</v>
      </c>
      <c r="D127" s="7">
        <f t="shared" si="26"/>
        <v>72.053463438977332</v>
      </c>
      <c r="E127" s="7">
        <f t="shared" si="27"/>
        <v>80.880681209630836</v>
      </c>
      <c r="F127" s="7">
        <f t="shared" si="28"/>
        <v>8.9224496986284265</v>
      </c>
      <c r="G127" s="7">
        <f t="shared" si="29"/>
        <v>0</v>
      </c>
      <c r="H127" s="7">
        <f t="shared" si="30"/>
        <v>6.0170073058248903</v>
      </c>
      <c r="I127" s="8">
        <f>vals_ghg_excLUC!$R127</f>
        <v>66.036456133152441</v>
      </c>
      <c r="J127" s="8">
        <f>vals_ghg_excLUC!$X127</f>
        <v>57.114006434524015</v>
      </c>
      <c r="K127" s="8"/>
      <c r="L127" s="8"/>
      <c r="M127" s="8">
        <f>vals_ghg_excLUC!$S127</f>
        <v>80.880681209630836</v>
      </c>
      <c r="N127" s="8">
        <f>vals_ghg_excLUC!$Y127</f>
        <v>72.053463438977332</v>
      </c>
      <c r="O127" s="8"/>
      <c r="P127" s="8"/>
      <c r="Q127" s="9">
        <f t="shared" si="31"/>
        <v>8.8272177706535047</v>
      </c>
      <c r="R127" s="9">
        <v>62.746000000000002</v>
      </c>
      <c r="S127" s="9">
        <v>77.495999999999995</v>
      </c>
    </row>
    <row r="128" spans="1:19" x14ac:dyDescent="0.35">
      <c r="A128" s="3">
        <f>vals_ghg_excLUC!$A128</f>
        <v>1975</v>
      </c>
      <c r="B128" s="4">
        <f t="shared" si="24"/>
        <v>56.888049063045287</v>
      </c>
      <c r="C128" s="4">
        <f t="shared" si="25"/>
        <v>65.604844631565499</v>
      </c>
      <c r="D128" s="4">
        <f t="shared" si="26"/>
        <v>71.960906835611894</v>
      </c>
      <c r="E128" s="4">
        <f t="shared" si="27"/>
        <v>80.621250102074498</v>
      </c>
      <c r="F128" s="4">
        <f t="shared" si="28"/>
        <v>8.7167955685202116</v>
      </c>
      <c r="G128" s="4">
        <f t="shared" si="29"/>
        <v>0</v>
      </c>
      <c r="H128" s="4">
        <f t="shared" si="30"/>
        <v>6.3560622040463954</v>
      </c>
      <c r="I128" s="5">
        <f>vals_ghg_excLUC!$R128</f>
        <v>65.604844631565499</v>
      </c>
      <c r="J128" s="5">
        <f>vals_ghg_excLUC!$X128</f>
        <v>56.888049063045287</v>
      </c>
      <c r="K128" s="5"/>
      <c r="L128" s="5"/>
      <c r="M128" s="5">
        <f>vals_ghg_excLUC!$S128</f>
        <v>80.621250102074498</v>
      </c>
      <c r="N128" s="5">
        <f>vals_ghg_excLUC!$Y128</f>
        <v>71.960906835611894</v>
      </c>
      <c r="O128" s="5"/>
      <c r="P128" s="5"/>
      <c r="Q128" s="9">
        <f t="shared" si="31"/>
        <v>8.6603432664626041</v>
      </c>
      <c r="R128" s="9">
        <v>62.262999999999998</v>
      </c>
      <c r="S128" s="9">
        <v>77.134</v>
      </c>
    </row>
    <row r="129" spans="1:19" x14ac:dyDescent="0.35">
      <c r="A129" s="6">
        <f>vals_ghg_excLUC!$A129</f>
        <v>1976</v>
      </c>
      <c r="B129" s="7">
        <f t="shared" si="24"/>
        <v>56.671252928954821</v>
      </c>
      <c r="C129" s="7">
        <f t="shared" si="25"/>
        <v>65.178611689952177</v>
      </c>
      <c r="D129" s="7">
        <f t="shared" si="26"/>
        <v>71.874106330166867</v>
      </c>
      <c r="E129" s="7">
        <f t="shared" si="27"/>
        <v>80.36130167794353</v>
      </c>
      <c r="F129" s="7">
        <f t="shared" si="28"/>
        <v>8.5073587609973558</v>
      </c>
      <c r="G129" s="7">
        <f t="shared" si="29"/>
        <v>0</v>
      </c>
      <c r="H129" s="7">
        <f t="shared" si="30"/>
        <v>6.6954946402146902</v>
      </c>
      <c r="I129" s="8">
        <f>vals_ghg_excLUC!$R129</f>
        <v>65.178611689952177</v>
      </c>
      <c r="J129" s="8">
        <f>vals_ghg_excLUC!$X129</f>
        <v>56.671252928954821</v>
      </c>
      <c r="K129" s="8"/>
      <c r="L129" s="8"/>
      <c r="M129" s="8">
        <f>vals_ghg_excLUC!$S129</f>
        <v>80.36130167794353</v>
      </c>
      <c r="N129" s="8">
        <f>vals_ghg_excLUC!$Y129</f>
        <v>71.874106330166867</v>
      </c>
      <c r="O129" s="8"/>
      <c r="P129" s="8"/>
      <c r="Q129" s="9">
        <f t="shared" si="31"/>
        <v>8.4871953477766624</v>
      </c>
      <c r="R129" s="9">
        <v>61.781999999999996</v>
      </c>
      <c r="S129" s="9">
        <v>76.77</v>
      </c>
    </row>
    <row r="130" spans="1:19" x14ac:dyDescent="0.35">
      <c r="A130" s="3">
        <f>vals_ghg_excLUC!$A130</f>
        <v>1977</v>
      </c>
      <c r="B130" s="4">
        <f t="shared" si="24"/>
        <v>56.440528957882897</v>
      </c>
      <c r="C130" s="4">
        <f t="shared" si="25"/>
        <v>64.741731631491547</v>
      </c>
      <c r="D130" s="4">
        <f t="shared" si="26"/>
        <v>71.77218622355106</v>
      </c>
      <c r="E130" s="4">
        <f t="shared" si="27"/>
        <v>80.08938312043307</v>
      </c>
      <c r="F130" s="4">
        <f t="shared" si="28"/>
        <v>8.3012026736086497</v>
      </c>
      <c r="G130" s="4">
        <f t="shared" si="29"/>
        <v>0</v>
      </c>
      <c r="H130" s="4">
        <f t="shared" si="30"/>
        <v>7.0304545920595132</v>
      </c>
      <c r="I130" s="5">
        <f>vals_ghg_excLUC!$R130</f>
        <v>64.741731631491547</v>
      </c>
      <c r="J130" s="5">
        <f>vals_ghg_excLUC!$X130</f>
        <v>56.440528957882897</v>
      </c>
      <c r="K130" s="5"/>
      <c r="L130" s="5"/>
      <c r="M130" s="5">
        <f>vals_ghg_excLUC!$S130</f>
        <v>80.08938312043307</v>
      </c>
      <c r="N130" s="5">
        <f>vals_ghg_excLUC!$Y130</f>
        <v>71.77218622355106</v>
      </c>
      <c r="O130" s="5"/>
      <c r="P130" s="5"/>
      <c r="Q130" s="9">
        <f t="shared" si="31"/>
        <v>8.3171968968820096</v>
      </c>
      <c r="R130" s="9">
        <v>61.301000000000002</v>
      </c>
      <c r="S130" s="9">
        <v>76.403999999999996</v>
      </c>
    </row>
    <row r="131" spans="1:19" x14ac:dyDescent="0.35">
      <c r="A131" s="6">
        <f>vals_ghg_excLUC!$A131</f>
        <v>1978</v>
      </c>
      <c r="B131" s="7">
        <f t="shared" ref="B131:B162" si="32">IFERROR(_xlfn.AGGREGATE(5,6,I131:L131),"")</f>
        <v>56.202921108123064</v>
      </c>
      <c r="C131" s="7">
        <f t="shared" ref="C131:C162" si="33">IFERROR(_xlfn.AGGREGATE(4,6,I131:L131),"")</f>
        <v>64.297885916602766</v>
      </c>
      <c r="D131" s="7">
        <f t="shared" ref="D131:D162" si="34">IFERROR(_xlfn.AGGREGATE(5,6,M131:P131),"")</f>
        <v>71.661161175056748</v>
      </c>
      <c r="E131" s="7">
        <f t="shared" ref="E131:E162" si="35">IFERROR(_xlfn.AGGREGATE(4,6,M131:P131),"")</f>
        <v>79.80627046591438</v>
      </c>
      <c r="F131" s="7">
        <f t="shared" ref="F131:F162" si="36">IFERROR(MIN(C131,D131)-B131,"")</f>
        <v>8.0949648084797019</v>
      </c>
      <c r="G131" s="7">
        <f t="shared" ref="G131:G162" si="37">IFERROR(MAX(0,C131-D131),"")</f>
        <v>0</v>
      </c>
      <c r="H131" s="7">
        <f t="shared" ref="H131:H162" si="38">IFERROR(MAX(0,D131-C131),"")</f>
        <v>7.3632752584539816</v>
      </c>
      <c r="I131" s="8">
        <f>vals_ghg_excLUC!$R131</f>
        <v>64.297885916602766</v>
      </c>
      <c r="J131" s="8">
        <f>vals_ghg_excLUC!$X131</f>
        <v>56.202921108123064</v>
      </c>
      <c r="K131" s="8"/>
      <c r="L131" s="8"/>
      <c r="M131" s="8">
        <f>vals_ghg_excLUC!$S131</f>
        <v>79.80627046591438</v>
      </c>
      <c r="N131" s="8">
        <f>vals_ghg_excLUC!$Y131</f>
        <v>71.661161175056748</v>
      </c>
      <c r="O131" s="8"/>
      <c r="P131" s="8"/>
      <c r="Q131" s="9">
        <f t="shared" ref="Q131:Q162" si="39">IFERROR(MAX(0,$E131-MAX($C131,$D131)),"")</f>
        <v>8.1451092908576328</v>
      </c>
      <c r="R131" s="9">
        <v>60.822000000000003</v>
      </c>
      <c r="S131" s="9">
        <v>76.040999999999997</v>
      </c>
    </row>
    <row r="132" spans="1:19" x14ac:dyDescent="0.35">
      <c r="A132" s="3">
        <f>vals_ghg_excLUC!$A132</f>
        <v>1979</v>
      </c>
      <c r="B132" s="4">
        <f t="shared" si="32"/>
        <v>55.968641059786947</v>
      </c>
      <c r="C132" s="4">
        <f t="shared" si="33"/>
        <v>63.865492229143307</v>
      </c>
      <c r="D132" s="4">
        <f t="shared" si="34"/>
        <v>71.54067694515409</v>
      </c>
      <c r="E132" s="4">
        <f t="shared" si="35"/>
        <v>79.517176871255529</v>
      </c>
      <c r="F132" s="4">
        <f t="shared" si="36"/>
        <v>7.8968511693563599</v>
      </c>
      <c r="G132" s="4">
        <f t="shared" si="37"/>
        <v>0</v>
      </c>
      <c r="H132" s="4">
        <f t="shared" si="38"/>
        <v>7.6751847160107829</v>
      </c>
      <c r="I132" s="5">
        <f>vals_ghg_excLUC!$R132</f>
        <v>63.865492229143307</v>
      </c>
      <c r="J132" s="5">
        <f>vals_ghg_excLUC!$X132</f>
        <v>55.968641059786947</v>
      </c>
      <c r="K132" s="5"/>
      <c r="L132" s="5"/>
      <c r="M132" s="5">
        <f>vals_ghg_excLUC!$S132</f>
        <v>79.517176871255529</v>
      </c>
      <c r="N132" s="5">
        <f>vals_ghg_excLUC!$Y132</f>
        <v>71.54067694515409</v>
      </c>
      <c r="O132" s="5"/>
      <c r="P132" s="5"/>
      <c r="Q132" s="9">
        <f t="shared" si="39"/>
        <v>7.9764999261014395</v>
      </c>
      <c r="R132" s="9">
        <v>60.383000000000003</v>
      </c>
      <c r="S132" s="9">
        <v>75.706999999999994</v>
      </c>
    </row>
    <row r="133" spans="1:19" x14ac:dyDescent="0.35">
      <c r="A133" s="6">
        <f>vals_ghg_excLUC!$A133</f>
        <v>1980</v>
      </c>
      <c r="B133" s="7">
        <f t="shared" si="32"/>
        <v>55.720708134624672</v>
      </c>
      <c r="C133" s="7">
        <f t="shared" si="33"/>
        <v>63.433493018986788</v>
      </c>
      <c r="D133" s="7">
        <f t="shared" si="34"/>
        <v>71.416089302058111</v>
      </c>
      <c r="E133" s="7">
        <f t="shared" si="35"/>
        <v>79.241264358201263</v>
      </c>
      <c r="F133" s="7">
        <f t="shared" si="36"/>
        <v>7.7127848843621152</v>
      </c>
      <c r="G133" s="7">
        <f t="shared" si="37"/>
        <v>0</v>
      </c>
      <c r="H133" s="7">
        <f t="shared" si="38"/>
        <v>7.9825962830713237</v>
      </c>
      <c r="I133" s="8">
        <f>vals_ghg_excLUC!$R133</f>
        <v>63.433493018986788</v>
      </c>
      <c r="J133" s="8">
        <f>vals_ghg_excLUC!$X133</f>
        <v>55.720708134624672</v>
      </c>
      <c r="K133" s="8"/>
      <c r="L133" s="8"/>
      <c r="M133" s="8">
        <f>vals_ghg_excLUC!$S133</f>
        <v>79.241264358201263</v>
      </c>
      <c r="N133" s="8">
        <f>vals_ghg_excLUC!$Y133</f>
        <v>71.416089302058111</v>
      </c>
      <c r="O133" s="8"/>
      <c r="P133" s="8"/>
      <c r="Q133" s="9">
        <f t="shared" si="39"/>
        <v>7.8251750561431521</v>
      </c>
      <c r="R133" s="9">
        <v>59.975000000000001</v>
      </c>
      <c r="S133" s="9">
        <v>75.423000000000002</v>
      </c>
    </row>
    <row r="134" spans="1:19" x14ac:dyDescent="0.35">
      <c r="A134" s="3">
        <f>vals_ghg_excLUC!$A134</f>
        <v>1981</v>
      </c>
      <c r="B134" s="4">
        <f t="shared" si="32"/>
        <v>55.478089926388208</v>
      </c>
      <c r="C134" s="4">
        <f t="shared" si="33"/>
        <v>63.026969036747218</v>
      </c>
      <c r="D134" s="4">
        <f t="shared" si="34"/>
        <v>71.288210774382549</v>
      </c>
      <c r="E134" s="4">
        <f t="shared" si="35"/>
        <v>78.980018707904492</v>
      </c>
      <c r="F134" s="4">
        <f t="shared" si="36"/>
        <v>7.5488791103590103</v>
      </c>
      <c r="G134" s="4">
        <f t="shared" si="37"/>
        <v>0</v>
      </c>
      <c r="H134" s="4">
        <f t="shared" si="38"/>
        <v>8.2612417376353307</v>
      </c>
      <c r="I134" s="5">
        <f>vals_ghg_excLUC!$R134</f>
        <v>63.026969036747218</v>
      </c>
      <c r="J134" s="5">
        <f>vals_ghg_excLUC!$X134</f>
        <v>55.478089926388208</v>
      </c>
      <c r="K134" s="5"/>
      <c r="L134" s="5"/>
      <c r="M134" s="5">
        <f>vals_ghg_excLUC!$S134</f>
        <v>78.980018707904492</v>
      </c>
      <c r="N134" s="5">
        <f>vals_ghg_excLUC!$Y134</f>
        <v>71.288210774382549</v>
      </c>
      <c r="O134" s="5"/>
      <c r="P134" s="5"/>
      <c r="Q134" s="9">
        <f t="shared" si="39"/>
        <v>7.6918079335219431</v>
      </c>
      <c r="R134" s="9">
        <v>59.615000000000002</v>
      </c>
      <c r="S134" s="9">
        <v>75.182000000000002</v>
      </c>
    </row>
    <row r="135" spans="1:19" x14ac:dyDescent="0.35">
      <c r="A135" s="6">
        <f>vals_ghg_excLUC!$A135</f>
        <v>1982</v>
      </c>
      <c r="B135" s="7">
        <f t="shared" si="32"/>
        <v>55.209151429327328</v>
      </c>
      <c r="C135" s="7">
        <f t="shared" si="33"/>
        <v>62.598308626246336</v>
      </c>
      <c r="D135" s="7">
        <f t="shared" si="34"/>
        <v>71.1389313398806</v>
      </c>
      <c r="E135" s="7">
        <f t="shared" si="35"/>
        <v>78.701827372917904</v>
      </c>
      <c r="F135" s="7">
        <f t="shared" si="36"/>
        <v>7.3891571969190082</v>
      </c>
      <c r="G135" s="7">
        <f t="shared" si="37"/>
        <v>0</v>
      </c>
      <c r="H135" s="7">
        <f t="shared" si="38"/>
        <v>8.5406227136342636</v>
      </c>
      <c r="I135" s="8">
        <f>vals_ghg_excLUC!$R135</f>
        <v>62.598308626246336</v>
      </c>
      <c r="J135" s="8">
        <f>vals_ghg_excLUC!$X135</f>
        <v>55.209151429327328</v>
      </c>
      <c r="K135" s="8"/>
      <c r="L135" s="8"/>
      <c r="M135" s="8">
        <f>vals_ghg_excLUC!$S135</f>
        <v>78.701827372917904</v>
      </c>
      <c r="N135" s="8">
        <f>vals_ghg_excLUC!$Y135</f>
        <v>71.1389313398806</v>
      </c>
      <c r="O135" s="8"/>
      <c r="P135" s="8"/>
      <c r="Q135" s="9">
        <f t="shared" si="39"/>
        <v>7.5628960330373047</v>
      </c>
      <c r="R135" s="9">
        <v>59.218000000000004</v>
      </c>
      <c r="S135" s="9">
        <v>74.912000000000006</v>
      </c>
    </row>
    <row r="136" spans="1:19" x14ac:dyDescent="0.35">
      <c r="A136" s="3">
        <f>vals_ghg_excLUC!$A136</f>
        <v>1983</v>
      </c>
      <c r="B136" s="4">
        <f t="shared" si="32"/>
        <v>54.935626212654512</v>
      </c>
      <c r="C136" s="4">
        <f t="shared" si="33"/>
        <v>62.169134897002529</v>
      </c>
      <c r="D136" s="4">
        <f t="shared" si="34"/>
        <v>70.981519902438151</v>
      </c>
      <c r="E136" s="4">
        <f t="shared" si="35"/>
        <v>78.418012662250376</v>
      </c>
      <c r="F136" s="4">
        <f t="shared" si="36"/>
        <v>7.233508684348017</v>
      </c>
      <c r="G136" s="4">
        <f t="shared" si="37"/>
        <v>0</v>
      </c>
      <c r="H136" s="4">
        <f t="shared" si="38"/>
        <v>8.8123850054356225</v>
      </c>
      <c r="I136" s="5">
        <f>vals_ghg_excLUC!$R136</f>
        <v>62.169134897002529</v>
      </c>
      <c r="J136" s="5">
        <f>vals_ghg_excLUC!$X136</f>
        <v>54.935626212654512</v>
      </c>
      <c r="K136" s="5"/>
      <c r="L136" s="5"/>
      <c r="M136" s="5">
        <f>vals_ghg_excLUC!$S136</f>
        <v>78.418012662250376</v>
      </c>
      <c r="N136" s="5">
        <f>vals_ghg_excLUC!$Y136</f>
        <v>70.981519902438151</v>
      </c>
      <c r="O136" s="5"/>
      <c r="P136" s="5"/>
      <c r="Q136" s="9">
        <f t="shared" si="39"/>
        <v>7.436492759812225</v>
      </c>
      <c r="R136" s="9">
        <v>58.816000000000003</v>
      </c>
      <c r="S136" s="9">
        <v>74.64</v>
      </c>
    </row>
    <row r="137" spans="1:19" x14ac:dyDescent="0.35">
      <c r="A137" s="6">
        <f>vals_ghg_excLUC!$A137</f>
        <v>1984</v>
      </c>
      <c r="B137" s="7">
        <f t="shared" si="32"/>
        <v>54.665136023042905</v>
      </c>
      <c r="C137" s="7">
        <f t="shared" si="33"/>
        <v>61.742145370022328</v>
      </c>
      <c r="D137" s="7">
        <f t="shared" si="34"/>
        <v>70.817538248778732</v>
      </c>
      <c r="E137" s="7">
        <f t="shared" si="35"/>
        <v>78.122353552345785</v>
      </c>
      <c r="F137" s="7">
        <f t="shared" si="36"/>
        <v>7.0770093469794233</v>
      </c>
      <c r="G137" s="7">
        <f t="shared" si="37"/>
        <v>0</v>
      </c>
      <c r="H137" s="7">
        <f t="shared" si="38"/>
        <v>9.0753928787564035</v>
      </c>
      <c r="I137" s="8">
        <f>vals_ghg_excLUC!$R137</f>
        <v>61.742145370022328</v>
      </c>
      <c r="J137" s="8">
        <f>vals_ghg_excLUC!$X137</f>
        <v>54.665136023042905</v>
      </c>
      <c r="K137" s="8"/>
      <c r="L137" s="8"/>
      <c r="M137" s="8">
        <f>vals_ghg_excLUC!$S137</f>
        <v>78.122353552345785</v>
      </c>
      <c r="N137" s="8">
        <f>vals_ghg_excLUC!$Y137</f>
        <v>70.817538248778732</v>
      </c>
      <c r="O137" s="8"/>
      <c r="P137" s="8"/>
      <c r="Q137" s="9">
        <f t="shared" si="39"/>
        <v>7.3048153035670538</v>
      </c>
      <c r="R137" s="9">
        <v>58.396999999999998</v>
      </c>
      <c r="S137" s="9">
        <v>74.335999999999999</v>
      </c>
    </row>
    <row r="138" spans="1:19" x14ac:dyDescent="0.35">
      <c r="A138" s="3">
        <f>vals_ghg_excLUC!$A138</f>
        <v>1985</v>
      </c>
      <c r="B138" s="4">
        <f t="shared" si="32"/>
        <v>54.379279218607699</v>
      </c>
      <c r="C138" s="4">
        <f t="shared" si="33"/>
        <v>61.295095276699698</v>
      </c>
      <c r="D138" s="4">
        <f t="shared" si="34"/>
        <v>70.644540740582883</v>
      </c>
      <c r="E138" s="4">
        <f t="shared" si="35"/>
        <v>77.815774083381243</v>
      </c>
      <c r="F138" s="4">
        <f t="shared" si="36"/>
        <v>6.9158160580919983</v>
      </c>
      <c r="G138" s="4">
        <f t="shared" si="37"/>
        <v>0</v>
      </c>
      <c r="H138" s="4">
        <f t="shared" si="38"/>
        <v>9.3494454638831854</v>
      </c>
      <c r="I138" s="5">
        <f>vals_ghg_excLUC!$R138</f>
        <v>61.295095276699698</v>
      </c>
      <c r="J138" s="5">
        <f>vals_ghg_excLUC!$X138</f>
        <v>54.379279218607699</v>
      </c>
      <c r="K138" s="5"/>
      <c r="L138" s="5"/>
      <c r="M138" s="5">
        <f>vals_ghg_excLUC!$S138</f>
        <v>77.815774083381243</v>
      </c>
      <c r="N138" s="5">
        <f>vals_ghg_excLUC!$Y138</f>
        <v>70.644540740582883</v>
      </c>
      <c r="O138" s="5"/>
      <c r="P138" s="5"/>
      <c r="Q138" s="9">
        <f t="shared" si="39"/>
        <v>7.1712333427983594</v>
      </c>
      <c r="R138" s="9">
        <v>57.966999999999999</v>
      </c>
      <c r="S138" s="9">
        <v>74.034000000000006</v>
      </c>
    </row>
    <row r="139" spans="1:19" x14ac:dyDescent="0.35">
      <c r="A139" s="6">
        <f>vals_ghg_excLUC!$A139</f>
        <v>1986</v>
      </c>
      <c r="B139" s="7">
        <f t="shared" si="32"/>
        <v>54.086674980870008</v>
      </c>
      <c r="C139" s="7">
        <f t="shared" si="33"/>
        <v>60.844466740675763</v>
      </c>
      <c r="D139" s="7">
        <f t="shared" si="34"/>
        <v>70.460156009305052</v>
      </c>
      <c r="E139" s="7">
        <f t="shared" si="35"/>
        <v>77.496256886764101</v>
      </c>
      <c r="F139" s="7">
        <f t="shared" si="36"/>
        <v>6.7577917598057553</v>
      </c>
      <c r="G139" s="7">
        <f t="shared" si="37"/>
        <v>0</v>
      </c>
      <c r="H139" s="7">
        <f t="shared" si="38"/>
        <v>9.6156892686292892</v>
      </c>
      <c r="I139" s="8">
        <f>vals_ghg_excLUC!$R139</f>
        <v>60.844466740675763</v>
      </c>
      <c r="J139" s="8">
        <f>vals_ghg_excLUC!$X139</f>
        <v>54.086674980870008</v>
      </c>
      <c r="K139" s="8"/>
      <c r="L139" s="8"/>
      <c r="M139" s="8">
        <f>vals_ghg_excLUC!$S139</f>
        <v>77.496256886764101</v>
      </c>
      <c r="N139" s="8">
        <f>vals_ghg_excLUC!$Y139</f>
        <v>70.460156009305052</v>
      </c>
      <c r="O139" s="8"/>
      <c r="P139" s="8"/>
      <c r="Q139" s="9">
        <f t="shared" si="39"/>
        <v>7.0361008774590488</v>
      </c>
      <c r="R139" s="9">
        <v>57.543999999999997</v>
      </c>
      <c r="S139" s="9">
        <v>73.742000000000004</v>
      </c>
    </row>
    <row r="140" spans="1:19" x14ac:dyDescent="0.35">
      <c r="A140" s="3">
        <f>vals_ghg_excLUC!$A140</f>
        <v>1987</v>
      </c>
      <c r="B140" s="4">
        <f t="shared" si="32"/>
        <v>53.797135375048576</v>
      </c>
      <c r="C140" s="4">
        <f t="shared" si="33"/>
        <v>60.404221165141855</v>
      </c>
      <c r="D140" s="4">
        <f t="shared" si="34"/>
        <v>70.267419367460803</v>
      </c>
      <c r="E140" s="4">
        <f t="shared" si="35"/>
        <v>77.172365398826059</v>
      </c>
      <c r="F140" s="4">
        <f t="shared" si="36"/>
        <v>6.6070857900932793</v>
      </c>
      <c r="G140" s="4">
        <f t="shared" si="37"/>
        <v>0</v>
      </c>
      <c r="H140" s="4">
        <f t="shared" si="38"/>
        <v>9.8631982023189479</v>
      </c>
      <c r="I140" s="5">
        <f>vals_ghg_excLUC!$R140</f>
        <v>60.404221165141855</v>
      </c>
      <c r="J140" s="5">
        <f>vals_ghg_excLUC!$X140</f>
        <v>53.797135375048576</v>
      </c>
      <c r="K140" s="5"/>
      <c r="L140" s="5"/>
      <c r="M140" s="5">
        <f>vals_ghg_excLUC!$S140</f>
        <v>77.172365398826059</v>
      </c>
      <c r="N140" s="5">
        <f>vals_ghg_excLUC!$Y140</f>
        <v>70.267419367460803</v>
      </c>
      <c r="O140" s="5"/>
      <c r="P140" s="5"/>
      <c r="Q140" s="9">
        <f t="shared" si="39"/>
        <v>6.904946031365256</v>
      </c>
      <c r="R140" s="9">
        <v>57.110999999999997</v>
      </c>
      <c r="S140" s="9">
        <v>73.429000000000002</v>
      </c>
    </row>
    <row r="141" spans="1:19" x14ac:dyDescent="0.35">
      <c r="A141" s="6">
        <f>vals_ghg_excLUC!$A141</f>
        <v>1988</v>
      </c>
      <c r="B141" s="7">
        <f t="shared" si="32"/>
        <v>53.510592538153482</v>
      </c>
      <c r="C141" s="7">
        <f t="shared" si="33"/>
        <v>59.962478683367614</v>
      </c>
      <c r="D141" s="7">
        <f t="shared" si="34"/>
        <v>70.064723301070615</v>
      </c>
      <c r="E141" s="7">
        <f t="shared" si="35"/>
        <v>76.829519767604324</v>
      </c>
      <c r="F141" s="7">
        <f t="shared" si="36"/>
        <v>6.4518861452141323</v>
      </c>
      <c r="G141" s="7">
        <f t="shared" si="37"/>
        <v>0</v>
      </c>
      <c r="H141" s="7">
        <f t="shared" si="38"/>
        <v>10.102244617703001</v>
      </c>
      <c r="I141" s="8">
        <f>vals_ghg_excLUC!$R141</f>
        <v>59.962478683367614</v>
      </c>
      <c r="J141" s="8">
        <f>vals_ghg_excLUC!$X141</f>
        <v>53.510592538153482</v>
      </c>
      <c r="K141" s="8"/>
      <c r="L141" s="8"/>
      <c r="M141" s="8">
        <f>vals_ghg_excLUC!$S141</f>
        <v>76.829519767604324</v>
      </c>
      <c r="N141" s="8">
        <f>vals_ghg_excLUC!$Y141</f>
        <v>70.064723301070615</v>
      </c>
      <c r="O141" s="8"/>
      <c r="P141" s="8"/>
      <c r="Q141" s="9">
        <f t="shared" si="39"/>
        <v>6.7647964665337099</v>
      </c>
      <c r="R141" s="9">
        <v>56.654000000000003</v>
      </c>
      <c r="S141" s="9">
        <v>73.078000000000003</v>
      </c>
    </row>
    <row r="142" spans="1:19" x14ac:dyDescent="0.35">
      <c r="A142" s="3">
        <f>vals_ghg_excLUC!$A142</f>
        <v>1989</v>
      </c>
      <c r="B142" s="4">
        <f t="shared" si="32"/>
        <v>53.233945404666507</v>
      </c>
      <c r="C142" s="4">
        <f t="shared" si="33"/>
        <v>59.54340579335372</v>
      </c>
      <c r="D142" s="4">
        <f t="shared" si="34"/>
        <v>69.853619606975357</v>
      </c>
      <c r="E142" s="4">
        <f t="shared" si="35"/>
        <v>76.486374543636074</v>
      </c>
      <c r="F142" s="4">
        <f t="shared" si="36"/>
        <v>6.3094603886872136</v>
      </c>
      <c r="G142" s="4">
        <f t="shared" si="37"/>
        <v>0</v>
      </c>
      <c r="H142" s="4">
        <f t="shared" si="38"/>
        <v>10.310213813621637</v>
      </c>
      <c r="I142" s="5">
        <f>vals_ghg_excLUC!$R142</f>
        <v>59.54340579335372</v>
      </c>
      <c r="J142" s="5">
        <f>vals_ghg_excLUC!$X142</f>
        <v>53.233945404666507</v>
      </c>
      <c r="K142" s="5"/>
      <c r="L142" s="5"/>
      <c r="M142" s="5">
        <f>vals_ghg_excLUC!$S142</f>
        <v>76.486374543636074</v>
      </c>
      <c r="N142" s="5">
        <f>vals_ghg_excLUC!$Y142</f>
        <v>69.853619606975357</v>
      </c>
      <c r="O142" s="5"/>
      <c r="P142" s="5"/>
      <c r="Q142" s="9">
        <f t="shared" si="39"/>
        <v>6.6327549366607172</v>
      </c>
      <c r="R142" s="9">
        <v>56.219000000000001</v>
      </c>
      <c r="S142" s="9">
        <v>72.730999999999995</v>
      </c>
    </row>
    <row r="143" spans="1:19" x14ac:dyDescent="0.35">
      <c r="A143" s="6">
        <f>vals_ghg_excLUC!$A143</f>
        <v>1990</v>
      </c>
      <c r="B143" s="7">
        <f t="shared" si="32"/>
        <v>52.979603928045663</v>
      </c>
      <c r="C143" s="7">
        <f t="shared" si="33"/>
        <v>59.160362960494304</v>
      </c>
      <c r="D143" s="7">
        <f t="shared" si="34"/>
        <v>69.644082165707161</v>
      </c>
      <c r="E143" s="7">
        <f t="shared" si="35"/>
        <v>76.172202211634641</v>
      </c>
      <c r="F143" s="7">
        <f t="shared" si="36"/>
        <v>6.1807590324486412</v>
      </c>
      <c r="G143" s="7">
        <f t="shared" si="37"/>
        <v>0</v>
      </c>
      <c r="H143" s="7">
        <f t="shared" si="38"/>
        <v>10.483719205212857</v>
      </c>
      <c r="I143" s="8">
        <f>vals_ghg_excLUC!$R143</f>
        <v>59.160362960494304</v>
      </c>
      <c r="J143" s="8">
        <f>vals_ghg_excLUC!$X143</f>
        <v>52.979603928045663</v>
      </c>
      <c r="K143" s="8"/>
      <c r="L143" s="8"/>
      <c r="M143" s="8">
        <f>vals_ghg_excLUC!$S143</f>
        <v>76.172202211634641</v>
      </c>
      <c r="N143" s="8">
        <f>vals_ghg_excLUC!$Y143</f>
        <v>69.644082165707161</v>
      </c>
      <c r="O143" s="8"/>
      <c r="P143" s="8"/>
      <c r="Q143" s="9">
        <f t="shared" si="39"/>
        <v>6.52812004592748</v>
      </c>
      <c r="R143" s="9">
        <v>55.841999999999999</v>
      </c>
      <c r="S143" s="9">
        <v>72.438999999999993</v>
      </c>
    </row>
    <row r="144" spans="1:19" x14ac:dyDescent="0.35">
      <c r="A144" s="3">
        <f>vals_ghg_excLUC!$A144</f>
        <v>1991</v>
      </c>
      <c r="B144" s="4">
        <f t="shared" si="32"/>
        <v>52.726337775103204</v>
      </c>
      <c r="C144" s="4">
        <f t="shared" si="33"/>
        <v>58.770854388649184</v>
      </c>
      <c r="D144" s="4">
        <f t="shared" si="34"/>
        <v>69.405069169294507</v>
      </c>
      <c r="E144" s="4">
        <f t="shared" si="35"/>
        <v>75.809342966234141</v>
      </c>
      <c r="F144" s="4">
        <f t="shared" si="36"/>
        <v>6.04451661354598</v>
      </c>
      <c r="G144" s="4">
        <f t="shared" si="37"/>
        <v>0</v>
      </c>
      <c r="H144" s="4">
        <f t="shared" si="38"/>
        <v>10.634214780645323</v>
      </c>
      <c r="I144" s="5">
        <f>vals_ghg_excLUC!$R144</f>
        <v>58.770854388649184</v>
      </c>
      <c r="J144" s="5">
        <f>vals_ghg_excLUC!$X144</f>
        <v>52.726337775103204</v>
      </c>
      <c r="K144" s="5"/>
      <c r="L144" s="5"/>
      <c r="M144" s="5">
        <f>vals_ghg_excLUC!$S144</f>
        <v>75.809342966234141</v>
      </c>
      <c r="N144" s="5">
        <f>vals_ghg_excLUC!$Y144</f>
        <v>69.405069169294507</v>
      </c>
      <c r="O144" s="5"/>
      <c r="P144" s="5"/>
      <c r="Q144" s="9">
        <f t="shared" si="39"/>
        <v>6.4042737969396342</v>
      </c>
      <c r="R144" s="9">
        <v>55.475000000000001</v>
      </c>
      <c r="S144" s="9">
        <v>72.108000000000004</v>
      </c>
    </row>
    <row r="145" spans="1:19" x14ac:dyDescent="0.35">
      <c r="A145" s="6">
        <f>vals_ghg_excLUC!$A145</f>
        <v>1992</v>
      </c>
      <c r="B145" s="7">
        <f t="shared" si="32"/>
        <v>52.510141954619037</v>
      </c>
      <c r="C145" s="7">
        <f t="shared" si="33"/>
        <v>58.443091118533594</v>
      </c>
      <c r="D145" s="7">
        <f t="shared" si="34"/>
        <v>69.165008496316588</v>
      </c>
      <c r="E145" s="7">
        <f t="shared" si="35"/>
        <v>75.462139766121339</v>
      </c>
      <c r="F145" s="7">
        <f t="shared" si="36"/>
        <v>5.9329491639145573</v>
      </c>
      <c r="G145" s="7">
        <f t="shared" si="37"/>
        <v>0</v>
      </c>
      <c r="H145" s="7">
        <f t="shared" si="38"/>
        <v>10.721917377782994</v>
      </c>
      <c r="I145" s="8">
        <f>vals_ghg_excLUC!$R145</f>
        <v>58.443091118533594</v>
      </c>
      <c r="J145" s="8">
        <f>vals_ghg_excLUC!$X145</f>
        <v>52.510141954619037</v>
      </c>
      <c r="K145" s="8"/>
      <c r="L145" s="8"/>
      <c r="M145" s="8">
        <f>vals_ghg_excLUC!$S145</f>
        <v>75.462139766121339</v>
      </c>
      <c r="N145" s="8">
        <f>vals_ghg_excLUC!$Y145</f>
        <v>69.165008496316588</v>
      </c>
      <c r="O145" s="8"/>
      <c r="P145" s="8"/>
      <c r="Q145" s="9">
        <f t="shared" si="39"/>
        <v>6.2971312698047512</v>
      </c>
      <c r="R145" s="9">
        <v>55.171999999999997</v>
      </c>
      <c r="S145" s="9">
        <v>71.790999999999997</v>
      </c>
    </row>
    <row r="146" spans="1:19" x14ac:dyDescent="0.35">
      <c r="A146" s="3">
        <f>vals_ghg_excLUC!$A146</f>
        <v>1993</v>
      </c>
      <c r="B146" s="4">
        <f t="shared" si="32"/>
        <v>52.300208969501739</v>
      </c>
      <c r="C146" s="4">
        <f t="shared" si="33"/>
        <v>58.12173422401591</v>
      </c>
      <c r="D146" s="4">
        <f t="shared" si="34"/>
        <v>68.912070703604286</v>
      </c>
      <c r="E146" s="4">
        <f t="shared" si="35"/>
        <v>75.097073689732142</v>
      </c>
      <c r="F146" s="4">
        <f t="shared" si="36"/>
        <v>5.8215252545141709</v>
      </c>
      <c r="G146" s="4">
        <f t="shared" si="37"/>
        <v>0</v>
      </c>
      <c r="H146" s="4">
        <f t="shared" si="38"/>
        <v>10.790336479588376</v>
      </c>
      <c r="I146" s="5">
        <f>vals_ghg_excLUC!$R146</f>
        <v>58.12173422401591</v>
      </c>
      <c r="J146" s="5">
        <f>vals_ghg_excLUC!$X146</f>
        <v>52.300208969501739</v>
      </c>
      <c r="K146" s="5"/>
      <c r="L146" s="5"/>
      <c r="M146" s="5">
        <f>vals_ghg_excLUC!$S146</f>
        <v>75.097073689732142</v>
      </c>
      <c r="N146" s="5">
        <f>vals_ghg_excLUC!$Y146</f>
        <v>68.912070703604286</v>
      </c>
      <c r="O146" s="5"/>
      <c r="P146" s="5"/>
      <c r="Q146" s="9">
        <f t="shared" si="39"/>
        <v>6.1850029861278557</v>
      </c>
      <c r="R146" s="9">
        <v>54.890999999999998</v>
      </c>
      <c r="S146" s="9">
        <v>71.47</v>
      </c>
    </row>
    <row r="147" spans="1:19" x14ac:dyDescent="0.35">
      <c r="A147" s="6">
        <f>vals_ghg_excLUC!$A147</f>
        <v>1994</v>
      </c>
      <c r="B147" s="7">
        <f t="shared" si="32"/>
        <v>52.105197405294987</v>
      </c>
      <c r="C147" s="7">
        <f t="shared" si="33"/>
        <v>57.816658174972737</v>
      </c>
      <c r="D147" s="7">
        <f t="shared" si="34"/>
        <v>68.646076729318679</v>
      </c>
      <c r="E147" s="7">
        <f t="shared" si="35"/>
        <v>74.712466606840167</v>
      </c>
      <c r="F147" s="7">
        <f t="shared" si="36"/>
        <v>5.7114607696777497</v>
      </c>
      <c r="G147" s="7">
        <f t="shared" si="37"/>
        <v>0</v>
      </c>
      <c r="H147" s="7">
        <f t="shared" si="38"/>
        <v>10.829418554345942</v>
      </c>
      <c r="I147" s="8">
        <f>vals_ghg_excLUC!$R147</f>
        <v>57.816658174972737</v>
      </c>
      <c r="J147" s="8">
        <f>vals_ghg_excLUC!$X147</f>
        <v>52.105197405294987</v>
      </c>
      <c r="K147" s="8"/>
      <c r="L147" s="8"/>
      <c r="M147" s="8">
        <f>vals_ghg_excLUC!$S147</f>
        <v>74.712466606840167</v>
      </c>
      <c r="N147" s="8">
        <f>vals_ghg_excLUC!$Y147</f>
        <v>68.646076729318679</v>
      </c>
      <c r="O147" s="8"/>
      <c r="P147" s="8"/>
      <c r="Q147" s="9">
        <f t="shared" si="39"/>
        <v>6.0663898775214875</v>
      </c>
      <c r="R147" s="9">
        <v>54.62</v>
      </c>
      <c r="S147" s="9">
        <v>71.11</v>
      </c>
    </row>
    <row r="148" spans="1:19" x14ac:dyDescent="0.35">
      <c r="A148" s="3">
        <f>vals_ghg_excLUC!$A148</f>
        <v>1995</v>
      </c>
      <c r="B148" s="4">
        <f t="shared" si="32"/>
        <v>51.90443198923834</v>
      </c>
      <c r="C148" s="4">
        <f t="shared" si="33"/>
        <v>57.506789894509026</v>
      </c>
      <c r="D148" s="4">
        <f t="shared" si="34"/>
        <v>68.363698476841392</v>
      </c>
      <c r="E148" s="4">
        <f t="shared" si="35"/>
        <v>74.314093422483609</v>
      </c>
      <c r="F148" s="4">
        <f t="shared" si="36"/>
        <v>5.6023579052706864</v>
      </c>
      <c r="G148" s="4">
        <f t="shared" si="37"/>
        <v>0</v>
      </c>
      <c r="H148" s="4">
        <f t="shared" si="38"/>
        <v>10.856908582332366</v>
      </c>
      <c r="I148" s="5">
        <f>vals_ghg_excLUC!$R148</f>
        <v>57.506789894509026</v>
      </c>
      <c r="J148" s="5">
        <f>vals_ghg_excLUC!$X148</f>
        <v>51.90443198923834</v>
      </c>
      <c r="K148" s="5"/>
      <c r="L148" s="5"/>
      <c r="M148" s="5">
        <f>vals_ghg_excLUC!$S148</f>
        <v>74.314093422483609</v>
      </c>
      <c r="N148" s="5">
        <f>vals_ghg_excLUC!$Y148</f>
        <v>68.363698476841392</v>
      </c>
      <c r="O148" s="5"/>
      <c r="P148" s="5"/>
      <c r="Q148" s="9">
        <f t="shared" si="39"/>
        <v>5.9503949456422163</v>
      </c>
      <c r="R148" s="9">
        <v>54.337000000000003</v>
      </c>
      <c r="S148" s="9">
        <v>70.722999999999999</v>
      </c>
    </row>
    <row r="149" spans="1:19" x14ac:dyDescent="0.35">
      <c r="A149" s="6">
        <f>vals_ghg_excLUC!$A149</f>
        <v>1996</v>
      </c>
      <c r="B149" s="7">
        <f t="shared" si="32"/>
        <v>51.703320700794862</v>
      </c>
      <c r="C149" s="7">
        <f t="shared" si="33"/>
        <v>57.198644115200928</v>
      </c>
      <c r="D149" s="7">
        <f t="shared" si="34"/>
        <v>68.071618797446988</v>
      </c>
      <c r="E149" s="7">
        <f t="shared" si="35"/>
        <v>73.90786848065224</v>
      </c>
      <c r="F149" s="7">
        <f t="shared" si="36"/>
        <v>5.4953234144060659</v>
      </c>
      <c r="G149" s="7">
        <f t="shared" si="37"/>
        <v>0</v>
      </c>
      <c r="H149" s="7">
        <f t="shared" si="38"/>
        <v>10.87297468224606</v>
      </c>
      <c r="I149" s="8">
        <f>vals_ghg_excLUC!$R149</f>
        <v>57.198644115200928</v>
      </c>
      <c r="J149" s="8">
        <f>vals_ghg_excLUC!$X149</f>
        <v>51.703320700794862</v>
      </c>
      <c r="K149" s="8"/>
      <c r="L149" s="8"/>
      <c r="M149" s="8">
        <f>vals_ghg_excLUC!$S149</f>
        <v>73.90786848065224</v>
      </c>
      <c r="N149" s="8">
        <f>vals_ghg_excLUC!$Y149</f>
        <v>68.071618797446988</v>
      </c>
      <c r="O149" s="8"/>
      <c r="P149" s="8"/>
      <c r="Q149" s="9">
        <f t="shared" si="39"/>
        <v>5.8362496832052528</v>
      </c>
      <c r="R149" s="9">
        <v>54.051000000000002</v>
      </c>
      <c r="S149" s="9">
        <v>70.316999999999993</v>
      </c>
    </row>
    <row r="150" spans="1:19" x14ac:dyDescent="0.35">
      <c r="A150" s="3">
        <f>vals_ghg_excLUC!$A150</f>
        <v>1997</v>
      </c>
      <c r="B150" s="4">
        <f t="shared" si="32"/>
        <v>51.504618558812886</v>
      </c>
      <c r="C150" s="4">
        <f t="shared" si="33"/>
        <v>56.899782442341305</v>
      </c>
      <c r="D150" s="4">
        <f t="shared" si="34"/>
        <v>67.774186565836374</v>
      </c>
      <c r="E150" s="4">
        <f t="shared" si="35"/>
        <v>73.502622653534246</v>
      </c>
      <c r="F150" s="4">
        <f t="shared" si="36"/>
        <v>5.3951638835284186</v>
      </c>
      <c r="G150" s="4">
        <f t="shared" si="37"/>
        <v>0</v>
      </c>
      <c r="H150" s="4">
        <f t="shared" si="38"/>
        <v>10.874404123495069</v>
      </c>
      <c r="I150" s="5">
        <f>vals_ghg_excLUC!$R150</f>
        <v>56.899782442341305</v>
      </c>
      <c r="J150" s="5">
        <f>vals_ghg_excLUC!$X150</f>
        <v>51.504618558812886</v>
      </c>
      <c r="K150" s="5"/>
      <c r="L150" s="5"/>
      <c r="M150" s="5">
        <f>vals_ghg_excLUC!$S150</f>
        <v>73.502622653534246</v>
      </c>
      <c r="N150" s="5">
        <f>vals_ghg_excLUC!$Y150</f>
        <v>67.774186565836374</v>
      </c>
      <c r="O150" s="5"/>
      <c r="P150" s="5"/>
      <c r="Q150" s="9">
        <f t="shared" si="39"/>
        <v>5.7284360876978724</v>
      </c>
      <c r="R150" s="9">
        <v>53.78</v>
      </c>
      <c r="S150" s="9">
        <v>69.915999999999997</v>
      </c>
    </row>
    <row r="151" spans="1:19" x14ac:dyDescent="0.35">
      <c r="A151" s="6">
        <f>vals_ghg_excLUC!$A151</f>
        <v>1998</v>
      </c>
      <c r="B151" s="7">
        <f t="shared" si="32"/>
        <v>51.317765538042792</v>
      </c>
      <c r="C151" s="7">
        <f t="shared" si="33"/>
        <v>56.627496272674364</v>
      </c>
      <c r="D151" s="7">
        <f t="shared" si="34"/>
        <v>67.48573072852021</v>
      </c>
      <c r="E151" s="7">
        <f t="shared" si="35"/>
        <v>73.124197393178605</v>
      </c>
      <c r="F151" s="7">
        <f t="shared" si="36"/>
        <v>5.3097307346315716</v>
      </c>
      <c r="G151" s="7">
        <f t="shared" si="37"/>
        <v>0</v>
      </c>
      <c r="H151" s="7">
        <f t="shared" si="38"/>
        <v>10.858234455845846</v>
      </c>
      <c r="I151" s="8">
        <f>vals_ghg_excLUC!$R151</f>
        <v>56.627496272674364</v>
      </c>
      <c r="J151" s="8">
        <f>vals_ghg_excLUC!$X151</f>
        <v>51.317765538042792</v>
      </c>
      <c r="K151" s="8"/>
      <c r="L151" s="8"/>
      <c r="M151" s="8">
        <f>vals_ghg_excLUC!$S151</f>
        <v>73.124197393178605</v>
      </c>
      <c r="N151" s="8">
        <f>vals_ghg_excLUC!$Y151</f>
        <v>67.48573072852021</v>
      </c>
      <c r="O151" s="8"/>
      <c r="P151" s="8"/>
      <c r="Q151" s="9">
        <f t="shared" si="39"/>
        <v>5.6384666646583952</v>
      </c>
      <c r="R151" s="9">
        <v>53.542999999999999</v>
      </c>
      <c r="S151" s="9">
        <v>69.549000000000007</v>
      </c>
    </row>
    <row r="152" spans="1:19" x14ac:dyDescent="0.35">
      <c r="A152" s="3">
        <f>vals_ghg_excLUC!$A152</f>
        <v>1999</v>
      </c>
      <c r="B152" s="4">
        <f t="shared" si="32"/>
        <v>51.122275447727517</v>
      </c>
      <c r="C152" s="4">
        <f t="shared" si="33"/>
        <v>56.351830662981314</v>
      </c>
      <c r="D152" s="4">
        <f t="shared" si="34"/>
        <v>67.183589567619379</v>
      </c>
      <c r="E152" s="4">
        <f t="shared" si="35"/>
        <v>72.73739925121761</v>
      </c>
      <c r="F152" s="4">
        <f t="shared" si="36"/>
        <v>5.2295552152537965</v>
      </c>
      <c r="G152" s="4">
        <f t="shared" si="37"/>
        <v>0</v>
      </c>
      <c r="H152" s="4">
        <f t="shared" si="38"/>
        <v>10.831758904638065</v>
      </c>
      <c r="I152" s="5">
        <f>vals_ghg_excLUC!$R152</f>
        <v>56.351830662981314</v>
      </c>
      <c r="J152" s="5">
        <f>vals_ghg_excLUC!$X152</f>
        <v>51.122275447727517</v>
      </c>
      <c r="K152" s="5"/>
      <c r="L152" s="5"/>
      <c r="M152" s="5">
        <f>vals_ghg_excLUC!$S152</f>
        <v>72.73739925121761</v>
      </c>
      <c r="N152" s="5">
        <f>vals_ghg_excLUC!$Y152</f>
        <v>67.183589567619379</v>
      </c>
      <c r="O152" s="5"/>
      <c r="P152" s="5"/>
      <c r="Q152" s="9">
        <f t="shared" si="39"/>
        <v>5.5538096835982316</v>
      </c>
      <c r="R152" s="9">
        <v>53.307000000000002</v>
      </c>
      <c r="S152" s="9">
        <v>69.185000000000002</v>
      </c>
    </row>
    <row r="153" spans="1:19" x14ac:dyDescent="0.35">
      <c r="A153" s="6">
        <f>vals_ghg_excLUC!$A153</f>
        <v>2000</v>
      </c>
      <c r="B153" s="7">
        <f t="shared" si="32"/>
        <v>50.927334757140649</v>
      </c>
      <c r="C153" s="7">
        <f t="shared" si="33"/>
        <v>56.077070437645894</v>
      </c>
      <c r="D153" s="7">
        <f t="shared" si="34"/>
        <v>66.877060590455486</v>
      </c>
      <c r="E153" s="7">
        <f t="shared" si="35"/>
        <v>72.346633697290912</v>
      </c>
      <c r="F153" s="7">
        <f t="shared" si="36"/>
        <v>5.1497356805052448</v>
      </c>
      <c r="G153" s="7">
        <f t="shared" si="37"/>
        <v>0</v>
      </c>
      <c r="H153" s="7">
        <f t="shared" si="38"/>
        <v>10.799990152809592</v>
      </c>
      <c r="I153" s="8">
        <f>vals_ghg_excLUC!$R153</f>
        <v>56.077070437645894</v>
      </c>
      <c r="J153" s="8">
        <f>vals_ghg_excLUC!$X153</f>
        <v>50.927334757140649</v>
      </c>
      <c r="K153" s="8"/>
      <c r="L153" s="8"/>
      <c r="M153" s="8">
        <f>vals_ghg_excLUC!$S153</f>
        <v>72.346633697290912</v>
      </c>
      <c r="N153" s="8">
        <f>vals_ghg_excLUC!$Y153</f>
        <v>66.877060590455486</v>
      </c>
      <c r="O153" s="8"/>
      <c r="P153" s="8"/>
      <c r="Q153" s="9">
        <f t="shared" si="39"/>
        <v>5.4695731068354263</v>
      </c>
      <c r="R153" s="9">
        <v>53.039000000000001</v>
      </c>
      <c r="S153" s="9">
        <v>68.777000000000001</v>
      </c>
    </row>
    <row r="154" spans="1:19" x14ac:dyDescent="0.35">
      <c r="A154" s="3">
        <f>vals_ghg_excLUC!$A154</f>
        <v>2001</v>
      </c>
      <c r="B154" s="4">
        <f t="shared" si="32"/>
        <v>50.725906958197598</v>
      </c>
      <c r="C154" s="4">
        <f t="shared" si="33"/>
        <v>55.799496070152642</v>
      </c>
      <c r="D154" s="4">
        <f t="shared" si="34"/>
        <v>66.56848658983418</v>
      </c>
      <c r="E154" s="4">
        <f t="shared" si="35"/>
        <v>71.960769823630756</v>
      </c>
      <c r="F154" s="4">
        <f t="shared" si="36"/>
        <v>5.0735891119550445</v>
      </c>
      <c r="G154" s="4">
        <f t="shared" si="37"/>
        <v>0</v>
      </c>
      <c r="H154" s="4">
        <f t="shared" si="38"/>
        <v>10.768990519681537</v>
      </c>
      <c r="I154" s="5">
        <f>vals_ghg_excLUC!$R154</f>
        <v>55.799496070152642</v>
      </c>
      <c r="J154" s="5">
        <f>vals_ghg_excLUC!$X154</f>
        <v>50.725906958197598</v>
      </c>
      <c r="K154" s="5"/>
      <c r="L154" s="5"/>
      <c r="M154" s="5">
        <f>vals_ghg_excLUC!$S154</f>
        <v>71.960769823630756</v>
      </c>
      <c r="N154" s="5">
        <f>vals_ghg_excLUC!$Y154</f>
        <v>66.56848658983418</v>
      </c>
      <c r="O154" s="5"/>
      <c r="P154" s="5"/>
      <c r="Q154" s="9">
        <f t="shared" si="39"/>
        <v>5.3922832337965758</v>
      </c>
      <c r="R154" s="9">
        <v>52.741999999999997</v>
      </c>
      <c r="S154" s="9">
        <v>68.349999999999994</v>
      </c>
    </row>
    <row r="155" spans="1:19" x14ac:dyDescent="0.35">
      <c r="A155" s="6">
        <f>vals_ghg_excLUC!$A155</f>
        <v>2002</v>
      </c>
      <c r="B155" s="7">
        <f t="shared" si="32"/>
        <v>50.516082949741183</v>
      </c>
      <c r="C155" s="7">
        <f t="shared" si="33"/>
        <v>55.518395555953916</v>
      </c>
      <c r="D155" s="7">
        <f t="shared" si="34"/>
        <v>66.24687230045042</v>
      </c>
      <c r="E155" s="7">
        <f t="shared" si="35"/>
        <v>71.568862805515906</v>
      </c>
      <c r="F155" s="7">
        <f t="shared" si="36"/>
        <v>5.0023126062127332</v>
      </c>
      <c r="G155" s="7">
        <f t="shared" si="37"/>
        <v>0</v>
      </c>
      <c r="H155" s="7">
        <f t="shared" si="38"/>
        <v>10.728476744496504</v>
      </c>
      <c r="I155" s="8">
        <f>vals_ghg_excLUC!$R155</f>
        <v>55.518395555953916</v>
      </c>
      <c r="J155" s="8">
        <f>vals_ghg_excLUC!$X155</f>
        <v>50.516082949741183</v>
      </c>
      <c r="K155" s="8"/>
      <c r="L155" s="8"/>
      <c r="M155" s="8">
        <f>vals_ghg_excLUC!$S155</f>
        <v>71.568862805515906</v>
      </c>
      <c r="N155" s="8">
        <f>vals_ghg_excLUC!$Y155</f>
        <v>66.24687230045042</v>
      </c>
      <c r="O155" s="8"/>
      <c r="P155" s="8"/>
      <c r="Q155" s="9">
        <f t="shared" si="39"/>
        <v>5.3219905050654859</v>
      </c>
      <c r="R155" s="9">
        <v>52.451999999999998</v>
      </c>
      <c r="S155" s="9">
        <v>67.927000000000007</v>
      </c>
    </row>
    <row r="156" spans="1:19" x14ac:dyDescent="0.35">
      <c r="A156" s="3">
        <f>vals_ghg_excLUC!$A156</f>
        <v>2003</v>
      </c>
      <c r="B156" s="4">
        <f t="shared" si="32"/>
        <v>50.276696979038491</v>
      </c>
      <c r="C156" s="4">
        <f t="shared" si="33"/>
        <v>55.198224809226836</v>
      </c>
      <c r="D156" s="4">
        <f t="shared" si="34"/>
        <v>65.891344793161309</v>
      </c>
      <c r="E156" s="4">
        <f t="shared" si="35"/>
        <v>71.132157412383805</v>
      </c>
      <c r="F156" s="4">
        <f t="shared" si="36"/>
        <v>4.9215278301883458</v>
      </c>
      <c r="G156" s="4">
        <f t="shared" si="37"/>
        <v>0</v>
      </c>
      <c r="H156" s="4">
        <f t="shared" si="38"/>
        <v>10.693119983934473</v>
      </c>
      <c r="I156" s="5">
        <f>vals_ghg_excLUC!$R156</f>
        <v>55.198224809226836</v>
      </c>
      <c r="J156" s="5">
        <f>vals_ghg_excLUC!$X156</f>
        <v>50.276696979038491</v>
      </c>
      <c r="K156" s="5"/>
      <c r="L156" s="5"/>
      <c r="M156" s="5">
        <f>vals_ghg_excLUC!$S156</f>
        <v>71.132157412383805</v>
      </c>
      <c r="N156" s="5">
        <f>vals_ghg_excLUC!$Y156</f>
        <v>65.891344793161309</v>
      </c>
      <c r="O156" s="5"/>
      <c r="P156" s="5"/>
      <c r="Q156" s="9">
        <f t="shared" si="39"/>
        <v>5.2408126192224955</v>
      </c>
      <c r="R156" s="9">
        <v>52.115000000000002</v>
      </c>
      <c r="S156" s="9">
        <v>67.445999999999998</v>
      </c>
    </row>
    <row r="157" spans="1:19" x14ac:dyDescent="0.35">
      <c r="A157" s="6">
        <f>vals_ghg_excLUC!$A157</f>
        <v>2004</v>
      </c>
      <c r="B157" s="7">
        <f t="shared" si="32"/>
        <v>50.01830971322854</v>
      </c>
      <c r="C157" s="7">
        <f t="shared" si="33"/>
        <v>54.86133525094241</v>
      </c>
      <c r="D157" s="7">
        <f t="shared" si="34"/>
        <v>65.512365259412192</v>
      </c>
      <c r="E157" s="7">
        <f t="shared" si="35"/>
        <v>70.675279336740289</v>
      </c>
      <c r="F157" s="7">
        <f t="shared" si="36"/>
        <v>4.8430255377138707</v>
      </c>
      <c r="G157" s="7">
        <f t="shared" si="37"/>
        <v>0</v>
      </c>
      <c r="H157" s="7">
        <f t="shared" si="38"/>
        <v>10.651030008469782</v>
      </c>
      <c r="I157" s="8">
        <f>vals_ghg_excLUC!$R157</f>
        <v>54.86133525094241</v>
      </c>
      <c r="J157" s="8">
        <f>vals_ghg_excLUC!$X157</f>
        <v>50.01830971322854</v>
      </c>
      <c r="K157" s="8"/>
      <c r="L157" s="8"/>
      <c r="M157" s="8">
        <f>vals_ghg_excLUC!$S157</f>
        <v>70.675279336740289</v>
      </c>
      <c r="N157" s="8">
        <f>vals_ghg_excLUC!$Y157</f>
        <v>65.512365259412192</v>
      </c>
      <c r="O157" s="8"/>
      <c r="P157" s="8"/>
      <c r="Q157" s="9">
        <f t="shared" si="39"/>
        <v>5.1629140773280966</v>
      </c>
      <c r="R157" s="9">
        <v>51.768000000000001</v>
      </c>
      <c r="S157" s="9">
        <v>66.953999999999994</v>
      </c>
    </row>
    <row r="158" spans="1:19" x14ac:dyDescent="0.35">
      <c r="A158" s="3">
        <f>vals_ghg_excLUC!$A158</f>
        <v>2005</v>
      </c>
      <c r="B158" s="4">
        <f t="shared" si="32"/>
        <v>49.736507832062372</v>
      </c>
      <c r="C158" s="4">
        <f t="shared" si="33"/>
        <v>54.499976590006007</v>
      </c>
      <c r="D158" s="4">
        <f t="shared" si="34"/>
        <v>65.106636584719368</v>
      </c>
      <c r="E158" s="4">
        <f t="shared" si="35"/>
        <v>70.191640741229989</v>
      </c>
      <c r="F158" s="4">
        <f t="shared" si="36"/>
        <v>4.7634687579436346</v>
      </c>
      <c r="G158" s="4">
        <f t="shared" si="37"/>
        <v>0</v>
      </c>
      <c r="H158" s="4">
        <f t="shared" si="38"/>
        <v>10.606659994713361</v>
      </c>
      <c r="I158" s="5">
        <f>vals_ghg_excLUC!$R158</f>
        <v>54.499976590006007</v>
      </c>
      <c r="J158" s="5">
        <f>vals_ghg_excLUC!$X158</f>
        <v>49.736507832062372</v>
      </c>
      <c r="K158" s="5"/>
      <c r="L158" s="5"/>
      <c r="M158" s="5">
        <f>vals_ghg_excLUC!$S158</f>
        <v>70.191640741229989</v>
      </c>
      <c r="N158" s="5">
        <f>vals_ghg_excLUC!$Y158</f>
        <v>65.106636584719368</v>
      </c>
      <c r="O158" s="5"/>
      <c r="P158" s="5"/>
      <c r="Q158" s="9">
        <f t="shared" si="39"/>
        <v>5.085004156510621</v>
      </c>
      <c r="R158" s="9">
        <v>51.393000000000001</v>
      </c>
      <c r="S158" s="9">
        <v>66.436000000000007</v>
      </c>
    </row>
    <row r="159" spans="1:19" x14ac:dyDescent="0.35">
      <c r="A159" s="6">
        <f>vals_ghg_excLUC!$A159</f>
        <v>2006</v>
      </c>
      <c r="B159" s="7">
        <f t="shared" si="32"/>
        <v>49.434427771527531</v>
      </c>
      <c r="C159" s="7">
        <f t="shared" si="33"/>
        <v>54.10985631103302</v>
      </c>
      <c r="D159" s="7">
        <f t="shared" si="34"/>
        <v>64.683725920041454</v>
      </c>
      <c r="E159" s="7">
        <f t="shared" si="35"/>
        <v>69.682639692349341</v>
      </c>
      <c r="F159" s="7">
        <f t="shared" si="36"/>
        <v>4.6754285395054893</v>
      </c>
      <c r="G159" s="7">
        <f t="shared" si="37"/>
        <v>0</v>
      </c>
      <c r="H159" s="7">
        <f t="shared" si="38"/>
        <v>10.573869609008433</v>
      </c>
      <c r="I159" s="8">
        <f>vals_ghg_excLUC!$R159</f>
        <v>54.10985631103302</v>
      </c>
      <c r="J159" s="8">
        <f>vals_ghg_excLUC!$X159</f>
        <v>49.434427771527531</v>
      </c>
      <c r="K159" s="8"/>
      <c r="L159" s="8"/>
      <c r="M159" s="8">
        <f>vals_ghg_excLUC!$S159</f>
        <v>69.682639692349341</v>
      </c>
      <c r="N159" s="8">
        <f>vals_ghg_excLUC!$Y159</f>
        <v>64.683725920041454</v>
      </c>
      <c r="O159" s="8"/>
      <c r="P159" s="8"/>
      <c r="Q159" s="9">
        <f t="shared" si="39"/>
        <v>4.9989137723078869</v>
      </c>
      <c r="R159" s="9">
        <v>50.994999999999997</v>
      </c>
      <c r="S159" s="9">
        <v>65.899000000000001</v>
      </c>
    </row>
    <row r="160" spans="1:19" x14ac:dyDescent="0.35">
      <c r="A160" s="3">
        <f>vals_ghg_excLUC!$A160</f>
        <v>2007</v>
      </c>
      <c r="B160" s="4">
        <f t="shared" si="32"/>
        <v>49.126821160482173</v>
      </c>
      <c r="C160" s="4">
        <f t="shared" si="33"/>
        <v>53.711113773817054</v>
      </c>
      <c r="D160" s="4">
        <f t="shared" si="34"/>
        <v>64.255631837161403</v>
      </c>
      <c r="E160" s="4">
        <f t="shared" si="35"/>
        <v>69.165459782919143</v>
      </c>
      <c r="F160" s="4">
        <f t="shared" si="36"/>
        <v>4.5842926133348811</v>
      </c>
      <c r="G160" s="4">
        <f t="shared" si="37"/>
        <v>0</v>
      </c>
      <c r="H160" s="4">
        <f t="shared" si="38"/>
        <v>10.544518063344348</v>
      </c>
      <c r="I160" s="5">
        <f>vals_ghg_excLUC!$R160</f>
        <v>53.711113773817054</v>
      </c>
      <c r="J160" s="5">
        <f>vals_ghg_excLUC!$X160</f>
        <v>49.126821160482173</v>
      </c>
      <c r="K160" s="5"/>
      <c r="L160" s="5"/>
      <c r="M160" s="5">
        <f>vals_ghg_excLUC!$S160</f>
        <v>69.165459782919143</v>
      </c>
      <c r="N160" s="5">
        <f>vals_ghg_excLUC!$Y160</f>
        <v>64.255631837161403</v>
      </c>
      <c r="O160" s="5"/>
      <c r="P160" s="5"/>
      <c r="Q160" s="9">
        <f t="shared" si="39"/>
        <v>4.9098279457577405</v>
      </c>
      <c r="R160" s="9">
        <v>50.597000000000001</v>
      </c>
      <c r="S160" s="9">
        <v>65.366</v>
      </c>
    </row>
    <row r="161" spans="1:19" x14ac:dyDescent="0.35">
      <c r="A161" s="6">
        <f>vals_ghg_excLUC!$A161</f>
        <v>2008</v>
      </c>
      <c r="B161" s="7">
        <f t="shared" si="32"/>
        <v>48.800866026273738</v>
      </c>
      <c r="C161" s="7">
        <f t="shared" si="33"/>
        <v>53.28735943282814</v>
      </c>
      <c r="D161" s="7">
        <f t="shared" si="34"/>
        <v>63.810019378578687</v>
      </c>
      <c r="E161" s="7">
        <f t="shared" si="35"/>
        <v>68.622847254851592</v>
      </c>
      <c r="F161" s="7">
        <f t="shared" si="36"/>
        <v>4.486493406554402</v>
      </c>
      <c r="G161" s="7">
        <f t="shared" si="37"/>
        <v>0</v>
      </c>
      <c r="H161" s="7">
        <f t="shared" si="38"/>
        <v>10.522659945750547</v>
      </c>
      <c r="I161" s="8">
        <f>vals_ghg_excLUC!$R161</f>
        <v>53.28735943282814</v>
      </c>
      <c r="J161" s="8">
        <f>vals_ghg_excLUC!$X161</f>
        <v>48.800866026273738</v>
      </c>
      <c r="K161" s="8"/>
      <c r="L161" s="8"/>
      <c r="M161" s="8">
        <f>vals_ghg_excLUC!$S161</f>
        <v>68.622847254851592</v>
      </c>
      <c r="N161" s="8">
        <f>vals_ghg_excLUC!$Y161</f>
        <v>63.810019378578687</v>
      </c>
      <c r="O161" s="8"/>
      <c r="P161" s="8"/>
      <c r="Q161" s="9">
        <f t="shared" si="39"/>
        <v>4.8128278762729053</v>
      </c>
      <c r="R161" s="9">
        <v>50.186</v>
      </c>
      <c r="S161" s="9">
        <v>64.822000000000003</v>
      </c>
    </row>
    <row r="162" spans="1:19" x14ac:dyDescent="0.35">
      <c r="A162" s="3">
        <f>vals_ghg_excLUC!$A162</f>
        <v>2009</v>
      </c>
      <c r="B162" s="4">
        <f t="shared" si="32"/>
        <v>48.45851301102266</v>
      </c>
      <c r="C162" s="4">
        <f t="shared" si="33"/>
        <v>52.846881427864346</v>
      </c>
      <c r="D162" s="4">
        <f t="shared" si="34"/>
        <v>63.343540454402003</v>
      </c>
      <c r="E162" s="4">
        <f t="shared" si="35"/>
        <v>68.059833886072454</v>
      </c>
      <c r="F162" s="4">
        <f t="shared" si="36"/>
        <v>4.3883684168416863</v>
      </c>
      <c r="G162" s="4">
        <f t="shared" si="37"/>
        <v>0</v>
      </c>
      <c r="H162" s="4">
        <f t="shared" si="38"/>
        <v>10.496659026537657</v>
      </c>
      <c r="I162" s="5">
        <f>vals_ghg_excLUC!$R162</f>
        <v>52.846881427864346</v>
      </c>
      <c r="J162" s="5">
        <f>vals_ghg_excLUC!$X162</f>
        <v>48.45851301102266</v>
      </c>
      <c r="K162" s="5"/>
      <c r="L162" s="5"/>
      <c r="M162" s="5">
        <f>vals_ghg_excLUC!$S162</f>
        <v>68.059833886072454</v>
      </c>
      <c r="N162" s="5">
        <f>vals_ghg_excLUC!$Y162</f>
        <v>63.343540454402003</v>
      </c>
      <c r="O162" s="5"/>
      <c r="P162" s="5"/>
      <c r="Q162" s="9">
        <f t="shared" si="39"/>
        <v>4.7162934316704508</v>
      </c>
      <c r="R162" s="9">
        <v>49.764000000000003</v>
      </c>
      <c r="S162" s="9">
        <v>64.27</v>
      </c>
    </row>
    <row r="163" spans="1:19" x14ac:dyDescent="0.35">
      <c r="A163" s="6">
        <f>vals_ghg_excLUC!$A163</f>
        <v>2010</v>
      </c>
      <c r="B163" s="7">
        <f t="shared" ref="B163:B177" si="40">IFERROR(_xlfn.AGGREGATE(5,6,I163:L163),"")</f>
        <v>48.10588776252218</v>
      </c>
      <c r="C163" s="7">
        <f t="shared" ref="C163:C177" si="41">IFERROR(_xlfn.AGGREGATE(4,6,I163:L163),"")</f>
        <v>52.384747139970756</v>
      </c>
      <c r="D163" s="7">
        <f t="shared" ref="D163:D177" si="42">IFERROR(_xlfn.AGGREGATE(5,6,M163:P163),"")</f>
        <v>62.866206945159099</v>
      </c>
      <c r="E163" s="7">
        <f t="shared" ref="E163:E177" si="43">IFERROR(_xlfn.AGGREGATE(4,6,M163:P163),"")</f>
        <v>67.47264927656353</v>
      </c>
      <c r="F163" s="7">
        <f t="shared" ref="F163:F177" si="44">IFERROR(MIN(C163,D163)-B163,"")</f>
        <v>4.2788593774485761</v>
      </c>
      <c r="G163" s="7">
        <f t="shared" ref="G163:G177" si="45">IFERROR(MAX(0,C163-D163),"")</f>
        <v>0</v>
      </c>
      <c r="H163" s="7">
        <f t="shared" ref="H163:H177" si="46">IFERROR(MAX(0,D163-C163),"")</f>
        <v>10.481459805188344</v>
      </c>
      <c r="I163" s="8">
        <f>vals_ghg_excLUC!$R163</f>
        <v>52.384747139970756</v>
      </c>
      <c r="J163" s="8">
        <f>vals_ghg_excLUC!$X163</f>
        <v>48.10588776252218</v>
      </c>
      <c r="K163" s="8"/>
      <c r="L163" s="8"/>
      <c r="M163" s="8">
        <f>vals_ghg_excLUC!$S163</f>
        <v>67.47264927656353</v>
      </c>
      <c r="N163" s="8">
        <f>vals_ghg_excLUC!$Y163</f>
        <v>62.866206945159099</v>
      </c>
      <c r="O163" s="8"/>
      <c r="P163" s="8"/>
      <c r="Q163" s="9">
        <f t="shared" ref="Q163:Q177" si="47">IFERROR(MAX(0,$E163-MAX($C163,$D163)),"")</f>
        <v>4.6064423314044305</v>
      </c>
      <c r="R163" s="9">
        <v>49.31</v>
      </c>
      <c r="S163" s="9">
        <v>63.686</v>
      </c>
    </row>
    <row r="164" spans="1:19" x14ac:dyDescent="0.35">
      <c r="A164" s="3">
        <f>vals_ghg_excLUC!$A164</f>
        <v>2011</v>
      </c>
      <c r="B164" s="4">
        <f t="shared" si="40"/>
        <v>47.72478747351699</v>
      </c>
      <c r="C164" s="4">
        <f t="shared" si="41"/>
        <v>51.888679981687503</v>
      </c>
      <c r="D164" s="4">
        <f t="shared" si="42"/>
        <v>62.361006353024962</v>
      </c>
      <c r="E164" s="4">
        <f t="shared" si="43"/>
        <v>66.852220902016029</v>
      </c>
      <c r="F164" s="4">
        <f t="shared" si="44"/>
        <v>4.1638925081705125</v>
      </c>
      <c r="G164" s="4">
        <f t="shared" si="45"/>
        <v>0</v>
      </c>
      <c r="H164" s="4">
        <f t="shared" si="46"/>
        <v>10.472326371337459</v>
      </c>
      <c r="I164" s="5">
        <f>vals_ghg_excLUC!$R164</f>
        <v>51.888679981687503</v>
      </c>
      <c r="J164" s="5">
        <f>vals_ghg_excLUC!$X164</f>
        <v>47.72478747351699</v>
      </c>
      <c r="K164" s="5"/>
      <c r="L164" s="5"/>
      <c r="M164" s="5">
        <f>vals_ghg_excLUC!$S164</f>
        <v>66.852220902016029</v>
      </c>
      <c r="N164" s="5">
        <f>vals_ghg_excLUC!$Y164</f>
        <v>62.361006353024962</v>
      </c>
      <c r="O164" s="5"/>
      <c r="P164" s="5"/>
      <c r="Q164" s="9">
        <f t="shared" si="47"/>
        <v>4.4912145489910671</v>
      </c>
      <c r="R164" s="9">
        <v>48.804000000000002</v>
      </c>
      <c r="S164" s="9">
        <v>63.055</v>
      </c>
    </row>
    <row r="165" spans="1:19" x14ac:dyDescent="0.35">
      <c r="A165" s="6">
        <f>vals_ghg_excLUC!$A165</f>
        <v>2012</v>
      </c>
      <c r="B165" s="7">
        <f t="shared" si="40"/>
        <v>47.336384834787879</v>
      </c>
      <c r="C165" s="7">
        <f t="shared" si="41"/>
        <v>51.386507366799307</v>
      </c>
      <c r="D165" s="7">
        <f t="shared" si="42"/>
        <v>61.849800765168162</v>
      </c>
      <c r="E165" s="7">
        <f t="shared" si="43"/>
        <v>66.227169775156298</v>
      </c>
      <c r="F165" s="7">
        <f t="shared" si="44"/>
        <v>4.0501225320114287</v>
      </c>
      <c r="G165" s="7">
        <f t="shared" si="45"/>
        <v>0</v>
      </c>
      <c r="H165" s="7">
        <f t="shared" si="46"/>
        <v>10.463293398368855</v>
      </c>
      <c r="I165" s="8">
        <f>vals_ghg_excLUC!$R165</f>
        <v>51.386507366799307</v>
      </c>
      <c r="J165" s="8">
        <f>vals_ghg_excLUC!$X165</f>
        <v>47.336384834787879</v>
      </c>
      <c r="K165" s="8"/>
      <c r="L165" s="8"/>
      <c r="M165" s="8">
        <f>vals_ghg_excLUC!$S165</f>
        <v>66.227169775156298</v>
      </c>
      <c r="N165" s="8">
        <f>vals_ghg_excLUC!$Y165</f>
        <v>61.849800765168162</v>
      </c>
      <c r="O165" s="8"/>
      <c r="P165" s="8"/>
      <c r="Q165" s="9">
        <f t="shared" si="47"/>
        <v>4.3773690099881364</v>
      </c>
      <c r="R165" s="9">
        <v>48.287999999999997</v>
      </c>
      <c r="S165" s="9">
        <v>62.423000000000002</v>
      </c>
    </row>
    <row r="166" spans="1:19" x14ac:dyDescent="0.35">
      <c r="A166" s="3">
        <f>vals_ghg_excLUC!$A166</f>
        <v>2013</v>
      </c>
      <c r="B166" s="4">
        <f t="shared" si="40"/>
        <v>46.960266843321818</v>
      </c>
      <c r="C166" s="4">
        <f t="shared" si="41"/>
        <v>50.903275011908036</v>
      </c>
      <c r="D166" s="4">
        <f t="shared" si="42"/>
        <v>61.347981973308649</v>
      </c>
      <c r="E166" s="4">
        <f t="shared" si="43"/>
        <v>65.618062926334872</v>
      </c>
      <c r="F166" s="4">
        <f t="shared" si="44"/>
        <v>3.9430081685862177</v>
      </c>
      <c r="G166" s="4">
        <f t="shared" si="45"/>
        <v>0</v>
      </c>
      <c r="H166" s="4">
        <f t="shared" si="46"/>
        <v>10.444706961400612</v>
      </c>
      <c r="I166" s="5">
        <f>vals_ghg_excLUC!$R166</f>
        <v>50.903275011908036</v>
      </c>
      <c r="J166" s="5">
        <f>vals_ghg_excLUC!$X166</f>
        <v>46.960266843321818</v>
      </c>
      <c r="K166" s="5"/>
      <c r="L166" s="5"/>
      <c r="M166" s="5">
        <f>vals_ghg_excLUC!$S166</f>
        <v>65.618062926334872</v>
      </c>
      <c r="N166" s="5">
        <f>vals_ghg_excLUC!$Y166</f>
        <v>61.347981973308649</v>
      </c>
      <c r="O166" s="5"/>
      <c r="P166" s="5"/>
      <c r="Q166" s="9">
        <f t="shared" si="47"/>
        <v>4.2700809530262234</v>
      </c>
      <c r="R166" s="9">
        <v>47.793999999999997</v>
      </c>
      <c r="S166" s="9">
        <v>61.817</v>
      </c>
    </row>
    <row r="167" spans="1:19" x14ac:dyDescent="0.35">
      <c r="A167" s="6">
        <f>vals_ghg_excLUC!$A167</f>
        <v>2014</v>
      </c>
      <c r="B167" s="7">
        <f t="shared" si="40"/>
        <v>46.583376372241744</v>
      </c>
      <c r="C167" s="7">
        <f t="shared" si="41"/>
        <v>50.425885423370786</v>
      </c>
      <c r="D167" s="7">
        <f t="shared" si="42"/>
        <v>60.845377735427974</v>
      </c>
      <c r="E167" s="7">
        <f t="shared" si="43"/>
        <v>65.015867872855651</v>
      </c>
      <c r="F167" s="7">
        <f t="shared" si="44"/>
        <v>3.8425090511290421</v>
      </c>
      <c r="G167" s="7">
        <f t="shared" si="45"/>
        <v>0</v>
      </c>
      <c r="H167" s="7">
        <f t="shared" si="46"/>
        <v>10.419492312057187</v>
      </c>
      <c r="I167" s="8">
        <f>vals_ghg_excLUC!$R167</f>
        <v>50.425885423370786</v>
      </c>
      <c r="J167" s="8">
        <f>vals_ghg_excLUC!$X167</f>
        <v>46.583376372241744</v>
      </c>
      <c r="K167" s="8"/>
      <c r="L167" s="8"/>
      <c r="M167" s="8">
        <f>vals_ghg_excLUC!$S167</f>
        <v>65.015867872855651</v>
      </c>
      <c r="N167" s="8">
        <f>vals_ghg_excLUC!$Y167</f>
        <v>60.845377735427974</v>
      </c>
      <c r="O167" s="8"/>
      <c r="P167" s="8"/>
      <c r="Q167" s="9">
        <f t="shared" si="47"/>
        <v>4.1704901374276773</v>
      </c>
      <c r="R167" s="9">
        <v>47.311999999999998</v>
      </c>
      <c r="S167" s="9">
        <v>61.228999999999999</v>
      </c>
    </row>
    <row r="168" spans="1:19" x14ac:dyDescent="0.35">
      <c r="A168" s="3">
        <f>vals_ghg_excLUC!$A168</f>
        <v>2015</v>
      </c>
      <c r="B168" s="4">
        <f t="shared" si="40"/>
        <v>46.209110373643469</v>
      </c>
      <c r="C168" s="4">
        <f t="shared" si="41"/>
        <v>49.962308986436796</v>
      </c>
      <c r="D168" s="4">
        <f t="shared" si="42"/>
        <v>60.347233548399224</v>
      </c>
      <c r="E168" s="4">
        <f t="shared" si="43"/>
        <v>64.433012930348681</v>
      </c>
      <c r="F168" s="4">
        <f t="shared" si="44"/>
        <v>3.7531986127933266</v>
      </c>
      <c r="G168" s="4">
        <f t="shared" si="45"/>
        <v>0</v>
      </c>
      <c r="H168" s="4">
        <f t="shared" si="46"/>
        <v>10.384924561962428</v>
      </c>
      <c r="I168" s="5">
        <f>vals_ghg_excLUC!$R168</f>
        <v>49.962308986436796</v>
      </c>
      <c r="J168" s="5">
        <f>vals_ghg_excLUC!$X168</f>
        <v>46.209110373643469</v>
      </c>
      <c r="K168" s="5"/>
      <c r="L168" s="5"/>
      <c r="M168" s="5">
        <f>vals_ghg_excLUC!$S168</f>
        <v>64.433012930348681</v>
      </c>
      <c r="N168" s="5">
        <f>vals_ghg_excLUC!$Y168</f>
        <v>60.347233548399224</v>
      </c>
      <c r="O168" s="5"/>
      <c r="P168" s="5"/>
      <c r="Q168" s="9">
        <f t="shared" si="47"/>
        <v>4.0857793819494574</v>
      </c>
      <c r="R168" s="9">
        <v>46.85</v>
      </c>
      <c r="S168" s="9">
        <v>60.667999999999999</v>
      </c>
    </row>
    <row r="169" spans="1:19" x14ac:dyDescent="0.35">
      <c r="A169" s="6">
        <f>vals_ghg_excLUC!$A169</f>
        <v>2016</v>
      </c>
      <c r="B169" s="7">
        <f t="shared" si="40"/>
        <v>45.835159477353912</v>
      </c>
      <c r="C169" s="7">
        <f t="shared" si="41"/>
        <v>49.507113394692624</v>
      </c>
      <c r="D169" s="7">
        <f t="shared" si="42"/>
        <v>59.854889753232698</v>
      </c>
      <c r="E169" s="7">
        <f t="shared" si="43"/>
        <v>63.866406604242854</v>
      </c>
      <c r="F169" s="7">
        <f t="shared" si="44"/>
        <v>3.6719539173387119</v>
      </c>
      <c r="G169" s="7">
        <f t="shared" si="45"/>
        <v>0</v>
      </c>
      <c r="H169" s="7">
        <f t="shared" si="46"/>
        <v>10.347776358540074</v>
      </c>
      <c r="I169" s="8">
        <f>vals_ghg_excLUC!$R169</f>
        <v>49.507113394692624</v>
      </c>
      <c r="J169" s="8">
        <f>vals_ghg_excLUC!$X169</f>
        <v>45.835159477353912</v>
      </c>
      <c r="K169" s="8"/>
      <c r="L169" s="8"/>
      <c r="M169" s="8">
        <f>vals_ghg_excLUC!$S169</f>
        <v>63.866406604242854</v>
      </c>
      <c r="N169" s="8">
        <f>vals_ghg_excLUC!$Y169</f>
        <v>59.854889753232698</v>
      </c>
      <c r="O169" s="8"/>
      <c r="P169" s="8"/>
      <c r="Q169" s="9">
        <f t="shared" si="47"/>
        <v>4.0115168510101569</v>
      </c>
      <c r="R169" s="9">
        <v>46.4</v>
      </c>
      <c r="S169" s="9">
        <v>60.133000000000003</v>
      </c>
    </row>
    <row r="170" spans="1:19" x14ac:dyDescent="0.35">
      <c r="A170" s="3">
        <f>vals_ghg_excLUC!$A170</f>
        <v>2017</v>
      </c>
      <c r="B170" s="4">
        <f t="shared" si="40"/>
        <v>45.45656081019915</v>
      </c>
      <c r="C170" s="4">
        <f t="shared" si="41"/>
        <v>49.051409975447264</v>
      </c>
      <c r="D170" s="4">
        <f t="shared" si="42"/>
        <v>59.360379464325334</v>
      </c>
      <c r="E170" s="4">
        <f t="shared" si="43"/>
        <v>63.303395335906131</v>
      </c>
      <c r="F170" s="4">
        <f t="shared" si="44"/>
        <v>3.5948491652481138</v>
      </c>
      <c r="G170" s="4">
        <f t="shared" si="45"/>
        <v>0</v>
      </c>
      <c r="H170" s="4">
        <f t="shared" si="46"/>
        <v>10.30896948887807</v>
      </c>
      <c r="I170" s="5">
        <f>vals_ghg_excLUC!$R170</f>
        <v>49.051409975447264</v>
      </c>
      <c r="J170" s="5">
        <f>vals_ghg_excLUC!$X170</f>
        <v>45.45656081019915</v>
      </c>
      <c r="K170" s="5"/>
      <c r="L170" s="5"/>
      <c r="M170" s="5">
        <f>vals_ghg_excLUC!$S170</f>
        <v>63.303395335906131</v>
      </c>
      <c r="N170" s="5">
        <f>vals_ghg_excLUC!$Y170</f>
        <v>59.360379464325334</v>
      </c>
      <c r="O170" s="5"/>
      <c r="P170" s="5"/>
      <c r="Q170" s="9">
        <f t="shared" si="47"/>
        <v>3.9430158715807977</v>
      </c>
      <c r="R170" s="9">
        <v>45.948</v>
      </c>
      <c r="S170" s="9">
        <v>59.6</v>
      </c>
    </row>
    <row r="171" spans="1:19" x14ac:dyDescent="0.35">
      <c r="A171" s="6">
        <f>vals_ghg_excLUC!$A171</f>
        <v>2018</v>
      </c>
      <c r="B171" s="7">
        <f t="shared" si="40"/>
        <v>45.082065969852394</v>
      </c>
      <c r="C171" s="7">
        <f t="shared" si="41"/>
        <v>48.597071171982506</v>
      </c>
      <c r="D171" s="7">
        <f t="shared" si="42"/>
        <v>58.873050696681894</v>
      </c>
      <c r="E171" s="7">
        <f t="shared" si="43"/>
        <v>62.743471997893351</v>
      </c>
      <c r="F171" s="7">
        <f t="shared" si="44"/>
        <v>3.5150052021301121</v>
      </c>
      <c r="G171" s="7">
        <f t="shared" si="45"/>
        <v>0</v>
      </c>
      <c r="H171" s="7">
        <f t="shared" si="46"/>
        <v>10.275979524699387</v>
      </c>
      <c r="I171" s="8">
        <f>vals_ghg_excLUC!$R171</f>
        <v>48.597071171982506</v>
      </c>
      <c r="J171" s="8">
        <f>vals_ghg_excLUC!$X171</f>
        <v>45.082065969852394</v>
      </c>
      <c r="K171" s="8"/>
      <c r="L171" s="8"/>
      <c r="M171" s="8">
        <f>vals_ghg_excLUC!$S171</f>
        <v>62.743471997893351</v>
      </c>
      <c r="N171" s="8">
        <f>vals_ghg_excLUC!$Y171</f>
        <v>58.873050696681894</v>
      </c>
      <c r="O171" s="8"/>
      <c r="P171" s="8"/>
      <c r="Q171" s="9">
        <f t="shared" si="47"/>
        <v>3.8704213012114579</v>
      </c>
      <c r="R171" s="9">
        <v>45.491</v>
      </c>
      <c r="S171" s="9">
        <v>59.061999999999998</v>
      </c>
    </row>
    <row r="172" spans="1:19" x14ac:dyDescent="0.35">
      <c r="A172" s="3">
        <f>vals_ghg_excLUC!$A172</f>
        <v>2019</v>
      </c>
      <c r="B172" s="4">
        <f t="shared" si="40"/>
        <v>44.707221188279163</v>
      </c>
      <c r="C172" s="4">
        <f t="shared" si="41"/>
        <v>48.137656327340231</v>
      </c>
      <c r="D172" s="4">
        <f t="shared" si="42"/>
        <v>58.386672102866136</v>
      </c>
      <c r="E172" s="4">
        <f t="shared" si="43"/>
        <v>62.177293594895545</v>
      </c>
      <c r="F172" s="4">
        <f t="shared" si="44"/>
        <v>3.4304351390610677</v>
      </c>
      <c r="G172" s="4">
        <f t="shared" si="45"/>
        <v>0</v>
      </c>
      <c r="H172" s="4">
        <f t="shared" si="46"/>
        <v>10.249015775525905</v>
      </c>
      <c r="I172" s="5">
        <f>vals_ghg_excLUC!$R172</f>
        <v>48.137656327340231</v>
      </c>
      <c r="J172" s="5">
        <f>vals_ghg_excLUC!$X172</f>
        <v>44.707221188279163</v>
      </c>
      <c r="K172" s="5"/>
      <c r="L172" s="5"/>
      <c r="M172" s="5">
        <f>vals_ghg_excLUC!$S172</f>
        <v>62.177293594895545</v>
      </c>
      <c r="N172" s="5">
        <f>vals_ghg_excLUC!$Y172</f>
        <v>58.386672102866136</v>
      </c>
      <c r="O172" s="5"/>
      <c r="P172" s="5"/>
      <c r="Q172" s="9">
        <f t="shared" si="47"/>
        <v>3.790621492029409</v>
      </c>
      <c r="R172" s="9">
        <v>45.029000000000003</v>
      </c>
      <c r="S172" s="9">
        <v>58.518000000000001</v>
      </c>
    </row>
    <row r="173" spans="1:19" x14ac:dyDescent="0.35">
      <c r="A173" s="6">
        <f>vals_ghg_excLUC!$A173</f>
        <v>2020</v>
      </c>
      <c r="B173" s="7">
        <f t="shared" si="40"/>
        <v>44.33262851814861</v>
      </c>
      <c r="C173" s="7">
        <f t="shared" si="41"/>
        <v>47.686134724600812</v>
      </c>
      <c r="D173" s="7">
        <f t="shared" si="42"/>
        <v>57.908111023908027</v>
      </c>
      <c r="E173" s="7">
        <f t="shared" si="43"/>
        <v>61.628308625639747</v>
      </c>
      <c r="F173" s="7">
        <f t="shared" si="44"/>
        <v>3.3535062064522023</v>
      </c>
      <c r="G173" s="7">
        <f t="shared" si="45"/>
        <v>0</v>
      </c>
      <c r="H173" s="7">
        <f t="shared" si="46"/>
        <v>10.221976299307215</v>
      </c>
      <c r="I173" s="8">
        <f>vals_ghg_excLUC!$R173</f>
        <v>47.686134724600812</v>
      </c>
      <c r="J173" s="8">
        <f>vals_ghg_excLUC!$X173</f>
        <v>44.33262851814861</v>
      </c>
      <c r="K173" s="8"/>
      <c r="L173" s="8"/>
      <c r="M173" s="8">
        <f>vals_ghg_excLUC!$S173</f>
        <v>61.628308625639747</v>
      </c>
      <c r="N173" s="8">
        <f>vals_ghg_excLUC!$Y173</f>
        <v>57.908111023908027</v>
      </c>
      <c r="O173" s="8"/>
      <c r="P173" s="8"/>
      <c r="Q173" s="9">
        <f t="shared" si="47"/>
        <v>3.7201976017317193</v>
      </c>
      <c r="R173" s="9">
        <v>44.585999999999999</v>
      </c>
      <c r="S173" s="9">
        <v>58.003999999999998</v>
      </c>
    </row>
    <row r="174" spans="1:19" x14ac:dyDescent="0.35">
      <c r="A174" s="3">
        <f>vals_ghg_excLUC!$A174</f>
        <v>2021</v>
      </c>
      <c r="B174" s="4">
        <f t="shared" si="40"/>
        <v>43.957789478575172</v>
      </c>
      <c r="C174" s="4">
        <f t="shared" si="41"/>
        <v>47.235685628367136</v>
      </c>
      <c r="D174" s="4">
        <f t="shared" si="42"/>
        <v>57.429138353622889</v>
      </c>
      <c r="E174" s="4">
        <f t="shared" si="43"/>
        <v>61.07996985312564</v>
      </c>
      <c r="F174" s="4">
        <f t="shared" si="44"/>
        <v>3.2778961497919639</v>
      </c>
      <c r="G174" s="4">
        <f t="shared" si="45"/>
        <v>0</v>
      </c>
      <c r="H174" s="4">
        <f t="shared" si="46"/>
        <v>10.193452725255753</v>
      </c>
      <c r="I174" s="5">
        <f>vals_ghg_excLUC!$R174</f>
        <v>47.235685628367136</v>
      </c>
      <c r="J174" s="5">
        <f>vals_ghg_excLUC!$X174</f>
        <v>43.957789478575172</v>
      </c>
      <c r="K174" s="5"/>
      <c r="L174" s="5"/>
      <c r="M174" s="5">
        <f>vals_ghg_excLUC!$S174</f>
        <v>61.07996985312564</v>
      </c>
      <c r="N174" s="5">
        <f>vals_ghg_excLUC!$Y174</f>
        <v>57.429138353622889</v>
      </c>
      <c r="O174" s="5"/>
      <c r="P174" s="5"/>
      <c r="Q174" s="9">
        <f t="shared" si="47"/>
        <v>3.6508314995027504</v>
      </c>
      <c r="R174" s="9">
        <v>44.145000000000003</v>
      </c>
      <c r="S174" s="9">
        <v>57.488</v>
      </c>
    </row>
    <row r="175" spans="1:19" x14ac:dyDescent="0.35">
      <c r="A175" s="6">
        <f>vals_ghg_excLUC!$A175</f>
        <v>2022</v>
      </c>
      <c r="B175" s="7">
        <f t="shared" si="40"/>
        <v>43.588283973560323</v>
      </c>
      <c r="C175" s="7">
        <f t="shared" si="41"/>
        <v>46.784008044316309</v>
      </c>
      <c r="D175" s="7">
        <f t="shared" si="42"/>
        <v>56.952367283515116</v>
      </c>
      <c r="E175" s="7">
        <f t="shared" si="43"/>
        <v>60.524082017493427</v>
      </c>
      <c r="F175" s="7">
        <f t="shared" si="44"/>
        <v>3.1957240707559862</v>
      </c>
      <c r="G175" s="7">
        <f t="shared" si="45"/>
        <v>0</v>
      </c>
      <c r="H175" s="7">
        <f t="shared" si="46"/>
        <v>10.168359239198807</v>
      </c>
      <c r="I175" s="8">
        <f>vals_ghg_excLUC!$R175</f>
        <v>46.784008044316309</v>
      </c>
      <c r="J175" s="8">
        <f>vals_ghg_excLUC!$X175</f>
        <v>43.588283973560323</v>
      </c>
      <c r="K175" s="8"/>
      <c r="L175" s="8"/>
      <c r="M175" s="8">
        <f>vals_ghg_excLUC!$S175</f>
        <v>60.524082017493427</v>
      </c>
      <c r="N175" s="8">
        <f>vals_ghg_excLUC!$Y175</f>
        <v>56.952367283515116</v>
      </c>
      <c r="O175" s="8"/>
      <c r="P175" s="8"/>
      <c r="Q175" s="9">
        <f t="shared" si="47"/>
        <v>3.5717147339783111</v>
      </c>
      <c r="R175" s="9">
        <v>43.692999999999998</v>
      </c>
      <c r="S175" s="9">
        <v>56.948999999999998</v>
      </c>
    </row>
    <row r="176" spans="1:19" x14ac:dyDescent="0.35">
      <c r="A176" s="3">
        <f>vals_ghg_excLUC!$A176</f>
        <v>2023</v>
      </c>
      <c r="B176" s="4">
        <f t="shared" si="40"/>
        <v>43.208301612178644</v>
      </c>
      <c r="C176" s="4">
        <f t="shared" si="41"/>
        <v>46.321010111482153</v>
      </c>
      <c r="D176" s="4">
        <f t="shared" si="42"/>
        <v>56.465236660875817</v>
      </c>
      <c r="E176" s="4">
        <f t="shared" si="43"/>
        <v>59.958566753640888</v>
      </c>
      <c r="F176" s="4">
        <f t="shared" si="44"/>
        <v>3.1127084993035083</v>
      </c>
      <c r="G176" s="4">
        <f t="shared" si="45"/>
        <v>0</v>
      </c>
      <c r="H176" s="4">
        <f t="shared" si="46"/>
        <v>10.144226549393665</v>
      </c>
      <c r="I176" s="5">
        <f>vals_ghg_excLUC!$R176</f>
        <v>46.321010111482153</v>
      </c>
      <c r="J176" s="5">
        <f>vals_ghg_excLUC!$X176</f>
        <v>43.208301612178644</v>
      </c>
      <c r="K176" s="5"/>
      <c r="L176" s="5"/>
      <c r="M176" s="5">
        <f>vals_ghg_excLUC!$S176</f>
        <v>59.958566753640888</v>
      </c>
      <c r="N176" s="5">
        <f>vals_ghg_excLUC!$Y176</f>
        <v>56.465236660875817</v>
      </c>
      <c r="O176" s="5"/>
      <c r="P176" s="5"/>
      <c r="Q176" s="9">
        <f t="shared" si="47"/>
        <v>3.4933300927650706</v>
      </c>
      <c r="R176" s="9">
        <v>43.241</v>
      </c>
      <c r="S176" s="9">
        <v>56.412999999999997</v>
      </c>
    </row>
    <row r="177" spans="1:19" x14ac:dyDescent="0.35">
      <c r="A177" s="6">
        <f>vals_ghg_excLUC!$A177</f>
        <v>2024</v>
      </c>
      <c r="B177" s="7">
        <f t="shared" si="40"/>
        <v>42.96309628573384</v>
      </c>
      <c r="C177" s="7">
        <f t="shared" si="41"/>
        <v>45.862868523155718</v>
      </c>
      <c r="D177" s="7">
        <f t="shared" si="42"/>
        <v>56.150527593055919</v>
      </c>
      <c r="E177" s="7">
        <f t="shared" si="43"/>
        <v>59.40210000367545</v>
      </c>
      <c r="F177" s="7">
        <f t="shared" si="44"/>
        <v>2.8997722374218782</v>
      </c>
      <c r="G177" s="7">
        <f t="shared" si="45"/>
        <v>0</v>
      </c>
      <c r="H177" s="7">
        <f t="shared" si="46"/>
        <v>10.287659069900201</v>
      </c>
      <c r="I177" s="8">
        <f>vals_ghg_excLUC!$R177</f>
        <v>45.862868523155718</v>
      </c>
      <c r="J177" s="8">
        <f>vals_ghg_excLUC!$X177</f>
        <v>42.96309628573384</v>
      </c>
      <c r="K177" s="8"/>
      <c r="L177" s="8"/>
      <c r="M177" s="8">
        <f>vals_ghg_excLUC!$S177</f>
        <v>59.40210000367545</v>
      </c>
      <c r="N177" s="8">
        <f>vals_ghg_excLUC!$Y177</f>
        <v>56.150527593055919</v>
      </c>
      <c r="O177" s="8"/>
      <c r="P177" s="8"/>
      <c r="Q177" s="9">
        <f t="shared" si="47"/>
        <v>3.2515724106195307</v>
      </c>
      <c r="R177" s="9">
        <v>42.798000000000002</v>
      </c>
      <c r="S177" s="9">
        <v>55.890999999999998</v>
      </c>
    </row>
  </sheetData>
  <mergeCells count="1">
    <mergeCell ref="A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D477-2002-4D7A-9C32-40D048877E73}">
  <dimension ref="A2:AK177"/>
  <sheetViews>
    <sheetView workbookViewId="0"/>
  </sheetViews>
  <sheetFormatPr defaultRowHeight="14.5" x14ac:dyDescent="0.35"/>
  <sheetData>
    <row r="2" spans="1:3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</row>
    <row r="3" spans="1:37" x14ac:dyDescent="0.35">
      <c r="A3">
        <v>1850</v>
      </c>
      <c r="B3">
        <v>1290.9359999999999</v>
      </c>
      <c r="C3">
        <v>2094.8820000000001</v>
      </c>
      <c r="D3">
        <v>1537.8610000000001</v>
      </c>
      <c r="E3">
        <v>891.93</v>
      </c>
      <c r="F3">
        <v>1211.4929999999999</v>
      </c>
      <c r="G3">
        <v>823.42899999999997</v>
      </c>
      <c r="H3">
        <v>1290.9359999999999</v>
      </c>
      <c r="I3">
        <v>2094.8820000000001</v>
      </c>
      <c r="J3">
        <v>1537.8610000000001</v>
      </c>
      <c r="K3">
        <v>1053.2729999999999</v>
      </c>
      <c r="L3">
        <v>1399.0609999999999</v>
      </c>
      <c r="M3">
        <v>945.55700000000002</v>
      </c>
      <c r="N3">
        <f>IFERROR(SUM($B$3:$B3),"")</f>
        <v>1290.9359999999999</v>
      </c>
      <c r="O3">
        <f>IFERROR(SUM($C$3:$C3),"")</f>
        <v>2094.8820000000001</v>
      </c>
      <c r="P3">
        <f>IFERROR(SUM($D$3:$D3),"")</f>
        <v>1537.8610000000001</v>
      </c>
      <c r="Q3">
        <f t="shared" ref="Q3:Q34" si="0">IFERROR(O3+P3,"")</f>
        <v>3632.7430000000004</v>
      </c>
      <c r="R3">
        <f t="shared" ref="R3:R34" si="1">IFERROR(N3/Q3*100,NA())</f>
        <v>35.536122428699187</v>
      </c>
      <c r="S3">
        <f t="shared" ref="S3:S34" si="2">IFERROR(O3/Q3*100,NA())</f>
        <v>57.666672263906364</v>
      </c>
      <c r="T3">
        <f>IFERROR(SUM($E$3:$E3),"")</f>
        <v>891.93</v>
      </c>
      <c r="U3">
        <f>IFERROR(SUM($F$3:$F3),"")</f>
        <v>1211.4929999999999</v>
      </c>
      <c r="V3">
        <f>IFERROR(SUM($G$3:$G3),"")</f>
        <v>823.42899999999997</v>
      </c>
      <c r="W3">
        <f t="shared" ref="W3:W34" si="3">IFERROR(U3+V3,"")</f>
        <v>2034.922</v>
      </c>
      <c r="X3">
        <f t="shared" ref="X3:X34" si="4">IFERROR(T3/W3*100,NA())</f>
        <v>43.831164044616941</v>
      </c>
      <c r="Y3">
        <f t="shared" ref="Y3:Y34" si="5">IFERROR(U3/W3*100,NA())</f>
        <v>59.535107488149421</v>
      </c>
      <c r="Z3">
        <f>IFERROR(SUM($H$3:$H3),"")</f>
        <v>1290.9359999999999</v>
      </c>
      <c r="AA3">
        <f>IFERROR(SUM($I$3:$I3),"")</f>
        <v>2094.8820000000001</v>
      </c>
      <c r="AB3">
        <f>IFERROR(SUM($J$3:$J3),"")</f>
        <v>1537.8610000000001</v>
      </c>
      <c r="AC3">
        <f t="shared" ref="AC3:AC34" si="6">IFERROR(AA3+AB3,"")</f>
        <v>3632.7430000000004</v>
      </c>
      <c r="AD3">
        <f t="shared" ref="AD3:AD34" si="7">IFERROR(Z3/AC3*100,NA())</f>
        <v>35.536122428699187</v>
      </c>
      <c r="AE3">
        <f t="shared" ref="AE3:AE34" si="8">IFERROR(AA3/AC3*100,NA())</f>
        <v>57.666672263906364</v>
      </c>
      <c r="AF3">
        <f>IFERROR(SUM($K$3:$K3),"")</f>
        <v>1053.2729999999999</v>
      </c>
      <c r="AG3">
        <f>IFERROR(SUM($L$3:$L3),"")</f>
        <v>1399.0609999999999</v>
      </c>
      <c r="AH3">
        <f>IFERROR(SUM($M$3:$M3),"")</f>
        <v>945.55700000000002</v>
      </c>
      <c r="AI3">
        <f t="shared" ref="AI3:AI34" si="9">IFERROR(AG3+AH3,"")</f>
        <v>2344.6179999999999</v>
      </c>
      <c r="AJ3">
        <f t="shared" ref="AJ3:AJ34" si="10">IFERROR(AF3/AI3*100,NA())</f>
        <v>44.923010912651868</v>
      </c>
      <c r="AK3">
        <f t="shared" ref="AK3:AK34" si="11">IFERROR(AG3/AI3*100,NA())</f>
        <v>59.671170314311325</v>
      </c>
    </row>
    <row r="4" spans="1:37" x14ac:dyDescent="0.35">
      <c r="A4">
        <v>1851</v>
      </c>
      <c r="B4">
        <v>1347.7840000000001</v>
      </c>
      <c r="C4">
        <v>2157.6010000000001</v>
      </c>
      <c r="D4">
        <v>1626.338</v>
      </c>
      <c r="E4">
        <v>899.51</v>
      </c>
      <c r="F4">
        <v>1219.5309999999999</v>
      </c>
      <c r="G4">
        <v>789.23900000000003</v>
      </c>
      <c r="H4">
        <v>1347.7840000000001</v>
      </c>
      <c r="I4">
        <v>2157.6010000000001</v>
      </c>
      <c r="J4">
        <v>1626.338</v>
      </c>
      <c r="K4">
        <v>1086.404</v>
      </c>
      <c r="L4">
        <v>1423.289</v>
      </c>
      <c r="M4">
        <v>980.53499999999997</v>
      </c>
      <c r="N4">
        <f>IFERROR(SUM($B$3:$B4),"")</f>
        <v>2638.7200000000003</v>
      </c>
      <c r="O4">
        <f>IFERROR(SUM($C$3:$C4),"")</f>
        <v>4252.4830000000002</v>
      </c>
      <c r="P4">
        <f>IFERROR(SUM($D$3:$D4),"")</f>
        <v>3164.1990000000001</v>
      </c>
      <c r="Q4">
        <f t="shared" si="0"/>
        <v>7416.6820000000007</v>
      </c>
      <c r="R4">
        <f t="shared" si="1"/>
        <v>35.578173636135404</v>
      </c>
      <c r="S4">
        <f t="shared" si="2"/>
        <v>57.336730899342861</v>
      </c>
      <c r="T4">
        <f>IFERROR(SUM($E$3:$E4),"")</f>
        <v>1791.44</v>
      </c>
      <c r="U4">
        <f>IFERROR(SUM($F$3:$F4),"")</f>
        <v>2431.0239999999999</v>
      </c>
      <c r="V4">
        <f>IFERROR(SUM($G$3:$G4),"")</f>
        <v>1612.6680000000001</v>
      </c>
      <c r="W4">
        <f t="shared" si="3"/>
        <v>4043.692</v>
      </c>
      <c r="X4">
        <f t="shared" si="4"/>
        <v>44.302088289612563</v>
      </c>
      <c r="Y4">
        <f t="shared" si="5"/>
        <v>60.118921025636965</v>
      </c>
      <c r="Z4">
        <f>IFERROR(SUM($H$3:$H4),"")</f>
        <v>2638.7200000000003</v>
      </c>
      <c r="AA4">
        <f>IFERROR(SUM($I$3:$I4),"")</f>
        <v>4252.4830000000002</v>
      </c>
      <c r="AB4">
        <f>IFERROR(SUM($J$3:$J4),"")</f>
        <v>3164.1990000000001</v>
      </c>
      <c r="AC4">
        <f t="shared" si="6"/>
        <v>7416.6820000000007</v>
      </c>
      <c r="AD4">
        <f t="shared" si="7"/>
        <v>35.578173636135404</v>
      </c>
      <c r="AE4">
        <f t="shared" si="8"/>
        <v>57.336730899342861</v>
      </c>
      <c r="AF4">
        <f>IFERROR(SUM($K$3:$K4),"")</f>
        <v>2139.6769999999997</v>
      </c>
      <c r="AG4">
        <f>IFERROR(SUM($L$3:$L4),"")</f>
        <v>2822.35</v>
      </c>
      <c r="AH4">
        <f>IFERROR(SUM($M$3:$M4),"")</f>
        <v>1926.0920000000001</v>
      </c>
      <c r="AI4">
        <f t="shared" si="9"/>
        <v>4748.442</v>
      </c>
      <c r="AJ4">
        <f t="shared" si="10"/>
        <v>45.060611459506077</v>
      </c>
      <c r="AK4">
        <f t="shared" si="11"/>
        <v>59.437390200827977</v>
      </c>
    </row>
    <row r="5" spans="1:37" x14ac:dyDescent="0.35">
      <c r="A5">
        <v>1852</v>
      </c>
      <c r="B5">
        <v>1380.203</v>
      </c>
      <c r="C5">
        <v>2230.3449999999998</v>
      </c>
      <c r="D5">
        <v>1683.59</v>
      </c>
      <c r="E5">
        <v>1146.19</v>
      </c>
      <c r="F5">
        <v>1468.0509999999999</v>
      </c>
      <c r="G5">
        <v>754.79</v>
      </c>
      <c r="H5">
        <v>1380.203</v>
      </c>
      <c r="I5">
        <v>2230.3449999999998</v>
      </c>
      <c r="J5">
        <v>1683.59</v>
      </c>
      <c r="K5">
        <v>1103.114</v>
      </c>
      <c r="L5">
        <v>1471.461</v>
      </c>
      <c r="M5">
        <v>1004.504</v>
      </c>
      <c r="N5">
        <f>IFERROR(SUM($B$3:$B5),"")</f>
        <v>4018.9230000000002</v>
      </c>
      <c r="O5">
        <f>IFERROR(SUM($C$3:$C5),"")</f>
        <v>6482.8279999999995</v>
      </c>
      <c r="P5">
        <f>IFERROR(SUM($D$3:$D5),"")</f>
        <v>4847.7889999999998</v>
      </c>
      <c r="Q5">
        <f t="shared" si="0"/>
        <v>11330.616999999998</v>
      </c>
      <c r="R5">
        <f t="shared" si="1"/>
        <v>35.469586519427857</v>
      </c>
      <c r="S5">
        <f t="shared" si="2"/>
        <v>57.215136651428608</v>
      </c>
      <c r="T5">
        <f>IFERROR(SUM($E$3:$E5),"")</f>
        <v>2937.63</v>
      </c>
      <c r="U5">
        <f>IFERROR(SUM($F$3:$F5),"")</f>
        <v>3899.0749999999998</v>
      </c>
      <c r="V5">
        <f>IFERROR(SUM($G$3:$G5),"")</f>
        <v>2367.4580000000001</v>
      </c>
      <c r="W5">
        <f t="shared" si="3"/>
        <v>6266.5329999999994</v>
      </c>
      <c r="X5">
        <f t="shared" si="4"/>
        <v>46.878074367437314</v>
      </c>
      <c r="Y5">
        <f t="shared" si="5"/>
        <v>62.220609067246599</v>
      </c>
      <c r="Z5">
        <f>IFERROR(SUM($H$3:$H5),"")</f>
        <v>4018.9230000000002</v>
      </c>
      <c r="AA5">
        <f>IFERROR(SUM($I$3:$I5),"")</f>
        <v>6482.8279999999995</v>
      </c>
      <c r="AB5">
        <f>IFERROR(SUM($J$3:$J5),"")</f>
        <v>4847.7889999999998</v>
      </c>
      <c r="AC5">
        <f t="shared" si="6"/>
        <v>11330.616999999998</v>
      </c>
      <c r="AD5">
        <f t="shared" si="7"/>
        <v>35.469586519427857</v>
      </c>
      <c r="AE5">
        <f t="shared" si="8"/>
        <v>57.215136651428608</v>
      </c>
      <c r="AF5">
        <f>IFERROR(SUM($K$3:$K5),"")</f>
        <v>3242.7909999999997</v>
      </c>
      <c r="AG5">
        <f>IFERROR(SUM($L$3:$L5),"")</f>
        <v>4293.8109999999997</v>
      </c>
      <c r="AH5">
        <f>IFERROR(SUM($M$3:$M5),"")</f>
        <v>2930.596</v>
      </c>
      <c r="AI5">
        <f t="shared" si="9"/>
        <v>7224.4069999999992</v>
      </c>
      <c r="AJ5">
        <f t="shared" si="10"/>
        <v>44.88660453377004</v>
      </c>
      <c r="AK5">
        <f t="shared" si="11"/>
        <v>59.434788211682978</v>
      </c>
    </row>
    <row r="6" spans="1:37" x14ac:dyDescent="0.35">
      <c r="A6">
        <v>1853</v>
      </c>
      <c r="B6">
        <v>1433.029</v>
      </c>
      <c r="C6">
        <v>2259.1729999999998</v>
      </c>
      <c r="D6">
        <v>1710.3679999999999</v>
      </c>
      <c r="E6">
        <v>1184.999</v>
      </c>
      <c r="F6">
        <v>1508.2090000000001</v>
      </c>
      <c r="G6">
        <v>718.59299999999996</v>
      </c>
      <c r="H6">
        <v>1433.029</v>
      </c>
      <c r="I6">
        <v>2259.1729999999998</v>
      </c>
      <c r="J6">
        <v>1710.3679999999999</v>
      </c>
      <c r="K6">
        <v>1143.7909999999999</v>
      </c>
      <c r="L6">
        <v>1481.32</v>
      </c>
      <c r="M6">
        <v>1002.07</v>
      </c>
      <c r="N6">
        <f>IFERROR(SUM($B$3:$B6),"")</f>
        <v>5451.9520000000002</v>
      </c>
      <c r="O6">
        <f>IFERROR(SUM($C$3:$C6),"")</f>
        <v>8742.0010000000002</v>
      </c>
      <c r="P6">
        <f>IFERROR(SUM($D$3:$D6),"")</f>
        <v>6558.1569999999992</v>
      </c>
      <c r="Q6">
        <f t="shared" si="0"/>
        <v>15300.157999999999</v>
      </c>
      <c r="R6">
        <f t="shared" si="1"/>
        <v>35.633305224691149</v>
      </c>
      <c r="S6">
        <f t="shared" si="2"/>
        <v>57.136671399079674</v>
      </c>
      <c r="T6">
        <f>IFERROR(SUM($E$3:$E6),"")</f>
        <v>4122.6289999999999</v>
      </c>
      <c r="U6">
        <f>IFERROR(SUM($F$3:$F6),"")</f>
        <v>5407.2839999999997</v>
      </c>
      <c r="V6">
        <f>IFERROR(SUM($G$3:$G6),"")</f>
        <v>3086.0509999999999</v>
      </c>
      <c r="W6">
        <f t="shared" si="3"/>
        <v>8493.3349999999991</v>
      </c>
      <c r="X6">
        <f t="shared" si="4"/>
        <v>48.539578387052913</v>
      </c>
      <c r="Y6">
        <f t="shared" si="5"/>
        <v>63.6650267533307</v>
      </c>
      <c r="Z6">
        <f>IFERROR(SUM($H$3:$H6),"")</f>
        <v>5451.9520000000002</v>
      </c>
      <c r="AA6">
        <f>IFERROR(SUM($I$3:$I6),"")</f>
        <v>8742.0010000000002</v>
      </c>
      <c r="AB6">
        <f>IFERROR(SUM($J$3:$J6),"")</f>
        <v>6558.1569999999992</v>
      </c>
      <c r="AC6">
        <f t="shared" si="6"/>
        <v>15300.157999999999</v>
      </c>
      <c r="AD6">
        <f t="shared" si="7"/>
        <v>35.633305224691149</v>
      </c>
      <c r="AE6">
        <f t="shared" si="8"/>
        <v>57.136671399079674</v>
      </c>
      <c r="AF6">
        <f>IFERROR(SUM($K$3:$K6),"")</f>
        <v>4386.5819999999994</v>
      </c>
      <c r="AG6">
        <f>IFERROR(SUM($L$3:$L6),"")</f>
        <v>5775.1309999999994</v>
      </c>
      <c r="AH6">
        <f>IFERROR(SUM($M$3:$M6),"")</f>
        <v>3932.6660000000002</v>
      </c>
      <c r="AI6">
        <f t="shared" si="9"/>
        <v>9707.7969999999987</v>
      </c>
      <c r="AJ6">
        <f t="shared" si="10"/>
        <v>45.186173546892256</v>
      </c>
      <c r="AK6">
        <f t="shared" si="11"/>
        <v>59.489614379039857</v>
      </c>
    </row>
    <row r="7" spans="1:37" x14ac:dyDescent="0.35">
      <c r="A7">
        <v>1854</v>
      </c>
      <c r="B7">
        <v>1499.0139999999999</v>
      </c>
      <c r="C7">
        <v>2352.1419999999998</v>
      </c>
      <c r="D7">
        <v>1705.8689999999999</v>
      </c>
      <c r="E7">
        <v>1251.8499999999999</v>
      </c>
      <c r="F7">
        <v>1576.8320000000001</v>
      </c>
      <c r="G7">
        <v>681.93100000000004</v>
      </c>
      <c r="H7">
        <v>1499.0139999999999</v>
      </c>
      <c r="I7">
        <v>2352.1419999999998</v>
      </c>
      <c r="J7">
        <v>1705.8689999999999</v>
      </c>
      <c r="K7">
        <v>1200.0509999999999</v>
      </c>
      <c r="L7">
        <v>1558.9380000000001</v>
      </c>
      <c r="M7">
        <v>1006.056</v>
      </c>
      <c r="N7">
        <f>IFERROR(SUM($B$3:$B7),"")</f>
        <v>6950.9660000000003</v>
      </c>
      <c r="O7">
        <f>IFERROR(SUM($C$3:$C7),"")</f>
        <v>11094.143</v>
      </c>
      <c r="P7">
        <f>IFERROR(SUM($D$3:$D7),"")</f>
        <v>8264.0259999999998</v>
      </c>
      <c r="Q7">
        <f t="shared" si="0"/>
        <v>19358.169000000002</v>
      </c>
      <c r="R7">
        <f t="shared" si="1"/>
        <v>35.907145970261958</v>
      </c>
      <c r="S7">
        <f t="shared" si="2"/>
        <v>57.309877809208089</v>
      </c>
      <c r="T7">
        <f>IFERROR(SUM($E$3:$E7),"")</f>
        <v>5374.4789999999994</v>
      </c>
      <c r="U7">
        <f>IFERROR(SUM($F$3:$F7),"")</f>
        <v>6984.116</v>
      </c>
      <c r="V7">
        <f>IFERROR(SUM($G$3:$G7),"")</f>
        <v>3767.982</v>
      </c>
      <c r="W7">
        <f t="shared" si="3"/>
        <v>10752.098</v>
      </c>
      <c r="X7">
        <f t="shared" si="4"/>
        <v>49.98539819856552</v>
      </c>
      <c r="Y7">
        <f t="shared" si="5"/>
        <v>64.955843966451937</v>
      </c>
      <c r="Z7">
        <f>IFERROR(SUM($H$3:$H7),"")</f>
        <v>6950.9660000000003</v>
      </c>
      <c r="AA7">
        <f>IFERROR(SUM($I$3:$I7),"")</f>
        <v>11094.143</v>
      </c>
      <c r="AB7">
        <f>IFERROR(SUM($J$3:$J7),"")</f>
        <v>8264.0259999999998</v>
      </c>
      <c r="AC7">
        <f t="shared" si="6"/>
        <v>19358.169000000002</v>
      </c>
      <c r="AD7">
        <f t="shared" si="7"/>
        <v>35.907145970261958</v>
      </c>
      <c r="AE7">
        <f t="shared" si="8"/>
        <v>57.309877809208089</v>
      </c>
      <c r="AF7">
        <f>IFERROR(SUM($K$3:$K7),"")</f>
        <v>5586.6329999999998</v>
      </c>
      <c r="AG7">
        <f>IFERROR(SUM($L$3:$L7),"")</f>
        <v>7334.0689999999995</v>
      </c>
      <c r="AH7">
        <f>IFERROR(SUM($M$3:$M7),"")</f>
        <v>4938.7219999999998</v>
      </c>
      <c r="AI7">
        <f t="shared" si="9"/>
        <v>12272.790999999999</v>
      </c>
      <c r="AJ7">
        <f t="shared" si="10"/>
        <v>45.520476964041841</v>
      </c>
      <c r="AK7">
        <f t="shared" si="11"/>
        <v>59.758770437792016</v>
      </c>
    </row>
    <row r="8" spans="1:37" x14ac:dyDescent="0.35">
      <c r="A8">
        <v>1855</v>
      </c>
      <c r="B8">
        <v>1518.9490000000001</v>
      </c>
      <c r="C8">
        <v>2377.3240000000001</v>
      </c>
      <c r="D8">
        <v>1754.3</v>
      </c>
      <c r="E8">
        <v>1283.2860000000001</v>
      </c>
      <c r="F8">
        <v>1610.443</v>
      </c>
      <c r="G8">
        <v>643.80100000000004</v>
      </c>
      <c r="H8">
        <v>1518.9490000000001</v>
      </c>
      <c r="I8">
        <v>2377.3240000000001</v>
      </c>
      <c r="J8">
        <v>1754.3</v>
      </c>
      <c r="K8">
        <v>1212.1949999999999</v>
      </c>
      <c r="L8">
        <v>1571.616</v>
      </c>
      <c r="M8">
        <v>1020.76</v>
      </c>
      <c r="N8">
        <f>IFERROR(SUM($B$3:$B8),"")</f>
        <v>8469.9150000000009</v>
      </c>
      <c r="O8">
        <f>IFERROR(SUM($C$3:$C8),"")</f>
        <v>13471.467000000001</v>
      </c>
      <c r="P8">
        <f>IFERROR(SUM($D$3:$D8),"")</f>
        <v>10018.325999999999</v>
      </c>
      <c r="Q8">
        <f t="shared" si="0"/>
        <v>23489.792999999998</v>
      </c>
      <c r="R8">
        <f t="shared" si="1"/>
        <v>36.057852872522126</v>
      </c>
      <c r="S8">
        <f t="shared" si="2"/>
        <v>57.350301043521334</v>
      </c>
      <c r="T8">
        <f>IFERROR(SUM($E$3:$E8),"")</f>
        <v>6657.7649999999994</v>
      </c>
      <c r="U8">
        <f>IFERROR(SUM($F$3:$F8),"")</f>
        <v>8594.5589999999993</v>
      </c>
      <c r="V8">
        <f>IFERROR(SUM($G$3:$G8),"")</f>
        <v>4411.7830000000004</v>
      </c>
      <c r="W8">
        <f t="shared" si="3"/>
        <v>13006.342000000001</v>
      </c>
      <c r="X8">
        <f t="shared" si="4"/>
        <v>51.188604759124424</v>
      </c>
      <c r="Y8">
        <f t="shared" si="5"/>
        <v>66.079755553098636</v>
      </c>
      <c r="Z8">
        <f>IFERROR(SUM($H$3:$H8),"")</f>
        <v>8469.9150000000009</v>
      </c>
      <c r="AA8">
        <f>IFERROR(SUM($I$3:$I8),"")</f>
        <v>13471.467000000001</v>
      </c>
      <c r="AB8">
        <f>IFERROR(SUM($J$3:$J8),"")</f>
        <v>10018.325999999999</v>
      </c>
      <c r="AC8">
        <f t="shared" si="6"/>
        <v>23489.792999999998</v>
      </c>
      <c r="AD8">
        <f t="shared" si="7"/>
        <v>36.057852872522126</v>
      </c>
      <c r="AE8">
        <f t="shared" si="8"/>
        <v>57.350301043521334</v>
      </c>
      <c r="AF8">
        <f>IFERROR(SUM($K$3:$K8),"")</f>
        <v>6798.8279999999995</v>
      </c>
      <c r="AG8">
        <f>IFERROR(SUM($L$3:$L8),"")</f>
        <v>8905.6849999999995</v>
      </c>
      <c r="AH8">
        <f>IFERROR(SUM($M$3:$M8),"")</f>
        <v>5959.482</v>
      </c>
      <c r="AI8">
        <f t="shared" si="9"/>
        <v>14865.166999999999</v>
      </c>
      <c r="AJ8">
        <f t="shared" si="10"/>
        <v>45.736640563809338</v>
      </c>
      <c r="AK8">
        <f t="shared" si="11"/>
        <v>59.909754125197509</v>
      </c>
    </row>
    <row r="9" spans="1:37" x14ac:dyDescent="0.35">
      <c r="A9">
        <v>1856</v>
      </c>
      <c r="B9">
        <v>1546.951</v>
      </c>
      <c r="C9">
        <v>2411.2860000000001</v>
      </c>
      <c r="D9">
        <v>1762.1289999999999</v>
      </c>
      <c r="E9">
        <v>1326.327</v>
      </c>
      <c r="F9">
        <v>1655.482</v>
      </c>
      <c r="G9">
        <v>637.61199999999997</v>
      </c>
      <c r="H9">
        <v>1546.95</v>
      </c>
      <c r="I9">
        <v>2411.2860000000001</v>
      </c>
      <c r="J9">
        <v>1762.1289999999999</v>
      </c>
      <c r="K9">
        <v>1234.154</v>
      </c>
      <c r="L9">
        <v>1595.778</v>
      </c>
      <c r="M9">
        <v>1034.424</v>
      </c>
      <c r="N9">
        <f>IFERROR(SUM($B$3:$B9),"")</f>
        <v>10016.866000000002</v>
      </c>
      <c r="O9">
        <f>IFERROR(SUM($C$3:$C9),"")</f>
        <v>15882.753000000001</v>
      </c>
      <c r="P9">
        <f>IFERROR(SUM($D$3:$D9),"")</f>
        <v>11780.454999999998</v>
      </c>
      <c r="Q9">
        <f t="shared" si="0"/>
        <v>27663.207999999999</v>
      </c>
      <c r="R9">
        <f t="shared" si="1"/>
        <v>36.210066453608711</v>
      </c>
      <c r="S9">
        <f t="shared" si="2"/>
        <v>57.414718495410952</v>
      </c>
      <c r="T9">
        <f>IFERROR(SUM($E$3:$E9),"")</f>
        <v>7984.0919999999996</v>
      </c>
      <c r="U9">
        <f>IFERROR(SUM($F$3:$F9),"")</f>
        <v>10250.040999999999</v>
      </c>
      <c r="V9">
        <f>IFERROR(SUM($G$3:$G9),"")</f>
        <v>5049.3950000000004</v>
      </c>
      <c r="W9">
        <f t="shared" si="3"/>
        <v>15299.436</v>
      </c>
      <c r="X9">
        <f t="shared" si="4"/>
        <v>52.185531545084409</v>
      </c>
      <c r="Y9">
        <f t="shared" si="5"/>
        <v>66.996201690049233</v>
      </c>
      <c r="Z9">
        <f>IFERROR(SUM($H$3:$H9),"")</f>
        <v>10016.865000000002</v>
      </c>
      <c r="AA9">
        <f>IFERROR(SUM($I$3:$I9),"")</f>
        <v>15882.753000000001</v>
      </c>
      <c r="AB9">
        <f>IFERROR(SUM($J$3:$J9),"")</f>
        <v>11780.454999999998</v>
      </c>
      <c r="AC9">
        <f t="shared" si="6"/>
        <v>27663.207999999999</v>
      </c>
      <c r="AD9">
        <f t="shared" si="7"/>
        <v>36.210062838698974</v>
      </c>
      <c r="AE9">
        <f t="shared" si="8"/>
        <v>57.414718495410952</v>
      </c>
      <c r="AF9">
        <f>IFERROR(SUM($K$3:$K9),"")</f>
        <v>8032.982</v>
      </c>
      <c r="AG9">
        <f>IFERROR(SUM($L$3:$L9),"")</f>
        <v>10501.463</v>
      </c>
      <c r="AH9">
        <f>IFERROR(SUM($M$3:$M9),"")</f>
        <v>6993.9059999999999</v>
      </c>
      <c r="AI9">
        <f t="shared" si="9"/>
        <v>17495.368999999999</v>
      </c>
      <c r="AJ9">
        <f t="shared" si="10"/>
        <v>45.914904681347387</v>
      </c>
      <c r="AK9">
        <f t="shared" si="11"/>
        <v>60.024244129975202</v>
      </c>
    </row>
    <row r="10" spans="1:37" x14ac:dyDescent="0.35">
      <c r="A10">
        <v>1857</v>
      </c>
      <c r="B10">
        <v>1571.184</v>
      </c>
      <c r="C10">
        <v>2446.174</v>
      </c>
      <c r="D10">
        <v>1776.9480000000001</v>
      </c>
      <c r="E10">
        <v>1353.4690000000001</v>
      </c>
      <c r="F10">
        <v>1684.3820000000001</v>
      </c>
      <c r="G10">
        <v>632.51300000000003</v>
      </c>
      <c r="H10">
        <v>1571.184</v>
      </c>
      <c r="I10">
        <v>2446.174</v>
      </c>
      <c r="J10">
        <v>1776.9480000000001</v>
      </c>
      <c r="K10">
        <v>1253.7329999999999</v>
      </c>
      <c r="L10">
        <v>1622.81</v>
      </c>
      <c r="M10">
        <v>1054.5640000000001</v>
      </c>
      <c r="N10">
        <f>IFERROR(SUM($B$3:$B10),"")</f>
        <v>11588.050000000001</v>
      </c>
      <c r="O10">
        <f>IFERROR(SUM($C$3:$C10),"")</f>
        <v>18328.927</v>
      </c>
      <c r="P10">
        <f>IFERROR(SUM($D$3:$D10),"")</f>
        <v>13557.402999999998</v>
      </c>
      <c r="Q10">
        <f t="shared" si="0"/>
        <v>31886.329999999998</v>
      </c>
      <c r="R10">
        <f t="shared" si="1"/>
        <v>36.341748956370964</v>
      </c>
      <c r="S10">
        <f t="shared" si="2"/>
        <v>57.482084015313148</v>
      </c>
      <c r="T10">
        <f>IFERROR(SUM($E$3:$E10),"")</f>
        <v>9337.5609999999997</v>
      </c>
      <c r="U10">
        <f>IFERROR(SUM($F$3:$F10),"")</f>
        <v>11934.422999999999</v>
      </c>
      <c r="V10">
        <f>IFERROR(SUM($G$3:$G10),"")</f>
        <v>5681.9080000000004</v>
      </c>
      <c r="W10">
        <f t="shared" si="3"/>
        <v>17616.330999999998</v>
      </c>
      <c r="X10">
        <f t="shared" si="4"/>
        <v>53.005140514219448</v>
      </c>
      <c r="Y10">
        <f t="shared" si="5"/>
        <v>67.746359897529175</v>
      </c>
      <c r="Z10">
        <f>IFERROR(SUM($H$3:$H10),"")</f>
        <v>11588.049000000001</v>
      </c>
      <c r="AA10">
        <f>IFERROR(SUM($I$3:$I10),"")</f>
        <v>18328.927</v>
      </c>
      <c r="AB10">
        <f>IFERROR(SUM($J$3:$J10),"")</f>
        <v>13557.402999999998</v>
      </c>
      <c r="AC10">
        <f t="shared" si="6"/>
        <v>31886.329999999998</v>
      </c>
      <c r="AD10">
        <f t="shared" si="7"/>
        <v>36.341745820230805</v>
      </c>
      <c r="AE10">
        <f t="shared" si="8"/>
        <v>57.482084015313148</v>
      </c>
      <c r="AF10">
        <f>IFERROR(SUM($K$3:$K10),"")</f>
        <v>9286.7150000000001</v>
      </c>
      <c r="AG10">
        <f>IFERROR(SUM($L$3:$L10),"")</f>
        <v>12124.272999999999</v>
      </c>
      <c r="AH10">
        <f>IFERROR(SUM($M$3:$M10),"")</f>
        <v>8048.47</v>
      </c>
      <c r="AI10">
        <f t="shared" si="9"/>
        <v>20172.742999999999</v>
      </c>
      <c r="AJ10">
        <f t="shared" si="10"/>
        <v>46.035955546551108</v>
      </c>
      <c r="AK10">
        <f t="shared" si="11"/>
        <v>60.102252826995318</v>
      </c>
    </row>
    <row r="11" spans="1:37" x14ac:dyDescent="0.35">
      <c r="A11">
        <v>1858</v>
      </c>
      <c r="B11">
        <v>1600.2329999999999</v>
      </c>
      <c r="C11">
        <v>2476.819</v>
      </c>
      <c r="D11">
        <v>1775.5709999999999</v>
      </c>
      <c r="E11">
        <v>1379.76</v>
      </c>
      <c r="F11">
        <v>1712.848</v>
      </c>
      <c r="G11">
        <v>628.01199999999994</v>
      </c>
      <c r="H11">
        <v>1600.2329999999999</v>
      </c>
      <c r="I11">
        <v>2476.819</v>
      </c>
      <c r="J11">
        <v>1775.5709999999999</v>
      </c>
      <c r="K11">
        <v>1279.577</v>
      </c>
      <c r="L11">
        <v>1647.578</v>
      </c>
      <c r="M11">
        <v>1043.049</v>
      </c>
      <c r="N11">
        <f>IFERROR(SUM($B$3:$B11),"")</f>
        <v>13188.283000000001</v>
      </c>
      <c r="O11">
        <f>IFERROR(SUM($C$3:$C11),"")</f>
        <v>20805.745999999999</v>
      </c>
      <c r="P11">
        <f>IFERROR(SUM($D$3:$D11),"")</f>
        <v>15332.973999999998</v>
      </c>
      <c r="Q11">
        <f t="shared" si="0"/>
        <v>36138.720000000001</v>
      </c>
      <c r="R11">
        <f t="shared" si="1"/>
        <v>36.493497832795406</v>
      </c>
      <c r="S11">
        <f t="shared" si="2"/>
        <v>57.571895186105095</v>
      </c>
      <c r="T11">
        <f>IFERROR(SUM($E$3:$E11),"")</f>
        <v>10717.321</v>
      </c>
      <c r="U11">
        <f>IFERROR(SUM($F$3:$F11),"")</f>
        <v>13647.270999999999</v>
      </c>
      <c r="V11">
        <f>IFERROR(SUM($G$3:$G11),"")</f>
        <v>6309.92</v>
      </c>
      <c r="W11">
        <f t="shared" si="3"/>
        <v>19957.190999999999</v>
      </c>
      <c r="X11">
        <f t="shared" si="4"/>
        <v>53.701550483732909</v>
      </c>
      <c r="Y11">
        <f t="shared" si="5"/>
        <v>68.382724803305223</v>
      </c>
      <c r="Z11">
        <f>IFERROR(SUM($H$3:$H11),"")</f>
        <v>13188.282000000001</v>
      </c>
      <c r="AA11">
        <f>IFERROR(SUM($I$3:$I11),"")</f>
        <v>20805.745999999999</v>
      </c>
      <c r="AB11">
        <f>IFERROR(SUM($J$3:$J11),"")</f>
        <v>15332.973999999998</v>
      </c>
      <c r="AC11">
        <f t="shared" si="6"/>
        <v>36138.720000000001</v>
      </c>
      <c r="AD11">
        <f t="shared" si="7"/>
        <v>36.49349506568025</v>
      </c>
      <c r="AE11">
        <f t="shared" si="8"/>
        <v>57.571895186105095</v>
      </c>
      <c r="AF11">
        <f>IFERROR(SUM($K$3:$K11),"")</f>
        <v>10566.291999999999</v>
      </c>
      <c r="AG11">
        <f>IFERROR(SUM($L$3:$L11),"")</f>
        <v>13771.850999999999</v>
      </c>
      <c r="AH11">
        <f>IFERROR(SUM($M$3:$M11),"")</f>
        <v>9091.5190000000002</v>
      </c>
      <c r="AI11">
        <f t="shared" si="9"/>
        <v>22863.37</v>
      </c>
      <c r="AJ11">
        <f t="shared" si="10"/>
        <v>46.214936818150605</v>
      </c>
      <c r="AK11">
        <f t="shared" si="11"/>
        <v>60.235437732932631</v>
      </c>
    </row>
    <row r="12" spans="1:37" x14ac:dyDescent="0.35">
      <c r="A12">
        <v>1859</v>
      </c>
      <c r="B12">
        <v>1645.326</v>
      </c>
      <c r="C12">
        <v>2527.7260000000001</v>
      </c>
      <c r="D12">
        <v>1787.971</v>
      </c>
      <c r="E12">
        <v>1419.5360000000001</v>
      </c>
      <c r="F12">
        <v>1753.6220000000001</v>
      </c>
      <c r="G12">
        <v>624.22400000000005</v>
      </c>
      <c r="H12">
        <v>1645.326</v>
      </c>
      <c r="I12">
        <v>2527.7260000000001</v>
      </c>
      <c r="J12">
        <v>1787.971</v>
      </c>
      <c r="K12">
        <v>1322.8119999999999</v>
      </c>
      <c r="L12">
        <v>1694.498</v>
      </c>
      <c r="M12">
        <v>1049.7380000000001</v>
      </c>
      <c r="N12">
        <f>IFERROR(SUM($B$3:$B12),"")</f>
        <v>14833.609</v>
      </c>
      <c r="O12">
        <f>IFERROR(SUM($C$3:$C12),"")</f>
        <v>23333.471999999998</v>
      </c>
      <c r="P12">
        <f>IFERROR(SUM($D$3:$D12),"")</f>
        <v>17120.945</v>
      </c>
      <c r="Q12">
        <f t="shared" si="0"/>
        <v>40454.417000000001</v>
      </c>
      <c r="R12">
        <f t="shared" si="1"/>
        <v>36.667464519387337</v>
      </c>
      <c r="S12">
        <f t="shared" si="2"/>
        <v>57.67842853847084</v>
      </c>
      <c r="T12">
        <f>IFERROR(SUM($E$3:$E12),"")</f>
        <v>12136.857</v>
      </c>
      <c r="U12">
        <f>IFERROR(SUM($F$3:$F12),"")</f>
        <v>15400.892999999998</v>
      </c>
      <c r="V12">
        <f>IFERROR(SUM($G$3:$G12),"")</f>
        <v>6934.1440000000002</v>
      </c>
      <c r="W12">
        <f t="shared" si="3"/>
        <v>22335.036999999997</v>
      </c>
      <c r="X12">
        <f t="shared" si="4"/>
        <v>54.339990571764005</v>
      </c>
      <c r="Y12">
        <f t="shared" si="5"/>
        <v>68.953962332813688</v>
      </c>
      <c r="Z12">
        <f>IFERROR(SUM($H$3:$H12),"")</f>
        <v>14833.608</v>
      </c>
      <c r="AA12">
        <f>IFERROR(SUM($I$3:$I12),"")</f>
        <v>23333.471999999998</v>
      </c>
      <c r="AB12">
        <f>IFERROR(SUM($J$3:$J12),"")</f>
        <v>17120.945</v>
      </c>
      <c r="AC12">
        <f t="shared" si="6"/>
        <v>40454.417000000001</v>
      </c>
      <c r="AD12">
        <f t="shared" si="7"/>
        <v>36.667462047469378</v>
      </c>
      <c r="AE12">
        <f t="shared" si="8"/>
        <v>57.67842853847084</v>
      </c>
      <c r="AF12">
        <f>IFERROR(SUM($K$3:$K12),"")</f>
        <v>11889.103999999999</v>
      </c>
      <c r="AG12">
        <f>IFERROR(SUM($L$3:$L12),"")</f>
        <v>15466.348999999998</v>
      </c>
      <c r="AH12">
        <f>IFERROR(SUM($M$3:$M12),"")</f>
        <v>10141.257</v>
      </c>
      <c r="AI12">
        <f t="shared" si="9"/>
        <v>25607.606</v>
      </c>
      <c r="AJ12">
        <f t="shared" si="10"/>
        <v>46.428018300500248</v>
      </c>
      <c r="AK12">
        <f t="shared" si="11"/>
        <v>60.397481123381844</v>
      </c>
    </row>
    <row r="13" spans="1:37" x14ac:dyDescent="0.35">
      <c r="A13">
        <v>1860</v>
      </c>
      <c r="B13">
        <v>1582.327</v>
      </c>
      <c r="C13">
        <v>2419.7600000000002</v>
      </c>
      <c r="D13">
        <v>1497.1780000000001</v>
      </c>
      <c r="E13">
        <v>1470.527</v>
      </c>
      <c r="F13">
        <v>1806.778</v>
      </c>
      <c r="G13">
        <v>619.51900000000001</v>
      </c>
      <c r="H13">
        <v>1582.327</v>
      </c>
      <c r="I13">
        <v>2419.761</v>
      </c>
      <c r="J13">
        <v>1497.1780000000001</v>
      </c>
      <c r="K13">
        <v>1362.587</v>
      </c>
      <c r="L13">
        <v>1713.3430000000001</v>
      </c>
      <c r="M13">
        <v>1027.021</v>
      </c>
      <c r="N13">
        <f>IFERROR(SUM($B$3:$B13),"")</f>
        <v>16415.936000000002</v>
      </c>
      <c r="O13">
        <f>IFERROR(SUM($C$3:$C13),"")</f>
        <v>25753.231999999996</v>
      </c>
      <c r="P13">
        <f>IFERROR(SUM($D$3:$D13),"")</f>
        <v>18618.123</v>
      </c>
      <c r="Q13">
        <f t="shared" si="0"/>
        <v>44371.354999999996</v>
      </c>
      <c r="R13">
        <f t="shared" si="1"/>
        <v>36.996697531549358</v>
      </c>
      <c r="S13">
        <f t="shared" si="2"/>
        <v>58.04021986707415</v>
      </c>
      <c r="T13">
        <f>IFERROR(SUM($E$3:$E13),"")</f>
        <v>13607.384</v>
      </c>
      <c r="U13">
        <f>IFERROR(SUM($F$3:$F13),"")</f>
        <v>17207.670999999998</v>
      </c>
      <c r="V13">
        <f>IFERROR(SUM($G$3:$G13),"")</f>
        <v>7553.6630000000005</v>
      </c>
      <c r="W13">
        <f t="shared" si="3"/>
        <v>24761.333999999999</v>
      </c>
      <c r="X13">
        <f t="shared" si="4"/>
        <v>54.954163616548293</v>
      </c>
      <c r="Y13">
        <f t="shared" si="5"/>
        <v>69.494119339450762</v>
      </c>
      <c r="Z13">
        <f>IFERROR(SUM($H$3:$H13),"")</f>
        <v>16415.935000000001</v>
      </c>
      <c r="AA13">
        <f>IFERROR(SUM($I$3:$I13),"")</f>
        <v>25753.232999999997</v>
      </c>
      <c r="AB13">
        <f>IFERROR(SUM($J$3:$J13),"")</f>
        <v>18618.123</v>
      </c>
      <c r="AC13">
        <f t="shared" si="6"/>
        <v>44371.356</v>
      </c>
      <c r="AD13">
        <f t="shared" si="7"/>
        <v>36.996694444046291</v>
      </c>
      <c r="AE13">
        <f t="shared" si="8"/>
        <v>58.040220812724307</v>
      </c>
      <c r="AF13">
        <f>IFERROR(SUM($K$3:$K13),"")</f>
        <v>13251.690999999999</v>
      </c>
      <c r="AG13">
        <f>IFERROR(SUM($L$3:$L13),"")</f>
        <v>17179.691999999999</v>
      </c>
      <c r="AH13">
        <f>IFERROR(SUM($M$3:$M13),"")</f>
        <v>11168.278</v>
      </c>
      <c r="AI13">
        <f t="shared" si="9"/>
        <v>28347.97</v>
      </c>
      <c r="AJ13">
        <f t="shared" si="10"/>
        <v>46.746525412578038</v>
      </c>
      <c r="AK13">
        <f t="shared" si="11"/>
        <v>60.602900313496868</v>
      </c>
    </row>
    <row r="14" spans="1:37" x14ac:dyDescent="0.35">
      <c r="A14">
        <v>1861</v>
      </c>
      <c r="B14">
        <v>1522.367</v>
      </c>
      <c r="C14">
        <v>2358.9899999999998</v>
      </c>
      <c r="D14">
        <v>1386.92</v>
      </c>
      <c r="E14">
        <v>1506.66</v>
      </c>
      <c r="F14">
        <v>1858.106</v>
      </c>
      <c r="G14">
        <v>625.60400000000004</v>
      </c>
      <c r="H14">
        <v>1522.367</v>
      </c>
      <c r="I14">
        <v>2358.9899999999998</v>
      </c>
      <c r="J14">
        <v>1386.92</v>
      </c>
      <c r="K14">
        <v>1322.922</v>
      </c>
      <c r="L14">
        <v>1678</v>
      </c>
      <c r="M14">
        <v>989.23500000000001</v>
      </c>
      <c r="N14">
        <f>IFERROR(SUM($B$3:$B14),"")</f>
        <v>17938.303</v>
      </c>
      <c r="O14">
        <f>IFERROR(SUM($C$3:$C14),"")</f>
        <v>28112.221999999994</v>
      </c>
      <c r="P14">
        <f>IFERROR(SUM($D$3:$D14),"")</f>
        <v>20005.042999999998</v>
      </c>
      <c r="Q14">
        <f t="shared" si="0"/>
        <v>48117.264999999992</v>
      </c>
      <c r="R14">
        <f t="shared" si="1"/>
        <v>37.280387819216251</v>
      </c>
      <c r="S14">
        <f t="shared" si="2"/>
        <v>58.424397147260962</v>
      </c>
      <c r="T14">
        <f>IFERROR(SUM($E$3:$E14),"")</f>
        <v>15114.044</v>
      </c>
      <c r="U14">
        <f>IFERROR(SUM($F$3:$F14),"")</f>
        <v>19065.776999999998</v>
      </c>
      <c r="V14">
        <f>IFERROR(SUM($G$3:$G14),"")</f>
        <v>8179.2670000000007</v>
      </c>
      <c r="W14">
        <f t="shared" si="3"/>
        <v>27245.043999999998</v>
      </c>
      <c r="X14">
        <f t="shared" si="4"/>
        <v>55.474470879914897</v>
      </c>
      <c r="Y14">
        <f t="shared" si="5"/>
        <v>69.978881296723173</v>
      </c>
      <c r="Z14">
        <f>IFERROR(SUM($H$3:$H14),"")</f>
        <v>17938.302</v>
      </c>
      <c r="AA14">
        <f>IFERROR(SUM($I$3:$I14),"")</f>
        <v>28112.222999999998</v>
      </c>
      <c r="AB14">
        <f>IFERROR(SUM($J$3:$J14),"")</f>
        <v>20005.042999999998</v>
      </c>
      <c r="AC14">
        <f t="shared" si="6"/>
        <v>48117.265999999996</v>
      </c>
      <c r="AD14">
        <f t="shared" si="7"/>
        <v>37.280384966178254</v>
      </c>
      <c r="AE14">
        <f t="shared" si="8"/>
        <v>58.424398011308455</v>
      </c>
      <c r="AF14">
        <f>IFERROR(SUM($K$3:$K14),"")</f>
        <v>14574.612999999999</v>
      </c>
      <c r="AG14">
        <f>IFERROR(SUM($L$3:$L14),"")</f>
        <v>18857.691999999999</v>
      </c>
      <c r="AH14">
        <f>IFERROR(SUM($M$3:$M14),"")</f>
        <v>12157.513000000001</v>
      </c>
      <c r="AI14">
        <f t="shared" si="9"/>
        <v>31015.205000000002</v>
      </c>
      <c r="AJ14">
        <f t="shared" si="10"/>
        <v>46.991831909542427</v>
      </c>
      <c r="AK14">
        <f t="shared" si="11"/>
        <v>60.801442389305492</v>
      </c>
    </row>
    <row r="15" spans="1:37" x14ac:dyDescent="0.35">
      <c r="A15">
        <v>1862</v>
      </c>
      <c r="B15">
        <v>1523.1780000000001</v>
      </c>
      <c r="C15">
        <v>2349.9690000000001</v>
      </c>
      <c r="D15">
        <v>1282.0360000000001</v>
      </c>
      <c r="E15">
        <v>1323.9449999999999</v>
      </c>
      <c r="F15">
        <v>1650.9580000000001</v>
      </c>
      <c r="G15">
        <v>624.66800000000001</v>
      </c>
      <c r="H15">
        <v>1523.1780000000001</v>
      </c>
      <c r="I15">
        <v>2349.9690000000001</v>
      </c>
      <c r="J15">
        <v>1282.0360000000001</v>
      </c>
      <c r="K15">
        <v>1340.838</v>
      </c>
      <c r="L15">
        <v>1689.2929999999999</v>
      </c>
      <c r="M15">
        <v>969.16399999999999</v>
      </c>
      <c r="N15">
        <f>IFERROR(SUM($B$3:$B15),"")</f>
        <v>19461.481</v>
      </c>
      <c r="O15">
        <f>IFERROR(SUM($C$3:$C15),"")</f>
        <v>30462.190999999995</v>
      </c>
      <c r="P15">
        <f>IFERROR(SUM($D$3:$D15),"")</f>
        <v>21287.078999999998</v>
      </c>
      <c r="Q15">
        <f t="shared" si="0"/>
        <v>51749.26999999999</v>
      </c>
      <c r="R15">
        <f t="shared" si="1"/>
        <v>37.607257068553821</v>
      </c>
      <c r="S15">
        <f t="shared" si="2"/>
        <v>58.864967563793655</v>
      </c>
      <c r="T15">
        <f>IFERROR(SUM($E$3:$E15),"")</f>
        <v>16437.989000000001</v>
      </c>
      <c r="U15">
        <f>IFERROR(SUM($F$3:$F15),"")</f>
        <v>20716.734999999997</v>
      </c>
      <c r="V15">
        <f>IFERROR(SUM($G$3:$G15),"")</f>
        <v>8803.9350000000013</v>
      </c>
      <c r="W15">
        <f t="shared" si="3"/>
        <v>29520.67</v>
      </c>
      <c r="X15">
        <f t="shared" si="4"/>
        <v>55.682980772455373</v>
      </c>
      <c r="Y15">
        <f t="shared" si="5"/>
        <v>70.177048827143821</v>
      </c>
      <c r="Z15">
        <f>IFERROR(SUM($H$3:$H15),"")</f>
        <v>19461.48</v>
      </c>
      <c r="AA15">
        <f>IFERROR(SUM($I$3:$I15),"")</f>
        <v>30462.191999999999</v>
      </c>
      <c r="AB15">
        <f>IFERROR(SUM($J$3:$J15),"")</f>
        <v>21287.078999999998</v>
      </c>
      <c r="AC15">
        <f t="shared" si="6"/>
        <v>51749.270999999993</v>
      </c>
      <c r="AD15">
        <f t="shared" si="7"/>
        <v>37.607254409438937</v>
      </c>
      <c r="AE15">
        <f t="shared" si="8"/>
        <v>58.864968358684713</v>
      </c>
      <c r="AF15">
        <f>IFERROR(SUM($K$3:$K15),"")</f>
        <v>15915.450999999999</v>
      </c>
      <c r="AG15">
        <f>IFERROR(SUM($L$3:$L15),"")</f>
        <v>20546.985000000001</v>
      </c>
      <c r="AH15">
        <f>IFERROR(SUM($M$3:$M15),"")</f>
        <v>13126.677000000001</v>
      </c>
      <c r="AI15">
        <f t="shared" si="9"/>
        <v>33673.662000000004</v>
      </c>
      <c r="AJ15">
        <f t="shared" si="10"/>
        <v>47.263796257146005</v>
      </c>
      <c r="AK15">
        <f t="shared" si="11"/>
        <v>61.017970068120299</v>
      </c>
    </row>
    <row r="16" spans="1:37" x14ac:dyDescent="0.35">
      <c r="A16">
        <v>1863</v>
      </c>
      <c r="B16">
        <v>1543.8230000000001</v>
      </c>
      <c r="C16">
        <v>2356.241</v>
      </c>
      <c r="D16">
        <v>1241.748</v>
      </c>
      <c r="E16">
        <v>1345.537</v>
      </c>
      <c r="F16">
        <v>1677.135</v>
      </c>
      <c r="G16">
        <v>623.221</v>
      </c>
      <c r="H16">
        <v>1543.8230000000001</v>
      </c>
      <c r="I16">
        <v>2356.241</v>
      </c>
      <c r="J16">
        <v>1241.748</v>
      </c>
      <c r="K16">
        <v>1377.7470000000001</v>
      </c>
      <c r="L16">
        <v>1714.396</v>
      </c>
      <c r="M16">
        <v>965.971</v>
      </c>
      <c r="N16">
        <f>IFERROR(SUM($B$3:$B16),"")</f>
        <v>21005.304</v>
      </c>
      <c r="O16">
        <f>IFERROR(SUM($C$3:$C16),"")</f>
        <v>32818.431999999993</v>
      </c>
      <c r="P16">
        <f>IFERROR(SUM($D$3:$D16),"")</f>
        <v>22528.826999999997</v>
      </c>
      <c r="Q16">
        <f t="shared" si="0"/>
        <v>55347.258999999991</v>
      </c>
      <c r="R16">
        <f t="shared" si="1"/>
        <v>37.951841481436333</v>
      </c>
      <c r="S16">
        <f t="shared" si="2"/>
        <v>59.295496458099215</v>
      </c>
      <c r="T16">
        <f>IFERROR(SUM($E$3:$E16),"")</f>
        <v>17783.526000000002</v>
      </c>
      <c r="U16">
        <f>IFERROR(SUM($F$3:$F16),"")</f>
        <v>22393.869999999995</v>
      </c>
      <c r="V16">
        <f>IFERROR(SUM($G$3:$G16),"")</f>
        <v>9427.1560000000009</v>
      </c>
      <c r="W16">
        <f t="shared" si="3"/>
        <v>31821.025999999998</v>
      </c>
      <c r="X16">
        <f t="shared" si="4"/>
        <v>55.886086136883215</v>
      </c>
      <c r="Y16">
        <f t="shared" si="5"/>
        <v>70.374443614734474</v>
      </c>
      <c r="Z16">
        <f>IFERROR(SUM($H$3:$H16),"")</f>
        <v>21005.303</v>
      </c>
      <c r="AA16">
        <f>IFERROR(SUM($I$3:$I16),"")</f>
        <v>32818.432999999997</v>
      </c>
      <c r="AB16">
        <f>IFERROR(SUM($J$3:$J16),"")</f>
        <v>22528.826999999997</v>
      </c>
      <c r="AC16">
        <f t="shared" si="6"/>
        <v>55347.259999999995</v>
      </c>
      <c r="AD16">
        <f t="shared" si="7"/>
        <v>37.95183898895808</v>
      </c>
      <c r="AE16">
        <f t="shared" si="8"/>
        <v>59.29549719353767</v>
      </c>
      <c r="AF16">
        <f>IFERROR(SUM($K$3:$K16),"")</f>
        <v>17293.198</v>
      </c>
      <c r="AG16">
        <f>IFERROR(SUM($L$3:$L16),"")</f>
        <v>22261.381000000001</v>
      </c>
      <c r="AH16">
        <f>IFERROR(SUM($M$3:$M16),"")</f>
        <v>14092.648000000001</v>
      </c>
      <c r="AI16">
        <f t="shared" si="9"/>
        <v>36354.029000000002</v>
      </c>
      <c r="AJ16">
        <f t="shared" si="10"/>
        <v>47.568862312345075</v>
      </c>
      <c r="AK16">
        <f t="shared" si="11"/>
        <v>61.234976183795197</v>
      </c>
    </row>
    <row r="17" spans="1:37" x14ac:dyDescent="0.35">
      <c r="A17">
        <v>1864</v>
      </c>
      <c r="B17">
        <v>1549.5740000000001</v>
      </c>
      <c r="C17">
        <v>2399.2820000000002</v>
      </c>
      <c r="D17">
        <v>1237.3699999999999</v>
      </c>
      <c r="E17">
        <v>1373.538</v>
      </c>
      <c r="F17">
        <v>1708.56</v>
      </c>
      <c r="G17">
        <v>624.15300000000002</v>
      </c>
      <c r="H17">
        <v>1549.5740000000001</v>
      </c>
      <c r="I17">
        <v>2399.2820000000002</v>
      </c>
      <c r="J17">
        <v>1237.3699999999999</v>
      </c>
      <c r="K17">
        <v>1399.0889999999999</v>
      </c>
      <c r="L17">
        <v>1775.4</v>
      </c>
      <c r="M17">
        <v>971.447</v>
      </c>
      <c r="N17">
        <f>IFERROR(SUM($B$3:$B17),"")</f>
        <v>22554.878000000001</v>
      </c>
      <c r="O17">
        <f>IFERROR(SUM($C$3:$C17),"")</f>
        <v>35217.713999999993</v>
      </c>
      <c r="P17">
        <f>IFERROR(SUM($D$3:$D17),"")</f>
        <v>23766.196999999996</v>
      </c>
      <c r="Q17">
        <f t="shared" si="0"/>
        <v>58983.910999999993</v>
      </c>
      <c r="R17">
        <f t="shared" si="1"/>
        <v>38.239034369897929</v>
      </c>
      <c r="S17">
        <f t="shared" si="2"/>
        <v>59.70732256123199</v>
      </c>
      <c r="T17">
        <f>IFERROR(SUM($E$3:$E17),"")</f>
        <v>19157.064000000002</v>
      </c>
      <c r="U17">
        <f>IFERROR(SUM($F$3:$F17),"")</f>
        <v>24102.429999999997</v>
      </c>
      <c r="V17">
        <f>IFERROR(SUM($G$3:$G17),"")</f>
        <v>10051.309000000001</v>
      </c>
      <c r="W17">
        <f t="shared" si="3"/>
        <v>34153.739000000001</v>
      </c>
      <c r="X17">
        <f t="shared" si="4"/>
        <v>56.090678680890548</v>
      </c>
      <c r="Y17">
        <f t="shared" si="5"/>
        <v>70.570399334608709</v>
      </c>
      <c r="Z17">
        <f>IFERROR(SUM($H$3:$H17),"")</f>
        <v>22554.877</v>
      </c>
      <c r="AA17">
        <f>IFERROR(SUM($I$3:$I17),"")</f>
        <v>35217.714999999997</v>
      </c>
      <c r="AB17">
        <f>IFERROR(SUM($J$3:$J17),"")</f>
        <v>23766.196999999996</v>
      </c>
      <c r="AC17">
        <f t="shared" si="6"/>
        <v>58983.911999999997</v>
      </c>
      <c r="AD17">
        <f t="shared" si="7"/>
        <v>38.239032026224372</v>
      </c>
      <c r="AE17">
        <f t="shared" si="8"/>
        <v>59.707323244344998</v>
      </c>
      <c r="AF17">
        <f>IFERROR(SUM($K$3:$K17),"")</f>
        <v>18692.287</v>
      </c>
      <c r="AG17">
        <f>IFERROR(SUM($L$3:$L17),"")</f>
        <v>24036.781000000003</v>
      </c>
      <c r="AH17">
        <f>IFERROR(SUM($M$3:$M17),"")</f>
        <v>15064.095000000001</v>
      </c>
      <c r="AI17">
        <f t="shared" si="9"/>
        <v>39100.876000000004</v>
      </c>
      <c r="AJ17">
        <f t="shared" si="10"/>
        <v>47.80528957970148</v>
      </c>
      <c r="AK17">
        <f t="shared" si="11"/>
        <v>61.473765958593873</v>
      </c>
    </row>
    <row r="18" spans="1:37" x14ac:dyDescent="0.35">
      <c r="A18">
        <v>1865</v>
      </c>
      <c r="B18">
        <v>1546.914</v>
      </c>
      <c r="C18">
        <v>2377.2559999999999</v>
      </c>
      <c r="D18">
        <v>1187.931</v>
      </c>
      <c r="E18">
        <v>1397.673</v>
      </c>
      <c r="F18">
        <v>1736.1379999999999</v>
      </c>
      <c r="G18">
        <v>625.79899999999998</v>
      </c>
      <c r="H18">
        <v>1546.914</v>
      </c>
      <c r="I18">
        <v>2377.2559999999999</v>
      </c>
      <c r="J18">
        <v>1187.931</v>
      </c>
      <c r="K18">
        <v>1411.1690000000001</v>
      </c>
      <c r="L18">
        <v>1770.4559999999999</v>
      </c>
      <c r="M18">
        <v>951.02099999999996</v>
      </c>
      <c r="N18">
        <f>IFERROR(SUM($B$3:$B18),"")</f>
        <v>24101.792000000001</v>
      </c>
      <c r="O18">
        <f>IFERROR(SUM($C$3:$C18),"")</f>
        <v>37594.969999999994</v>
      </c>
      <c r="P18">
        <f>IFERROR(SUM($D$3:$D18),"")</f>
        <v>24954.127999999997</v>
      </c>
      <c r="Q18">
        <f t="shared" si="0"/>
        <v>62549.097999999991</v>
      </c>
      <c r="R18">
        <f t="shared" si="1"/>
        <v>38.532597224663419</v>
      </c>
      <c r="S18">
        <f t="shared" si="2"/>
        <v>60.104735643030374</v>
      </c>
      <c r="T18">
        <f>IFERROR(SUM($E$3:$E18),"")</f>
        <v>20554.737000000001</v>
      </c>
      <c r="U18">
        <f>IFERROR(SUM($F$3:$F18),"")</f>
        <v>25838.567999999996</v>
      </c>
      <c r="V18">
        <f>IFERROR(SUM($G$3:$G18),"")</f>
        <v>10677.108</v>
      </c>
      <c r="W18">
        <f t="shared" si="3"/>
        <v>36515.675999999992</v>
      </c>
      <c r="X18">
        <f t="shared" si="4"/>
        <v>56.290172472775815</v>
      </c>
      <c r="Y18">
        <f t="shared" si="5"/>
        <v>70.760207205256179</v>
      </c>
      <c r="Z18">
        <f>IFERROR(SUM($H$3:$H18),"")</f>
        <v>24101.791000000001</v>
      </c>
      <c r="AA18">
        <f>IFERROR(SUM($I$3:$I18),"")</f>
        <v>37594.970999999998</v>
      </c>
      <c r="AB18">
        <f>IFERROR(SUM($J$3:$J18),"")</f>
        <v>24954.127999999997</v>
      </c>
      <c r="AC18">
        <f t="shared" si="6"/>
        <v>62549.098999999995</v>
      </c>
      <c r="AD18">
        <f t="shared" si="7"/>
        <v>38.53259500988176</v>
      </c>
      <c r="AE18">
        <f t="shared" si="8"/>
        <v>60.104736280853544</v>
      </c>
      <c r="AF18">
        <f>IFERROR(SUM($K$3:$K18),"")</f>
        <v>20103.456000000002</v>
      </c>
      <c r="AG18">
        <f>IFERROR(SUM($L$3:$L18),"")</f>
        <v>25807.237000000001</v>
      </c>
      <c r="AH18">
        <f>IFERROR(SUM($M$3:$M18),"")</f>
        <v>16015.116000000002</v>
      </c>
      <c r="AI18">
        <f t="shared" si="9"/>
        <v>41822.353000000003</v>
      </c>
      <c r="AJ18">
        <f t="shared" si="10"/>
        <v>48.068687096586842</v>
      </c>
      <c r="AK18">
        <f t="shared" si="11"/>
        <v>61.706803058163651</v>
      </c>
    </row>
    <row r="19" spans="1:37" x14ac:dyDescent="0.35">
      <c r="A19">
        <v>1866</v>
      </c>
      <c r="B19">
        <v>1544.675</v>
      </c>
      <c r="C19">
        <v>2412.127</v>
      </c>
      <c r="D19">
        <v>1167.4939999999999</v>
      </c>
      <c r="E19">
        <v>1409.91</v>
      </c>
      <c r="F19">
        <v>1751.412</v>
      </c>
      <c r="G19">
        <v>624.83299999999997</v>
      </c>
      <c r="H19">
        <v>1544.675</v>
      </c>
      <c r="I19">
        <v>2412.127</v>
      </c>
      <c r="J19">
        <v>1167.4939999999999</v>
      </c>
      <c r="K19">
        <v>1423.067</v>
      </c>
      <c r="L19">
        <v>1821.809</v>
      </c>
      <c r="M19">
        <v>946</v>
      </c>
      <c r="N19">
        <f>IFERROR(SUM($B$3:$B19),"")</f>
        <v>25646.467000000001</v>
      </c>
      <c r="O19">
        <f>IFERROR(SUM($C$3:$C19),"")</f>
        <v>40007.096999999994</v>
      </c>
      <c r="P19">
        <f>IFERROR(SUM($D$3:$D19),"")</f>
        <v>26121.621999999996</v>
      </c>
      <c r="Q19">
        <f t="shared" si="0"/>
        <v>66128.718999999983</v>
      </c>
      <c r="R19">
        <f t="shared" si="1"/>
        <v>38.782646008914831</v>
      </c>
      <c r="S19">
        <f t="shared" si="2"/>
        <v>60.498823514183009</v>
      </c>
      <c r="T19">
        <f>IFERROR(SUM($E$3:$E19),"")</f>
        <v>21964.647000000001</v>
      </c>
      <c r="U19">
        <f>IFERROR(SUM($F$3:$F19),"")</f>
        <v>27589.979999999996</v>
      </c>
      <c r="V19">
        <f>IFERROR(SUM($G$3:$G19),"")</f>
        <v>11301.941000000001</v>
      </c>
      <c r="W19">
        <f t="shared" si="3"/>
        <v>38891.920999999995</v>
      </c>
      <c r="X19">
        <f t="shared" si="4"/>
        <v>56.47611749494196</v>
      </c>
      <c r="Y19">
        <f t="shared" si="5"/>
        <v>70.940131756412853</v>
      </c>
      <c r="Z19">
        <f>IFERROR(SUM($H$3:$H19),"")</f>
        <v>25646.466</v>
      </c>
      <c r="AA19">
        <f>IFERROR(SUM($I$3:$I19),"")</f>
        <v>40007.097999999998</v>
      </c>
      <c r="AB19">
        <f>IFERROR(SUM($J$3:$J19),"")</f>
        <v>26121.621999999996</v>
      </c>
      <c r="AC19">
        <f t="shared" si="6"/>
        <v>66128.72</v>
      </c>
      <c r="AD19">
        <f t="shared" si="7"/>
        <v>38.782643910240509</v>
      </c>
      <c r="AE19">
        <f t="shared" si="8"/>
        <v>60.498824111520676</v>
      </c>
      <c r="AF19">
        <f>IFERROR(SUM($K$3:$K19),"")</f>
        <v>21526.523000000001</v>
      </c>
      <c r="AG19">
        <f>IFERROR(SUM($L$3:$L19),"")</f>
        <v>27629.046000000002</v>
      </c>
      <c r="AH19">
        <f>IFERROR(SUM($M$3:$M19),"")</f>
        <v>16961.116000000002</v>
      </c>
      <c r="AI19">
        <f t="shared" si="9"/>
        <v>44590.162000000004</v>
      </c>
      <c r="AJ19">
        <f t="shared" si="10"/>
        <v>48.276395586990688</v>
      </c>
      <c r="AK19">
        <f t="shared" si="11"/>
        <v>61.962201438066089</v>
      </c>
    </row>
    <row r="20" spans="1:37" x14ac:dyDescent="0.35">
      <c r="A20">
        <v>1867</v>
      </c>
      <c r="B20">
        <v>1585.9939999999999</v>
      </c>
      <c r="C20">
        <v>2405.23</v>
      </c>
      <c r="D20">
        <v>1147.9680000000001</v>
      </c>
      <c r="E20">
        <v>1436.06</v>
      </c>
      <c r="F20">
        <v>1780.691</v>
      </c>
      <c r="G20">
        <v>623.82100000000003</v>
      </c>
      <c r="H20">
        <v>1585.9939999999999</v>
      </c>
      <c r="I20">
        <v>2405.23</v>
      </c>
      <c r="J20">
        <v>1147.9680000000001</v>
      </c>
      <c r="K20">
        <v>1479.624</v>
      </c>
      <c r="L20">
        <v>1832.5150000000001</v>
      </c>
      <c r="M20">
        <v>942.54100000000005</v>
      </c>
      <c r="N20">
        <f>IFERROR(SUM($B$3:$B20),"")</f>
        <v>27232.460999999999</v>
      </c>
      <c r="O20">
        <f>IFERROR(SUM($C$3:$C20),"")</f>
        <v>42412.326999999997</v>
      </c>
      <c r="P20">
        <f>IFERROR(SUM($D$3:$D20),"")</f>
        <v>27269.589999999997</v>
      </c>
      <c r="Q20">
        <f t="shared" si="0"/>
        <v>69681.916999999987</v>
      </c>
      <c r="R20">
        <f t="shared" si="1"/>
        <v>39.081101916297747</v>
      </c>
      <c r="S20">
        <f t="shared" si="2"/>
        <v>60.865614532390097</v>
      </c>
      <c r="T20">
        <f>IFERROR(SUM($E$3:$E20),"")</f>
        <v>23400.707000000002</v>
      </c>
      <c r="U20">
        <f>IFERROR(SUM($F$3:$F20),"")</f>
        <v>29370.670999999995</v>
      </c>
      <c r="V20">
        <f>IFERROR(SUM($G$3:$G20),"")</f>
        <v>11925.762000000001</v>
      </c>
      <c r="W20">
        <f t="shared" si="3"/>
        <v>41296.432999999997</v>
      </c>
      <c r="X20">
        <f t="shared" si="4"/>
        <v>56.665201568377597</v>
      </c>
      <c r="Y20">
        <f t="shared" si="5"/>
        <v>71.121568780528804</v>
      </c>
      <c r="Z20">
        <f>IFERROR(SUM($H$3:$H20),"")</f>
        <v>27232.46</v>
      </c>
      <c r="AA20">
        <f>IFERROR(SUM($I$3:$I20),"")</f>
        <v>42412.328000000001</v>
      </c>
      <c r="AB20">
        <f>IFERROR(SUM($J$3:$J20),"")</f>
        <v>27269.589999999997</v>
      </c>
      <c r="AC20">
        <f t="shared" si="6"/>
        <v>69681.918000000005</v>
      </c>
      <c r="AD20">
        <f t="shared" si="7"/>
        <v>39.081099920355236</v>
      </c>
      <c r="AE20">
        <f t="shared" si="8"/>
        <v>60.865615094004731</v>
      </c>
      <c r="AF20">
        <f>IFERROR(SUM($K$3:$K20),"")</f>
        <v>23006.147000000001</v>
      </c>
      <c r="AG20">
        <f>IFERROR(SUM($L$3:$L20),"")</f>
        <v>29461.561000000002</v>
      </c>
      <c r="AH20">
        <f>IFERROR(SUM($M$3:$M20),"")</f>
        <v>17903.657000000003</v>
      </c>
      <c r="AI20">
        <f t="shared" si="9"/>
        <v>47365.218000000008</v>
      </c>
      <c r="AJ20">
        <f t="shared" si="10"/>
        <v>48.571816981819858</v>
      </c>
      <c r="AK20">
        <f t="shared" si="11"/>
        <v>62.200834798226822</v>
      </c>
    </row>
    <row r="21" spans="1:37" x14ac:dyDescent="0.35">
      <c r="A21">
        <v>1868</v>
      </c>
      <c r="B21">
        <v>1582.827</v>
      </c>
      <c r="C21">
        <v>2417.7260000000001</v>
      </c>
      <c r="D21">
        <v>1125.2650000000001</v>
      </c>
      <c r="E21">
        <v>1443.5139999999999</v>
      </c>
      <c r="F21">
        <v>1790.9190000000001</v>
      </c>
      <c r="G21">
        <v>622.18799999999999</v>
      </c>
      <c r="H21">
        <v>1582.827</v>
      </c>
      <c r="I21">
        <v>2417.7260000000001</v>
      </c>
      <c r="J21">
        <v>1125.2650000000001</v>
      </c>
      <c r="K21">
        <v>1492.0440000000001</v>
      </c>
      <c r="L21">
        <v>1863.116</v>
      </c>
      <c r="M21">
        <v>930.68799999999999</v>
      </c>
      <c r="N21">
        <f>IFERROR(SUM($B$3:$B21),"")</f>
        <v>28815.288</v>
      </c>
      <c r="O21">
        <f>IFERROR(SUM($C$3:$C21),"")</f>
        <v>44830.053</v>
      </c>
      <c r="P21">
        <f>IFERROR(SUM($D$3:$D21),"")</f>
        <v>28394.854999999996</v>
      </c>
      <c r="Q21">
        <f t="shared" si="0"/>
        <v>73224.907999999996</v>
      </c>
      <c r="R21">
        <f t="shared" si="1"/>
        <v>39.351757191692208</v>
      </c>
      <c r="S21">
        <f t="shared" si="2"/>
        <v>61.222409456629158</v>
      </c>
      <c r="T21">
        <f>IFERROR(SUM($E$3:$E21),"")</f>
        <v>24844.221000000001</v>
      </c>
      <c r="U21">
        <f>IFERROR(SUM($F$3:$F21),"")</f>
        <v>31161.589999999997</v>
      </c>
      <c r="V21">
        <f>IFERROR(SUM($G$3:$G21),"")</f>
        <v>12547.95</v>
      </c>
      <c r="W21">
        <f t="shared" si="3"/>
        <v>43709.539999999994</v>
      </c>
      <c r="X21">
        <f t="shared" si="4"/>
        <v>56.839355893473154</v>
      </c>
      <c r="Y21">
        <f t="shared" si="5"/>
        <v>71.292422661048377</v>
      </c>
      <c r="Z21">
        <f>IFERROR(SUM($H$3:$H21),"")</f>
        <v>28815.287</v>
      </c>
      <c r="AA21">
        <f>IFERROR(SUM($I$3:$I21),"")</f>
        <v>44830.054000000004</v>
      </c>
      <c r="AB21">
        <f>IFERROR(SUM($J$3:$J21),"")</f>
        <v>28394.854999999996</v>
      </c>
      <c r="AC21">
        <f t="shared" si="6"/>
        <v>73224.909</v>
      </c>
      <c r="AD21">
        <f t="shared" si="7"/>
        <v>39.35175528862726</v>
      </c>
      <c r="AE21">
        <f t="shared" si="8"/>
        <v>61.222409986197455</v>
      </c>
      <c r="AF21">
        <f>IFERROR(SUM($K$3:$K21),"")</f>
        <v>24498.191000000003</v>
      </c>
      <c r="AG21">
        <f>IFERROR(SUM($L$3:$L21),"")</f>
        <v>31324.677000000003</v>
      </c>
      <c r="AH21">
        <f>IFERROR(SUM($M$3:$M21),"")</f>
        <v>18834.345000000001</v>
      </c>
      <c r="AI21">
        <f t="shared" si="9"/>
        <v>50159.022000000004</v>
      </c>
      <c r="AJ21">
        <f t="shared" si="10"/>
        <v>48.841045983711567</v>
      </c>
      <c r="AK21">
        <f t="shared" si="11"/>
        <v>62.45073319013278</v>
      </c>
    </row>
    <row r="22" spans="1:37" x14ac:dyDescent="0.35">
      <c r="A22">
        <v>1869</v>
      </c>
      <c r="B22">
        <v>1588.327</v>
      </c>
      <c r="C22">
        <v>2429.5650000000001</v>
      </c>
      <c r="D22">
        <v>1128.9849999999999</v>
      </c>
      <c r="E22">
        <v>1467.855</v>
      </c>
      <c r="F22">
        <v>1818.1949999999999</v>
      </c>
      <c r="G22">
        <v>620.05100000000004</v>
      </c>
      <c r="H22">
        <v>1588.327</v>
      </c>
      <c r="I22">
        <v>2429.5650000000001</v>
      </c>
      <c r="J22">
        <v>1128.9849999999999</v>
      </c>
      <c r="K22">
        <v>1511.924</v>
      </c>
      <c r="L22">
        <v>1891.8579999999999</v>
      </c>
      <c r="M22">
        <v>944.13400000000001</v>
      </c>
      <c r="N22">
        <f>IFERROR(SUM($B$3:$B22),"")</f>
        <v>30403.615000000002</v>
      </c>
      <c r="O22">
        <f>IFERROR(SUM($C$3:$C22),"")</f>
        <v>47259.618000000002</v>
      </c>
      <c r="P22">
        <f>IFERROR(SUM($D$3:$D22),"")</f>
        <v>29523.839999999997</v>
      </c>
      <c r="Q22">
        <f t="shared" si="0"/>
        <v>76783.457999999999</v>
      </c>
      <c r="R22">
        <f t="shared" si="1"/>
        <v>39.596569094348425</v>
      </c>
      <c r="S22">
        <f t="shared" si="2"/>
        <v>61.549218062046648</v>
      </c>
      <c r="T22">
        <f>IFERROR(SUM($E$3:$E22),"")</f>
        <v>26312.076000000001</v>
      </c>
      <c r="U22">
        <f>IFERROR(SUM($F$3:$F22),"")</f>
        <v>32979.784999999996</v>
      </c>
      <c r="V22">
        <f>IFERROR(SUM($G$3:$G22),"")</f>
        <v>13168.001</v>
      </c>
      <c r="W22">
        <f t="shared" si="3"/>
        <v>46147.785999999993</v>
      </c>
      <c r="X22">
        <f t="shared" si="4"/>
        <v>57.016984520124112</v>
      </c>
      <c r="Y22">
        <f t="shared" si="5"/>
        <v>71.465584502797157</v>
      </c>
      <c r="Z22">
        <f>IFERROR(SUM($H$3:$H22),"")</f>
        <v>30403.614000000001</v>
      </c>
      <c r="AA22">
        <f>IFERROR(SUM($I$3:$I22),"")</f>
        <v>47259.619000000006</v>
      </c>
      <c r="AB22">
        <f>IFERROR(SUM($J$3:$J22),"")</f>
        <v>29523.839999999997</v>
      </c>
      <c r="AC22">
        <f t="shared" si="6"/>
        <v>76783.459000000003</v>
      </c>
      <c r="AD22">
        <f t="shared" si="7"/>
        <v>39.596567276293193</v>
      </c>
      <c r="AE22">
        <f t="shared" si="8"/>
        <v>61.549218562815732</v>
      </c>
      <c r="AF22">
        <f>IFERROR(SUM($K$3:$K22),"")</f>
        <v>26010.115000000002</v>
      </c>
      <c r="AG22">
        <f>IFERROR(SUM($L$3:$L22),"")</f>
        <v>33216.535000000003</v>
      </c>
      <c r="AH22">
        <f>IFERROR(SUM($M$3:$M22),"")</f>
        <v>19778.478999999999</v>
      </c>
      <c r="AI22">
        <f t="shared" si="9"/>
        <v>52995.014000000003</v>
      </c>
      <c r="AJ22">
        <f t="shared" si="10"/>
        <v>49.080305932176941</v>
      </c>
      <c r="AK22">
        <f t="shared" si="11"/>
        <v>62.678604066412746</v>
      </c>
    </row>
    <row r="23" spans="1:37" x14ac:dyDescent="0.35">
      <c r="A23">
        <v>1870</v>
      </c>
      <c r="B23">
        <v>1929.34</v>
      </c>
      <c r="C23">
        <v>2862.404</v>
      </c>
      <c r="D23">
        <v>1193.7059999999999</v>
      </c>
      <c r="E23">
        <v>1474.0350000000001</v>
      </c>
      <c r="F23">
        <v>1827.106</v>
      </c>
      <c r="G23">
        <v>619.23900000000003</v>
      </c>
      <c r="H23">
        <v>1929.34</v>
      </c>
      <c r="I23">
        <v>2862.404</v>
      </c>
      <c r="J23">
        <v>1193.7059999999999</v>
      </c>
      <c r="K23">
        <v>1612.922</v>
      </c>
      <c r="L23">
        <v>2033.4949999999999</v>
      </c>
      <c r="M23">
        <v>956.48699999999997</v>
      </c>
      <c r="N23">
        <f>IFERROR(SUM($B$3:$B23),"")</f>
        <v>32332.955000000002</v>
      </c>
      <c r="O23">
        <f>IFERROR(SUM($C$3:$C23),"")</f>
        <v>50122.022000000004</v>
      </c>
      <c r="P23">
        <f>IFERROR(SUM($D$3:$D23),"")</f>
        <v>30717.545999999995</v>
      </c>
      <c r="Q23">
        <f t="shared" si="0"/>
        <v>80839.567999999999</v>
      </c>
      <c r="R23">
        <f t="shared" si="1"/>
        <v>39.996447036926277</v>
      </c>
      <c r="S23">
        <f t="shared" si="2"/>
        <v>62.001842958883699</v>
      </c>
      <c r="T23">
        <f>IFERROR(SUM($E$3:$E23),"")</f>
        <v>27786.111000000001</v>
      </c>
      <c r="U23">
        <f>IFERROR(SUM($F$3:$F23),"")</f>
        <v>34806.890999999996</v>
      </c>
      <c r="V23">
        <f>IFERROR(SUM($G$3:$G23),"")</f>
        <v>13787.24</v>
      </c>
      <c r="W23">
        <f t="shared" si="3"/>
        <v>48594.130999999994</v>
      </c>
      <c r="X23">
        <f t="shared" si="4"/>
        <v>57.179973030076411</v>
      </c>
      <c r="Y23">
        <f t="shared" si="5"/>
        <v>71.627767147435975</v>
      </c>
      <c r="Z23">
        <f>IFERROR(SUM($H$3:$H23),"")</f>
        <v>32332.954000000002</v>
      </c>
      <c r="AA23">
        <f>IFERROR(SUM($I$3:$I23),"")</f>
        <v>50122.023000000008</v>
      </c>
      <c r="AB23">
        <f>IFERROR(SUM($J$3:$J23),"")</f>
        <v>30717.545999999995</v>
      </c>
      <c r="AC23">
        <f t="shared" si="6"/>
        <v>80839.569000000003</v>
      </c>
      <c r="AD23">
        <f t="shared" si="7"/>
        <v>39.996445305145059</v>
      </c>
      <c r="AE23">
        <f t="shared" si="8"/>
        <v>62.001843428927742</v>
      </c>
      <c r="AF23">
        <f>IFERROR(SUM($K$3:$K23),"")</f>
        <v>27623.037</v>
      </c>
      <c r="AG23">
        <f>IFERROR(SUM($L$3:$L23),"")</f>
        <v>35250.030000000006</v>
      </c>
      <c r="AH23">
        <f>IFERROR(SUM($M$3:$M23),"")</f>
        <v>20734.966</v>
      </c>
      <c r="AI23">
        <f t="shared" si="9"/>
        <v>55984.996000000006</v>
      </c>
      <c r="AJ23">
        <f t="shared" si="10"/>
        <v>49.340071400558813</v>
      </c>
      <c r="AK23">
        <f t="shared" si="11"/>
        <v>62.963351823763645</v>
      </c>
    </row>
    <row r="24" spans="1:37" x14ac:dyDescent="0.35">
      <c r="A24">
        <v>1871</v>
      </c>
      <c r="B24">
        <v>2095.8890000000001</v>
      </c>
      <c r="C24">
        <v>3017.8449999999998</v>
      </c>
      <c r="D24">
        <v>1197.1759999999999</v>
      </c>
      <c r="E24">
        <v>1508.6669999999999</v>
      </c>
      <c r="F24">
        <v>1857.4380000000001</v>
      </c>
      <c r="G24">
        <v>698.68600000000004</v>
      </c>
      <c r="H24">
        <v>2095.8890000000001</v>
      </c>
      <c r="I24">
        <v>3017.8449999999998</v>
      </c>
      <c r="J24">
        <v>1197.1759999999999</v>
      </c>
      <c r="K24">
        <v>1730.5989999999999</v>
      </c>
      <c r="L24">
        <v>2119.232</v>
      </c>
      <c r="M24">
        <v>957.36400000000003</v>
      </c>
      <c r="N24">
        <f>IFERROR(SUM($B$3:$B24),"")</f>
        <v>34428.844000000005</v>
      </c>
      <c r="O24">
        <f>IFERROR(SUM($C$3:$C24),"")</f>
        <v>53139.867000000006</v>
      </c>
      <c r="P24">
        <f>IFERROR(SUM($D$3:$D24),"")</f>
        <v>31914.721999999994</v>
      </c>
      <c r="Q24">
        <f t="shared" si="0"/>
        <v>85054.589000000007</v>
      </c>
      <c r="R24">
        <f t="shared" si="1"/>
        <v>40.478526091049602</v>
      </c>
      <c r="S24">
        <f t="shared" si="2"/>
        <v>62.477366153635764</v>
      </c>
      <c r="T24">
        <f>IFERROR(SUM($E$3:$E24),"")</f>
        <v>29294.778000000002</v>
      </c>
      <c r="U24">
        <f>IFERROR(SUM($F$3:$F24),"")</f>
        <v>36664.328999999998</v>
      </c>
      <c r="V24">
        <f>IFERROR(SUM($G$3:$G24),"")</f>
        <v>14485.925999999999</v>
      </c>
      <c r="W24">
        <f t="shared" si="3"/>
        <v>51150.254999999997</v>
      </c>
      <c r="X24">
        <f t="shared" si="4"/>
        <v>57.272007734858811</v>
      </c>
      <c r="Y24">
        <f t="shared" si="5"/>
        <v>71.679660248028085</v>
      </c>
      <c r="Z24">
        <f>IFERROR(SUM($H$3:$H24),"")</f>
        <v>34428.843000000001</v>
      </c>
      <c r="AA24">
        <f>IFERROR(SUM($I$3:$I24),"")</f>
        <v>53139.868000000009</v>
      </c>
      <c r="AB24">
        <f>IFERROR(SUM($J$3:$J24),"")</f>
        <v>31914.721999999994</v>
      </c>
      <c r="AC24">
        <f t="shared" si="6"/>
        <v>85054.59</v>
      </c>
      <c r="AD24">
        <f t="shared" si="7"/>
        <v>40.47852443942179</v>
      </c>
      <c r="AE24">
        <f t="shared" si="8"/>
        <v>62.477366594795193</v>
      </c>
      <c r="AF24">
        <f>IFERROR(SUM($K$3:$K24),"")</f>
        <v>29353.635999999999</v>
      </c>
      <c r="AG24">
        <f>IFERROR(SUM($L$3:$L24),"")</f>
        <v>37369.262000000002</v>
      </c>
      <c r="AH24">
        <f>IFERROR(SUM($M$3:$M24),"")</f>
        <v>21692.33</v>
      </c>
      <c r="AI24">
        <f t="shared" si="9"/>
        <v>59061.592000000004</v>
      </c>
      <c r="AJ24">
        <f t="shared" si="10"/>
        <v>49.700041949427977</v>
      </c>
      <c r="AK24">
        <f t="shared" si="11"/>
        <v>63.271680858179366</v>
      </c>
    </row>
    <row r="25" spans="1:37" x14ac:dyDescent="0.35">
      <c r="A25">
        <v>1872</v>
      </c>
      <c r="B25">
        <v>2231.7600000000002</v>
      </c>
      <c r="C25">
        <v>3205.4229999999998</v>
      </c>
      <c r="D25">
        <v>1261.163</v>
      </c>
      <c r="E25">
        <v>1868.481</v>
      </c>
      <c r="F25">
        <v>2219.89</v>
      </c>
      <c r="G25">
        <v>716.899</v>
      </c>
      <c r="H25">
        <v>2231.7600000000002</v>
      </c>
      <c r="I25">
        <v>3205.4229999999998</v>
      </c>
      <c r="J25">
        <v>1261.163</v>
      </c>
      <c r="K25">
        <v>1822.6959999999999</v>
      </c>
      <c r="L25">
        <v>2248.366</v>
      </c>
      <c r="M25">
        <v>991.73299999999995</v>
      </c>
      <c r="N25">
        <f>IFERROR(SUM($B$3:$B25),"")</f>
        <v>36660.604000000007</v>
      </c>
      <c r="O25">
        <f>IFERROR(SUM($C$3:$C25),"")</f>
        <v>56345.290000000008</v>
      </c>
      <c r="P25">
        <f>IFERROR(SUM($D$3:$D25),"")</f>
        <v>33175.884999999995</v>
      </c>
      <c r="Q25">
        <f t="shared" si="0"/>
        <v>89521.175000000003</v>
      </c>
      <c r="R25">
        <f t="shared" si="1"/>
        <v>40.951879820612277</v>
      </c>
      <c r="S25">
        <f t="shared" si="2"/>
        <v>62.940739998106601</v>
      </c>
      <c r="T25">
        <f>IFERROR(SUM($E$3:$E25),"")</f>
        <v>31163.259000000002</v>
      </c>
      <c r="U25">
        <f>IFERROR(SUM($F$3:$F25),"")</f>
        <v>38884.218999999997</v>
      </c>
      <c r="V25">
        <f>IFERROR(SUM($G$3:$G25),"")</f>
        <v>15202.824999999999</v>
      </c>
      <c r="W25">
        <f t="shared" si="3"/>
        <v>54087.043999999994</v>
      </c>
      <c r="X25">
        <f t="shared" si="4"/>
        <v>57.616864770794287</v>
      </c>
      <c r="Y25">
        <f t="shared" si="5"/>
        <v>71.891928499549735</v>
      </c>
      <c r="Z25">
        <f>IFERROR(SUM($H$3:$H25),"")</f>
        <v>36660.603000000003</v>
      </c>
      <c r="AA25">
        <f>IFERROR(SUM($I$3:$I25),"")</f>
        <v>56345.291000000012</v>
      </c>
      <c r="AB25">
        <f>IFERROR(SUM($J$3:$J25),"")</f>
        <v>33175.884999999995</v>
      </c>
      <c r="AC25">
        <f t="shared" si="6"/>
        <v>89521.176000000007</v>
      </c>
      <c r="AD25">
        <f t="shared" si="7"/>
        <v>40.951878246103469</v>
      </c>
      <c r="AE25">
        <f t="shared" si="8"/>
        <v>62.940740412078597</v>
      </c>
      <c r="AF25">
        <f>IFERROR(SUM($K$3:$K25),"")</f>
        <v>31176.331999999999</v>
      </c>
      <c r="AG25">
        <f>IFERROR(SUM($L$3:$L25),"")</f>
        <v>39617.628000000004</v>
      </c>
      <c r="AH25">
        <f>IFERROR(SUM($M$3:$M25),"")</f>
        <v>22684.063000000002</v>
      </c>
      <c r="AI25">
        <f t="shared" si="9"/>
        <v>62301.691000000006</v>
      </c>
      <c r="AJ25">
        <f t="shared" si="10"/>
        <v>50.040908199425914</v>
      </c>
      <c r="AK25">
        <f t="shared" si="11"/>
        <v>63.589972220818211</v>
      </c>
    </row>
    <row r="26" spans="1:37" x14ac:dyDescent="0.35">
      <c r="A26">
        <v>1873</v>
      </c>
      <c r="B26">
        <v>2355.279</v>
      </c>
      <c r="C26">
        <v>3320.2240000000002</v>
      </c>
      <c r="D26">
        <v>1259.797</v>
      </c>
      <c r="E26">
        <v>1932.67</v>
      </c>
      <c r="F26">
        <v>2286.317</v>
      </c>
      <c r="G26">
        <v>731.53599999999994</v>
      </c>
      <c r="H26">
        <v>2355.279</v>
      </c>
      <c r="I26">
        <v>3320.2240000000002</v>
      </c>
      <c r="J26">
        <v>1259.798</v>
      </c>
      <c r="K26">
        <v>1909.163</v>
      </c>
      <c r="L26">
        <v>2313.8629999999998</v>
      </c>
      <c r="M26">
        <v>980.13699999999994</v>
      </c>
      <c r="N26">
        <f>IFERROR(SUM($B$3:$B26),"")</f>
        <v>39015.883000000009</v>
      </c>
      <c r="O26">
        <f>IFERROR(SUM($C$3:$C26),"")</f>
        <v>59665.51400000001</v>
      </c>
      <c r="P26">
        <f>IFERROR(SUM($D$3:$D26),"")</f>
        <v>34435.681999999993</v>
      </c>
      <c r="Q26">
        <f t="shared" si="0"/>
        <v>94101.195999999996</v>
      </c>
      <c r="R26">
        <f t="shared" si="1"/>
        <v>41.461622868215201</v>
      </c>
      <c r="S26">
        <f t="shared" si="2"/>
        <v>63.405691464325287</v>
      </c>
      <c r="T26">
        <f>IFERROR(SUM($E$3:$E26),"")</f>
        <v>33095.929000000004</v>
      </c>
      <c r="U26">
        <f>IFERROR(SUM($F$3:$F26),"")</f>
        <v>41170.536</v>
      </c>
      <c r="V26">
        <f>IFERROR(SUM($G$3:$G26),"")</f>
        <v>15934.360999999999</v>
      </c>
      <c r="W26">
        <f t="shared" si="3"/>
        <v>57104.896999999997</v>
      </c>
      <c r="X26">
        <f t="shared" si="4"/>
        <v>57.956376315677446</v>
      </c>
      <c r="Y26">
        <f t="shared" si="5"/>
        <v>72.096331773437925</v>
      </c>
      <c r="Z26">
        <f>IFERROR(SUM($H$3:$H26),"")</f>
        <v>39015.882000000005</v>
      </c>
      <c r="AA26">
        <f>IFERROR(SUM($I$3:$I26),"")</f>
        <v>59665.515000000014</v>
      </c>
      <c r="AB26">
        <f>IFERROR(SUM($J$3:$J26),"")</f>
        <v>34435.682999999997</v>
      </c>
      <c r="AC26">
        <f t="shared" si="6"/>
        <v>94101.198000000004</v>
      </c>
      <c r="AD26">
        <f t="shared" si="7"/>
        <v>41.461620924315973</v>
      </c>
      <c r="AE26">
        <f t="shared" si="8"/>
        <v>63.405691179404556</v>
      </c>
      <c r="AF26">
        <f>IFERROR(SUM($K$3:$K26),"")</f>
        <v>33085.494999999995</v>
      </c>
      <c r="AG26">
        <f>IFERROR(SUM($L$3:$L26),"")</f>
        <v>41931.491000000002</v>
      </c>
      <c r="AH26">
        <f>IFERROR(SUM($M$3:$M26),"")</f>
        <v>23664.2</v>
      </c>
      <c r="AI26">
        <f t="shared" si="9"/>
        <v>65595.691000000006</v>
      </c>
      <c r="AJ26">
        <f t="shared" si="10"/>
        <v>50.438518896004915</v>
      </c>
      <c r="AK26">
        <f t="shared" si="11"/>
        <v>63.92415471315028</v>
      </c>
    </row>
    <row r="27" spans="1:37" x14ac:dyDescent="0.35">
      <c r="A27">
        <v>1874</v>
      </c>
      <c r="B27">
        <v>2377.7849999999999</v>
      </c>
      <c r="C27">
        <v>3385.5940000000001</v>
      </c>
      <c r="D27">
        <v>1270.575</v>
      </c>
      <c r="E27">
        <v>1905.4639999999999</v>
      </c>
      <c r="F27">
        <v>2262.7269999999999</v>
      </c>
      <c r="G27">
        <v>735.72400000000005</v>
      </c>
      <c r="H27">
        <v>2377.7849999999999</v>
      </c>
      <c r="I27">
        <v>3385.5940000000001</v>
      </c>
      <c r="J27">
        <v>1270.575</v>
      </c>
      <c r="K27">
        <v>1900.1020000000001</v>
      </c>
      <c r="L27">
        <v>2337.1280000000002</v>
      </c>
      <c r="M27">
        <v>986.85699999999997</v>
      </c>
      <c r="N27">
        <f>IFERROR(SUM($B$3:$B27),"")</f>
        <v>41393.668000000005</v>
      </c>
      <c r="O27">
        <f>IFERROR(SUM($C$3:$C27),"")</f>
        <v>63051.108000000007</v>
      </c>
      <c r="P27">
        <f>IFERROR(SUM($D$3:$D27),"")</f>
        <v>35706.256999999991</v>
      </c>
      <c r="Q27">
        <f t="shared" si="0"/>
        <v>98757.364999999991</v>
      </c>
      <c r="R27">
        <f t="shared" si="1"/>
        <v>41.914512401176367</v>
      </c>
      <c r="S27">
        <f t="shared" si="2"/>
        <v>63.844461625722815</v>
      </c>
      <c r="T27">
        <f>IFERROR(SUM($E$3:$E27),"")</f>
        <v>35001.393000000004</v>
      </c>
      <c r="U27">
        <f>IFERROR(SUM($F$3:$F27),"")</f>
        <v>43433.262999999999</v>
      </c>
      <c r="V27">
        <f>IFERROR(SUM($G$3:$G27),"")</f>
        <v>16670.084999999999</v>
      </c>
      <c r="W27">
        <f t="shared" si="3"/>
        <v>60103.347999999998</v>
      </c>
      <c r="X27">
        <f t="shared" si="4"/>
        <v>58.23534655673425</v>
      </c>
      <c r="Y27">
        <f t="shared" si="5"/>
        <v>72.264298820757872</v>
      </c>
      <c r="Z27">
        <f>IFERROR(SUM($H$3:$H27),"")</f>
        <v>41393.667000000001</v>
      </c>
      <c r="AA27">
        <f>IFERROR(SUM($I$3:$I27),"")</f>
        <v>63051.109000000011</v>
      </c>
      <c r="AB27">
        <f>IFERROR(SUM($J$3:$J27),"")</f>
        <v>35706.257999999994</v>
      </c>
      <c r="AC27">
        <f t="shared" si="6"/>
        <v>98757.366999999998</v>
      </c>
      <c r="AD27">
        <f t="shared" si="7"/>
        <v>41.914510539755483</v>
      </c>
      <c r="AE27">
        <f t="shared" si="8"/>
        <v>63.844461345349565</v>
      </c>
      <c r="AF27">
        <f>IFERROR(SUM($K$3:$K27),"")</f>
        <v>34985.596999999994</v>
      </c>
      <c r="AG27">
        <f>IFERROR(SUM($L$3:$L27),"")</f>
        <v>44268.618999999999</v>
      </c>
      <c r="AH27">
        <f>IFERROR(SUM($M$3:$M27),"")</f>
        <v>24651.057000000001</v>
      </c>
      <c r="AI27">
        <f t="shared" si="9"/>
        <v>68919.676000000007</v>
      </c>
      <c r="AJ27">
        <f t="shared" si="10"/>
        <v>50.762857619934245</v>
      </c>
      <c r="AK27">
        <f t="shared" si="11"/>
        <v>64.232192559930184</v>
      </c>
    </row>
    <row r="28" spans="1:37" x14ac:dyDescent="0.35">
      <c r="A28">
        <v>1875</v>
      </c>
      <c r="B28">
        <v>2476.6149999999998</v>
      </c>
      <c r="C28">
        <v>3474.692</v>
      </c>
      <c r="D28">
        <v>1263.3209999999999</v>
      </c>
      <c r="E28">
        <v>1981.2070000000001</v>
      </c>
      <c r="F28">
        <v>2339.7869999999998</v>
      </c>
      <c r="G28">
        <v>742.6</v>
      </c>
      <c r="H28">
        <v>2476.6149999999998</v>
      </c>
      <c r="I28">
        <v>3474.692</v>
      </c>
      <c r="J28">
        <v>1263.3209999999999</v>
      </c>
      <c r="K28">
        <v>1971.93</v>
      </c>
      <c r="L28">
        <v>2389.9059999999999</v>
      </c>
      <c r="M28">
        <v>980.86300000000006</v>
      </c>
      <c r="N28">
        <f>IFERROR(SUM($B$3:$B28),"")</f>
        <v>43870.283000000003</v>
      </c>
      <c r="O28">
        <f>IFERROR(SUM($C$3:$C28),"")</f>
        <v>66525.8</v>
      </c>
      <c r="P28">
        <f>IFERROR(SUM($D$3:$D28),"")</f>
        <v>36969.577999999994</v>
      </c>
      <c r="Q28">
        <f t="shared" si="0"/>
        <v>103495.378</v>
      </c>
      <c r="R28">
        <f t="shared" si="1"/>
        <v>42.388639809596143</v>
      </c>
      <c r="S28">
        <f t="shared" si="2"/>
        <v>64.279005773571839</v>
      </c>
      <c r="T28">
        <f>IFERROR(SUM($E$3:$E28),"")</f>
        <v>36982.600000000006</v>
      </c>
      <c r="U28">
        <f>IFERROR(SUM($F$3:$F28),"")</f>
        <v>45773.049999999996</v>
      </c>
      <c r="V28">
        <f>IFERROR(SUM($G$3:$G28),"")</f>
        <v>17412.684999999998</v>
      </c>
      <c r="W28">
        <f t="shared" si="3"/>
        <v>63185.734999999993</v>
      </c>
      <c r="X28">
        <f t="shared" si="4"/>
        <v>58.529983072919876</v>
      </c>
      <c r="Y28">
        <f t="shared" si="5"/>
        <v>72.442063070090114</v>
      </c>
      <c r="Z28">
        <f>IFERROR(SUM($H$3:$H28),"")</f>
        <v>43870.281999999999</v>
      </c>
      <c r="AA28">
        <f>IFERROR(SUM($I$3:$I28),"")</f>
        <v>66525.801000000007</v>
      </c>
      <c r="AB28">
        <f>IFERROR(SUM($J$3:$J28),"")</f>
        <v>36969.578999999998</v>
      </c>
      <c r="AC28">
        <f t="shared" si="6"/>
        <v>103495.38</v>
      </c>
      <c r="AD28">
        <f t="shared" si="7"/>
        <v>42.388638024228712</v>
      </c>
      <c r="AE28">
        <f t="shared" si="8"/>
        <v>64.279005497636703</v>
      </c>
      <c r="AF28">
        <f>IFERROR(SUM($K$3:$K28),"")</f>
        <v>36957.526999999995</v>
      </c>
      <c r="AG28">
        <f>IFERROR(SUM($L$3:$L28),"")</f>
        <v>46658.525000000001</v>
      </c>
      <c r="AH28">
        <f>IFERROR(SUM($M$3:$M28),"")</f>
        <v>25631.920000000002</v>
      </c>
      <c r="AI28">
        <f t="shared" si="9"/>
        <v>72290.445000000007</v>
      </c>
      <c r="AJ28">
        <f t="shared" si="10"/>
        <v>51.123667865096131</v>
      </c>
      <c r="AK28">
        <f t="shared" si="11"/>
        <v>64.543142596507735</v>
      </c>
    </row>
    <row r="29" spans="1:37" x14ac:dyDescent="0.35">
      <c r="A29">
        <v>1876</v>
      </c>
      <c r="B29">
        <v>2524.0619999999999</v>
      </c>
      <c r="C29">
        <v>3545.3879999999999</v>
      </c>
      <c r="D29">
        <v>1261.836</v>
      </c>
      <c r="E29">
        <v>2001.732</v>
      </c>
      <c r="F29">
        <v>2371.6559999999999</v>
      </c>
      <c r="G29">
        <v>747.40499999999997</v>
      </c>
      <c r="H29">
        <v>2524.0619999999999</v>
      </c>
      <c r="I29">
        <v>3545.3879999999999</v>
      </c>
      <c r="J29">
        <v>1261.836</v>
      </c>
      <c r="K29">
        <v>1996.0440000000001</v>
      </c>
      <c r="L29">
        <v>2429.0070000000001</v>
      </c>
      <c r="M29">
        <v>987.38800000000003</v>
      </c>
      <c r="N29">
        <f>IFERROR(SUM($B$3:$B29),"")</f>
        <v>46394.345000000001</v>
      </c>
      <c r="O29">
        <f>IFERROR(SUM($C$3:$C29),"")</f>
        <v>70071.188000000009</v>
      </c>
      <c r="P29">
        <f>IFERROR(SUM($D$3:$D29),"")</f>
        <v>38231.413999999997</v>
      </c>
      <c r="Q29">
        <f t="shared" si="0"/>
        <v>108302.60200000001</v>
      </c>
      <c r="R29">
        <f t="shared" si="1"/>
        <v>42.837701166219439</v>
      </c>
      <c r="S29">
        <f t="shared" si="2"/>
        <v>64.699450157254773</v>
      </c>
      <c r="T29">
        <f>IFERROR(SUM($E$3:$E29),"")</f>
        <v>38984.332000000009</v>
      </c>
      <c r="U29">
        <f>IFERROR(SUM($F$3:$F29),"")</f>
        <v>48144.705999999998</v>
      </c>
      <c r="V29">
        <f>IFERROR(SUM($G$3:$G29),"")</f>
        <v>18160.089999999997</v>
      </c>
      <c r="W29">
        <f t="shared" si="3"/>
        <v>66304.796000000002</v>
      </c>
      <c r="X29">
        <f t="shared" si="4"/>
        <v>58.795644284917202</v>
      </c>
      <c r="Y29">
        <f t="shared" si="5"/>
        <v>72.611196933627539</v>
      </c>
      <c r="Z29">
        <f>IFERROR(SUM($H$3:$H29),"")</f>
        <v>46394.343999999997</v>
      </c>
      <c r="AA29">
        <f>IFERROR(SUM($I$3:$I29),"")</f>
        <v>70071.189000000013</v>
      </c>
      <c r="AB29">
        <f>IFERROR(SUM($J$3:$J29),"")</f>
        <v>38231.415000000001</v>
      </c>
      <c r="AC29">
        <f t="shared" si="6"/>
        <v>108302.60400000002</v>
      </c>
      <c r="AD29">
        <f t="shared" si="7"/>
        <v>42.837699451806337</v>
      </c>
      <c r="AE29">
        <f t="shared" si="8"/>
        <v>64.69944988580329</v>
      </c>
      <c r="AF29">
        <f>IFERROR(SUM($K$3:$K29),"")</f>
        <v>38953.570999999996</v>
      </c>
      <c r="AG29">
        <f>IFERROR(SUM($L$3:$L29),"")</f>
        <v>49087.531999999999</v>
      </c>
      <c r="AH29">
        <f>IFERROR(SUM($M$3:$M29),"")</f>
        <v>26619.308000000001</v>
      </c>
      <c r="AI29">
        <f t="shared" si="9"/>
        <v>75706.84</v>
      </c>
      <c r="AJ29">
        <f t="shared" si="10"/>
        <v>51.453172527079452</v>
      </c>
      <c r="AK29">
        <f t="shared" si="11"/>
        <v>64.83896567337905</v>
      </c>
    </row>
    <row r="30" spans="1:37" x14ac:dyDescent="0.35">
      <c r="A30">
        <v>1877</v>
      </c>
      <c r="B30">
        <v>2592.6619999999998</v>
      </c>
      <c r="C30">
        <v>3626.8029999999999</v>
      </c>
      <c r="D30">
        <v>1292.5070000000001</v>
      </c>
      <c r="E30">
        <v>2037.1310000000001</v>
      </c>
      <c r="F30">
        <v>2406.6179999999999</v>
      </c>
      <c r="G30">
        <v>751.89499999999998</v>
      </c>
      <c r="H30">
        <v>2592.6619999999998</v>
      </c>
      <c r="I30">
        <v>3626.8029999999999</v>
      </c>
      <c r="J30">
        <v>1292.5070000000001</v>
      </c>
      <c r="K30">
        <v>2044.258</v>
      </c>
      <c r="L30">
        <v>2482.7080000000001</v>
      </c>
      <c r="M30">
        <v>1004.338</v>
      </c>
      <c r="N30">
        <f>IFERROR(SUM($B$3:$B30),"")</f>
        <v>48987.006999999998</v>
      </c>
      <c r="O30">
        <f>IFERROR(SUM($C$3:$C30),"")</f>
        <v>73697.991000000009</v>
      </c>
      <c r="P30">
        <f>IFERROR(SUM($D$3:$D30),"")</f>
        <v>39523.920999999995</v>
      </c>
      <c r="Q30">
        <f t="shared" si="0"/>
        <v>113221.91200000001</v>
      </c>
      <c r="R30">
        <f t="shared" si="1"/>
        <v>43.266366142977688</v>
      </c>
      <c r="S30">
        <f t="shared" si="2"/>
        <v>65.091632616131761</v>
      </c>
      <c r="T30">
        <f>IFERROR(SUM($E$3:$E30),"")</f>
        <v>41021.463000000011</v>
      </c>
      <c r="U30">
        <f>IFERROR(SUM($F$3:$F30),"")</f>
        <v>50551.324000000001</v>
      </c>
      <c r="V30">
        <f>IFERROR(SUM($G$3:$G30),"")</f>
        <v>18911.984999999997</v>
      </c>
      <c r="W30">
        <f t="shared" si="3"/>
        <v>69463.308999999994</v>
      </c>
      <c r="X30">
        <f t="shared" si="4"/>
        <v>59.054864489683347</v>
      </c>
      <c r="Y30">
        <f t="shared" si="5"/>
        <v>72.774137494659243</v>
      </c>
      <c r="Z30">
        <f>IFERROR(SUM($H$3:$H30),"")</f>
        <v>48987.005999999994</v>
      </c>
      <c r="AA30">
        <f>IFERROR(SUM($I$3:$I30),"")</f>
        <v>73697.992000000013</v>
      </c>
      <c r="AB30">
        <f>IFERROR(SUM($J$3:$J30),"")</f>
        <v>39523.921999999999</v>
      </c>
      <c r="AC30">
        <f t="shared" si="6"/>
        <v>113221.91400000002</v>
      </c>
      <c r="AD30">
        <f t="shared" si="7"/>
        <v>43.266364495480957</v>
      </c>
      <c r="AE30">
        <f t="shared" si="8"/>
        <v>65.091632349546742</v>
      </c>
      <c r="AF30">
        <f>IFERROR(SUM($K$3:$K30),"")</f>
        <v>40997.828999999998</v>
      </c>
      <c r="AG30">
        <f>IFERROR(SUM($L$3:$L30),"")</f>
        <v>51570.239999999998</v>
      </c>
      <c r="AH30">
        <f>IFERROR(SUM($M$3:$M30),"")</f>
        <v>27623.646000000001</v>
      </c>
      <c r="AI30">
        <f t="shared" si="9"/>
        <v>79193.885999999999</v>
      </c>
      <c r="AJ30">
        <f t="shared" si="10"/>
        <v>51.768932010736279</v>
      </c>
      <c r="AK30">
        <f t="shared" si="11"/>
        <v>65.118966380813788</v>
      </c>
    </row>
    <row r="31" spans="1:37" x14ac:dyDescent="0.35">
      <c r="A31">
        <v>1878</v>
      </c>
      <c r="B31">
        <v>2640.9369999999999</v>
      </c>
      <c r="C31">
        <v>3696.2710000000002</v>
      </c>
      <c r="D31">
        <v>1290.058</v>
      </c>
      <c r="E31">
        <v>2056.4650000000001</v>
      </c>
      <c r="F31">
        <v>2430.223</v>
      </c>
      <c r="G31">
        <v>757.56600000000003</v>
      </c>
      <c r="H31">
        <v>2640.9369999999999</v>
      </c>
      <c r="I31">
        <v>3696.2710000000002</v>
      </c>
      <c r="J31">
        <v>1290.058</v>
      </c>
      <c r="K31">
        <v>2074.4270000000001</v>
      </c>
      <c r="L31">
        <v>2527.598</v>
      </c>
      <c r="M31">
        <v>1005.6950000000001</v>
      </c>
      <c r="N31">
        <f>IFERROR(SUM($B$3:$B31),"")</f>
        <v>51627.943999999996</v>
      </c>
      <c r="O31">
        <f>IFERROR(SUM($C$3:$C31),"")</f>
        <v>77394.262000000002</v>
      </c>
      <c r="P31">
        <f>IFERROR(SUM($D$3:$D31),"")</f>
        <v>40813.978999999992</v>
      </c>
      <c r="Q31">
        <f t="shared" si="0"/>
        <v>118208.24099999999</v>
      </c>
      <c r="R31">
        <f t="shared" si="1"/>
        <v>43.675418535328681</v>
      </c>
      <c r="S31">
        <f t="shared" si="2"/>
        <v>65.472814200830555</v>
      </c>
      <c r="T31">
        <f>IFERROR(SUM($E$3:$E31),"")</f>
        <v>43077.928000000014</v>
      </c>
      <c r="U31">
        <f>IFERROR(SUM($F$3:$F31),"")</f>
        <v>52981.546999999999</v>
      </c>
      <c r="V31">
        <f>IFERROR(SUM($G$3:$G31),"")</f>
        <v>19669.550999999996</v>
      </c>
      <c r="W31">
        <f t="shared" si="3"/>
        <v>72651.097999999998</v>
      </c>
      <c r="X31">
        <f t="shared" si="4"/>
        <v>59.294255951919709</v>
      </c>
      <c r="Y31">
        <f t="shared" si="5"/>
        <v>72.926010010199704</v>
      </c>
      <c r="Z31">
        <f>IFERROR(SUM($H$3:$H31),"")</f>
        <v>51627.942999999992</v>
      </c>
      <c r="AA31">
        <f>IFERROR(SUM($I$3:$I31),"")</f>
        <v>77394.263000000006</v>
      </c>
      <c r="AB31">
        <f>IFERROR(SUM($J$3:$J31),"")</f>
        <v>40813.979999999996</v>
      </c>
      <c r="AC31">
        <f t="shared" si="6"/>
        <v>118208.243</v>
      </c>
      <c r="AD31">
        <f t="shared" si="7"/>
        <v>43.675416950406742</v>
      </c>
      <c r="AE31">
        <f t="shared" si="8"/>
        <v>65.472813939041458</v>
      </c>
      <c r="AF31">
        <f>IFERROR(SUM($K$3:$K31),"")</f>
        <v>43072.256000000001</v>
      </c>
      <c r="AG31">
        <f>IFERROR(SUM($L$3:$L31),"")</f>
        <v>54097.837999999996</v>
      </c>
      <c r="AH31">
        <f>IFERROR(SUM($M$3:$M31),"")</f>
        <v>28629.341</v>
      </c>
      <c r="AI31">
        <f t="shared" si="9"/>
        <v>82727.179000000004</v>
      </c>
      <c r="AJ31">
        <f t="shared" si="10"/>
        <v>52.065423384012647</v>
      </c>
      <c r="AK31">
        <f t="shared" si="11"/>
        <v>65.393065077197903</v>
      </c>
    </row>
    <row r="32" spans="1:37" x14ac:dyDescent="0.35">
      <c r="A32">
        <v>1879</v>
      </c>
      <c r="B32">
        <v>2737.42</v>
      </c>
      <c r="C32">
        <v>3808.3890000000001</v>
      </c>
      <c r="D32">
        <v>1282.0119999999999</v>
      </c>
      <c r="E32">
        <v>2126.4270000000001</v>
      </c>
      <c r="F32">
        <v>2503.7139999999999</v>
      </c>
      <c r="G32">
        <v>762.97900000000004</v>
      </c>
      <c r="H32">
        <v>2737.42</v>
      </c>
      <c r="I32">
        <v>3808.3890000000001</v>
      </c>
      <c r="J32">
        <v>1282.0119999999999</v>
      </c>
      <c r="K32">
        <v>2155.1289999999999</v>
      </c>
      <c r="L32">
        <v>2618.2269999999999</v>
      </c>
      <c r="M32">
        <v>1006.793</v>
      </c>
      <c r="N32">
        <f>IFERROR(SUM($B$3:$B32),"")</f>
        <v>54365.363999999994</v>
      </c>
      <c r="O32">
        <f>IFERROR(SUM($C$3:$C32),"")</f>
        <v>81202.650999999998</v>
      </c>
      <c r="P32">
        <f>IFERROR(SUM($D$3:$D32),"")</f>
        <v>42095.990999999995</v>
      </c>
      <c r="Q32">
        <f t="shared" si="0"/>
        <v>123298.64199999999</v>
      </c>
      <c r="R32">
        <f t="shared" si="1"/>
        <v>44.092427230463741</v>
      </c>
      <c r="S32">
        <f t="shared" si="2"/>
        <v>65.858512050765327</v>
      </c>
      <c r="T32">
        <f>IFERROR(SUM($E$3:$E32),"")</f>
        <v>45204.355000000018</v>
      </c>
      <c r="U32">
        <f>IFERROR(SUM($F$3:$F32),"")</f>
        <v>55485.260999999999</v>
      </c>
      <c r="V32">
        <f>IFERROR(SUM($G$3:$G32),"")</f>
        <v>20432.529999999995</v>
      </c>
      <c r="W32">
        <f t="shared" si="3"/>
        <v>75917.790999999997</v>
      </c>
      <c r="X32">
        <f t="shared" si="4"/>
        <v>59.543822870188649</v>
      </c>
      <c r="Y32">
        <f t="shared" si="5"/>
        <v>73.085979279876568</v>
      </c>
      <c r="Z32">
        <f>IFERROR(SUM($H$3:$H32),"")</f>
        <v>54365.36299999999</v>
      </c>
      <c r="AA32">
        <f>IFERROR(SUM($I$3:$I32),"")</f>
        <v>81202.652000000002</v>
      </c>
      <c r="AB32">
        <f>IFERROR(SUM($J$3:$J32),"")</f>
        <v>42095.991999999998</v>
      </c>
      <c r="AC32">
        <f t="shared" si="6"/>
        <v>123298.644</v>
      </c>
      <c r="AD32">
        <f t="shared" si="7"/>
        <v>44.092425704211308</v>
      </c>
      <c r="AE32">
        <f t="shared" si="8"/>
        <v>65.858511793527924</v>
      </c>
      <c r="AF32">
        <f>IFERROR(SUM($K$3:$K32),"")</f>
        <v>45227.385000000002</v>
      </c>
      <c r="AG32">
        <f>IFERROR(SUM($L$3:$L32),"")</f>
        <v>56716.064999999995</v>
      </c>
      <c r="AH32">
        <f>IFERROR(SUM($M$3:$M32),"")</f>
        <v>29636.134000000002</v>
      </c>
      <c r="AI32">
        <f t="shared" si="9"/>
        <v>86352.198999999993</v>
      </c>
      <c r="AJ32">
        <f t="shared" si="10"/>
        <v>52.375487276241806</v>
      </c>
      <c r="AK32">
        <f t="shared" si="11"/>
        <v>65.679931324041902</v>
      </c>
    </row>
    <row r="33" spans="1:37" x14ac:dyDescent="0.35">
      <c r="A33">
        <v>1880</v>
      </c>
      <c r="B33">
        <v>2688.2570000000001</v>
      </c>
      <c r="C33">
        <v>3792.0459999999998</v>
      </c>
      <c r="D33">
        <v>1423.4010000000001</v>
      </c>
      <c r="E33">
        <v>2248.683</v>
      </c>
      <c r="F33">
        <v>2629.2510000000002</v>
      </c>
      <c r="G33">
        <v>767.91499999999996</v>
      </c>
      <c r="H33">
        <v>2688.2570000000001</v>
      </c>
      <c r="I33">
        <v>3792.0459999999998</v>
      </c>
      <c r="J33">
        <v>1423.4010000000001</v>
      </c>
      <c r="K33">
        <v>2249.2109999999998</v>
      </c>
      <c r="L33">
        <v>2725.6030000000001</v>
      </c>
      <c r="M33">
        <v>1063.0999999999999</v>
      </c>
      <c r="N33">
        <f>IFERROR(SUM($B$3:$B33),"")</f>
        <v>57053.620999999992</v>
      </c>
      <c r="O33">
        <f>IFERROR(SUM($C$3:$C33),"")</f>
        <v>84994.697</v>
      </c>
      <c r="P33">
        <f>IFERROR(SUM($D$3:$D33),"")</f>
        <v>43519.391999999993</v>
      </c>
      <c r="Q33">
        <f t="shared" si="0"/>
        <v>128514.08899999999</v>
      </c>
      <c r="R33">
        <f t="shared" si="1"/>
        <v>44.394837518554091</v>
      </c>
      <c r="S33">
        <f t="shared" si="2"/>
        <v>66.136481736255391</v>
      </c>
      <c r="T33">
        <f>IFERROR(SUM($E$3:$E33),"")</f>
        <v>47453.038000000015</v>
      </c>
      <c r="U33">
        <f>IFERROR(SUM($F$3:$F33),"")</f>
        <v>58114.512000000002</v>
      </c>
      <c r="V33">
        <f>IFERROR(SUM($G$3:$G33),"")</f>
        <v>21200.444999999996</v>
      </c>
      <c r="W33">
        <f t="shared" si="3"/>
        <v>79314.956999999995</v>
      </c>
      <c r="X33">
        <f t="shared" si="4"/>
        <v>59.828612149408364</v>
      </c>
      <c r="Y33">
        <f t="shared" si="5"/>
        <v>73.270558540427629</v>
      </c>
      <c r="Z33">
        <f>IFERROR(SUM($H$3:$H33),"")</f>
        <v>57053.619999999988</v>
      </c>
      <c r="AA33">
        <f>IFERROR(SUM($I$3:$I33),"")</f>
        <v>84994.698000000004</v>
      </c>
      <c r="AB33">
        <f>IFERROR(SUM($J$3:$J33),"")</f>
        <v>43519.392999999996</v>
      </c>
      <c r="AC33">
        <f t="shared" si="6"/>
        <v>128514.091</v>
      </c>
      <c r="AD33">
        <f t="shared" si="7"/>
        <v>44.394836049534824</v>
      </c>
      <c r="AE33">
        <f t="shared" si="8"/>
        <v>66.136481485131469</v>
      </c>
      <c r="AF33">
        <f>IFERROR(SUM($K$3:$K33),"")</f>
        <v>47476.596000000005</v>
      </c>
      <c r="AG33">
        <f>IFERROR(SUM($L$3:$L33),"")</f>
        <v>59441.667999999998</v>
      </c>
      <c r="AH33">
        <f>IFERROR(SUM($M$3:$M33),"")</f>
        <v>30699.234</v>
      </c>
      <c r="AI33">
        <f t="shared" si="9"/>
        <v>90140.902000000002</v>
      </c>
      <c r="AJ33">
        <f t="shared" si="10"/>
        <v>52.66931542353548</v>
      </c>
      <c r="AK33">
        <f t="shared" si="11"/>
        <v>65.943058790336934</v>
      </c>
    </row>
    <row r="34" spans="1:37" x14ac:dyDescent="0.35">
      <c r="A34">
        <v>1881</v>
      </c>
      <c r="B34">
        <v>2623.6219999999998</v>
      </c>
      <c r="C34">
        <v>3738.0720000000001</v>
      </c>
      <c r="D34">
        <v>1487.3140000000001</v>
      </c>
      <c r="E34">
        <v>2288.7240000000002</v>
      </c>
      <c r="F34">
        <v>2671.3290000000002</v>
      </c>
      <c r="G34">
        <v>885.10799999999995</v>
      </c>
      <c r="H34">
        <v>2623.6219999999998</v>
      </c>
      <c r="I34">
        <v>3738.0720000000001</v>
      </c>
      <c r="J34">
        <v>1487.3140000000001</v>
      </c>
      <c r="K34">
        <v>2202.239</v>
      </c>
      <c r="L34">
        <v>2674.4340000000002</v>
      </c>
      <c r="M34">
        <v>1113.922</v>
      </c>
      <c r="N34">
        <f>IFERROR(SUM($B$3:$B34),"")</f>
        <v>59677.242999999995</v>
      </c>
      <c r="O34">
        <f>IFERROR(SUM($C$3:$C34),"")</f>
        <v>88732.769</v>
      </c>
      <c r="P34">
        <f>IFERROR(SUM($D$3:$D34),"")</f>
        <v>45006.705999999991</v>
      </c>
      <c r="Q34">
        <f t="shared" si="0"/>
        <v>133739.47499999998</v>
      </c>
      <c r="R34">
        <f t="shared" si="1"/>
        <v>44.622010816178246</v>
      </c>
      <c r="S34">
        <f t="shared" si="2"/>
        <v>66.347478184731941</v>
      </c>
      <c r="T34">
        <f>IFERROR(SUM($E$3:$E34),"")</f>
        <v>49741.762000000017</v>
      </c>
      <c r="U34">
        <f>IFERROR(SUM($F$3:$F34),"")</f>
        <v>60785.841</v>
      </c>
      <c r="V34">
        <f>IFERROR(SUM($G$3:$G34),"")</f>
        <v>22085.552999999996</v>
      </c>
      <c r="W34">
        <f t="shared" si="3"/>
        <v>82871.394</v>
      </c>
      <c r="X34">
        <f t="shared" si="4"/>
        <v>60.022837313440171</v>
      </c>
      <c r="Y34">
        <f t="shared" si="5"/>
        <v>73.349606017246444</v>
      </c>
      <c r="Z34">
        <f>IFERROR(SUM($H$3:$H34),"")</f>
        <v>59677.241999999991</v>
      </c>
      <c r="AA34">
        <f>IFERROR(SUM($I$3:$I34),"")</f>
        <v>88732.77</v>
      </c>
      <c r="AB34">
        <f>IFERROR(SUM($J$3:$J34),"")</f>
        <v>45006.706999999995</v>
      </c>
      <c r="AC34">
        <f t="shared" si="6"/>
        <v>133739.47700000001</v>
      </c>
      <c r="AD34">
        <f t="shared" si="7"/>
        <v>44.62200940115833</v>
      </c>
      <c r="AE34">
        <f t="shared" si="8"/>
        <v>66.347477940264412</v>
      </c>
      <c r="AF34">
        <f>IFERROR(SUM($K$3:$K34),"")</f>
        <v>49678.835000000006</v>
      </c>
      <c r="AG34">
        <f>IFERROR(SUM($L$3:$L34),"")</f>
        <v>62116.101999999999</v>
      </c>
      <c r="AH34">
        <f>IFERROR(SUM($M$3:$M34),"")</f>
        <v>31813.155999999999</v>
      </c>
      <c r="AI34">
        <f t="shared" si="9"/>
        <v>93929.258000000002</v>
      </c>
      <c r="AJ34">
        <f t="shared" si="10"/>
        <v>52.889627851632767</v>
      </c>
      <c r="AK34">
        <f t="shared" si="11"/>
        <v>66.130727871820298</v>
      </c>
    </row>
    <row r="35" spans="1:37" x14ac:dyDescent="0.35">
      <c r="A35">
        <v>1882</v>
      </c>
      <c r="B35">
        <v>2677.5590000000002</v>
      </c>
      <c r="C35">
        <v>3813.681</v>
      </c>
      <c r="D35">
        <v>1548.82</v>
      </c>
      <c r="E35">
        <v>2137.1350000000002</v>
      </c>
      <c r="F35">
        <v>2522.2249999999999</v>
      </c>
      <c r="G35">
        <v>918.08299999999997</v>
      </c>
      <c r="H35">
        <v>2677.5590000000002</v>
      </c>
      <c r="I35">
        <v>3813.681</v>
      </c>
      <c r="J35">
        <v>1548.82</v>
      </c>
      <c r="K35">
        <v>2271.8090000000002</v>
      </c>
      <c r="L35">
        <v>2754.59</v>
      </c>
      <c r="M35">
        <v>1148.472</v>
      </c>
      <c r="N35">
        <f>IFERROR(SUM($B$3:$B35),"")</f>
        <v>62354.801999999996</v>
      </c>
      <c r="O35">
        <f>IFERROR(SUM($C$3:$C35),"")</f>
        <v>92546.45</v>
      </c>
      <c r="P35">
        <f>IFERROR(SUM($D$3:$D35),"")</f>
        <v>46555.525999999991</v>
      </c>
      <c r="Q35">
        <f t="shared" ref="Q35:Q66" si="12">IFERROR(O35+P35,"")</f>
        <v>139101.976</v>
      </c>
      <c r="R35">
        <f t="shared" ref="R35:R66" si="13">IFERROR(N35/Q35*100,NA())</f>
        <v>44.826683123466196</v>
      </c>
      <c r="S35">
        <f t="shared" ref="S35:S66" si="14">IFERROR(O35/Q35*100,NA())</f>
        <v>66.531369762856571</v>
      </c>
      <c r="T35">
        <f>IFERROR(SUM($E$3:$E35),"")</f>
        <v>51878.897000000019</v>
      </c>
      <c r="U35">
        <f>IFERROR(SUM($F$3:$F35),"")</f>
        <v>63308.065999999999</v>
      </c>
      <c r="V35">
        <f>IFERROR(SUM($G$3:$G35),"")</f>
        <v>23003.635999999995</v>
      </c>
      <c r="W35">
        <f t="shared" ref="W35:W66" si="15">IFERROR(U35+V35,"")</f>
        <v>86311.70199999999</v>
      </c>
      <c r="X35">
        <f t="shared" ref="X35:X66" si="16">IFERROR(T35/W35*100,NA())</f>
        <v>60.106446516371584</v>
      </c>
      <c r="Y35">
        <f t="shared" ref="Y35:Y66" si="17">IFERROR(U35/W35*100,NA())</f>
        <v>73.34818400406472</v>
      </c>
      <c r="Z35">
        <f>IFERROR(SUM($H$3:$H35),"")</f>
        <v>62354.800999999992</v>
      </c>
      <c r="AA35">
        <f>IFERROR(SUM($I$3:$I35),"")</f>
        <v>92546.451000000001</v>
      </c>
      <c r="AB35">
        <f>IFERROR(SUM($J$3:$J35),"")</f>
        <v>46555.526999999995</v>
      </c>
      <c r="AC35">
        <f t="shared" ref="AC35:AC66" si="18">IFERROR(AA35+AB35,"")</f>
        <v>139101.978</v>
      </c>
      <c r="AD35">
        <f t="shared" ref="AD35:AD66" si="19">IFERROR(Z35/AC35*100,NA())</f>
        <v>44.826681760053759</v>
      </c>
      <c r="AE35">
        <f t="shared" ref="AE35:AE66" si="20">IFERROR(AA35/AC35*100,NA())</f>
        <v>66.531369525169509</v>
      </c>
      <c r="AF35">
        <f>IFERROR(SUM($K$3:$K35),"")</f>
        <v>51950.644000000008</v>
      </c>
      <c r="AG35">
        <f>IFERROR(SUM($L$3:$L35),"")</f>
        <v>64870.691999999995</v>
      </c>
      <c r="AH35">
        <f>IFERROR(SUM($M$3:$M35),"")</f>
        <v>32961.627999999997</v>
      </c>
      <c r="AI35">
        <f t="shared" ref="AI35:AI66" si="21">IFERROR(AG35+AH35,"")</f>
        <v>97832.319999999992</v>
      </c>
      <c r="AJ35">
        <f t="shared" ref="AJ35:AJ66" si="22">IFERROR(AF35/AI35*100,NA())</f>
        <v>53.101719350006228</v>
      </c>
      <c r="AK35">
        <f t="shared" ref="AK35:AK66" si="23">IFERROR(AG35/AI35*100,NA())</f>
        <v>66.308038079849268</v>
      </c>
    </row>
    <row r="36" spans="1:37" x14ac:dyDescent="0.35">
      <c r="A36">
        <v>1883</v>
      </c>
      <c r="B36">
        <v>2745.018</v>
      </c>
      <c r="C36">
        <v>3900.6480000000001</v>
      </c>
      <c r="D36">
        <v>1577.8720000000001</v>
      </c>
      <c r="E36">
        <v>2186.203</v>
      </c>
      <c r="F36">
        <v>2578.4</v>
      </c>
      <c r="G36">
        <v>944.74900000000002</v>
      </c>
      <c r="H36">
        <v>2745.018</v>
      </c>
      <c r="I36">
        <v>3900.6480000000001</v>
      </c>
      <c r="J36">
        <v>1577.8720000000001</v>
      </c>
      <c r="K36">
        <v>2354.203</v>
      </c>
      <c r="L36">
        <v>2847.096</v>
      </c>
      <c r="M36">
        <v>1173.702</v>
      </c>
      <c r="N36">
        <f>IFERROR(SUM($B$3:$B36),"")</f>
        <v>65099.819999999992</v>
      </c>
      <c r="O36">
        <f>IFERROR(SUM($C$3:$C36),"")</f>
        <v>96447.097999999998</v>
      </c>
      <c r="P36">
        <f>IFERROR(SUM($D$3:$D36),"")</f>
        <v>48133.397999999994</v>
      </c>
      <c r="Q36">
        <f t="shared" si="12"/>
        <v>144580.49599999998</v>
      </c>
      <c r="R36">
        <f t="shared" si="13"/>
        <v>45.026695716965861</v>
      </c>
      <c r="S36">
        <f t="shared" si="14"/>
        <v>66.708235666863402</v>
      </c>
      <c r="T36">
        <f>IFERROR(SUM($E$3:$E36),"")</f>
        <v>54065.10000000002</v>
      </c>
      <c r="U36">
        <f>IFERROR(SUM($F$3:$F36),"")</f>
        <v>65886.466</v>
      </c>
      <c r="V36">
        <f>IFERROR(SUM($G$3:$G36),"")</f>
        <v>23948.384999999995</v>
      </c>
      <c r="W36">
        <f t="shared" si="15"/>
        <v>89834.850999999995</v>
      </c>
      <c r="X36">
        <f t="shared" si="16"/>
        <v>60.182768043996674</v>
      </c>
      <c r="Y36">
        <f t="shared" si="17"/>
        <v>73.341765769723381</v>
      </c>
      <c r="Z36">
        <f>IFERROR(SUM($H$3:$H36),"")</f>
        <v>65099.818999999989</v>
      </c>
      <c r="AA36">
        <f>IFERROR(SUM($I$3:$I36),"")</f>
        <v>96447.099000000002</v>
      </c>
      <c r="AB36">
        <f>IFERROR(SUM($J$3:$J36),"")</f>
        <v>48133.398999999998</v>
      </c>
      <c r="AC36">
        <f t="shared" si="18"/>
        <v>144580.49799999999</v>
      </c>
      <c r="AD36">
        <f t="shared" si="19"/>
        <v>45.026694402449763</v>
      </c>
      <c r="AE36">
        <f t="shared" si="20"/>
        <v>66.708235435736299</v>
      </c>
      <c r="AF36">
        <f>IFERROR(SUM($K$3:$K36),"")</f>
        <v>54304.847000000009</v>
      </c>
      <c r="AG36">
        <f>IFERROR(SUM($L$3:$L36),"")</f>
        <v>67717.788</v>
      </c>
      <c r="AH36">
        <f>IFERROR(SUM($M$3:$M36),"")</f>
        <v>34135.329999999994</v>
      </c>
      <c r="AI36">
        <f t="shared" si="21"/>
        <v>101853.11799999999</v>
      </c>
      <c r="AJ36">
        <f t="shared" si="22"/>
        <v>53.316823349482554</v>
      </c>
      <c r="AK36">
        <f t="shared" si="23"/>
        <v>66.485728988679568</v>
      </c>
    </row>
    <row r="37" spans="1:37" x14ac:dyDescent="0.35">
      <c r="A37">
        <v>1884</v>
      </c>
      <c r="B37">
        <v>2727.6669999999999</v>
      </c>
      <c r="C37">
        <v>3910.0610000000001</v>
      </c>
      <c r="D37">
        <v>1584.3779999999999</v>
      </c>
      <c r="E37">
        <v>2190.759</v>
      </c>
      <c r="F37">
        <v>2585.8510000000001</v>
      </c>
      <c r="G37">
        <v>968.3</v>
      </c>
      <c r="H37">
        <v>2727.6660000000002</v>
      </c>
      <c r="I37">
        <v>3910.0610000000001</v>
      </c>
      <c r="J37">
        <v>1584.3779999999999</v>
      </c>
      <c r="K37">
        <v>2350.8560000000002</v>
      </c>
      <c r="L37">
        <v>2862.3240000000001</v>
      </c>
      <c r="M37">
        <v>1173.2729999999999</v>
      </c>
      <c r="N37">
        <f>IFERROR(SUM($B$3:$B37),"")</f>
        <v>67827.486999999994</v>
      </c>
      <c r="O37">
        <f>IFERROR(SUM($C$3:$C37),"")</f>
        <v>100357.159</v>
      </c>
      <c r="P37">
        <f>IFERROR(SUM($D$3:$D37),"")</f>
        <v>49717.775999999991</v>
      </c>
      <c r="Q37">
        <f t="shared" si="12"/>
        <v>150074.935</v>
      </c>
      <c r="R37">
        <f t="shared" si="13"/>
        <v>45.195746378300946</v>
      </c>
      <c r="S37">
        <f t="shared" si="14"/>
        <v>66.871365961277945</v>
      </c>
      <c r="T37">
        <f>IFERROR(SUM($E$3:$E37),"")</f>
        <v>56255.859000000019</v>
      </c>
      <c r="U37">
        <f>IFERROR(SUM($F$3:$F37),"")</f>
        <v>68472.316999999995</v>
      </c>
      <c r="V37">
        <f>IFERROR(SUM($G$3:$G37),"")</f>
        <v>24916.684999999994</v>
      </c>
      <c r="W37">
        <f t="shared" si="15"/>
        <v>93389.001999999993</v>
      </c>
      <c r="X37">
        <f t="shared" si="16"/>
        <v>60.238205565147837</v>
      </c>
      <c r="Y37">
        <f t="shared" si="17"/>
        <v>73.319465390582067</v>
      </c>
      <c r="Z37">
        <f>IFERROR(SUM($H$3:$H37),"")</f>
        <v>67827.484999999986</v>
      </c>
      <c r="AA37">
        <f>IFERROR(SUM($I$3:$I37),"")</f>
        <v>100357.16</v>
      </c>
      <c r="AB37">
        <f>IFERROR(SUM($J$3:$J37),"")</f>
        <v>49717.776999999995</v>
      </c>
      <c r="AC37">
        <f t="shared" si="18"/>
        <v>150074.93700000001</v>
      </c>
      <c r="AD37">
        <f t="shared" si="19"/>
        <v>45.19574444332433</v>
      </c>
      <c r="AE37">
        <f t="shared" si="20"/>
        <v>66.871365736438719</v>
      </c>
      <c r="AF37">
        <f>IFERROR(SUM($K$3:$K37),"")</f>
        <v>56655.703000000009</v>
      </c>
      <c r="AG37">
        <f>IFERROR(SUM($L$3:$L37),"")</f>
        <v>70580.111999999994</v>
      </c>
      <c r="AH37">
        <f>IFERROR(SUM($M$3:$M37),"")</f>
        <v>35308.602999999996</v>
      </c>
      <c r="AI37">
        <f t="shared" si="21"/>
        <v>105888.715</v>
      </c>
      <c r="AJ37">
        <f t="shared" si="22"/>
        <v>53.504949040131436</v>
      </c>
      <c r="AK37">
        <f t="shared" si="23"/>
        <v>66.654989627553789</v>
      </c>
    </row>
    <row r="38" spans="1:37" x14ac:dyDescent="0.35">
      <c r="A38">
        <v>1885</v>
      </c>
      <c r="B38">
        <v>2705.8220000000001</v>
      </c>
      <c r="C38">
        <v>3908.114</v>
      </c>
      <c r="D38">
        <v>1597.4970000000001</v>
      </c>
      <c r="E38">
        <v>2191.6790000000001</v>
      </c>
      <c r="F38">
        <v>2591.2939999999999</v>
      </c>
      <c r="G38">
        <v>988.16300000000001</v>
      </c>
      <c r="H38">
        <v>2705.8220000000001</v>
      </c>
      <c r="I38">
        <v>3908.114</v>
      </c>
      <c r="J38">
        <v>1597.4970000000001</v>
      </c>
      <c r="K38">
        <v>2341.5</v>
      </c>
      <c r="L38">
        <v>2865.7809999999999</v>
      </c>
      <c r="M38">
        <v>1178.914</v>
      </c>
      <c r="N38">
        <f>IFERROR(SUM($B$3:$B38),"")</f>
        <v>70533.308999999994</v>
      </c>
      <c r="O38">
        <f>IFERROR(SUM($C$3:$C38),"")</f>
        <v>104265.273</v>
      </c>
      <c r="P38">
        <f>IFERROR(SUM($D$3:$D38),"")</f>
        <v>51315.272999999994</v>
      </c>
      <c r="Q38">
        <f t="shared" si="12"/>
        <v>155580.546</v>
      </c>
      <c r="R38">
        <f t="shared" si="13"/>
        <v>45.335558213042901</v>
      </c>
      <c r="S38">
        <f t="shared" si="14"/>
        <v>67.016909042085501</v>
      </c>
      <c r="T38">
        <f>IFERROR(SUM($E$3:$E38),"")</f>
        <v>58447.538000000015</v>
      </c>
      <c r="U38">
        <f>IFERROR(SUM($F$3:$F38),"")</f>
        <v>71063.61099999999</v>
      </c>
      <c r="V38">
        <f>IFERROR(SUM($G$3:$G38),"")</f>
        <v>25904.847999999994</v>
      </c>
      <c r="W38">
        <f t="shared" si="15"/>
        <v>96968.458999999988</v>
      </c>
      <c r="X38">
        <f t="shared" si="16"/>
        <v>60.274793064412854</v>
      </c>
      <c r="Y38">
        <f t="shared" si="17"/>
        <v>73.285284444914183</v>
      </c>
      <c r="Z38">
        <f>IFERROR(SUM($H$3:$H38),"")</f>
        <v>70533.306999999986</v>
      </c>
      <c r="AA38">
        <f>IFERROR(SUM($I$3:$I38),"")</f>
        <v>104265.274</v>
      </c>
      <c r="AB38">
        <f>IFERROR(SUM($J$3:$J38),"")</f>
        <v>51315.273999999998</v>
      </c>
      <c r="AC38">
        <f t="shared" si="18"/>
        <v>155580.54800000001</v>
      </c>
      <c r="AD38">
        <f t="shared" si="19"/>
        <v>45.335556344743033</v>
      </c>
      <c r="AE38">
        <f t="shared" si="20"/>
        <v>67.016908823331818</v>
      </c>
      <c r="AF38">
        <f>IFERROR(SUM($K$3:$K38),"")</f>
        <v>58997.203000000009</v>
      </c>
      <c r="AG38">
        <f>IFERROR(SUM($L$3:$L38),"")</f>
        <v>73445.892999999996</v>
      </c>
      <c r="AH38">
        <f>IFERROR(SUM($M$3:$M38),"")</f>
        <v>36487.516999999993</v>
      </c>
      <c r="AI38">
        <f t="shared" si="21"/>
        <v>109933.40999999999</v>
      </c>
      <c r="AJ38">
        <f t="shared" si="22"/>
        <v>53.666308540779383</v>
      </c>
      <c r="AK38">
        <f t="shared" si="23"/>
        <v>66.809437640477086</v>
      </c>
    </row>
    <row r="39" spans="1:37" x14ac:dyDescent="0.35">
      <c r="A39">
        <v>1886</v>
      </c>
      <c r="B39">
        <v>2714.569</v>
      </c>
      <c r="C39">
        <v>3905.1770000000001</v>
      </c>
      <c r="D39">
        <v>1611.29</v>
      </c>
      <c r="E39">
        <v>2201.3040000000001</v>
      </c>
      <c r="F39">
        <v>2604.4650000000001</v>
      </c>
      <c r="G39">
        <v>1000.879</v>
      </c>
      <c r="H39">
        <v>2714.569</v>
      </c>
      <c r="I39">
        <v>3905.1770000000001</v>
      </c>
      <c r="J39">
        <v>1611.29</v>
      </c>
      <c r="K39">
        <v>2361.1979999999999</v>
      </c>
      <c r="L39">
        <v>2867.5819999999999</v>
      </c>
      <c r="M39">
        <v>1198.838</v>
      </c>
      <c r="N39">
        <f>IFERROR(SUM($B$3:$B39),"")</f>
        <v>73247.877999999997</v>
      </c>
      <c r="O39">
        <f>IFERROR(SUM($C$3:$C39),"")</f>
        <v>108170.45</v>
      </c>
      <c r="P39">
        <f>IFERROR(SUM($D$3:$D39),"")</f>
        <v>52926.562999999995</v>
      </c>
      <c r="Q39">
        <f t="shared" si="12"/>
        <v>161097.01299999998</v>
      </c>
      <c r="R39">
        <f t="shared" si="13"/>
        <v>45.468178854439721</v>
      </c>
      <c r="S39">
        <f t="shared" si="14"/>
        <v>67.146154969366194</v>
      </c>
      <c r="T39">
        <f>IFERROR(SUM($E$3:$E39),"")</f>
        <v>60648.842000000019</v>
      </c>
      <c r="U39">
        <f>IFERROR(SUM($F$3:$F39),"")</f>
        <v>73668.075999999986</v>
      </c>
      <c r="V39">
        <f>IFERROR(SUM($G$3:$G39),"")</f>
        <v>26905.726999999995</v>
      </c>
      <c r="W39">
        <f t="shared" si="15"/>
        <v>100573.80299999999</v>
      </c>
      <c r="X39">
        <f t="shared" si="16"/>
        <v>60.302822594866015</v>
      </c>
      <c r="Y39">
        <f t="shared" si="17"/>
        <v>73.247778052103683</v>
      </c>
      <c r="Z39">
        <f>IFERROR(SUM($H$3:$H39),"")</f>
        <v>73247.875999999989</v>
      </c>
      <c r="AA39">
        <f>IFERROR(SUM($I$3:$I39),"")</f>
        <v>108170.451</v>
      </c>
      <c r="AB39">
        <f>IFERROR(SUM($J$3:$J39),"")</f>
        <v>52926.563999999998</v>
      </c>
      <c r="AC39">
        <f t="shared" si="18"/>
        <v>161097.01500000001</v>
      </c>
      <c r="AD39">
        <f t="shared" si="19"/>
        <v>45.468177048469819</v>
      </c>
      <c r="AE39">
        <f t="shared" si="20"/>
        <v>67.146154756498746</v>
      </c>
      <c r="AF39">
        <f>IFERROR(SUM($K$3:$K39),"")</f>
        <v>61358.401000000005</v>
      </c>
      <c r="AG39">
        <f>IFERROR(SUM($L$3:$L39),"")</f>
        <v>76313.474999999991</v>
      </c>
      <c r="AH39">
        <f>IFERROR(SUM($M$3:$M39),"")</f>
        <v>37686.354999999996</v>
      </c>
      <c r="AI39">
        <f t="shared" si="21"/>
        <v>113999.82999999999</v>
      </c>
      <c r="AJ39">
        <f t="shared" si="22"/>
        <v>53.823239034654712</v>
      </c>
      <c r="AK39">
        <f t="shared" si="23"/>
        <v>66.941744562250662</v>
      </c>
    </row>
    <row r="40" spans="1:37" x14ac:dyDescent="0.35">
      <c r="A40">
        <v>1887</v>
      </c>
      <c r="B40">
        <v>2791.9050000000002</v>
      </c>
      <c r="C40">
        <v>3973.4059999999999</v>
      </c>
      <c r="D40">
        <v>1651.5319999999999</v>
      </c>
      <c r="E40">
        <v>2238.61</v>
      </c>
      <c r="F40">
        <v>2645.875</v>
      </c>
      <c r="G40">
        <v>1011.183</v>
      </c>
      <c r="H40">
        <v>2791.9050000000002</v>
      </c>
      <c r="I40">
        <v>3973.4059999999999</v>
      </c>
      <c r="J40">
        <v>1651.5319999999999</v>
      </c>
      <c r="K40">
        <v>2447.741</v>
      </c>
      <c r="L40">
        <v>2939.7190000000001</v>
      </c>
      <c r="M40">
        <v>1233.537</v>
      </c>
      <c r="N40">
        <f>IFERROR(SUM($B$3:$B40),"")</f>
        <v>76039.782999999996</v>
      </c>
      <c r="O40">
        <f>IFERROR(SUM($C$3:$C40),"")</f>
        <v>112143.856</v>
      </c>
      <c r="P40">
        <f>IFERROR(SUM($D$3:$D40),"")</f>
        <v>54578.094999999994</v>
      </c>
      <c r="Q40">
        <f t="shared" si="12"/>
        <v>166721.951</v>
      </c>
      <c r="R40">
        <f t="shared" si="13"/>
        <v>45.608741106922388</v>
      </c>
      <c r="S40">
        <f t="shared" si="14"/>
        <v>67.264001727043137</v>
      </c>
      <c r="T40">
        <f>IFERROR(SUM($E$3:$E40),"")</f>
        <v>62887.452000000019</v>
      </c>
      <c r="U40">
        <f>IFERROR(SUM($F$3:$F40),"")</f>
        <v>76313.950999999986</v>
      </c>
      <c r="V40">
        <f>IFERROR(SUM($G$3:$G40),"")</f>
        <v>27916.909999999996</v>
      </c>
      <c r="W40">
        <f t="shared" si="15"/>
        <v>104230.86099999998</v>
      </c>
      <c r="X40">
        <f t="shared" si="16"/>
        <v>60.334771675732426</v>
      </c>
      <c r="Y40">
        <f t="shared" si="17"/>
        <v>73.216272290027433</v>
      </c>
      <c r="Z40">
        <f>IFERROR(SUM($H$3:$H40),"")</f>
        <v>76039.780999999988</v>
      </c>
      <c r="AA40">
        <f>IFERROR(SUM($I$3:$I40),"")</f>
        <v>112143.857</v>
      </c>
      <c r="AB40">
        <f>IFERROR(SUM($J$3:$J40),"")</f>
        <v>54578.095999999998</v>
      </c>
      <c r="AC40">
        <f t="shared" si="18"/>
        <v>166721.95300000001</v>
      </c>
      <c r="AD40">
        <f t="shared" si="19"/>
        <v>45.608739360196907</v>
      </c>
      <c r="AE40">
        <f t="shared" si="20"/>
        <v>67.264001519943804</v>
      </c>
      <c r="AF40">
        <f>IFERROR(SUM($K$3:$K40),"")</f>
        <v>63806.142000000007</v>
      </c>
      <c r="AG40">
        <f>IFERROR(SUM($L$3:$L40),"")</f>
        <v>79253.193999999989</v>
      </c>
      <c r="AH40">
        <f>IFERROR(SUM($M$3:$M40),"")</f>
        <v>38919.891999999993</v>
      </c>
      <c r="AI40">
        <f t="shared" si="21"/>
        <v>118173.08599999998</v>
      </c>
      <c r="AJ40">
        <f t="shared" si="22"/>
        <v>53.993801938962662</v>
      </c>
      <c r="AK40">
        <f t="shared" si="23"/>
        <v>67.065350227039005</v>
      </c>
    </row>
    <row r="41" spans="1:37" x14ac:dyDescent="0.35">
      <c r="A41">
        <v>1888</v>
      </c>
      <c r="B41">
        <v>2884.8609999999999</v>
      </c>
      <c r="C41">
        <v>4087.0140000000001</v>
      </c>
      <c r="D41">
        <v>1639.288</v>
      </c>
      <c r="E41">
        <v>2340.6350000000002</v>
      </c>
      <c r="F41">
        <v>2756.4569999999999</v>
      </c>
      <c r="G41">
        <v>1017.919</v>
      </c>
      <c r="H41">
        <v>2884.8609999999999</v>
      </c>
      <c r="I41">
        <v>4087.0140000000001</v>
      </c>
      <c r="J41">
        <v>1639.288</v>
      </c>
      <c r="K41">
        <v>2547.922</v>
      </c>
      <c r="L41">
        <v>3056.1570000000002</v>
      </c>
      <c r="M41">
        <v>1242.9659999999999</v>
      </c>
      <c r="N41">
        <f>IFERROR(SUM($B$3:$B41),"")</f>
        <v>78924.644</v>
      </c>
      <c r="O41">
        <f>IFERROR(SUM($C$3:$C41),"")</f>
        <v>116230.87</v>
      </c>
      <c r="P41">
        <f>IFERROR(SUM($D$3:$D41),"")</f>
        <v>56217.382999999994</v>
      </c>
      <c r="Q41">
        <f t="shared" si="12"/>
        <v>172448.253</v>
      </c>
      <c r="R41">
        <f t="shared" si="13"/>
        <v>45.767146159491681</v>
      </c>
      <c r="S41">
        <f t="shared" si="14"/>
        <v>67.400433450607352</v>
      </c>
      <c r="T41">
        <f>IFERROR(SUM($E$3:$E41),"")</f>
        <v>65228.087000000021</v>
      </c>
      <c r="U41">
        <f>IFERROR(SUM($F$3:$F41),"")</f>
        <v>79070.407999999981</v>
      </c>
      <c r="V41">
        <f>IFERROR(SUM($G$3:$G41),"")</f>
        <v>28934.828999999998</v>
      </c>
      <c r="W41">
        <f t="shared" si="15"/>
        <v>108005.23699999998</v>
      </c>
      <c r="X41">
        <f t="shared" si="16"/>
        <v>60.393448328806528</v>
      </c>
      <c r="Y41">
        <f t="shared" si="17"/>
        <v>73.209790743758091</v>
      </c>
      <c r="Z41">
        <f>IFERROR(SUM($H$3:$H41),"")</f>
        <v>78924.641999999993</v>
      </c>
      <c r="AA41">
        <f>IFERROR(SUM($I$3:$I41),"")</f>
        <v>116230.871</v>
      </c>
      <c r="AB41">
        <f>IFERROR(SUM($J$3:$J41),"")</f>
        <v>56217.383999999998</v>
      </c>
      <c r="AC41">
        <f t="shared" si="18"/>
        <v>172448.255</v>
      </c>
      <c r="AD41">
        <f t="shared" si="19"/>
        <v>45.767144468930688</v>
      </c>
      <c r="AE41">
        <f t="shared" si="20"/>
        <v>67.400433248802656</v>
      </c>
      <c r="AF41">
        <f>IFERROR(SUM($K$3:$K41),"")</f>
        <v>66354.064000000013</v>
      </c>
      <c r="AG41">
        <f>IFERROR(SUM($L$3:$L41),"")</f>
        <v>82309.350999999995</v>
      </c>
      <c r="AH41">
        <f>IFERROR(SUM($M$3:$M41),"")</f>
        <v>40162.857999999993</v>
      </c>
      <c r="AI41">
        <f t="shared" si="21"/>
        <v>122472.20899999999</v>
      </c>
      <c r="AJ41">
        <f t="shared" si="22"/>
        <v>54.178874164015468</v>
      </c>
      <c r="AK41">
        <f t="shared" si="23"/>
        <v>67.206553774170928</v>
      </c>
    </row>
    <row r="42" spans="1:37" x14ac:dyDescent="0.35">
      <c r="A42">
        <v>1889</v>
      </c>
      <c r="B42">
        <v>2853.2530000000002</v>
      </c>
      <c r="C42">
        <v>4076.23</v>
      </c>
      <c r="D42">
        <v>1688.1030000000001</v>
      </c>
      <c r="E42">
        <v>2321.7849999999999</v>
      </c>
      <c r="F42">
        <v>2745.84</v>
      </c>
      <c r="G42">
        <v>1025.336</v>
      </c>
      <c r="H42">
        <v>2853.2530000000002</v>
      </c>
      <c r="I42">
        <v>4076.23</v>
      </c>
      <c r="J42">
        <v>1688.1030000000001</v>
      </c>
      <c r="K42">
        <v>2521.6640000000002</v>
      </c>
      <c r="L42">
        <v>3047.0520000000001</v>
      </c>
      <c r="M42">
        <v>1280.8050000000001</v>
      </c>
      <c r="N42">
        <f>IFERROR(SUM($B$3:$B42),"")</f>
        <v>81777.896999999997</v>
      </c>
      <c r="O42">
        <f>IFERROR(SUM($C$3:$C42),"")</f>
        <v>120307.09999999999</v>
      </c>
      <c r="P42">
        <f>IFERROR(SUM($D$3:$D42),"")</f>
        <v>57905.485999999997</v>
      </c>
      <c r="Q42">
        <f t="shared" si="12"/>
        <v>178212.58599999998</v>
      </c>
      <c r="R42">
        <f t="shared" si="13"/>
        <v>45.887834768303073</v>
      </c>
      <c r="S42">
        <f t="shared" si="14"/>
        <v>67.507633832326533</v>
      </c>
      <c r="T42">
        <f>IFERROR(SUM($E$3:$E42),"")</f>
        <v>67549.872000000018</v>
      </c>
      <c r="U42">
        <f>IFERROR(SUM($F$3:$F42),"")</f>
        <v>81816.247999999978</v>
      </c>
      <c r="V42">
        <f>IFERROR(SUM($G$3:$G42),"")</f>
        <v>29960.164999999997</v>
      </c>
      <c r="W42">
        <f t="shared" si="15"/>
        <v>111776.41299999997</v>
      </c>
      <c r="X42">
        <f t="shared" si="16"/>
        <v>60.433028925342271</v>
      </c>
      <c r="Y42">
        <f t="shared" si="17"/>
        <v>73.196344205463092</v>
      </c>
      <c r="Z42">
        <f>IFERROR(SUM($H$3:$H42),"")</f>
        <v>81777.89499999999</v>
      </c>
      <c r="AA42">
        <f>IFERROR(SUM($I$3:$I42),"")</f>
        <v>120307.101</v>
      </c>
      <c r="AB42">
        <f>IFERROR(SUM($J$3:$J42),"")</f>
        <v>57905.487000000001</v>
      </c>
      <c r="AC42">
        <f t="shared" si="18"/>
        <v>178212.58799999999</v>
      </c>
      <c r="AD42">
        <f t="shared" si="19"/>
        <v>45.887833131069279</v>
      </c>
      <c r="AE42">
        <f t="shared" si="20"/>
        <v>67.507633635846204</v>
      </c>
      <c r="AF42">
        <f>IFERROR(SUM($K$3:$K42),"")</f>
        <v>68875.728000000017</v>
      </c>
      <c r="AG42">
        <f>IFERROR(SUM($L$3:$L42),"")</f>
        <v>85356.402999999991</v>
      </c>
      <c r="AH42">
        <f>IFERROR(SUM($M$3:$M42),"")</f>
        <v>41443.662999999993</v>
      </c>
      <c r="AI42">
        <f t="shared" si="21"/>
        <v>126800.06599999999</v>
      </c>
      <c r="AJ42">
        <f t="shared" si="22"/>
        <v>54.318369203372519</v>
      </c>
      <c r="AK42">
        <f t="shared" si="23"/>
        <v>67.315740198431754</v>
      </c>
    </row>
    <row r="43" spans="1:37" x14ac:dyDescent="0.35">
      <c r="A43">
        <v>1890</v>
      </c>
      <c r="B43">
        <v>3048.3969999999999</v>
      </c>
      <c r="C43">
        <v>4408.8649999999998</v>
      </c>
      <c r="D43">
        <v>1766.4870000000001</v>
      </c>
      <c r="E43">
        <v>2413.779</v>
      </c>
      <c r="F43">
        <v>2846.3530000000001</v>
      </c>
      <c r="G43">
        <v>1031.567</v>
      </c>
      <c r="H43">
        <v>3048.3969999999999</v>
      </c>
      <c r="I43">
        <v>4408.8649999999998</v>
      </c>
      <c r="J43">
        <v>1766.4870000000001</v>
      </c>
      <c r="K43">
        <v>2698.7220000000002</v>
      </c>
      <c r="L43">
        <v>3317.04</v>
      </c>
      <c r="M43">
        <v>1368.46</v>
      </c>
      <c r="N43">
        <f>IFERROR(SUM($B$3:$B43),"")</f>
        <v>84826.293999999994</v>
      </c>
      <c r="O43">
        <f>IFERROR(SUM($C$3:$C43),"")</f>
        <v>124715.965</v>
      </c>
      <c r="P43">
        <f>IFERROR(SUM($D$3:$D43),"")</f>
        <v>59671.972999999998</v>
      </c>
      <c r="Q43">
        <f t="shared" si="12"/>
        <v>184387.93799999999</v>
      </c>
      <c r="R43">
        <f t="shared" si="13"/>
        <v>46.004253271708038</v>
      </c>
      <c r="S43">
        <f t="shared" si="14"/>
        <v>67.637810993905688</v>
      </c>
      <c r="T43">
        <f>IFERROR(SUM($E$3:$E43),"")</f>
        <v>69963.651000000013</v>
      </c>
      <c r="U43">
        <f>IFERROR(SUM($F$3:$F43),"")</f>
        <v>84662.600999999981</v>
      </c>
      <c r="V43">
        <f>IFERROR(SUM($G$3:$G43),"")</f>
        <v>30991.731999999996</v>
      </c>
      <c r="W43">
        <f t="shared" si="15"/>
        <v>115654.33299999998</v>
      </c>
      <c r="X43">
        <f t="shared" si="16"/>
        <v>60.493756857341452</v>
      </c>
      <c r="Y43">
        <f t="shared" si="17"/>
        <v>73.203138009537426</v>
      </c>
      <c r="Z43">
        <f>IFERROR(SUM($H$3:$H43),"")</f>
        <v>84826.291999999987</v>
      </c>
      <c r="AA43">
        <f>IFERROR(SUM($I$3:$I43),"")</f>
        <v>124715.966</v>
      </c>
      <c r="AB43">
        <f>IFERROR(SUM($J$3:$J43),"")</f>
        <v>59671.974000000002</v>
      </c>
      <c r="AC43">
        <f t="shared" si="18"/>
        <v>184387.94</v>
      </c>
      <c r="AD43">
        <f t="shared" si="19"/>
        <v>46.004251688044235</v>
      </c>
      <c r="AE43">
        <f t="shared" si="20"/>
        <v>67.637810802593705</v>
      </c>
      <c r="AF43">
        <f>IFERROR(SUM($K$3:$K43),"")</f>
        <v>71574.450000000012</v>
      </c>
      <c r="AG43">
        <f>IFERROR(SUM($L$3:$L43),"")</f>
        <v>88673.442999999985</v>
      </c>
      <c r="AH43">
        <f>IFERROR(SUM($M$3:$M43),"")</f>
        <v>42812.122999999992</v>
      </c>
      <c r="AI43">
        <f t="shared" si="21"/>
        <v>131485.56599999999</v>
      </c>
      <c r="AJ43">
        <f t="shared" si="22"/>
        <v>54.435214584694421</v>
      </c>
      <c r="AK43">
        <f t="shared" si="23"/>
        <v>67.439678511936435</v>
      </c>
    </row>
    <row r="44" spans="1:37" x14ac:dyDescent="0.35">
      <c r="A44">
        <v>1891</v>
      </c>
      <c r="B44">
        <v>3127.7759999999998</v>
      </c>
      <c r="C44">
        <v>4518.1419999999998</v>
      </c>
      <c r="D44">
        <v>1804.2349999999999</v>
      </c>
      <c r="E44">
        <v>2455.7800000000002</v>
      </c>
      <c r="F44">
        <v>2897.5920000000001</v>
      </c>
      <c r="G44">
        <v>1029.5650000000001</v>
      </c>
      <c r="H44">
        <v>3127.7759999999998</v>
      </c>
      <c r="I44">
        <v>4518.1419999999998</v>
      </c>
      <c r="J44">
        <v>1804.2349999999999</v>
      </c>
      <c r="K44">
        <v>2808.0630000000001</v>
      </c>
      <c r="L44">
        <v>3448.1550000000002</v>
      </c>
      <c r="M44">
        <v>1407.441</v>
      </c>
      <c r="N44">
        <f>IFERROR(SUM($B$3:$B44),"")</f>
        <v>87954.069999999992</v>
      </c>
      <c r="O44">
        <f>IFERROR(SUM($C$3:$C44),"")</f>
        <v>129234.10699999999</v>
      </c>
      <c r="P44">
        <f>IFERROR(SUM($D$3:$D44),"")</f>
        <v>61476.207999999999</v>
      </c>
      <c r="Q44">
        <f t="shared" si="12"/>
        <v>190710.315</v>
      </c>
      <c r="R44">
        <f t="shared" si="13"/>
        <v>46.119199163401305</v>
      </c>
      <c r="S44">
        <f t="shared" si="14"/>
        <v>67.764613046756267</v>
      </c>
      <c r="T44">
        <f>IFERROR(SUM($E$3:$E44),"")</f>
        <v>72419.431000000011</v>
      </c>
      <c r="U44">
        <f>IFERROR(SUM($F$3:$F44),"")</f>
        <v>87560.192999999985</v>
      </c>
      <c r="V44">
        <f>IFERROR(SUM($G$3:$G44),"")</f>
        <v>32021.296999999995</v>
      </c>
      <c r="W44">
        <f t="shared" si="15"/>
        <v>119581.48999999998</v>
      </c>
      <c r="X44">
        <f t="shared" si="16"/>
        <v>60.560736448425281</v>
      </c>
      <c r="Y44">
        <f t="shared" si="17"/>
        <v>73.222196010436065</v>
      </c>
      <c r="Z44">
        <f>IFERROR(SUM($H$3:$H44),"")</f>
        <v>87954.067999999985</v>
      </c>
      <c r="AA44">
        <f>IFERROR(SUM($I$3:$I44),"")</f>
        <v>129234.10800000001</v>
      </c>
      <c r="AB44">
        <f>IFERROR(SUM($J$3:$J44),"")</f>
        <v>61476.209000000003</v>
      </c>
      <c r="AC44">
        <f t="shared" si="18"/>
        <v>190710.31700000001</v>
      </c>
      <c r="AD44">
        <f t="shared" si="19"/>
        <v>46.119197631033238</v>
      </c>
      <c r="AE44">
        <f t="shared" si="20"/>
        <v>67.764612860456836</v>
      </c>
      <c r="AF44">
        <f>IFERROR(SUM($K$3:$K44),"")</f>
        <v>74382.513000000006</v>
      </c>
      <c r="AG44">
        <f>IFERROR(SUM($L$3:$L44),"")</f>
        <v>92121.597999999984</v>
      </c>
      <c r="AH44">
        <f>IFERROR(SUM($M$3:$M44),"")</f>
        <v>44219.563999999991</v>
      </c>
      <c r="AI44">
        <f t="shared" si="21"/>
        <v>136341.16199999998</v>
      </c>
      <c r="AJ44">
        <f t="shared" si="22"/>
        <v>54.556167711112813</v>
      </c>
      <c r="AK44">
        <f t="shared" si="23"/>
        <v>67.566974381515095</v>
      </c>
    </row>
    <row r="45" spans="1:37" x14ac:dyDescent="0.35">
      <c r="A45">
        <v>1892</v>
      </c>
      <c r="B45">
        <v>3129.6570000000002</v>
      </c>
      <c r="C45">
        <v>4534.9059999999999</v>
      </c>
      <c r="D45">
        <v>1770.27</v>
      </c>
      <c r="E45">
        <v>2512.0010000000002</v>
      </c>
      <c r="F45">
        <v>2954.9720000000002</v>
      </c>
      <c r="G45">
        <v>1033.0899999999999</v>
      </c>
      <c r="H45">
        <v>3129.6570000000002</v>
      </c>
      <c r="I45">
        <v>4534.9059999999999</v>
      </c>
      <c r="J45">
        <v>1770.27</v>
      </c>
      <c r="K45">
        <v>2820.03</v>
      </c>
      <c r="L45">
        <v>3471.4609999999998</v>
      </c>
      <c r="M45">
        <v>1385.9649999999999</v>
      </c>
      <c r="N45">
        <f>IFERROR(SUM($B$3:$B45),"")</f>
        <v>91083.726999999999</v>
      </c>
      <c r="O45">
        <f>IFERROR(SUM($C$3:$C45),"")</f>
        <v>133769.01299999998</v>
      </c>
      <c r="P45">
        <f>IFERROR(SUM($D$3:$D45),"")</f>
        <v>63246.477999999996</v>
      </c>
      <c r="Q45">
        <f t="shared" si="12"/>
        <v>197015.49099999998</v>
      </c>
      <c r="R45">
        <f t="shared" si="13"/>
        <v>46.231759004168872</v>
      </c>
      <c r="S45">
        <f t="shared" si="14"/>
        <v>67.897713180330584</v>
      </c>
      <c r="T45">
        <f>IFERROR(SUM($E$3:$E45),"")</f>
        <v>74931.432000000015</v>
      </c>
      <c r="U45">
        <f>IFERROR(SUM($F$3:$F45),"")</f>
        <v>90515.164999999979</v>
      </c>
      <c r="V45">
        <f>IFERROR(SUM($G$3:$G45),"")</f>
        <v>33054.386999999995</v>
      </c>
      <c r="W45">
        <f t="shared" si="15"/>
        <v>123569.55199999997</v>
      </c>
      <c r="X45">
        <f t="shared" si="16"/>
        <v>60.63907393627197</v>
      </c>
      <c r="Y45">
        <f t="shared" si="17"/>
        <v>73.250378863556946</v>
      </c>
      <c r="Z45">
        <f>IFERROR(SUM($H$3:$H45),"")</f>
        <v>91083.724999999991</v>
      </c>
      <c r="AA45">
        <f>IFERROR(SUM($I$3:$I45),"")</f>
        <v>133769.014</v>
      </c>
      <c r="AB45">
        <f>IFERROR(SUM($J$3:$J45),"")</f>
        <v>63246.478999999999</v>
      </c>
      <c r="AC45">
        <f t="shared" si="18"/>
        <v>197015.49299999999</v>
      </c>
      <c r="AD45">
        <f t="shared" si="19"/>
        <v>46.231757519699222</v>
      </c>
      <c r="AE45">
        <f t="shared" si="20"/>
        <v>67.897712998642191</v>
      </c>
      <c r="AF45">
        <f>IFERROR(SUM($K$3:$K45),"")</f>
        <v>77202.543000000005</v>
      </c>
      <c r="AG45">
        <f>IFERROR(SUM($L$3:$L45),"")</f>
        <v>95593.058999999979</v>
      </c>
      <c r="AH45">
        <f>IFERROR(SUM($M$3:$M45),"")</f>
        <v>45605.528999999988</v>
      </c>
      <c r="AI45">
        <f t="shared" si="21"/>
        <v>141198.58799999996</v>
      </c>
      <c r="AJ45">
        <f t="shared" si="22"/>
        <v>54.676568720361438</v>
      </c>
      <c r="AK45">
        <f t="shared" si="23"/>
        <v>67.701143725318275</v>
      </c>
    </row>
    <row r="46" spans="1:37" x14ac:dyDescent="0.35">
      <c r="A46">
        <v>1893</v>
      </c>
      <c r="B46">
        <v>3140.4920000000002</v>
      </c>
      <c r="C46">
        <v>4549.8</v>
      </c>
      <c r="D46">
        <v>1769.4390000000001</v>
      </c>
      <c r="E46">
        <v>2487.0430000000001</v>
      </c>
      <c r="F46">
        <v>2939.674</v>
      </c>
      <c r="G46">
        <v>1036.307</v>
      </c>
      <c r="H46">
        <v>3140.4920000000002</v>
      </c>
      <c r="I46">
        <v>4549.8</v>
      </c>
      <c r="J46">
        <v>1769.4390000000001</v>
      </c>
      <c r="K46">
        <v>2836.98</v>
      </c>
      <c r="L46">
        <v>3489.556</v>
      </c>
      <c r="M46">
        <v>1419.942</v>
      </c>
      <c r="N46">
        <f>IFERROR(SUM($B$3:$B46),"")</f>
        <v>94224.218999999997</v>
      </c>
      <c r="O46">
        <f>IFERROR(SUM($C$3:$C46),"")</f>
        <v>138318.81299999997</v>
      </c>
      <c r="P46">
        <f>IFERROR(SUM($D$3:$D46),"")</f>
        <v>65015.916999999994</v>
      </c>
      <c r="Q46">
        <f t="shared" si="12"/>
        <v>203334.72999999995</v>
      </c>
      <c r="R46">
        <f t="shared" si="13"/>
        <v>46.339461537141254</v>
      </c>
      <c r="S46">
        <f t="shared" si="14"/>
        <v>68.025178482790409</v>
      </c>
      <c r="T46">
        <f>IFERROR(SUM($E$3:$E46),"")</f>
        <v>77418.47500000002</v>
      </c>
      <c r="U46">
        <f>IFERROR(SUM($F$3:$F46),"")</f>
        <v>93454.838999999978</v>
      </c>
      <c r="V46">
        <f>IFERROR(SUM($G$3:$G46),"")</f>
        <v>34090.693999999996</v>
      </c>
      <c r="W46">
        <f t="shared" si="15"/>
        <v>127545.53299999997</v>
      </c>
      <c r="X46">
        <f t="shared" si="16"/>
        <v>60.698695735584906</v>
      </c>
      <c r="Y46">
        <f t="shared" si="17"/>
        <v>73.271746020301634</v>
      </c>
      <c r="Z46">
        <f>IFERROR(SUM($H$3:$H46),"")</f>
        <v>94224.21699999999</v>
      </c>
      <c r="AA46">
        <f>IFERROR(SUM($I$3:$I46),"")</f>
        <v>138318.81399999998</v>
      </c>
      <c r="AB46">
        <f>IFERROR(SUM($J$3:$J46),"")</f>
        <v>65015.917999999998</v>
      </c>
      <c r="AC46">
        <f t="shared" si="18"/>
        <v>203334.73199999999</v>
      </c>
      <c r="AD46">
        <f t="shared" si="19"/>
        <v>46.339460097746603</v>
      </c>
      <c r="AE46">
        <f t="shared" si="20"/>
        <v>68.025178305494805</v>
      </c>
      <c r="AF46">
        <f>IFERROR(SUM($K$3:$K46),"")</f>
        <v>80039.523000000001</v>
      </c>
      <c r="AG46">
        <f>IFERROR(SUM($L$3:$L46),"")</f>
        <v>99082.614999999976</v>
      </c>
      <c r="AH46">
        <f>IFERROR(SUM($M$3:$M46),"")</f>
        <v>47025.47099999999</v>
      </c>
      <c r="AI46">
        <f t="shared" si="21"/>
        <v>146108.08599999995</v>
      </c>
      <c r="AJ46">
        <f t="shared" si="22"/>
        <v>54.781035869568527</v>
      </c>
      <c r="AK46">
        <f t="shared" si="23"/>
        <v>67.814600623814897</v>
      </c>
    </row>
    <row r="47" spans="1:37" x14ac:dyDescent="0.35">
      <c r="A47">
        <v>1894</v>
      </c>
      <c r="B47">
        <v>3195.2150000000001</v>
      </c>
      <c r="C47">
        <v>4657.8310000000001</v>
      </c>
      <c r="D47">
        <v>1795.337</v>
      </c>
      <c r="E47">
        <v>2540.4740000000002</v>
      </c>
      <c r="F47">
        <v>2996.9070000000002</v>
      </c>
      <c r="G47">
        <v>1094.134</v>
      </c>
      <c r="H47">
        <v>3195.2150000000001</v>
      </c>
      <c r="I47">
        <v>4657.8310000000001</v>
      </c>
      <c r="J47">
        <v>1795.337</v>
      </c>
      <c r="K47">
        <v>2896.8739999999998</v>
      </c>
      <c r="L47">
        <v>3599.683</v>
      </c>
      <c r="M47">
        <v>1441.7</v>
      </c>
      <c r="N47">
        <f>IFERROR(SUM($B$3:$B47),"")</f>
        <v>97419.433999999994</v>
      </c>
      <c r="O47">
        <f>IFERROR(SUM($C$3:$C47),"")</f>
        <v>142976.64399999997</v>
      </c>
      <c r="P47">
        <f>IFERROR(SUM($D$3:$D47),"")</f>
        <v>66811.254000000001</v>
      </c>
      <c r="Q47">
        <f t="shared" si="12"/>
        <v>209787.89799999999</v>
      </c>
      <c r="R47">
        <f t="shared" si="13"/>
        <v>46.43710858859933</v>
      </c>
      <c r="S47">
        <f t="shared" si="14"/>
        <v>68.152951320385498</v>
      </c>
      <c r="T47">
        <f>IFERROR(SUM($E$3:$E47),"")</f>
        <v>79958.949000000022</v>
      </c>
      <c r="U47">
        <f>IFERROR(SUM($F$3:$F47),"")</f>
        <v>96451.745999999985</v>
      </c>
      <c r="V47">
        <f>IFERROR(SUM($G$3:$G47),"")</f>
        <v>35184.827999999994</v>
      </c>
      <c r="W47">
        <f t="shared" si="15"/>
        <v>131636.57399999996</v>
      </c>
      <c r="X47">
        <f t="shared" si="16"/>
        <v>60.74219844098954</v>
      </c>
      <c r="Y47">
        <f t="shared" si="17"/>
        <v>73.271236913230524</v>
      </c>
      <c r="Z47">
        <f>IFERROR(SUM($H$3:$H47),"")</f>
        <v>97419.431999999986</v>
      </c>
      <c r="AA47">
        <f>IFERROR(SUM($I$3:$I47),"")</f>
        <v>142976.64499999999</v>
      </c>
      <c r="AB47">
        <f>IFERROR(SUM($J$3:$J47),"")</f>
        <v>66811.255000000005</v>
      </c>
      <c r="AC47">
        <f t="shared" si="18"/>
        <v>209787.9</v>
      </c>
      <c r="AD47">
        <f t="shared" si="19"/>
        <v>46.437107192550187</v>
      </c>
      <c r="AE47">
        <f t="shared" si="20"/>
        <v>68.152951147325453</v>
      </c>
      <c r="AF47">
        <f>IFERROR(SUM($K$3:$K47),"")</f>
        <v>82936.396999999997</v>
      </c>
      <c r="AG47">
        <f>IFERROR(SUM($L$3:$L47),"")</f>
        <v>102682.29799999998</v>
      </c>
      <c r="AH47">
        <f>IFERROR(SUM($M$3:$M47),"")</f>
        <v>48467.170999999988</v>
      </c>
      <c r="AI47">
        <f t="shared" si="21"/>
        <v>151149.46899999998</v>
      </c>
      <c r="AJ47">
        <f t="shared" si="22"/>
        <v>54.870452108568117</v>
      </c>
      <c r="AK47">
        <f t="shared" si="23"/>
        <v>67.934276368513068</v>
      </c>
    </row>
    <row r="48" spans="1:37" x14ac:dyDescent="0.35">
      <c r="A48">
        <v>1895</v>
      </c>
      <c r="B48">
        <v>3267.5039999999999</v>
      </c>
      <c r="C48">
        <v>4718.1360000000004</v>
      </c>
      <c r="D48">
        <v>1806.0360000000001</v>
      </c>
      <c r="E48">
        <v>2621.6489999999999</v>
      </c>
      <c r="F48">
        <v>3089.41</v>
      </c>
      <c r="G48">
        <v>1106.492</v>
      </c>
      <c r="H48">
        <v>3267.5039999999999</v>
      </c>
      <c r="I48">
        <v>4718.1360000000004</v>
      </c>
      <c r="J48">
        <v>1806.0360000000001</v>
      </c>
      <c r="K48">
        <v>2973.1680000000001</v>
      </c>
      <c r="L48">
        <v>3660.8879999999999</v>
      </c>
      <c r="M48">
        <v>1460.9870000000001</v>
      </c>
      <c r="N48">
        <f>IFERROR(SUM($B$3:$B48),"")</f>
        <v>100686.93799999999</v>
      </c>
      <c r="O48">
        <f>IFERROR(SUM($C$3:$C48),"")</f>
        <v>147694.77999999997</v>
      </c>
      <c r="P48">
        <f>IFERROR(SUM($D$3:$D48),"")</f>
        <v>68617.290000000008</v>
      </c>
      <c r="Q48">
        <f t="shared" si="12"/>
        <v>216312.06999999998</v>
      </c>
      <c r="R48">
        <f t="shared" si="13"/>
        <v>46.547073401867962</v>
      </c>
      <c r="S48">
        <f t="shared" si="14"/>
        <v>68.278566239969862</v>
      </c>
      <c r="T48">
        <f>IFERROR(SUM($E$3:$E48),"")</f>
        <v>82580.598000000027</v>
      </c>
      <c r="U48">
        <f>IFERROR(SUM($F$3:$F48),"")</f>
        <v>99541.155999999988</v>
      </c>
      <c r="V48">
        <f>IFERROR(SUM($G$3:$G48),"")</f>
        <v>36291.319999999992</v>
      </c>
      <c r="W48">
        <f t="shared" si="15"/>
        <v>135832.47599999997</v>
      </c>
      <c r="X48">
        <f t="shared" si="16"/>
        <v>60.795915992873496</v>
      </c>
      <c r="Y48">
        <f t="shared" si="17"/>
        <v>73.282295170707201</v>
      </c>
      <c r="Z48">
        <f>IFERROR(SUM($H$3:$H48),"")</f>
        <v>100686.93599999999</v>
      </c>
      <c r="AA48">
        <f>IFERROR(SUM($I$3:$I48),"")</f>
        <v>147694.78099999999</v>
      </c>
      <c r="AB48">
        <f>IFERROR(SUM($J$3:$J48),"")</f>
        <v>68617.290999999997</v>
      </c>
      <c r="AC48">
        <f t="shared" si="18"/>
        <v>216312.07199999999</v>
      </c>
      <c r="AD48">
        <f t="shared" si="19"/>
        <v>46.547072046908227</v>
      </c>
      <c r="AE48">
        <f t="shared" si="20"/>
        <v>68.278566070968054</v>
      </c>
      <c r="AF48">
        <f>IFERROR(SUM($K$3:$K48),"")</f>
        <v>85909.565000000002</v>
      </c>
      <c r="AG48">
        <f>IFERROR(SUM($L$3:$L48),"")</f>
        <v>106343.18599999999</v>
      </c>
      <c r="AH48">
        <f>IFERROR(SUM($M$3:$M48),"")</f>
        <v>49928.157999999989</v>
      </c>
      <c r="AI48">
        <f t="shared" si="21"/>
        <v>156271.34399999998</v>
      </c>
      <c r="AJ48">
        <f t="shared" si="22"/>
        <v>54.974611980044152</v>
      </c>
      <c r="AK48">
        <f t="shared" si="23"/>
        <v>68.050343254230924</v>
      </c>
    </row>
    <row r="49" spans="1:37" x14ac:dyDescent="0.35">
      <c r="A49">
        <v>1896</v>
      </c>
      <c r="B49">
        <v>3324.105</v>
      </c>
      <c r="C49">
        <v>4781.558</v>
      </c>
      <c r="D49">
        <v>1798.3240000000001</v>
      </c>
      <c r="E49">
        <v>2664.2510000000002</v>
      </c>
      <c r="F49">
        <v>3139.328</v>
      </c>
      <c r="G49">
        <v>1115.2090000000001</v>
      </c>
      <c r="H49">
        <v>3324.1060000000002</v>
      </c>
      <c r="I49">
        <v>4781.558</v>
      </c>
      <c r="J49">
        <v>1798.3230000000001</v>
      </c>
      <c r="K49">
        <v>3032.3359999999998</v>
      </c>
      <c r="L49">
        <v>3723.7460000000001</v>
      </c>
      <c r="M49">
        <v>1474.278</v>
      </c>
      <c r="N49">
        <f>IFERROR(SUM($B$3:$B49),"")</f>
        <v>104011.04299999999</v>
      </c>
      <c r="O49">
        <f>IFERROR(SUM($C$3:$C49),"")</f>
        <v>152476.33799999996</v>
      </c>
      <c r="P49">
        <f>IFERROR(SUM($D$3:$D49),"")</f>
        <v>70415.614000000001</v>
      </c>
      <c r="Q49">
        <f t="shared" si="12"/>
        <v>222891.95199999996</v>
      </c>
      <c r="R49">
        <f t="shared" si="13"/>
        <v>46.664333129443811</v>
      </c>
      <c r="S49">
        <f t="shared" si="14"/>
        <v>68.408184607760077</v>
      </c>
      <c r="T49">
        <f>IFERROR(SUM($E$3:$E49),"")</f>
        <v>85244.849000000031</v>
      </c>
      <c r="U49">
        <f>IFERROR(SUM($F$3:$F49),"")</f>
        <v>102680.48399999998</v>
      </c>
      <c r="V49">
        <f>IFERROR(SUM($G$3:$G49),"")</f>
        <v>37406.528999999995</v>
      </c>
      <c r="W49">
        <f t="shared" si="15"/>
        <v>140087.01299999998</v>
      </c>
      <c r="X49">
        <f t="shared" si="16"/>
        <v>60.851357434539665</v>
      </c>
      <c r="Y49">
        <f t="shared" si="17"/>
        <v>73.297646798993426</v>
      </c>
      <c r="Z49">
        <f>IFERROR(SUM($H$3:$H49),"")</f>
        <v>104011.04199999999</v>
      </c>
      <c r="AA49">
        <f>IFERROR(SUM($I$3:$I49),"")</f>
        <v>152476.33899999998</v>
      </c>
      <c r="AB49">
        <f>IFERROR(SUM($J$3:$J49),"")</f>
        <v>70415.614000000001</v>
      </c>
      <c r="AC49">
        <f t="shared" si="18"/>
        <v>222891.95299999998</v>
      </c>
      <c r="AD49">
        <f t="shared" si="19"/>
        <v>46.664332471437405</v>
      </c>
      <c r="AE49">
        <f t="shared" si="20"/>
        <v>68.408184749496087</v>
      </c>
      <c r="AF49">
        <f>IFERROR(SUM($K$3:$K49),"")</f>
        <v>88941.900999999998</v>
      </c>
      <c r="AG49">
        <f>IFERROR(SUM($L$3:$L49),"")</f>
        <v>110066.93199999999</v>
      </c>
      <c r="AH49">
        <f>IFERROR(SUM($M$3:$M49),"")</f>
        <v>51402.435999999987</v>
      </c>
      <c r="AI49">
        <f t="shared" si="21"/>
        <v>161469.36799999996</v>
      </c>
      <c r="AJ49">
        <f t="shared" si="22"/>
        <v>55.082832181519429</v>
      </c>
      <c r="AK49">
        <f t="shared" si="23"/>
        <v>68.165828208357155</v>
      </c>
    </row>
    <row r="50" spans="1:37" x14ac:dyDescent="0.35">
      <c r="A50">
        <v>1897</v>
      </c>
      <c r="B50">
        <v>3401.8809999999999</v>
      </c>
      <c r="C50">
        <v>4889.8950000000004</v>
      </c>
      <c r="D50">
        <v>1835.971</v>
      </c>
      <c r="E50">
        <v>2732.7190000000001</v>
      </c>
      <c r="F50">
        <v>3220.3040000000001</v>
      </c>
      <c r="G50">
        <v>1125.7159999999999</v>
      </c>
      <c r="H50">
        <v>3401.8809999999999</v>
      </c>
      <c r="I50">
        <v>4889.8950000000004</v>
      </c>
      <c r="J50">
        <v>1835.971</v>
      </c>
      <c r="K50">
        <v>3111.145</v>
      </c>
      <c r="L50">
        <v>3830.1260000000002</v>
      </c>
      <c r="M50">
        <v>1509.385</v>
      </c>
      <c r="N50">
        <f>IFERROR(SUM($B$3:$B50),"")</f>
        <v>107412.92399999998</v>
      </c>
      <c r="O50">
        <f>IFERROR(SUM($C$3:$C50),"")</f>
        <v>157366.23299999995</v>
      </c>
      <c r="P50">
        <f>IFERROR(SUM($D$3:$D50),"")</f>
        <v>72251.585000000006</v>
      </c>
      <c r="Q50">
        <f t="shared" si="12"/>
        <v>229617.81799999997</v>
      </c>
      <c r="R50">
        <f t="shared" si="13"/>
        <v>46.779002141724035</v>
      </c>
      <c r="S50">
        <f t="shared" si="14"/>
        <v>68.533981539707852</v>
      </c>
      <c r="T50">
        <f>IFERROR(SUM($E$3:$E50),"")</f>
        <v>87977.568000000028</v>
      </c>
      <c r="U50">
        <f>IFERROR(SUM($F$3:$F50),"")</f>
        <v>105900.78799999999</v>
      </c>
      <c r="V50">
        <f>IFERROR(SUM($G$3:$G50),"")</f>
        <v>38532.244999999995</v>
      </c>
      <c r="W50">
        <f t="shared" si="15"/>
        <v>144433.033</v>
      </c>
      <c r="X50">
        <f t="shared" si="16"/>
        <v>60.912359293874296</v>
      </c>
      <c r="Y50">
        <f t="shared" si="17"/>
        <v>73.321722739146509</v>
      </c>
      <c r="Z50">
        <f>IFERROR(SUM($H$3:$H50),"")</f>
        <v>107412.92299999998</v>
      </c>
      <c r="AA50">
        <f>IFERROR(SUM($I$3:$I50),"")</f>
        <v>157366.23399999997</v>
      </c>
      <c r="AB50">
        <f>IFERROR(SUM($J$3:$J50),"")</f>
        <v>72251.585000000006</v>
      </c>
      <c r="AC50">
        <f t="shared" si="18"/>
        <v>229617.81899999996</v>
      </c>
      <c r="AD50">
        <f t="shared" si="19"/>
        <v>46.779001502492278</v>
      </c>
      <c r="AE50">
        <f t="shared" si="20"/>
        <v>68.533981676744347</v>
      </c>
      <c r="AF50">
        <f>IFERROR(SUM($K$3:$K50),"")</f>
        <v>92053.046000000002</v>
      </c>
      <c r="AG50">
        <f>IFERROR(SUM($L$3:$L50),"")</f>
        <v>113897.05799999999</v>
      </c>
      <c r="AH50">
        <f>IFERROR(SUM($M$3:$M50),"")</f>
        <v>52911.820999999989</v>
      </c>
      <c r="AI50">
        <f t="shared" si="21"/>
        <v>166808.87899999999</v>
      </c>
      <c r="AJ50">
        <f t="shared" si="22"/>
        <v>55.184739896249766</v>
      </c>
      <c r="AK50">
        <f t="shared" si="23"/>
        <v>68.279973274084526</v>
      </c>
    </row>
    <row r="51" spans="1:37" x14ac:dyDescent="0.35">
      <c r="A51">
        <v>1898</v>
      </c>
      <c r="B51">
        <v>3492.5</v>
      </c>
      <c r="C51">
        <v>5010.259</v>
      </c>
      <c r="D51">
        <v>1815.2270000000001</v>
      </c>
      <c r="E51">
        <v>2805.3330000000001</v>
      </c>
      <c r="F51">
        <v>3307.248</v>
      </c>
      <c r="G51">
        <v>1137.875</v>
      </c>
      <c r="H51">
        <v>3492.5</v>
      </c>
      <c r="I51">
        <v>5010.259</v>
      </c>
      <c r="J51">
        <v>1815.2270000000001</v>
      </c>
      <c r="K51">
        <v>3201.1860000000001</v>
      </c>
      <c r="L51">
        <v>3946.9949999999999</v>
      </c>
      <c r="M51">
        <v>1514.692</v>
      </c>
      <c r="N51">
        <f>IFERROR(SUM($B$3:$B51),"")</f>
        <v>110905.42399999998</v>
      </c>
      <c r="O51">
        <f>IFERROR(SUM($C$3:$C51),"")</f>
        <v>162376.49199999994</v>
      </c>
      <c r="P51">
        <f>IFERROR(SUM($D$3:$D51),"")</f>
        <v>74066.812000000005</v>
      </c>
      <c r="Q51">
        <f t="shared" si="12"/>
        <v>236443.30399999995</v>
      </c>
      <c r="R51">
        <f t="shared" si="13"/>
        <v>46.905715714410761</v>
      </c>
      <c r="S51">
        <f t="shared" si="14"/>
        <v>68.674599471846321</v>
      </c>
      <c r="T51">
        <f>IFERROR(SUM($E$3:$E51),"")</f>
        <v>90782.901000000027</v>
      </c>
      <c r="U51">
        <f>IFERROR(SUM($F$3:$F51),"")</f>
        <v>109208.03599999999</v>
      </c>
      <c r="V51">
        <f>IFERROR(SUM($G$3:$G51),"")</f>
        <v>39670.119999999995</v>
      </c>
      <c r="W51">
        <f t="shared" si="15"/>
        <v>148878.15599999999</v>
      </c>
      <c r="X51">
        <f t="shared" si="16"/>
        <v>60.977985917557994</v>
      </c>
      <c r="Y51">
        <f t="shared" si="17"/>
        <v>73.353968731316101</v>
      </c>
      <c r="Z51">
        <f>IFERROR(SUM($H$3:$H51),"")</f>
        <v>110905.42299999998</v>
      </c>
      <c r="AA51">
        <f>IFERROR(SUM($I$3:$I51),"")</f>
        <v>162376.49299999996</v>
      </c>
      <c r="AB51">
        <f>IFERROR(SUM($J$3:$J51),"")</f>
        <v>74066.812000000005</v>
      </c>
      <c r="AC51">
        <f t="shared" si="18"/>
        <v>236443.30499999996</v>
      </c>
      <c r="AD51">
        <f t="shared" si="19"/>
        <v>46.905715093095992</v>
      </c>
      <c r="AE51">
        <f t="shared" si="20"/>
        <v>68.674599604332201</v>
      </c>
      <c r="AF51">
        <f>IFERROR(SUM($K$3:$K51),"")</f>
        <v>95254.232000000004</v>
      </c>
      <c r="AG51">
        <f>IFERROR(SUM($L$3:$L51),"")</f>
        <v>117844.05299999999</v>
      </c>
      <c r="AH51">
        <f>IFERROR(SUM($M$3:$M51),"")</f>
        <v>54426.512999999992</v>
      </c>
      <c r="AI51">
        <f t="shared" si="21"/>
        <v>172270.56599999999</v>
      </c>
      <c r="AJ51">
        <f t="shared" si="22"/>
        <v>55.293387728232112</v>
      </c>
      <c r="AK51">
        <f t="shared" si="23"/>
        <v>68.406377094041702</v>
      </c>
    </row>
    <row r="52" spans="1:37" x14ac:dyDescent="0.35">
      <c r="A52">
        <v>1899</v>
      </c>
      <c r="B52">
        <v>3657.09</v>
      </c>
      <c r="C52">
        <v>5184.4040000000005</v>
      </c>
      <c r="D52">
        <v>1829.8309999999999</v>
      </c>
      <c r="E52">
        <v>2955.6619999999998</v>
      </c>
      <c r="F52">
        <v>3470.1680000000001</v>
      </c>
      <c r="G52">
        <v>1147.192</v>
      </c>
      <c r="H52">
        <v>3657.09</v>
      </c>
      <c r="I52">
        <v>5184.4049999999997</v>
      </c>
      <c r="J52">
        <v>1829.8309999999999</v>
      </c>
      <c r="K52">
        <v>3363.8049999999998</v>
      </c>
      <c r="L52">
        <v>4116.4160000000002</v>
      </c>
      <c r="M52">
        <v>1539.1189999999999</v>
      </c>
      <c r="N52">
        <f>IFERROR(SUM($B$3:$B52),"")</f>
        <v>114562.51399999998</v>
      </c>
      <c r="O52">
        <f>IFERROR(SUM($C$3:$C52),"")</f>
        <v>167560.89599999995</v>
      </c>
      <c r="P52">
        <f>IFERROR(SUM($D$3:$D52),"")</f>
        <v>75896.643000000011</v>
      </c>
      <c r="Q52">
        <f t="shared" si="12"/>
        <v>243457.53899999996</v>
      </c>
      <c r="R52">
        <f t="shared" si="13"/>
        <v>47.056465973723654</v>
      </c>
      <c r="S52">
        <f t="shared" si="14"/>
        <v>68.825511293778405</v>
      </c>
      <c r="T52">
        <f>IFERROR(SUM($E$3:$E52),"")</f>
        <v>93738.563000000024</v>
      </c>
      <c r="U52">
        <f>IFERROR(SUM($F$3:$F52),"")</f>
        <v>112678.204</v>
      </c>
      <c r="V52">
        <f>IFERROR(SUM($G$3:$G52),"")</f>
        <v>40817.311999999998</v>
      </c>
      <c r="W52">
        <f t="shared" si="15"/>
        <v>153495.516</v>
      </c>
      <c r="X52">
        <f t="shared" si="16"/>
        <v>61.069251690713898</v>
      </c>
      <c r="Y52">
        <f t="shared" si="17"/>
        <v>73.408140469719001</v>
      </c>
      <c r="Z52">
        <f>IFERROR(SUM($H$3:$H52),"")</f>
        <v>114562.51299999998</v>
      </c>
      <c r="AA52">
        <f>IFERROR(SUM($I$3:$I52),"")</f>
        <v>167560.89799999996</v>
      </c>
      <c r="AB52">
        <f>IFERROR(SUM($J$3:$J52),"")</f>
        <v>75896.643000000011</v>
      </c>
      <c r="AC52">
        <f t="shared" si="18"/>
        <v>243457.54099999997</v>
      </c>
      <c r="AD52">
        <f t="shared" si="19"/>
        <v>47.056465176406256</v>
      </c>
      <c r="AE52">
        <f t="shared" si="20"/>
        <v>68.825511549876367</v>
      </c>
      <c r="AF52">
        <f>IFERROR(SUM($K$3:$K52),"")</f>
        <v>98618.036999999997</v>
      </c>
      <c r="AG52">
        <f>IFERROR(SUM($L$3:$L52),"")</f>
        <v>121960.46899999998</v>
      </c>
      <c r="AH52">
        <f>IFERROR(SUM($M$3:$M52),"")</f>
        <v>55965.631999999991</v>
      </c>
      <c r="AI52">
        <f t="shared" si="21"/>
        <v>177926.10099999997</v>
      </c>
      <c r="AJ52">
        <f t="shared" si="22"/>
        <v>55.426402560240447</v>
      </c>
      <c r="AK52">
        <f t="shared" si="23"/>
        <v>68.545574996891546</v>
      </c>
    </row>
    <row r="53" spans="1:37" x14ac:dyDescent="0.35">
      <c r="A53">
        <v>1900</v>
      </c>
      <c r="B53">
        <v>3738.346</v>
      </c>
      <c r="C53">
        <v>5353.3040000000001</v>
      </c>
      <c r="D53">
        <v>1864.415</v>
      </c>
      <c r="E53">
        <v>3050.9639999999999</v>
      </c>
      <c r="F53">
        <v>3576.9560000000001</v>
      </c>
      <c r="G53">
        <v>1152.9659999999999</v>
      </c>
      <c r="H53">
        <v>3738.346</v>
      </c>
      <c r="I53">
        <v>5353.3040000000001</v>
      </c>
      <c r="J53">
        <v>1864.415</v>
      </c>
      <c r="K53">
        <v>3446.5430000000001</v>
      </c>
      <c r="L53">
        <v>4180.7510000000002</v>
      </c>
      <c r="M53">
        <v>1534.749</v>
      </c>
      <c r="N53">
        <f>IFERROR(SUM($B$3:$B53),"")</f>
        <v>118300.85999999999</v>
      </c>
      <c r="O53">
        <f>IFERROR(SUM($C$3:$C53),"")</f>
        <v>172914.19999999995</v>
      </c>
      <c r="P53">
        <f>IFERROR(SUM($D$3:$D53),"")</f>
        <v>77761.058000000005</v>
      </c>
      <c r="Q53">
        <f t="shared" si="12"/>
        <v>250675.25799999997</v>
      </c>
      <c r="R53">
        <f t="shared" si="13"/>
        <v>47.19287453570707</v>
      </c>
      <c r="S53">
        <f t="shared" si="14"/>
        <v>68.979364529067311</v>
      </c>
      <c r="T53">
        <f>IFERROR(SUM($E$3:$E53),"")</f>
        <v>96789.527000000031</v>
      </c>
      <c r="U53">
        <f>IFERROR(SUM($F$3:$F53),"")</f>
        <v>116255.16</v>
      </c>
      <c r="V53">
        <f>IFERROR(SUM($G$3:$G53),"")</f>
        <v>41970.277999999998</v>
      </c>
      <c r="W53">
        <f t="shared" si="15"/>
        <v>158225.43799999999</v>
      </c>
      <c r="X53">
        <f t="shared" si="16"/>
        <v>61.171912824788663</v>
      </c>
      <c r="Y53">
        <f t="shared" si="17"/>
        <v>73.474380270004374</v>
      </c>
      <c r="Z53">
        <f>IFERROR(SUM($H$3:$H53),"")</f>
        <v>118300.85899999998</v>
      </c>
      <c r="AA53">
        <f>IFERROR(SUM($I$3:$I53),"")</f>
        <v>172914.20199999996</v>
      </c>
      <c r="AB53">
        <f>IFERROR(SUM($J$3:$J53),"")</f>
        <v>77761.058000000005</v>
      </c>
      <c r="AC53">
        <f t="shared" si="18"/>
        <v>250675.25999999995</v>
      </c>
      <c r="AD53">
        <f t="shared" si="19"/>
        <v>47.192873760258593</v>
      </c>
      <c r="AE53">
        <f t="shared" si="20"/>
        <v>68.979364776563912</v>
      </c>
      <c r="AF53">
        <f>IFERROR(SUM($K$3:$K53),"")</f>
        <v>102064.58</v>
      </c>
      <c r="AG53">
        <f>IFERROR(SUM($L$3:$L53),"")</f>
        <v>126141.21999999999</v>
      </c>
      <c r="AH53">
        <f>IFERROR(SUM($M$3:$M53),"")</f>
        <v>57500.380999999994</v>
      </c>
      <c r="AI53">
        <f t="shared" si="21"/>
        <v>183641.60099999997</v>
      </c>
      <c r="AJ53">
        <f t="shared" si="22"/>
        <v>55.578136677211845</v>
      </c>
      <c r="AK53">
        <f t="shared" si="23"/>
        <v>68.688804341234217</v>
      </c>
    </row>
    <row r="54" spans="1:37" x14ac:dyDescent="0.35">
      <c r="A54">
        <v>1901</v>
      </c>
      <c r="B54">
        <v>3769.174</v>
      </c>
      <c r="C54">
        <v>5478.2370000000001</v>
      </c>
      <c r="D54">
        <v>1982.65</v>
      </c>
      <c r="E54">
        <v>3100.096</v>
      </c>
      <c r="F54">
        <v>3641.4670000000001</v>
      </c>
      <c r="G54">
        <v>1396.982</v>
      </c>
      <c r="H54">
        <v>3769.174</v>
      </c>
      <c r="I54">
        <v>5478.2359999999999</v>
      </c>
      <c r="J54">
        <v>1982.65</v>
      </c>
      <c r="K54">
        <v>3434.7150000000001</v>
      </c>
      <c r="L54">
        <v>4201.0929999999998</v>
      </c>
      <c r="M54">
        <v>1587.8109999999999</v>
      </c>
      <c r="N54">
        <f>IFERROR(SUM($B$3:$B54),"")</f>
        <v>122070.03399999999</v>
      </c>
      <c r="O54">
        <f>IFERROR(SUM($C$3:$C54),"")</f>
        <v>178392.43699999995</v>
      </c>
      <c r="P54">
        <f>IFERROR(SUM($D$3:$D54),"")</f>
        <v>79743.707999999999</v>
      </c>
      <c r="Q54">
        <f t="shared" si="12"/>
        <v>258136.14499999996</v>
      </c>
      <c r="R54">
        <f t="shared" si="13"/>
        <v>47.289012548010277</v>
      </c>
      <c r="S54">
        <f t="shared" si="14"/>
        <v>69.107887622634166</v>
      </c>
      <c r="T54">
        <f>IFERROR(SUM($E$3:$E54),"")</f>
        <v>99889.623000000036</v>
      </c>
      <c r="U54">
        <f>IFERROR(SUM($F$3:$F54),"")</f>
        <v>119896.62700000001</v>
      </c>
      <c r="V54">
        <f>IFERROR(SUM($G$3:$G54),"")</f>
        <v>43367.259999999995</v>
      </c>
      <c r="W54">
        <f t="shared" si="15"/>
        <v>163263.88699999999</v>
      </c>
      <c r="X54">
        <f t="shared" si="16"/>
        <v>61.182925897139796</v>
      </c>
      <c r="Y54">
        <f t="shared" si="17"/>
        <v>73.437322363885656</v>
      </c>
      <c r="Z54">
        <f>IFERROR(SUM($H$3:$H54),"")</f>
        <v>122070.03299999998</v>
      </c>
      <c r="AA54">
        <f>IFERROR(SUM($I$3:$I54),"")</f>
        <v>178392.43799999997</v>
      </c>
      <c r="AB54">
        <f>IFERROR(SUM($J$3:$J54),"")</f>
        <v>79743.707999999999</v>
      </c>
      <c r="AC54">
        <f t="shared" si="18"/>
        <v>258136.14599999995</v>
      </c>
      <c r="AD54">
        <f t="shared" si="19"/>
        <v>47.289011977423726</v>
      </c>
      <c r="AE54">
        <f t="shared" si="20"/>
        <v>69.107887742307895</v>
      </c>
      <c r="AF54">
        <f>IFERROR(SUM($K$3:$K54),"")</f>
        <v>105499.295</v>
      </c>
      <c r="AG54">
        <f>IFERROR(SUM($L$3:$L54),"")</f>
        <v>130342.31299999998</v>
      </c>
      <c r="AH54">
        <f>IFERROR(SUM($M$3:$M54),"")</f>
        <v>59088.191999999995</v>
      </c>
      <c r="AI54">
        <f t="shared" si="21"/>
        <v>189430.50499999998</v>
      </c>
      <c r="AJ54">
        <f t="shared" si="22"/>
        <v>55.692875337053025</v>
      </c>
      <c r="AK54">
        <f t="shared" si="23"/>
        <v>68.807456856011655</v>
      </c>
    </row>
    <row r="55" spans="1:37" x14ac:dyDescent="0.35">
      <c r="A55">
        <v>1902</v>
      </c>
      <c r="B55">
        <v>3834.19</v>
      </c>
      <c r="C55">
        <v>5567.87</v>
      </c>
      <c r="D55">
        <v>2023.5830000000001</v>
      </c>
      <c r="E55">
        <v>3035.8150000000001</v>
      </c>
      <c r="F55">
        <v>3575.598</v>
      </c>
      <c r="G55">
        <v>1531.2950000000001</v>
      </c>
      <c r="H55">
        <v>3834.19</v>
      </c>
      <c r="I55">
        <v>5567.8689999999997</v>
      </c>
      <c r="J55">
        <v>2023.5830000000001</v>
      </c>
      <c r="K55">
        <v>3471.1660000000002</v>
      </c>
      <c r="L55">
        <v>4226.5069999999996</v>
      </c>
      <c r="M55">
        <v>1593.537</v>
      </c>
      <c r="N55">
        <f>IFERROR(SUM($B$3:$B55),"")</f>
        <v>125904.22399999999</v>
      </c>
      <c r="O55">
        <f>IFERROR(SUM($C$3:$C55),"")</f>
        <v>183960.30699999994</v>
      </c>
      <c r="P55">
        <f>IFERROR(SUM($D$3:$D55),"")</f>
        <v>81767.290999999997</v>
      </c>
      <c r="Q55">
        <f t="shared" si="12"/>
        <v>265727.59799999994</v>
      </c>
      <c r="R55">
        <f t="shared" si="13"/>
        <v>47.380936322617124</v>
      </c>
      <c r="S55">
        <f t="shared" si="14"/>
        <v>69.228905233998304</v>
      </c>
      <c r="T55">
        <f>IFERROR(SUM($E$3:$E55),"")</f>
        <v>102925.43800000004</v>
      </c>
      <c r="U55">
        <f>IFERROR(SUM($F$3:$F55),"")</f>
        <v>123472.22500000001</v>
      </c>
      <c r="V55">
        <f>IFERROR(SUM($G$3:$G55),"")</f>
        <v>44898.554999999993</v>
      </c>
      <c r="W55">
        <f t="shared" si="15"/>
        <v>168370.78</v>
      </c>
      <c r="X55">
        <f t="shared" si="16"/>
        <v>61.130225802838254</v>
      </c>
      <c r="Y55">
        <f t="shared" si="17"/>
        <v>73.333523192088322</v>
      </c>
      <c r="Z55">
        <f>IFERROR(SUM($H$3:$H55),"")</f>
        <v>125904.22299999998</v>
      </c>
      <c r="AA55">
        <f>IFERROR(SUM($I$3:$I55),"")</f>
        <v>183960.30699999997</v>
      </c>
      <c r="AB55">
        <f>IFERROR(SUM($J$3:$J55),"")</f>
        <v>81767.290999999997</v>
      </c>
      <c r="AC55">
        <f t="shared" si="18"/>
        <v>265727.598</v>
      </c>
      <c r="AD55">
        <f t="shared" si="19"/>
        <v>47.380935946291878</v>
      </c>
      <c r="AE55">
        <f t="shared" si="20"/>
        <v>69.228905233998304</v>
      </c>
      <c r="AF55">
        <f>IFERROR(SUM($K$3:$K55),"")</f>
        <v>108970.461</v>
      </c>
      <c r="AG55">
        <f>IFERROR(SUM($L$3:$L55),"")</f>
        <v>134568.81999999998</v>
      </c>
      <c r="AH55">
        <f>IFERROR(SUM($M$3:$M55),"")</f>
        <v>60681.728999999992</v>
      </c>
      <c r="AI55">
        <f t="shared" si="21"/>
        <v>195250.54899999997</v>
      </c>
      <c r="AJ55">
        <f t="shared" si="22"/>
        <v>55.810578540293896</v>
      </c>
      <c r="AK55">
        <f t="shared" si="23"/>
        <v>68.921096862063109</v>
      </c>
    </row>
    <row r="56" spans="1:37" x14ac:dyDescent="0.35">
      <c r="A56">
        <v>1903</v>
      </c>
      <c r="B56">
        <v>4005.3290000000002</v>
      </c>
      <c r="C56">
        <v>5799.6459999999997</v>
      </c>
      <c r="D56">
        <v>2036.9549999999999</v>
      </c>
      <c r="E56">
        <v>3204.6579999999999</v>
      </c>
      <c r="F56">
        <v>3749.8530000000001</v>
      </c>
      <c r="G56">
        <v>1661.933</v>
      </c>
      <c r="H56">
        <v>4005.3290000000002</v>
      </c>
      <c r="I56">
        <v>5799.6459999999997</v>
      </c>
      <c r="J56">
        <v>2036.9549999999999</v>
      </c>
      <c r="K56">
        <v>3613.2170000000001</v>
      </c>
      <c r="L56">
        <v>4378.9279999999999</v>
      </c>
      <c r="M56">
        <v>1612.894</v>
      </c>
      <c r="N56">
        <f>IFERROR(SUM($B$3:$B56),"")</f>
        <v>129909.55299999999</v>
      </c>
      <c r="O56">
        <f>IFERROR(SUM($C$3:$C56),"")</f>
        <v>189759.95299999995</v>
      </c>
      <c r="P56">
        <f>IFERROR(SUM($D$3:$D56),"")</f>
        <v>83804.245999999999</v>
      </c>
      <c r="Q56">
        <f t="shared" si="12"/>
        <v>273564.19899999996</v>
      </c>
      <c r="R56">
        <f t="shared" si="13"/>
        <v>47.487775620815064</v>
      </c>
      <c r="S56">
        <f t="shared" si="14"/>
        <v>69.365784592303314</v>
      </c>
      <c r="T56">
        <f>IFERROR(SUM($E$3:$E56),"")</f>
        <v>106130.09600000003</v>
      </c>
      <c r="U56">
        <f>IFERROR(SUM($F$3:$F56),"")</f>
        <v>127222.07800000001</v>
      </c>
      <c r="V56">
        <f>IFERROR(SUM($G$3:$G56),"")</f>
        <v>46560.48799999999</v>
      </c>
      <c r="W56">
        <f t="shared" si="15"/>
        <v>173782.56599999999</v>
      </c>
      <c r="X56">
        <f t="shared" si="16"/>
        <v>61.070623160208157</v>
      </c>
      <c r="Y56">
        <f t="shared" si="17"/>
        <v>73.207618536372649</v>
      </c>
      <c r="Z56">
        <f>IFERROR(SUM($H$3:$H56),"")</f>
        <v>129909.55199999998</v>
      </c>
      <c r="AA56">
        <f>IFERROR(SUM($I$3:$I56),"")</f>
        <v>189759.95299999998</v>
      </c>
      <c r="AB56">
        <f>IFERROR(SUM($J$3:$J56),"")</f>
        <v>83804.245999999999</v>
      </c>
      <c r="AC56">
        <f t="shared" si="18"/>
        <v>273564.19899999996</v>
      </c>
      <c r="AD56">
        <f t="shared" si="19"/>
        <v>47.487775255270151</v>
      </c>
      <c r="AE56">
        <f t="shared" si="20"/>
        <v>69.365784592303328</v>
      </c>
      <c r="AF56">
        <f>IFERROR(SUM($K$3:$K56),"")</f>
        <v>112583.678</v>
      </c>
      <c r="AG56">
        <f>IFERROR(SUM($L$3:$L56),"")</f>
        <v>138947.74799999996</v>
      </c>
      <c r="AH56">
        <f>IFERROR(SUM($M$3:$M56),"")</f>
        <v>62294.622999999992</v>
      </c>
      <c r="AI56">
        <f t="shared" si="21"/>
        <v>201242.37099999996</v>
      </c>
      <c r="AJ56">
        <f t="shared" si="22"/>
        <v>55.944320989937069</v>
      </c>
      <c r="AK56">
        <f t="shared" si="23"/>
        <v>69.044976616778172</v>
      </c>
    </row>
    <row r="57" spans="1:37" x14ac:dyDescent="0.35">
      <c r="A57">
        <v>1904</v>
      </c>
      <c r="B57">
        <v>4053.308</v>
      </c>
      <c r="C57">
        <v>5897.0150000000003</v>
      </c>
      <c r="D57">
        <v>2082.6179999999999</v>
      </c>
      <c r="E57">
        <v>3191.4169999999999</v>
      </c>
      <c r="F57">
        <v>3748.0079999999998</v>
      </c>
      <c r="G57">
        <v>1787.5730000000001</v>
      </c>
      <c r="H57">
        <v>4053.308</v>
      </c>
      <c r="I57">
        <v>5897.0150000000003</v>
      </c>
      <c r="J57">
        <v>2082.6179999999999</v>
      </c>
      <c r="K57">
        <v>3641.58</v>
      </c>
      <c r="L57">
        <v>4422.183</v>
      </c>
      <c r="M57">
        <v>1695.3140000000001</v>
      </c>
      <c r="N57">
        <f>IFERROR(SUM($B$3:$B57),"")</f>
        <v>133962.86099999998</v>
      </c>
      <c r="O57">
        <f>IFERROR(SUM($C$3:$C57),"")</f>
        <v>195656.96799999996</v>
      </c>
      <c r="P57">
        <f>IFERROR(SUM($D$3:$D57),"")</f>
        <v>85886.864000000001</v>
      </c>
      <c r="Q57">
        <f t="shared" si="12"/>
        <v>281543.83199999994</v>
      </c>
      <c r="R57">
        <f t="shared" si="13"/>
        <v>47.581529330040517</v>
      </c>
      <c r="S57">
        <f t="shared" si="14"/>
        <v>69.494318738973476</v>
      </c>
      <c r="T57">
        <f>IFERROR(SUM($E$3:$E57),"")</f>
        <v>109321.51300000004</v>
      </c>
      <c r="U57">
        <f>IFERROR(SUM($F$3:$F57),"")</f>
        <v>130970.08600000001</v>
      </c>
      <c r="V57">
        <f>IFERROR(SUM($G$3:$G57),"")</f>
        <v>48348.060999999987</v>
      </c>
      <c r="W57">
        <f t="shared" si="15"/>
        <v>179318.147</v>
      </c>
      <c r="X57">
        <f t="shared" si="16"/>
        <v>60.965114144303556</v>
      </c>
      <c r="Y57">
        <f t="shared" si="17"/>
        <v>73.037831469449671</v>
      </c>
      <c r="Z57">
        <f>IFERROR(SUM($H$3:$H57),"")</f>
        <v>133962.85999999999</v>
      </c>
      <c r="AA57">
        <f>IFERROR(SUM($I$3:$I57),"")</f>
        <v>195656.96799999999</v>
      </c>
      <c r="AB57">
        <f>IFERROR(SUM($J$3:$J57),"")</f>
        <v>85886.864000000001</v>
      </c>
      <c r="AC57">
        <f t="shared" si="18"/>
        <v>281543.83199999999</v>
      </c>
      <c r="AD57">
        <f t="shared" si="19"/>
        <v>47.581528974856028</v>
      </c>
      <c r="AE57">
        <f t="shared" si="20"/>
        <v>69.494318738973476</v>
      </c>
      <c r="AF57">
        <f>IFERROR(SUM($K$3:$K57),"")</f>
        <v>116225.258</v>
      </c>
      <c r="AG57">
        <f>IFERROR(SUM($L$3:$L57),"")</f>
        <v>143369.93099999995</v>
      </c>
      <c r="AH57">
        <f>IFERROR(SUM($M$3:$M57),"")</f>
        <v>63989.936999999991</v>
      </c>
      <c r="AI57">
        <f t="shared" si="21"/>
        <v>207359.86799999996</v>
      </c>
      <c r="AJ57">
        <f t="shared" si="22"/>
        <v>56.050025070424923</v>
      </c>
      <c r="AK57">
        <f t="shared" si="23"/>
        <v>69.140635737673207</v>
      </c>
    </row>
    <row r="58" spans="1:37" x14ac:dyDescent="0.35">
      <c r="A58">
        <v>1905</v>
      </c>
      <c r="B58">
        <v>4195.268</v>
      </c>
      <c r="C58">
        <v>6096.393</v>
      </c>
      <c r="D58">
        <v>2074.3820000000001</v>
      </c>
      <c r="E58">
        <v>3321.6849999999999</v>
      </c>
      <c r="F58">
        <v>3879.6460000000002</v>
      </c>
      <c r="G58">
        <v>1906.2380000000001</v>
      </c>
      <c r="H58">
        <v>4195.268</v>
      </c>
      <c r="I58">
        <v>6096.393</v>
      </c>
      <c r="J58">
        <v>2074.3820000000001</v>
      </c>
      <c r="K58">
        <v>3777.8780000000002</v>
      </c>
      <c r="L58">
        <v>4587.0429999999997</v>
      </c>
      <c r="M58">
        <v>1669.182</v>
      </c>
      <c r="N58">
        <f>IFERROR(SUM($B$3:$B58),"")</f>
        <v>138158.12899999999</v>
      </c>
      <c r="O58">
        <f>IFERROR(SUM($C$3:$C58),"")</f>
        <v>201753.36099999998</v>
      </c>
      <c r="P58">
        <f>IFERROR(SUM($D$3:$D58),"")</f>
        <v>87961.245999999999</v>
      </c>
      <c r="Q58">
        <f t="shared" si="12"/>
        <v>289714.60699999996</v>
      </c>
      <c r="R58">
        <f t="shared" si="13"/>
        <v>47.687664226056789</v>
      </c>
      <c r="S58">
        <f t="shared" si="14"/>
        <v>69.638656845493472</v>
      </c>
      <c r="T58">
        <f>IFERROR(SUM($E$3:$E58),"")</f>
        <v>112643.19800000003</v>
      </c>
      <c r="U58">
        <f>IFERROR(SUM($F$3:$F58),"")</f>
        <v>134849.73200000002</v>
      </c>
      <c r="V58">
        <f>IFERROR(SUM($G$3:$G58),"")</f>
        <v>50254.298999999985</v>
      </c>
      <c r="W58">
        <f t="shared" si="15"/>
        <v>185104.03100000002</v>
      </c>
      <c r="X58">
        <f t="shared" si="16"/>
        <v>60.853995124503811</v>
      </c>
      <c r="Y58">
        <f t="shared" si="17"/>
        <v>72.850780867111425</v>
      </c>
      <c r="Z58">
        <f>IFERROR(SUM($H$3:$H58),"")</f>
        <v>138158.128</v>
      </c>
      <c r="AA58">
        <f>IFERROR(SUM($I$3:$I58),"")</f>
        <v>201753.361</v>
      </c>
      <c r="AB58">
        <f>IFERROR(SUM($J$3:$J58),"")</f>
        <v>87961.245999999999</v>
      </c>
      <c r="AC58">
        <f t="shared" si="18"/>
        <v>289714.60700000002</v>
      </c>
      <c r="AD58">
        <f t="shared" si="19"/>
        <v>47.687663880889509</v>
      </c>
      <c r="AE58">
        <f t="shared" si="20"/>
        <v>69.638656845493458</v>
      </c>
      <c r="AF58">
        <f>IFERROR(SUM($K$3:$K58),"")</f>
        <v>120003.136</v>
      </c>
      <c r="AG58">
        <f>IFERROR(SUM($L$3:$L58),"")</f>
        <v>147956.97399999996</v>
      </c>
      <c r="AH58">
        <f>IFERROR(SUM($M$3:$M58),"")</f>
        <v>65659.118999999992</v>
      </c>
      <c r="AI58">
        <f t="shared" si="21"/>
        <v>213616.09299999994</v>
      </c>
      <c r="AJ58">
        <f t="shared" si="22"/>
        <v>56.177010970797994</v>
      </c>
      <c r="AK58">
        <f t="shared" si="23"/>
        <v>69.263027856239276</v>
      </c>
    </row>
    <row r="59" spans="1:37" x14ac:dyDescent="0.35">
      <c r="A59">
        <v>1906</v>
      </c>
      <c r="B59">
        <v>4273.1059999999998</v>
      </c>
      <c r="C59">
        <v>6220.1890000000003</v>
      </c>
      <c r="D59">
        <v>2133.6930000000002</v>
      </c>
      <c r="E59">
        <v>3393.6770000000001</v>
      </c>
      <c r="F59">
        <v>3970.4459999999999</v>
      </c>
      <c r="G59">
        <v>2059.6790000000001</v>
      </c>
      <c r="H59">
        <v>4273.1059999999998</v>
      </c>
      <c r="I59">
        <v>6220.1890000000003</v>
      </c>
      <c r="J59">
        <v>2133.6930000000002</v>
      </c>
      <c r="K59">
        <v>3843.82</v>
      </c>
      <c r="L59">
        <v>4668.9539999999997</v>
      </c>
      <c r="M59">
        <v>1728.7349999999999</v>
      </c>
      <c r="N59">
        <f>IFERROR(SUM($B$3:$B59),"")</f>
        <v>142431.23499999999</v>
      </c>
      <c r="O59">
        <f>IFERROR(SUM($C$3:$C59),"")</f>
        <v>207973.55</v>
      </c>
      <c r="P59">
        <f>IFERROR(SUM($D$3:$D59),"")</f>
        <v>90094.938999999998</v>
      </c>
      <c r="Q59">
        <f t="shared" si="12"/>
        <v>298068.489</v>
      </c>
      <c r="R59">
        <f t="shared" si="13"/>
        <v>47.784734132026948</v>
      </c>
      <c r="S59">
        <f t="shared" si="14"/>
        <v>69.773745858791528</v>
      </c>
      <c r="T59">
        <f>IFERROR(SUM($E$3:$E59),"")</f>
        <v>116036.87500000003</v>
      </c>
      <c r="U59">
        <f>IFERROR(SUM($F$3:$F59),"")</f>
        <v>138820.17800000001</v>
      </c>
      <c r="V59">
        <f>IFERROR(SUM($G$3:$G59),"")</f>
        <v>52313.977999999988</v>
      </c>
      <c r="W59">
        <f t="shared" si="15"/>
        <v>191134.15600000002</v>
      </c>
      <c r="X59">
        <f t="shared" si="16"/>
        <v>60.709648881385711</v>
      </c>
      <c r="Y59">
        <f t="shared" si="17"/>
        <v>72.629707272205181</v>
      </c>
      <c r="Z59">
        <f>IFERROR(SUM($H$3:$H59),"")</f>
        <v>142431.234</v>
      </c>
      <c r="AA59">
        <f>IFERROR(SUM($I$3:$I59),"")</f>
        <v>207973.55000000002</v>
      </c>
      <c r="AB59">
        <f>IFERROR(SUM($J$3:$J59),"")</f>
        <v>90094.938999999998</v>
      </c>
      <c r="AC59">
        <f t="shared" si="18"/>
        <v>298068.489</v>
      </c>
      <c r="AD59">
        <f t="shared" si="19"/>
        <v>47.784733796533587</v>
      </c>
      <c r="AE59">
        <f t="shared" si="20"/>
        <v>69.773745858791543</v>
      </c>
      <c r="AF59">
        <f>IFERROR(SUM($K$3:$K59),"")</f>
        <v>123846.95600000001</v>
      </c>
      <c r="AG59">
        <f>IFERROR(SUM($L$3:$L59),"")</f>
        <v>152625.92799999996</v>
      </c>
      <c r="AH59">
        <f>IFERROR(SUM($M$3:$M59),"")</f>
        <v>67387.853999999992</v>
      </c>
      <c r="AI59">
        <f t="shared" si="21"/>
        <v>220013.78199999995</v>
      </c>
      <c r="AJ59">
        <f t="shared" si="22"/>
        <v>56.290544562340209</v>
      </c>
      <c r="AK59">
        <f t="shared" si="23"/>
        <v>69.371076035591258</v>
      </c>
    </row>
    <row r="60" spans="1:37" x14ac:dyDescent="0.35">
      <c r="A60">
        <v>1907</v>
      </c>
      <c r="B60">
        <v>4590.7190000000001</v>
      </c>
      <c r="C60">
        <v>6598.3969999999999</v>
      </c>
      <c r="D60">
        <v>2122.1970000000001</v>
      </c>
      <c r="E60">
        <v>3704.2080000000001</v>
      </c>
      <c r="F60">
        <v>4304.4229999999998</v>
      </c>
      <c r="G60">
        <v>2115.4229999999998</v>
      </c>
      <c r="H60">
        <v>4590.7190000000001</v>
      </c>
      <c r="I60">
        <v>6598.3969999999999</v>
      </c>
      <c r="J60">
        <v>2122.1970000000001</v>
      </c>
      <c r="K60">
        <v>4140.3990000000003</v>
      </c>
      <c r="L60">
        <v>5005.9870000000001</v>
      </c>
      <c r="M60">
        <v>1724.5239999999999</v>
      </c>
      <c r="N60">
        <f>IFERROR(SUM($B$3:$B60),"")</f>
        <v>147021.954</v>
      </c>
      <c r="O60">
        <f>IFERROR(SUM($C$3:$C60),"")</f>
        <v>214571.94699999999</v>
      </c>
      <c r="P60">
        <f>IFERROR(SUM($D$3:$D60),"")</f>
        <v>92217.135999999999</v>
      </c>
      <c r="Q60">
        <f t="shared" si="12"/>
        <v>306789.08299999998</v>
      </c>
      <c r="R60">
        <f t="shared" si="13"/>
        <v>47.922811516731841</v>
      </c>
      <c r="S60">
        <f t="shared" si="14"/>
        <v>69.941193767967292</v>
      </c>
      <c r="T60">
        <f>IFERROR(SUM($E$3:$E60),"")</f>
        <v>119741.08300000003</v>
      </c>
      <c r="U60">
        <f>IFERROR(SUM($F$3:$F60),"")</f>
        <v>143124.60100000002</v>
      </c>
      <c r="V60">
        <f>IFERROR(SUM($G$3:$G60),"")</f>
        <v>54429.400999999991</v>
      </c>
      <c r="W60">
        <f t="shared" si="15"/>
        <v>197554.00200000001</v>
      </c>
      <c r="X60">
        <f t="shared" si="16"/>
        <v>60.611823495228421</v>
      </c>
      <c r="Y60">
        <f t="shared" si="17"/>
        <v>72.448343010535439</v>
      </c>
      <c r="Z60">
        <f>IFERROR(SUM($H$3:$H60),"")</f>
        <v>147021.95300000001</v>
      </c>
      <c r="AA60">
        <f>IFERROR(SUM($I$3:$I60),"")</f>
        <v>214571.94700000001</v>
      </c>
      <c r="AB60">
        <f>IFERROR(SUM($J$3:$J60),"")</f>
        <v>92217.135999999999</v>
      </c>
      <c r="AC60">
        <f t="shared" si="18"/>
        <v>306789.08299999998</v>
      </c>
      <c r="AD60">
        <f t="shared" si="19"/>
        <v>47.922811190775008</v>
      </c>
      <c r="AE60">
        <f t="shared" si="20"/>
        <v>69.941193767967306</v>
      </c>
      <c r="AF60">
        <f>IFERROR(SUM($K$3:$K60),"")</f>
        <v>127987.35500000001</v>
      </c>
      <c r="AG60">
        <f>IFERROR(SUM($L$3:$L60),"")</f>
        <v>157631.91499999995</v>
      </c>
      <c r="AH60">
        <f>IFERROR(SUM($M$3:$M60),"")</f>
        <v>69112.377999999997</v>
      </c>
      <c r="AI60">
        <f t="shared" si="21"/>
        <v>226744.29299999995</v>
      </c>
      <c r="AJ60">
        <f t="shared" si="22"/>
        <v>56.44567865705887</v>
      </c>
      <c r="AK60">
        <f t="shared" si="23"/>
        <v>69.519683567074381</v>
      </c>
    </row>
    <row r="61" spans="1:37" x14ac:dyDescent="0.35">
      <c r="A61">
        <v>1908</v>
      </c>
      <c r="B61">
        <v>4471.4269999999997</v>
      </c>
      <c r="C61">
        <v>6521.25</v>
      </c>
      <c r="D61">
        <v>2129.3490000000002</v>
      </c>
      <c r="E61">
        <v>3567.8319999999999</v>
      </c>
      <c r="F61">
        <v>4177.3</v>
      </c>
      <c r="G61">
        <v>2171.962</v>
      </c>
      <c r="H61">
        <v>4471.4269999999997</v>
      </c>
      <c r="I61">
        <v>6521.25</v>
      </c>
      <c r="J61">
        <v>2129.3490000000002</v>
      </c>
      <c r="K61">
        <v>4006.491</v>
      </c>
      <c r="L61">
        <v>4891.9480000000003</v>
      </c>
      <c r="M61">
        <v>1764.3140000000001</v>
      </c>
      <c r="N61">
        <f>IFERROR(SUM($B$3:$B61),"")</f>
        <v>151493.38099999999</v>
      </c>
      <c r="O61">
        <f>IFERROR(SUM($C$3:$C61),"")</f>
        <v>221093.19699999999</v>
      </c>
      <c r="P61">
        <f>IFERROR(SUM($D$3:$D61),"")</f>
        <v>94346.485000000001</v>
      </c>
      <c r="Q61">
        <f t="shared" si="12"/>
        <v>315439.68199999997</v>
      </c>
      <c r="R61">
        <f t="shared" si="13"/>
        <v>48.026101230979563</v>
      </c>
      <c r="S61">
        <f t="shared" si="14"/>
        <v>70.090483099079464</v>
      </c>
      <c r="T61">
        <f>IFERROR(SUM($E$3:$E61),"")</f>
        <v>123308.91500000002</v>
      </c>
      <c r="U61">
        <f>IFERROR(SUM($F$3:$F61),"")</f>
        <v>147301.90100000001</v>
      </c>
      <c r="V61">
        <f>IFERROR(SUM($G$3:$G61),"")</f>
        <v>56601.36299999999</v>
      </c>
      <c r="W61">
        <f t="shared" si="15"/>
        <v>203903.264</v>
      </c>
      <c r="X61">
        <f t="shared" si="16"/>
        <v>60.474223208118936</v>
      </c>
      <c r="Y61">
        <f t="shared" si="17"/>
        <v>72.241070648089291</v>
      </c>
      <c r="Z61">
        <f>IFERROR(SUM($H$3:$H61),"")</f>
        <v>151493.38</v>
      </c>
      <c r="AA61">
        <f>IFERROR(SUM($I$3:$I61),"")</f>
        <v>221093.19700000001</v>
      </c>
      <c r="AB61">
        <f>IFERROR(SUM($J$3:$J61),"")</f>
        <v>94346.485000000001</v>
      </c>
      <c r="AC61">
        <f t="shared" si="18"/>
        <v>315439.68200000003</v>
      </c>
      <c r="AD61">
        <f t="shared" si="19"/>
        <v>48.026100913961734</v>
      </c>
      <c r="AE61">
        <f t="shared" si="20"/>
        <v>70.090483099079464</v>
      </c>
      <c r="AF61">
        <f>IFERROR(SUM($K$3:$K61),"")</f>
        <v>131993.84600000002</v>
      </c>
      <c r="AG61">
        <f>IFERROR(SUM($L$3:$L61),"")</f>
        <v>162523.86299999995</v>
      </c>
      <c r="AH61">
        <f>IFERROR(SUM($M$3:$M61),"")</f>
        <v>70876.691999999995</v>
      </c>
      <c r="AI61">
        <f t="shared" si="21"/>
        <v>233400.55499999993</v>
      </c>
      <c r="AJ61">
        <f t="shared" si="22"/>
        <v>56.552498771907402</v>
      </c>
      <c r="AK61">
        <f t="shared" si="23"/>
        <v>69.633023366204071</v>
      </c>
    </row>
    <row r="62" spans="1:37" x14ac:dyDescent="0.35">
      <c r="A62">
        <v>1909</v>
      </c>
      <c r="B62">
        <v>4594.2619999999997</v>
      </c>
      <c r="C62">
        <v>6693.9639999999999</v>
      </c>
      <c r="D62">
        <v>2153.491</v>
      </c>
      <c r="E62">
        <v>3661.759</v>
      </c>
      <c r="F62">
        <v>4281.0230000000001</v>
      </c>
      <c r="G62">
        <v>2206.3670000000002</v>
      </c>
      <c r="H62">
        <v>4594.2619999999997</v>
      </c>
      <c r="I62">
        <v>6693.9639999999999</v>
      </c>
      <c r="J62">
        <v>2153.491</v>
      </c>
      <c r="K62">
        <v>4107.1899999999996</v>
      </c>
      <c r="L62">
        <v>5020.0860000000002</v>
      </c>
      <c r="M62">
        <v>1816.14</v>
      </c>
      <c r="N62">
        <f>IFERROR(SUM($B$3:$B62),"")</f>
        <v>156087.64299999998</v>
      </c>
      <c r="O62">
        <f>IFERROR(SUM($C$3:$C62),"")</f>
        <v>227787.16099999999</v>
      </c>
      <c r="P62">
        <f>IFERROR(SUM($D$3:$D62),"")</f>
        <v>96499.975999999995</v>
      </c>
      <c r="Q62">
        <f t="shared" si="12"/>
        <v>324287.13699999999</v>
      </c>
      <c r="R62">
        <f t="shared" si="13"/>
        <v>48.132542179741158</v>
      </c>
      <c r="S62">
        <f t="shared" si="14"/>
        <v>70.242428702930638</v>
      </c>
      <c r="T62">
        <f>IFERROR(SUM($E$3:$E62),"")</f>
        <v>126970.67400000003</v>
      </c>
      <c r="U62">
        <f>IFERROR(SUM($F$3:$F62),"")</f>
        <v>151582.924</v>
      </c>
      <c r="V62">
        <f>IFERROR(SUM($G$3:$G62),"")</f>
        <v>58807.729999999989</v>
      </c>
      <c r="W62">
        <f t="shared" si="15"/>
        <v>210390.65399999998</v>
      </c>
      <c r="X62">
        <f t="shared" si="16"/>
        <v>60.349959271479825</v>
      </c>
      <c r="Y62">
        <f t="shared" si="17"/>
        <v>72.048316366752687</v>
      </c>
      <c r="Z62">
        <f>IFERROR(SUM($H$3:$H62),"")</f>
        <v>156087.64199999999</v>
      </c>
      <c r="AA62">
        <f>IFERROR(SUM($I$3:$I62),"")</f>
        <v>227787.16100000002</v>
      </c>
      <c r="AB62">
        <f>IFERROR(SUM($J$3:$J62),"")</f>
        <v>96499.975999999995</v>
      </c>
      <c r="AC62">
        <f t="shared" si="18"/>
        <v>324287.13699999999</v>
      </c>
      <c r="AD62">
        <f t="shared" si="19"/>
        <v>48.132541871372467</v>
      </c>
      <c r="AE62">
        <f t="shared" si="20"/>
        <v>70.242428702930653</v>
      </c>
      <c r="AF62">
        <f>IFERROR(SUM($K$3:$K62),"")</f>
        <v>136101.03600000002</v>
      </c>
      <c r="AG62">
        <f>IFERROR(SUM($L$3:$L62),"")</f>
        <v>167543.94899999996</v>
      </c>
      <c r="AH62">
        <f>IFERROR(SUM($M$3:$M62),"")</f>
        <v>72692.831999999995</v>
      </c>
      <c r="AI62">
        <f t="shared" si="21"/>
        <v>240236.78099999996</v>
      </c>
      <c r="AJ62">
        <f t="shared" si="22"/>
        <v>56.652871984660855</v>
      </c>
      <c r="AK62">
        <f t="shared" si="23"/>
        <v>69.7411729805021</v>
      </c>
    </row>
    <row r="63" spans="1:37" x14ac:dyDescent="0.35">
      <c r="A63">
        <v>1910</v>
      </c>
      <c r="B63">
        <v>4652.5829999999996</v>
      </c>
      <c r="C63">
        <v>6324.1390000000001</v>
      </c>
      <c r="D63">
        <v>2334.1190000000001</v>
      </c>
      <c r="E63">
        <v>3801.97</v>
      </c>
      <c r="F63">
        <v>4418.3770000000004</v>
      </c>
      <c r="G63">
        <v>2240.2939999999999</v>
      </c>
      <c r="H63">
        <v>4652.5829999999996</v>
      </c>
      <c r="I63">
        <v>6324.1390000000001</v>
      </c>
      <c r="J63">
        <v>2334.1190000000001</v>
      </c>
      <c r="K63">
        <v>4240.6009999999997</v>
      </c>
      <c r="L63">
        <v>5009.4780000000001</v>
      </c>
      <c r="M63">
        <v>1919.626</v>
      </c>
      <c r="N63">
        <f>IFERROR(SUM($B$3:$B63),"")</f>
        <v>160740.226</v>
      </c>
      <c r="O63">
        <f>IFERROR(SUM($C$3:$C63),"")</f>
        <v>234111.3</v>
      </c>
      <c r="P63">
        <f>IFERROR(SUM($D$3:$D63),"")</f>
        <v>98834.095000000001</v>
      </c>
      <c r="Q63">
        <f t="shared" si="12"/>
        <v>332945.39500000002</v>
      </c>
      <c r="R63">
        <f t="shared" si="13"/>
        <v>48.278254757060083</v>
      </c>
      <c r="S63">
        <f t="shared" si="14"/>
        <v>70.315223912317506</v>
      </c>
      <c r="T63">
        <f>IFERROR(SUM($E$3:$E63),"")</f>
        <v>130772.64400000003</v>
      </c>
      <c r="U63">
        <f>IFERROR(SUM($F$3:$F63),"")</f>
        <v>156001.30100000001</v>
      </c>
      <c r="V63">
        <f>IFERROR(SUM($G$3:$G63),"")</f>
        <v>61048.02399999999</v>
      </c>
      <c r="W63">
        <f t="shared" si="15"/>
        <v>217049.32500000001</v>
      </c>
      <c r="X63">
        <f t="shared" si="16"/>
        <v>60.250196124774881</v>
      </c>
      <c r="Y63">
        <f t="shared" si="17"/>
        <v>71.873663279072616</v>
      </c>
      <c r="Z63">
        <f>IFERROR(SUM($H$3:$H63),"")</f>
        <v>160740.22500000001</v>
      </c>
      <c r="AA63">
        <f>IFERROR(SUM($I$3:$I63),"")</f>
        <v>234111.30000000002</v>
      </c>
      <c r="AB63">
        <f>IFERROR(SUM($J$3:$J63),"")</f>
        <v>98834.095000000001</v>
      </c>
      <c r="AC63">
        <f t="shared" si="18"/>
        <v>332945.39500000002</v>
      </c>
      <c r="AD63">
        <f t="shared" si="19"/>
        <v>48.278254456710535</v>
      </c>
      <c r="AE63">
        <f t="shared" si="20"/>
        <v>70.315223912317521</v>
      </c>
      <c r="AF63">
        <f>IFERROR(SUM($K$3:$K63),"")</f>
        <v>140341.63700000002</v>
      </c>
      <c r="AG63">
        <f>IFERROR(SUM($L$3:$L63),"")</f>
        <v>172553.42699999997</v>
      </c>
      <c r="AH63">
        <f>IFERROR(SUM($M$3:$M63),"")</f>
        <v>74612.457999999999</v>
      </c>
      <c r="AI63">
        <f t="shared" si="21"/>
        <v>247165.88499999995</v>
      </c>
      <c r="AJ63">
        <f t="shared" si="22"/>
        <v>56.780342885912447</v>
      </c>
      <c r="AK63">
        <f t="shared" si="23"/>
        <v>69.81280082402958</v>
      </c>
    </row>
    <row r="64" spans="1:37" x14ac:dyDescent="0.35">
      <c r="A64">
        <v>1911</v>
      </c>
      <c r="B64">
        <v>4662.1270000000004</v>
      </c>
      <c r="C64">
        <v>6207.1559999999999</v>
      </c>
      <c r="D64">
        <v>2418.9839999999999</v>
      </c>
      <c r="E64">
        <v>3822.973</v>
      </c>
      <c r="F64">
        <v>4451.1710000000003</v>
      </c>
      <c r="G64">
        <v>2050.0340000000001</v>
      </c>
      <c r="H64">
        <v>4662.1270000000004</v>
      </c>
      <c r="I64">
        <v>6207.1559999999999</v>
      </c>
      <c r="J64">
        <v>2418.9830000000002</v>
      </c>
      <c r="K64">
        <v>4254.8389999999999</v>
      </c>
      <c r="L64">
        <v>5004.2839999999997</v>
      </c>
      <c r="M64">
        <v>1998.519</v>
      </c>
      <c r="N64">
        <f>IFERROR(SUM($B$3:$B64),"")</f>
        <v>165402.353</v>
      </c>
      <c r="O64">
        <f>IFERROR(SUM($C$3:$C64),"")</f>
        <v>240318.45599999998</v>
      </c>
      <c r="P64">
        <f>IFERROR(SUM($D$3:$D64),"")</f>
        <v>101253.079</v>
      </c>
      <c r="Q64">
        <f t="shared" si="12"/>
        <v>341571.53499999997</v>
      </c>
      <c r="R64">
        <f t="shared" si="13"/>
        <v>48.423927655447052</v>
      </c>
      <c r="S64">
        <f t="shared" si="14"/>
        <v>70.356698780535083</v>
      </c>
      <c r="T64">
        <f>IFERROR(SUM($E$3:$E64),"")</f>
        <v>134595.61700000003</v>
      </c>
      <c r="U64">
        <f>IFERROR(SUM($F$3:$F64),"")</f>
        <v>160452.47200000001</v>
      </c>
      <c r="V64">
        <f>IFERROR(SUM($G$3:$G64),"")</f>
        <v>63098.05799999999</v>
      </c>
      <c r="W64">
        <f t="shared" si="15"/>
        <v>223550.53</v>
      </c>
      <c r="X64">
        <f t="shared" si="16"/>
        <v>60.208140414607847</v>
      </c>
      <c r="Y64">
        <f t="shared" si="17"/>
        <v>71.774588053984928</v>
      </c>
      <c r="Z64">
        <f>IFERROR(SUM($H$3:$H64),"")</f>
        <v>165402.35200000001</v>
      </c>
      <c r="AA64">
        <f>IFERROR(SUM($I$3:$I64),"")</f>
        <v>240318.45600000001</v>
      </c>
      <c r="AB64">
        <f>IFERROR(SUM($J$3:$J64),"")</f>
        <v>101253.07800000001</v>
      </c>
      <c r="AC64">
        <f t="shared" si="18"/>
        <v>341571.53399999999</v>
      </c>
      <c r="AD64">
        <f t="shared" si="19"/>
        <v>48.423927504450653</v>
      </c>
      <c r="AE64">
        <f t="shared" si="20"/>
        <v>70.356698986514502</v>
      </c>
      <c r="AF64">
        <f>IFERROR(SUM($K$3:$K64),"")</f>
        <v>144596.47600000002</v>
      </c>
      <c r="AG64">
        <f>IFERROR(SUM($L$3:$L64),"")</f>
        <v>177557.71099999995</v>
      </c>
      <c r="AH64">
        <f>IFERROR(SUM($M$3:$M64),"")</f>
        <v>76610.976999999999</v>
      </c>
      <c r="AI64">
        <f t="shared" si="21"/>
        <v>254168.68799999997</v>
      </c>
      <c r="AJ64">
        <f t="shared" si="22"/>
        <v>56.889964353122856</v>
      </c>
      <c r="AK64">
        <f t="shared" si="23"/>
        <v>69.858215973479773</v>
      </c>
    </row>
    <row r="65" spans="1:37" x14ac:dyDescent="0.35">
      <c r="A65">
        <v>1912</v>
      </c>
      <c r="B65">
        <v>4724.9260000000004</v>
      </c>
      <c r="C65">
        <v>6221.73</v>
      </c>
      <c r="D65">
        <v>2423.402</v>
      </c>
      <c r="E65">
        <v>3883.9259999999999</v>
      </c>
      <c r="F65">
        <v>4540.7240000000002</v>
      </c>
      <c r="G65">
        <v>1987.106</v>
      </c>
      <c r="H65">
        <v>4724.9260000000004</v>
      </c>
      <c r="I65">
        <v>6221.73</v>
      </c>
      <c r="J65">
        <v>2423.402</v>
      </c>
      <c r="K65">
        <v>4324.2889999999998</v>
      </c>
      <c r="L65">
        <v>5120.9089999999997</v>
      </c>
      <c r="M65">
        <v>1996.6130000000001</v>
      </c>
      <c r="N65">
        <f>IFERROR(SUM($B$3:$B65),"")</f>
        <v>170127.27900000001</v>
      </c>
      <c r="O65">
        <f>IFERROR(SUM($C$3:$C65),"")</f>
        <v>246540.18599999999</v>
      </c>
      <c r="P65">
        <f>IFERROR(SUM($D$3:$D65),"")</f>
        <v>103676.481</v>
      </c>
      <c r="Q65">
        <f t="shared" si="12"/>
        <v>350216.66700000002</v>
      </c>
      <c r="R65">
        <f t="shared" si="13"/>
        <v>48.577722030573725</v>
      </c>
      <c r="S65">
        <f t="shared" si="14"/>
        <v>70.396474306004393</v>
      </c>
      <c r="T65">
        <f>IFERROR(SUM($E$3:$E65),"")</f>
        <v>138479.54300000003</v>
      </c>
      <c r="U65">
        <f>IFERROR(SUM($F$3:$F65),"")</f>
        <v>164993.196</v>
      </c>
      <c r="V65">
        <f>IFERROR(SUM($G$3:$G65),"")</f>
        <v>65085.16399999999</v>
      </c>
      <c r="W65">
        <f t="shared" si="15"/>
        <v>230078.36</v>
      </c>
      <c r="X65">
        <f t="shared" si="16"/>
        <v>60.187991169617185</v>
      </c>
      <c r="Y65">
        <f t="shared" si="17"/>
        <v>71.711740295784438</v>
      </c>
      <c r="Z65">
        <f>IFERROR(SUM($H$3:$H65),"")</f>
        <v>170127.27800000002</v>
      </c>
      <c r="AA65">
        <f>IFERROR(SUM($I$3:$I65),"")</f>
        <v>246540.18600000002</v>
      </c>
      <c r="AB65">
        <f>IFERROR(SUM($J$3:$J65),"")</f>
        <v>103676.48000000001</v>
      </c>
      <c r="AC65">
        <f t="shared" si="18"/>
        <v>350216.66600000003</v>
      </c>
      <c r="AD65">
        <f t="shared" si="19"/>
        <v>48.577721883743827</v>
      </c>
      <c r="AE65">
        <f t="shared" si="20"/>
        <v>70.396474507012755</v>
      </c>
      <c r="AF65">
        <f>IFERROR(SUM($K$3:$K65),"")</f>
        <v>148920.76500000001</v>
      </c>
      <c r="AG65">
        <f>IFERROR(SUM($L$3:$L65),"")</f>
        <v>182678.61999999994</v>
      </c>
      <c r="AH65">
        <f>IFERROR(SUM($M$3:$M65),"")</f>
        <v>78607.59</v>
      </c>
      <c r="AI65">
        <f t="shared" si="21"/>
        <v>261286.20999999993</v>
      </c>
      <c r="AJ65">
        <f t="shared" si="22"/>
        <v>56.995263929160309</v>
      </c>
      <c r="AK65">
        <f t="shared" si="23"/>
        <v>69.915140182866892</v>
      </c>
    </row>
    <row r="66" spans="1:37" x14ac:dyDescent="0.35">
      <c r="A66">
        <v>1913</v>
      </c>
      <c r="B66">
        <v>4949.5280000000002</v>
      </c>
      <c r="C66">
        <v>6352.7420000000002</v>
      </c>
      <c r="D66">
        <v>2487.319</v>
      </c>
      <c r="E66">
        <v>4115.7629999999999</v>
      </c>
      <c r="F66">
        <v>4810.4930000000004</v>
      </c>
      <c r="G66">
        <v>1885.2270000000001</v>
      </c>
      <c r="H66">
        <v>4949.5280000000002</v>
      </c>
      <c r="I66">
        <v>6352.7420000000002</v>
      </c>
      <c r="J66">
        <v>2487.319</v>
      </c>
      <c r="K66">
        <v>4542.8389999999999</v>
      </c>
      <c r="L66">
        <v>5311.6909999999998</v>
      </c>
      <c r="M66">
        <v>2079.663</v>
      </c>
      <c r="N66">
        <f>IFERROR(SUM($B$3:$B66),"")</f>
        <v>175076.807</v>
      </c>
      <c r="O66">
        <f>IFERROR(SUM($C$3:$C66),"")</f>
        <v>252892.92799999999</v>
      </c>
      <c r="P66">
        <f>IFERROR(SUM($D$3:$D66),"")</f>
        <v>106163.8</v>
      </c>
      <c r="Q66">
        <f t="shared" si="12"/>
        <v>359056.728</v>
      </c>
      <c r="R66">
        <f t="shared" si="13"/>
        <v>48.76020788559071</v>
      </c>
      <c r="S66">
        <f t="shared" si="14"/>
        <v>70.432583009557192</v>
      </c>
      <c r="T66">
        <f>IFERROR(SUM($E$3:$E66),"")</f>
        <v>142595.30600000004</v>
      </c>
      <c r="U66">
        <f>IFERROR(SUM($F$3:$F66),"")</f>
        <v>169803.68899999998</v>
      </c>
      <c r="V66">
        <f>IFERROR(SUM($G$3:$G66),"")</f>
        <v>66970.390999999989</v>
      </c>
      <c r="W66">
        <f t="shared" si="15"/>
        <v>236774.07999999996</v>
      </c>
      <c r="X66">
        <f t="shared" si="16"/>
        <v>60.224204439945481</v>
      </c>
      <c r="Y66">
        <f t="shared" si="17"/>
        <v>71.71548887445789</v>
      </c>
      <c r="Z66">
        <f>IFERROR(SUM($H$3:$H66),"")</f>
        <v>175076.80600000001</v>
      </c>
      <c r="AA66">
        <f>IFERROR(SUM($I$3:$I66),"")</f>
        <v>252892.92800000001</v>
      </c>
      <c r="AB66">
        <f>IFERROR(SUM($J$3:$J66),"")</f>
        <v>106163.79900000001</v>
      </c>
      <c r="AC66">
        <f t="shared" si="18"/>
        <v>359056.72700000001</v>
      </c>
      <c r="AD66">
        <f t="shared" si="19"/>
        <v>48.760207742884035</v>
      </c>
      <c r="AE66">
        <f t="shared" si="20"/>
        <v>70.432583205717236</v>
      </c>
      <c r="AF66">
        <f>IFERROR(SUM($K$3:$K66),"")</f>
        <v>153463.60400000002</v>
      </c>
      <c r="AG66">
        <f>IFERROR(SUM($L$3:$L66),"")</f>
        <v>187990.31099999993</v>
      </c>
      <c r="AH66">
        <f>IFERROR(SUM($M$3:$M66),"")</f>
        <v>80687.252999999997</v>
      </c>
      <c r="AI66">
        <f t="shared" si="21"/>
        <v>268677.5639999999</v>
      </c>
      <c r="AJ66">
        <f t="shared" si="22"/>
        <v>57.118131382194633</v>
      </c>
      <c r="AK66">
        <f t="shared" si="23"/>
        <v>69.968741788949671</v>
      </c>
    </row>
    <row r="67" spans="1:37" x14ac:dyDescent="0.35">
      <c r="A67">
        <v>1914</v>
      </c>
      <c r="B67">
        <v>4678.9459999999999</v>
      </c>
      <c r="C67">
        <v>5960.5789999999997</v>
      </c>
      <c r="D67">
        <v>2541.14</v>
      </c>
      <c r="E67">
        <v>3810.5030000000002</v>
      </c>
      <c r="F67">
        <v>4471.7709999999997</v>
      </c>
      <c r="G67">
        <v>1843.528</v>
      </c>
      <c r="H67">
        <v>4678.9470000000001</v>
      </c>
      <c r="I67">
        <v>5960.5789999999997</v>
      </c>
      <c r="J67">
        <v>2541.14</v>
      </c>
      <c r="K67">
        <v>4265.625</v>
      </c>
      <c r="L67">
        <v>4979.3119999999999</v>
      </c>
      <c r="M67">
        <v>2109.9140000000002</v>
      </c>
      <c r="N67">
        <f>IFERROR(SUM($B$3:$B67),"")</f>
        <v>179755.753</v>
      </c>
      <c r="O67">
        <f>IFERROR(SUM($C$3:$C67),"")</f>
        <v>258853.50699999998</v>
      </c>
      <c r="P67">
        <f>IFERROR(SUM($D$3:$D67),"")</f>
        <v>108704.94</v>
      </c>
      <c r="Q67">
        <f t="shared" ref="Q67:Q98" si="24">IFERROR(O67+P67,"")</f>
        <v>367558.44699999999</v>
      </c>
      <c r="R67">
        <f t="shared" ref="R67:R98" si="25">IFERROR(N67/Q67*100,NA())</f>
        <v>48.905352187430481</v>
      </c>
      <c r="S67">
        <f t="shared" ref="S67:S98" si="26">IFERROR(O67/Q67*100,NA())</f>
        <v>70.425128061333879</v>
      </c>
      <c r="T67">
        <f>IFERROR(SUM($E$3:$E67),"")</f>
        <v>146405.80900000004</v>
      </c>
      <c r="U67">
        <f>IFERROR(SUM($F$3:$F67),"")</f>
        <v>174275.46</v>
      </c>
      <c r="V67">
        <f>IFERROR(SUM($G$3:$G67),"")</f>
        <v>68813.918999999994</v>
      </c>
      <c r="W67">
        <f t="shared" ref="W67:W98" si="27">IFERROR(U67+V67,"")</f>
        <v>243089.37899999999</v>
      </c>
      <c r="X67">
        <f t="shared" ref="X67:X98" si="28">IFERROR(T67/W67*100,NA())</f>
        <v>60.227151676585613</v>
      </c>
      <c r="Y67">
        <f t="shared" ref="Y67:Y98" si="29">IFERROR(U67/W67*100,NA())</f>
        <v>71.691926943463869</v>
      </c>
      <c r="Z67">
        <f>IFERROR(SUM($H$3:$H67),"")</f>
        <v>179755.75300000003</v>
      </c>
      <c r="AA67">
        <f>IFERROR(SUM($I$3:$I67),"")</f>
        <v>258853.50700000001</v>
      </c>
      <c r="AB67">
        <f>IFERROR(SUM($J$3:$J67),"")</f>
        <v>108704.93900000001</v>
      </c>
      <c r="AC67">
        <f t="shared" ref="AC67:AC98" si="30">IFERROR(AA67+AB67,"")</f>
        <v>367558.446</v>
      </c>
      <c r="AD67">
        <f t="shared" ref="AD67:AD98" si="31">IFERROR(Z67/AC67*100,NA())</f>
        <v>48.905352320485115</v>
      </c>
      <c r="AE67">
        <f t="shared" ref="AE67:AE98" si="32">IFERROR(AA67/AC67*100,NA())</f>
        <v>70.425128252936403</v>
      </c>
      <c r="AF67">
        <f>IFERROR(SUM($K$3:$K67),"")</f>
        <v>157729.22900000002</v>
      </c>
      <c r="AG67">
        <f>IFERROR(SUM($L$3:$L67),"")</f>
        <v>192969.62299999993</v>
      </c>
      <c r="AH67">
        <f>IFERROR(SUM($M$3:$M67),"")</f>
        <v>82797.167000000001</v>
      </c>
      <c r="AI67">
        <f t="shared" ref="AI67:AI98" si="33">IFERROR(AG67+AH67,"")</f>
        <v>275766.78999999992</v>
      </c>
      <c r="AJ67">
        <f t="shared" ref="AJ67:AJ98" si="34">IFERROR(AF67/AI67*100,NA())</f>
        <v>57.196600431835918</v>
      </c>
      <c r="AK67">
        <f t="shared" ref="AK67:AK98" si="35">IFERROR(AG67/AI67*100,NA())</f>
        <v>69.975656967251197</v>
      </c>
    </row>
    <row r="68" spans="1:37" x14ac:dyDescent="0.35">
      <c r="A68">
        <v>1915</v>
      </c>
      <c r="B68">
        <v>4606.3190000000004</v>
      </c>
      <c r="C68">
        <v>5795.9189999999999</v>
      </c>
      <c r="D68">
        <v>2562.3319999999999</v>
      </c>
      <c r="E68">
        <v>3762.2820000000002</v>
      </c>
      <c r="F68">
        <v>4416.625</v>
      </c>
      <c r="G68">
        <v>1805.5719999999999</v>
      </c>
      <c r="H68">
        <v>4606.3190000000004</v>
      </c>
      <c r="I68">
        <v>5795.9189999999999</v>
      </c>
      <c r="J68">
        <v>2562.3310000000001</v>
      </c>
      <c r="K68">
        <v>4186.7020000000002</v>
      </c>
      <c r="L68">
        <v>4878.5910000000003</v>
      </c>
      <c r="M68">
        <v>2148.8009999999999</v>
      </c>
      <c r="N68">
        <f>IFERROR(SUM($B$3:$B68),"")</f>
        <v>184362.07199999999</v>
      </c>
      <c r="O68">
        <f>IFERROR(SUM($C$3:$C68),"")</f>
        <v>264649.42599999998</v>
      </c>
      <c r="P68">
        <f>IFERROR(SUM($D$3:$D68),"")</f>
        <v>111267.272</v>
      </c>
      <c r="Q68">
        <f t="shared" si="24"/>
        <v>375916.69799999997</v>
      </c>
      <c r="R68">
        <f t="shared" si="25"/>
        <v>49.043331403171671</v>
      </c>
      <c r="S68">
        <f t="shared" si="26"/>
        <v>70.401082848413395</v>
      </c>
      <c r="T68">
        <f>IFERROR(SUM($E$3:$E68),"")</f>
        <v>150168.09100000004</v>
      </c>
      <c r="U68">
        <f>IFERROR(SUM($F$3:$F68),"")</f>
        <v>178692.08499999999</v>
      </c>
      <c r="V68">
        <f>IFERROR(SUM($G$3:$G68),"")</f>
        <v>70619.490999999995</v>
      </c>
      <c r="W68">
        <f t="shared" si="27"/>
        <v>249311.576</v>
      </c>
      <c r="X68">
        <f t="shared" si="28"/>
        <v>60.233100046666124</v>
      </c>
      <c r="Y68">
        <f t="shared" si="29"/>
        <v>71.674202966010697</v>
      </c>
      <c r="Z68">
        <f>IFERROR(SUM($H$3:$H68),"")</f>
        <v>184362.07200000001</v>
      </c>
      <c r="AA68">
        <f>IFERROR(SUM($I$3:$I68),"")</f>
        <v>264649.42600000004</v>
      </c>
      <c r="AB68">
        <f>IFERROR(SUM($J$3:$J68),"")</f>
        <v>111267.27000000002</v>
      </c>
      <c r="AC68">
        <f t="shared" si="30"/>
        <v>375916.69600000005</v>
      </c>
      <c r="AD68">
        <f t="shared" si="31"/>
        <v>49.043331664098254</v>
      </c>
      <c r="AE68">
        <f t="shared" si="32"/>
        <v>70.401083222970229</v>
      </c>
      <c r="AF68">
        <f>IFERROR(SUM($K$3:$K68),"")</f>
        <v>161915.93100000001</v>
      </c>
      <c r="AG68">
        <f>IFERROR(SUM($L$3:$L68),"")</f>
        <v>197848.21399999992</v>
      </c>
      <c r="AH68">
        <f>IFERROR(SUM($M$3:$M68),"")</f>
        <v>84945.968000000008</v>
      </c>
      <c r="AI68">
        <f t="shared" si="33"/>
        <v>282794.18199999991</v>
      </c>
      <c r="AJ68">
        <f t="shared" si="34"/>
        <v>57.25575040295562</v>
      </c>
      <c r="AK68">
        <f t="shared" si="35"/>
        <v>69.961911026868293</v>
      </c>
    </row>
    <row r="69" spans="1:37" x14ac:dyDescent="0.35">
      <c r="A69">
        <v>1916</v>
      </c>
      <c r="B69">
        <v>4814.3649999999998</v>
      </c>
      <c r="C69">
        <v>6014.0389999999998</v>
      </c>
      <c r="D69">
        <v>2567.2460000000001</v>
      </c>
      <c r="E69">
        <v>3972.5219999999999</v>
      </c>
      <c r="F69">
        <v>4654.4139999999998</v>
      </c>
      <c r="G69">
        <v>1826.923</v>
      </c>
      <c r="H69">
        <v>4814.3649999999998</v>
      </c>
      <c r="I69">
        <v>6014.0389999999998</v>
      </c>
      <c r="J69">
        <v>2567.2460000000001</v>
      </c>
      <c r="K69">
        <v>4364.7740000000003</v>
      </c>
      <c r="L69">
        <v>5118.665</v>
      </c>
      <c r="M69">
        <v>2182.4490000000001</v>
      </c>
      <c r="N69">
        <f>IFERROR(SUM($B$3:$B69),"")</f>
        <v>189176.43699999998</v>
      </c>
      <c r="O69">
        <f>IFERROR(SUM($C$3:$C69),"")</f>
        <v>270663.46499999997</v>
      </c>
      <c r="P69">
        <f>IFERROR(SUM($D$3:$D69),"")</f>
        <v>113834.518</v>
      </c>
      <c r="Q69">
        <f t="shared" si="24"/>
        <v>384497.98299999995</v>
      </c>
      <c r="R69">
        <f t="shared" si="25"/>
        <v>49.200891906889403</v>
      </c>
      <c r="S69">
        <f t="shared" si="26"/>
        <v>70.393988256630209</v>
      </c>
      <c r="T69">
        <f>IFERROR(SUM($E$3:$E69),"")</f>
        <v>154140.61300000004</v>
      </c>
      <c r="U69">
        <f>IFERROR(SUM($F$3:$F69),"")</f>
        <v>183346.49899999998</v>
      </c>
      <c r="V69">
        <f>IFERROR(SUM($G$3:$G69),"")</f>
        <v>72446.41399999999</v>
      </c>
      <c r="W69">
        <f t="shared" si="27"/>
        <v>255792.91299999997</v>
      </c>
      <c r="X69">
        <f t="shared" si="28"/>
        <v>60.259923229382061</v>
      </c>
      <c r="Y69">
        <f t="shared" si="29"/>
        <v>71.67770867834794</v>
      </c>
      <c r="Z69">
        <f>IFERROR(SUM($H$3:$H69),"")</f>
        <v>189176.43700000001</v>
      </c>
      <c r="AA69">
        <f>IFERROR(SUM($I$3:$I69),"")</f>
        <v>270663.46500000003</v>
      </c>
      <c r="AB69">
        <f>IFERROR(SUM($J$3:$J69),"")</f>
        <v>113834.51600000002</v>
      </c>
      <c r="AC69">
        <f t="shared" si="30"/>
        <v>384497.98100000003</v>
      </c>
      <c r="AD69">
        <f t="shared" si="31"/>
        <v>49.20089216281216</v>
      </c>
      <c r="AE69">
        <f t="shared" si="32"/>
        <v>70.393988622790715</v>
      </c>
      <c r="AF69">
        <f>IFERROR(SUM($K$3:$K69),"")</f>
        <v>166280.70500000002</v>
      </c>
      <c r="AG69">
        <f>IFERROR(SUM($L$3:$L69),"")</f>
        <v>202966.87899999993</v>
      </c>
      <c r="AH69">
        <f>IFERROR(SUM($M$3:$M69),"")</f>
        <v>87128.417000000001</v>
      </c>
      <c r="AI69">
        <f t="shared" si="33"/>
        <v>290095.29599999991</v>
      </c>
      <c r="AJ69">
        <f t="shared" si="34"/>
        <v>57.319338607958706</v>
      </c>
      <c r="AK69">
        <f t="shared" si="35"/>
        <v>69.965587790847877</v>
      </c>
    </row>
    <row r="70" spans="1:37" x14ac:dyDescent="0.35">
      <c r="A70">
        <v>1917</v>
      </c>
      <c r="B70">
        <v>4938.4080000000004</v>
      </c>
      <c r="C70">
        <v>6037.7719999999999</v>
      </c>
      <c r="D70">
        <v>2590.7530000000002</v>
      </c>
      <c r="E70">
        <v>4085.9580000000001</v>
      </c>
      <c r="F70">
        <v>4773.0600000000004</v>
      </c>
      <c r="G70">
        <v>1852.66</v>
      </c>
      <c r="H70">
        <v>4938.4080000000004</v>
      </c>
      <c r="I70">
        <v>6037.7719999999999</v>
      </c>
      <c r="J70">
        <v>2590.7530000000002</v>
      </c>
      <c r="K70">
        <v>4473.7209999999995</v>
      </c>
      <c r="L70">
        <v>5176.1580000000004</v>
      </c>
      <c r="M70">
        <v>2260.9389999999999</v>
      </c>
      <c r="N70">
        <f>IFERROR(SUM($B$3:$B70),"")</f>
        <v>194114.84499999997</v>
      </c>
      <c r="O70">
        <f>IFERROR(SUM($C$3:$C70),"")</f>
        <v>276701.23699999996</v>
      </c>
      <c r="P70">
        <f>IFERROR(SUM($D$3:$D70),"")</f>
        <v>116425.27099999999</v>
      </c>
      <c r="Q70">
        <f t="shared" si="24"/>
        <v>393126.50799999997</v>
      </c>
      <c r="R70">
        <f t="shared" si="25"/>
        <v>49.377195648175423</v>
      </c>
      <c r="S70">
        <f t="shared" si="26"/>
        <v>70.384782345941417</v>
      </c>
      <c r="T70">
        <f>IFERROR(SUM($E$3:$E70),"")</f>
        <v>158226.57100000005</v>
      </c>
      <c r="U70">
        <f>IFERROR(SUM($F$3:$F70),"")</f>
        <v>188119.55899999998</v>
      </c>
      <c r="V70">
        <f>IFERROR(SUM($G$3:$G70),"")</f>
        <v>74299.073999999993</v>
      </c>
      <c r="W70">
        <f t="shared" si="27"/>
        <v>262418.63299999997</v>
      </c>
      <c r="X70">
        <f t="shared" si="28"/>
        <v>60.295478713205576</v>
      </c>
      <c r="Y70">
        <f t="shared" si="29"/>
        <v>71.686814632556988</v>
      </c>
      <c r="Z70">
        <f>IFERROR(SUM($H$3:$H70),"")</f>
        <v>194114.845</v>
      </c>
      <c r="AA70">
        <f>IFERROR(SUM($I$3:$I70),"")</f>
        <v>276701.23700000002</v>
      </c>
      <c r="AB70">
        <f>IFERROR(SUM($J$3:$J70),"")</f>
        <v>116425.26900000001</v>
      </c>
      <c r="AC70">
        <f t="shared" si="30"/>
        <v>393126.50600000005</v>
      </c>
      <c r="AD70">
        <f t="shared" si="31"/>
        <v>49.377195899377988</v>
      </c>
      <c r="AE70">
        <f t="shared" si="32"/>
        <v>70.384782704018434</v>
      </c>
      <c r="AF70">
        <f>IFERROR(SUM($K$3:$K70),"")</f>
        <v>170754.42600000001</v>
      </c>
      <c r="AG70">
        <f>IFERROR(SUM($L$3:$L70),"")</f>
        <v>208143.03699999992</v>
      </c>
      <c r="AH70">
        <f>IFERROR(SUM($M$3:$M70),"")</f>
        <v>89389.356</v>
      </c>
      <c r="AI70">
        <f t="shared" si="33"/>
        <v>297532.39299999992</v>
      </c>
      <c r="AJ70">
        <f t="shared" si="34"/>
        <v>57.390196838164123</v>
      </c>
      <c r="AK70">
        <f t="shared" si="35"/>
        <v>69.956428912263007</v>
      </c>
    </row>
    <row r="71" spans="1:37" x14ac:dyDescent="0.35">
      <c r="A71">
        <v>1918</v>
      </c>
      <c r="B71">
        <v>4989.5339999999997</v>
      </c>
      <c r="C71">
        <v>5918.1310000000003</v>
      </c>
      <c r="D71">
        <v>2610.259</v>
      </c>
      <c r="E71">
        <v>4109.9830000000002</v>
      </c>
      <c r="F71">
        <v>4717.6130000000003</v>
      </c>
      <c r="G71">
        <v>1871.5630000000001</v>
      </c>
      <c r="H71">
        <v>4989.5339999999997</v>
      </c>
      <c r="I71">
        <v>5918.1310000000003</v>
      </c>
      <c r="J71">
        <v>2610.259</v>
      </c>
      <c r="K71">
        <v>4516.643</v>
      </c>
      <c r="L71">
        <v>5096.0550000000003</v>
      </c>
      <c r="M71">
        <v>2254.6660000000002</v>
      </c>
      <c r="N71">
        <f>IFERROR(SUM($B$3:$B71),"")</f>
        <v>199104.37899999996</v>
      </c>
      <c r="O71">
        <f>IFERROR(SUM($C$3:$C71),"")</f>
        <v>282619.36799999996</v>
      </c>
      <c r="P71">
        <f>IFERROR(SUM($D$3:$D71),"")</f>
        <v>119035.53</v>
      </c>
      <c r="Q71">
        <f t="shared" si="24"/>
        <v>401654.89799999993</v>
      </c>
      <c r="R71">
        <f t="shared" si="25"/>
        <v>49.571007347705738</v>
      </c>
      <c r="S71">
        <f t="shared" si="26"/>
        <v>70.36373000983545</v>
      </c>
      <c r="T71">
        <f>IFERROR(SUM($E$3:$E71),"")</f>
        <v>162336.55400000006</v>
      </c>
      <c r="U71">
        <f>IFERROR(SUM($F$3:$F71),"")</f>
        <v>192837.17199999999</v>
      </c>
      <c r="V71">
        <f>IFERROR(SUM($G$3:$G71),"")</f>
        <v>76170.636999999988</v>
      </c>
      <c r="W71">
        <f t="shared" si="27"/>
        <v>269007.80900000001</v>
      </c>
      <c r="X71">
        <f t="shared" si="28"/>
        <v>60.346409497725794</v>
      </c>
      <c r="Y71">
        <f t="shared" si="29"/>
        <v>71.684600055606566</v>
      </c>
      <c r="Z71">
        <f>IFERROR(SUM($H$3:$H71),"")</f>
        <v>199104.37900000002</v>
      </c>
      <c r="AA71">
        <f>IFERROR(SUM($I$3:$I71),"")</f>
        <v>282619.36800000002</v>
      </c>
      <c r="AB71">
        <f>IFERROR(SUM($J$3:$J71),"")</f>
        <v>119035.52800000002</v>
      </c>
      <c r="AC71">
        <f t="shared" si="30"/>
        <v>401654.89600000007</v>
      </c>
      <c r="AD71">
        <f t="shared" si="31"/>
        <v>49.571007594539566</v>
      </c>
      <c r="AE71">
        <f t="shared" si="32"/>
        <v>70.363730360204528</v>
      </c>
      <c r="AF71">
        <f>IFERROR(SUM($K$3:$K71),"")</f>
        <v>175271.06900000002</v>
      </c>
      <c r="AG71">
        <f>IFERROR(SUM($L$3:$L71),"")</f>
        <v>213239.09199999992</v>
      </c>
      <c r="AH71">
        <f>IFERROR(SUM($M$3:$M71),"")</f>
        <v>91644.021999999997</v>
      </c>
      <c r="AI71">
        <f t="shared" si="33"/>
        <v>304883.11399999994</v>
      </c>
      <c r="AJ71">
        <f t="shared" si="34"/>
        <v>57.48795553170585</v>
      </c>
      <c r="AK71">
        <f t="shared" si="35"/>
        <v>69.941260177498705</v>
      </c>
    </row>
    <row r="72" spans="1:37" x14ac:dyDescent="0.35">
      <c r="A72">
        <v>1919</v>
      </c>
      <c r="B72">
        <v>4580.0410000000002</v>
      </c>
      <c r="C72">
        <v>5358.8280000000004</v>
      </c>
      <c r="D72">
        <v>2650.761</v>
      </c>
      <c r="E72">
        <v>3711.2269999999999</v>
      </c>
      <c r="F72">
        <v>4211.0249999999996</v>
      </c>
      <c r="G72">
        <v>1912.3489999999999</v>
      </c>
      <c r="H72">
        <v>4580.0410000000002</v>
      </c>
      <c r="I72">
        <v>5358.8280000000004</v>
      </c>
      <c r="J72">
        <v>2650.761</v>
      </c>
      <c r="K72">
        <v>4110.8779999999997</v>
      </c>
      <c r="L72">
        <v>4591.57</v>
      </c>
      <c r="M72">
        <v>2309.058</v>
      </c>
      <c r="N72">
        <f>IFERROR(SUM($B$3:$B72),"")</f>
        <v>203684.41999999995</v>
      </c>
      <c r="O72">
        <f>IFERROR(SUM($C$3:$C72),"")</f>
        <v>287978.19599999994</v>
      </c>
      <c r="P72">
        <f>IFERROR(SUM($D$3:$D72),"")</f>
        <v>121686.291</v>
      </c>
      <c r="Q72">
        <f t="shared" si="24"/>
        <v>409664.48699999996</v>
      </c>
      <c r="R72">
        <f t="shared" si="25"/>
        <v>49.719813765551017</v>
      </c>
      <c r="S72">
        <f t="shared" si="26"/>
        <v>70.296109411114259</v>
      </c>
      <c r="T72">
        <f>IFERROR(SUM($E$3:$E72),"")</f>
        <v>166047.78100000008</v>
      </c>
      <c r="U72">
        <f>IFERROR(SUM($F$3:$F72),"")</f>
        <v>197048.19699999999</v>
      </c>
      <c r="V72">
        <f>IFERROR(SUM($G$3:$G72),"")</f>
        <v>78082.98599999999</v>
      </c>
      <c r="W72">
        <f t="shared" si="27"/>
        <v>275131.18299999996</v>
      </c>
      <c r="X72">
        <f t="shared" si="28"/>
        <v>60.352221507367311</v>
      </c>
      <c r="Y72">
        <f t="shared" si="29"/>
        <v>71.619725125813886</v>
      </c>
      <c r="Z72">
        <f>IFERROR(SUM($H$3:$H72),"")</f>
        <v>203684.42</v>
      </c>
      <c r="AA72">
        <f>IFERROR(SUM($I$3:$I72),"")</f>
        <v>287978.196</v>
      </c>
      <c r="AB72">
        <f>IFERROR(SUM($J$3:$J72),"")</f>
        <v>121686.28900000002</v>
      </c>
      <c r="AC72">
        <f t="shared" si="30"/>
        <v>409664.48499999999</v>
      </c>
      <c r="AD72">
        <f t="shared" si="31"/>
        <v>49.719814008285347</v>
      </c>
      <c r="AE72">
        <f t="shared" si="32"/>
        <v>70.296109754302961</v>
      </c>
      <c r="AF72">
        <f>IFERROR(SUM($K$3:$K72),"")</f>
        <v>179381.94700000001</v>
      </c>
      <c r="AG72">
        <f>IFERROR(SUM($L$3:$L72),"")</f>
        <v>217830.66199999992</v>
      </c>
      <c r="AH72">
        <f>IFERROR(SUM($M$3:$M72),"")</f>
        <v>93953.08</v>
      </c>
      <c r="AI72">
        <f t="shared" si="33"/>
        <v>311783.74199999991</v>
      </c>
      <c r="AJ72">
        <f t="shared" si="34"/>
        <v>57.534092653234005</v>
      </c>
      <c r="AK72">
        <f t="shared" si="35"/>
        <v>69.865946377665836</v>
      </c>
    </row>
    <row r="73" spans="1:37" x14ac:dyDescent="0.35">
      <c r="A73">
        <v>1920</v>
      </c>
      <c r="B73">
        <v>5008.1049999999996</v>
      </c>
      <c r="C73">
        <v>6051.3159999999998</v>
      </c>
      <c r="D73">
        <v>3092.3870000000002</v>
      </c>
      <c r="E73">
        <v>4098.9430000000002</v>
      </c>
      <c r="F73">
        <v>4678.357</v>
      </c>
      <c r="G73">
        <v>1965.9469999999999</v>
      </c>
      <c r="H73">
        <v>5008.1059999999998</v>
      </c>
      <c r="I73">
        <v>6051.317</v>
      </c>
      <c r="J73">
        <v>3092.3870000000002</v>
      </c>
      <c r="K73">
        <v>4481.2579999999998</v>
      </c>
      <c r="L73">
        <v>5098.9759999999997</v>
      </c>
      <c r="M73">
        <v>2423.645</v>
      </c>
      <c r="N73">
        <f>IFERROR(SUM($B$3:$B73),"")</f>
        <v>208692.52499999997</v>
      </c>
      <c r="O73">
        <f>IFERROR(SUM($C$3:$C73),"")</f>
        <v>294029.51199999993</v>
      </c>
      <c r="P73">
        <f>IFERROR(SUM($D$3:$D73),"")</f>
        <v>124778.678</v>
      </c>
      <c r="Q73">
        <f t="shared" si="24"/>
        <v>418808.18999999994</v>
      </c>
      <c r="R73">
        <f t="shared" si="25"/>
        <v>49.830096445821653</v>
      </c>
      <c r="S73">
        <f t="shared" si="26"/>
        <v>70.206246921771026</v>
      </c>
      <c r="T73">
        <f>IFERROR(SUM($E$3:$E73),"")</f>
        <v>170146.72400000007</v>
      </c>
      <c r="U73">
        <f>IFERROR(SUM($F$3:$F73),"")</f>
        <v>201726.55399999997</v>
      </c>
      <c r="V73">
        <f>IFERROR(SUM($G$3:$G73),"")</f>
        <v>80048.93299999999</v>
      </c>
      <c r="W73">
        <f t="shared" si="27"/>
        <v>281775.48699999996</v>
      </c>
      <c r="X73">
        <f t="shared" si="28"/>
        <v>60.383792008138769</v>
      </c>
      <c r="Y73">
        <f t="shared" si="29"/>
        <v>71.591236039634637</v>
      </c>
      <c r="Z73">
        <f>IFERROR(SUM($H$3:$H73),"")</f>
        <v>208692.52600000001</v>
      </c>
      <c r="AA73">
        <f>IFERROR(SUM($I$3:$I73),"")</f>
        <v>294029.51299999998</v>
      </c>
      <c r="AB73">
        <f>IFERROR(SUM($J$3:$J73),"")</f>
        <v>124778.67600000002</v>
      </c>
      <c r="AC73">
        <f t="shared" si="30"/>
        <v>418808.18900000001</v>
      </c>
      <c r="AD73">
        <f t="shared" si="31"/>
        <v>49.830096803575159</v>
      </c>
      <c r="AE73">
        <f t="shared" si="32"/>
        <v>70.206247328177241</v>
      </c>
      <c r="AF73">
        <f>IFERROR(SUM($K$3:$K73),"")</f>
        <v>183863.20500000002</v>
      </c>
      <c r="AG73">
        <f>IFERROR(SUM($L$3:$L73),"")</f>
        <v>222929.63799999992</v>
      </c>
      <c r="AH73">
        <f>IFERROR(SUM($M$3:$M73),"")</f>
        <v>96376.725000000006</v>
      </c>
      <c r="AI73">
        <f t="shared" si="33"/>
        <v>319306.3629999999</v>
      </c>
      <c r="AJ73">
        <f t="shared" si="34"/>
        <v>57.58206735141075</v>
      </c>
      <c r="AK73">
        <f t="shared" si="35"/>
        <v>69.816847965538358</v>
      </c>
    </row>
    <row r="74" spans="1:37" x14ac:dyDescent="0.35">
      <c r="A74">
        <v>1921</v>
      </c>
      <c r="B74">
        <v>4590.6040000000003</v>
      </c>
      <c r="C74">
        <v>5705.9449999999997</v>
      </c>
      <c r="D74">
        <v>3286.9319999999998</v>
      </c>
      <c r="E74">
        <v>3607.509</v>
      </c>
      <c r="F74">
        <v>4194.6940000000004</v>
      </c>
      <c r="G74">
        <v>2172.0949999999998</v>
      </c>
      <c r="H74">
        <v>4590.6040000000003</v>
      </c>
      <c r="I74">
        <v>5705.9459999999999</v>
      </c>
      <c r="J74">
        <v>3286.9319999999998</v>
      </c>
      <c r="K74">
        <v>4068.8960000000002</v>
      </c>
      <c r="L74">
        <v>4719.6270000000004</v>
      </c>
      <c r="M74">
        <v>2529.2530000000002</v>
      </c>
      <c r="N74">
        <f>IFERROR(SUM($B$3:$B74),"")</f>
        <v>213283.12899999996</v>
      </c>
      <c r="O74">
        <f>IFERROR(SUM($C$3:$C74),"")</f>
        <v>299735.45699999994</v>
      </c>
      <c r="P74">
        <f>IFERROR(SUM($D$3:$D74),"")</f>
        <v>128065.61</v>
      </c>
      <c r="Q74">
        <f t="shared" si="24"/>
        <v>427801.06699999992</v>
      </c>
      <c r="R74">
        <f t="shared" si="25"/>
        <v>49.855679532468301</v>
      </c>
      <c r="S74">
        <f t="shared" si="26"/>
        <v>70.064214449469802</v>
      </c>
      <c r="T74">
        <f>IFERROR(SUM($E$3:$E74),"")</f>
        <v>173754.23300000007</v>
      </c>
      <c r="U74">
        <f>IFERROR(SUM($F$3:$F74),"")</f>
        <v>205921.24799999996</v>
      </c>
      <c r="V74">
        <f>IFERROR(SUM($G$3:$G74),"")</f>
        <v>82221.027999999991</v>
      </c>
      <c r="W74">
        <f t="shared" si="27"/>
        <v>288142.27599999995</v>
      </c>
      <c r="X74">
        <f t="shared" si="28"/>
        <v>60.301541103951052</v>
      </c>
      <c r="Y74">
        <f t="shared" si="29"/>
        <v>71.465128567249877</v>
      </c>
      <c r="Z74">
        <f>IFERROR(SUM($H$3:$H74),"")</f>
        <v>213283.13</v>
      </c>
      <c r="AA74">
        <f>IFERROR(SUM($I$3:$I74),"")</f>
        <v>299735.45899999997</v>
      </c>
      <c r="AB74">
        <f>IFERROR(SUM($J$3:$J74),"")</f>
        <v>128065.60800000002</v>
      </c>
      <c r="AC74">
        <f t="shared" si="30"/>
        <v>427801.06699999998</v>
      </c>
      <c r="AD74">
        <f t="shared" si="31"/>
        <v>49.855679766221812</v>
      </c>
      <c r="AE74">
        <f t="shared" si="32"/>
        <v>70.064214916976823</v>
      </c>
      <c r="AF74">
        <f>IFERROR(SUM($K$3:$K74),"")</f>
        <v>187932.10100000002</v>
      </c>
      <c r="AG74">
        <f>IFERROR(SUM($L$3:$L74),"")</f>
        <v>227649.26499999993</v>
      </c>
      <c r="AH74">
        <f>IFERROR(SUM($M$3:$M74),"")</f>
        <v>98905.978000000003</v>
      </c>
      <c r="AI74">
        <f t="shared" si="33"/>
        <v>326555.2429999999</v>
      </c>
      <c r="AJ74">
        <f t="shared" si="34"/>
        <v>57.549864847829156</v>
      </c>
      <c r="AK74">
        <f t="shared" si="35"/>
        <v>69.712328887642457</v>
      </c>
    </row>
    <row r="75" spans="1:37" x14ac:dyDescent="0.35">
      <c r="A75">
        <v>1922</v>
      </c>
      <c r="B75">
        <v>4743.8850000000002</v>
      </c>
      <c r="C75">
        <v>5881.2359999999999</v>
      </c>
      <c r="D75">
        <v>3380.31</v>
      </c>
      <c r="E75">
        <v>3676.7750000000001</v>
      </c>
      <c r="F75">
        <v>4271.4629999999997</v>
      </c>
      <c r="G75">
        <v>2236.5279999999998</v>
      </c>
      <c r="H75">
        <v>4743.8850000000002</v>
      </c>
      <c r="I75">
        <v>5881.2359999999999</v>
      </c>
      <c r="J75">
        <v>3380.31</v>
      </c>
      <c r="K75">
        <v>4228.393</v>
      </c>
      <c r="L75">
        <v>4882.6180000000004</v>
      </c>
      <c r="M75">
        <v>2547.442</v>
      </c>
      <c r="N75">
        <f>IFERROR(SUM($B$3:$B75),"")</f>
        <v>218027.01399999997</v>
      </c>
      <c r="O75">
        <f>IFERROR(SUM($C$3:$C75),"")</f>
        <v>305616.69299999991</v>
      </c>
      <c r="P75">
        <f>IFERROR(SUM($D$3:$D75),"")</f>
        <v>131445.92000000001</v>
      </c>
      <c r="Q75">
        <f t="shared" si="24"/>
        <v>437062.6129999999</v>
      </c>
      <c r="R75">
        <f t="shared" si="25"/>
        <v>49.88461779044917</v>
      </c>
      <c r="S75">
        <f t="shared" si="26"/>
        <v>69.92515120482291</v>
      </c>
      <c r="T75">
        <f>IFERROR(SUM($E$3:$E75),"")</f>
        <v>177431.00800000006</v>
      </c>
      <c r="U75">
        <f>IFERROR(SUM($F$3:$F75),"")</f>
        <v>210192.71099999995</v>
      </c>
      <c r="V75">
        <f>IFERROR(SUM($G$3:$G75),"")</f>
        <v>84457.555999999997</v>
      </c>
      <c r="W75">
        <f t="shared" si="27"/>
        <v>294650.26699999993</v>
      </c>
      <c r="X75">
        <f t="shared" si="28"/>
        <v>60.217494389713245</v>
      </c>
      <c r="Y75">
        <f t="shared" si="29"/>
        <v>71.336338208714395</v>
      </c>
      <c r="Z75">
        <f>IFERROR(SUM($H$3:$H75),"")</f>
        <v>218027.01500000001</v>
      </c>
      <c r="AA75">
        <f>IFERROR(SUM($I$3:$I75),"")</f>
        <v>305616.69499999995</v>
      </c>
      <c r="AB75">
        <f>IFERROR(SUM($J$3:$J75),"")</f>
        <v>131445.91800000003</v>
      </c>
      <c r="AC75">
        <f t="shared" si="30"/>
        <v>437062.61300000001</v>
      </c>
      <c r="AD75">
        <f t="shared" si="31"/>
        <v>49.884618019249338</v>
      </c>
      <c r="AE75">
        <f t="shared" si="32"/>
        <v>69.925151662423232</v>
      </c>
      <c r="AF75">
        <f>IFERROR(SUM($K$3:$K75),"")</f>
        <v>192160.49400000004</v>
      </c>
      <c r="AG75">
        <f>IFERROR(SUM($L$3:$L75),"")</f>
        <v>232531.88299999991</v>
      </c>
      <c r="AH75">
        <f>IFERROR(SUM($M$3:$M75),"")</f>
        <v>101453.42</v>
      </c>
      <c r="AI75">
        <f t="shared" si="33"/>
        <v>333985.3029999999</v>
      </c>
      <c r="AJ75">
        <f t="shared" si="34"/>
        <v>57.535613775196595</v>
      </c>
      <c r="AK75">
        <f t="shared" si="35"/>
        <v>69.62338788901738</v>
      </c>
    </row>
    <row r="76" spans="1:37" x14ac:dyDescent="0.35">
      <c r="A76">
        <v>1923</v>
      </c>
      <c r="B76">
        <v>5145.2809999999999</v>
      </c>
      <c r="C76">
        <v>6339.7629999999999</v>
      </c>
      <c r="D76">
        <v>3524.8980000000001</v>
      </c>
      <c r="E76">
        <v>4101.7719999999999</v>
      </c>
      <c r="F76">
        <v>4691.2380000000003</v>
      </c>
      <c r="G76">
        <v>2300.3330000000001</v>
      </c>
      <c r="H76">
        <v>5145.2809999999999</v>
      </c>
      <c r="I76">
        <v>6339.7629999999999</v>
      </c>
      <c r="J76">
        <v>3524.8980000000001</v>
      </c>
      <c r="K76">
        <v>4628.8180000000002</v>
      </c>
      <c r="L76">
        <v>5306.3670000000002</v>
      </c>
      <c r="M76">
        <v>2637.7719999999999</v>
      </c>
      <c r="N76">
        <f>IFERROR(SUM($B$3:$B76),"")</f>
        <v>223172.29499999995</v>
      </c>
      <c r="O76">
        <f>IFERROR(SUM($C$3:$C76),"")</f>
        <v>311956.45599999989</v>
      </c>
      <c r="P76">
        <f>IFERROR(SUM($D$3:$D76),"")</f>
        <v>134970.818</v>
      </c>
      <c r="Q76">
        <f t="shared" si="24"/>
        <v>446927.27399999986</v>
      </c>
      <c r="R76">
        <f t="shared" si="25"/>
        <v>49.934812212870241</v>
      </c>
      <c r="S76">
        <f t="shared" si="26"/>
        <v>69.800272694926207</v>
      </c>
      <c r="T76">
        <f>IFERROR(SUM($E$3:$E76),"")</f>
        <v>181532.78000000006</v>
      </c>
      <c r="U76">
        <f>IFERROR(SUM($F$3:$F76),"")</f>
        <v>214883.94899999996</v>
      </c>
      <c r="V76">
        <f>IFERROR(SUM($G$3:$G76),"")</f>
        <v>86757.888999999996</v>
      </c>
      <c r="W76">
        <f t="shared" si="27"/>
        <v>301641.83799999999</v>
      </c>
      <c r="X76">
        <f t="shared" si="28"/>
        <v>60.181565396773664</v>
      </c>
      <c r="Y76">
        <f t="shared" si="29"/>
        <v>71.238111538095055</v>
      </c>
      <c r="Z76">
        <f>IFERROR(SUM($H$3:$H76),"")</f>
        <v>223172.296</v>
      </c>
      <c r="AA76">
        <f>IFERROR(SUM($I$3:$I76),"")</f>
        <v>311956.45799999993</v>
      </c>
      <c r="AB76">
        <f>IFERROR(SUM($J$3:$J76),"")</f>
        <v>134970.81600000002</v>
      </c>
      <c r="AC76">
        <f t="shared" si="30"/>
        <v>446927.27399999998</v>
      </c>
      <c r="AD76">
        <f t="shared" si="31"/>
        <v>49.934812436620284</v>
      </c>
      <c r="AE76">
        <f t="shared" si="32"/>
        <v>69.800273142426278</v>
      </c>
      <c r="AF76">
        <f>IFERROR(SUM($K$3:$K76),"")</f>
        <v>196789.31200000003</v>
      </c>
      <c r="AG76">
        <f>IFERROR(SUM($L$3:$L76),"")</f>
        <v>237838.24999999991</v>
      </c>
      <c r="AH76">
        <f>IFERROR(SUM($M$3:$M76),"")</f>
        <v>104091.192</v>
      </c>
      <c r="AI76">
        <f t="shared" si="33"/>
        <v>341929.44199999992</v>
      </c>
      <c r="AJ76">
        <f t="shared" si="34"/>
        <v>57.552608178151587</v>
      </c>
      <c r="AK76">
        <f t="shared" si="35"/>
        <v>69.557698397905128</v>
      </c>
    </row>
    <row r="77" spans="1:37" x14ac:dyDescent="0.35">
      <c r="A77">
        <v>1924</v>
      </c>
      <c r="B77">
        <v>5113.4449999999997</v>
      </c>
      <c r="C77">
        <v>6263.4610000000002</v>
      </c>
      <c r="D77">
        <v>3592.9279999999999</v>
      </c>
      <c r="E77">
        <v>4062.0720000000001</v>
      </c>
      <c r="F77">
        <v>4672.2929999999997</v>
      </c>
      <c r="G77">
        <v>2361.2460000000001</v>
      </c>
      <c r="H77">
        <v>5113.4449999999997</v>
      </c>
      <c r="I77">
        <v>6263.4610000000002</v>
      </c>
      <c r="J77">
        <v>3592.9279999999999</v>
      </c>
      <c r="K77">
        <v>4594.7489999999998</v>
      </c>
      <c r="L77">
        <v>5204.9740000000002</v>
      </c>
      <c r="M77">
        <v>2671.5410000000002</v>
      </c>
      <c r="N77">
        <f>IFERROR(SUM($B$3:$B77),"")</f>
        <v>228285.73999999996</v>
      </c>
      <c r="O77">
        <f>IFERROR(SUM($C$3:$C77),"")</f>
        <v>318219.9169999999</v>
      </c>
      <c r="P77">
        <f>IFERROR(SUM($D$3:$D77),"")</f>
        <v>138563.74599999998</v>
      </c>
      <c r="Q77">
        <f t="shared" si="24"/>
        <v>456783.66299999988</v>
      </c>
      <c r="R77">
        <f t="shared" si="25"/>
        <v>49.976774235027762</v>
      </c>
      <c r="S77">
        <f t="shared" si="26"/>
        <v>69.66534549638655</v>
      </c>
      <c r="T77">
        <f>IFERROR(SUM($E$3:$E77),"")</f>
        <v>185594.85200000007</v>
      </c>
      <c r="U77">
        <f>IFERROR(SUM($F$3:$F77),"")</f>
        <v>219556.24199999997</v>
      </c>
      <c r="V77">
        <f>IFERROR(SUM($G$3:$G77),"")</f>
        <v>89119.134999999995</v>
      </c>
      <c r="W77">
        <f t="shared" si="27"/>
        <v>308675.37699999998</v>
      </c>
      <c r="X77">
        <f t="shared" si="28"/>
        <v>60.126225098933006</v>
      </c>
      <c r="Y77">
        <f t="shared" si="29"/>
        <v>71.12852477377875</v>
      </c>
      <c r="Z77">
        <f>IFERROR(SUM($H$3:$H77),"")</f>
        <v>228285.74100000001</v>
      </c>
      <c r="AA77">
        <f>IFERROR(SUM($I$3:$I77),"")</f>
        <v>318219.91899999994</v>
      </c>
      <c r="AB77">
        <f>IFERROR(SUM($J$3:$J77),"")</f>
        <v>138563.74400000001</v>
      </c>
      <c r="AC77">
        <f t="shared" si="30"/>
        <v>456783.66299999994</v>
      </c>
      <c r="AD77">
        <f t="shared" si="31"/>
        <v>49.97677445394978</v>
      </c>
      <c r="AE77">
        <f t="shared" si="32"/>
        <v>69.665345934230572</v>
      </c>
      <c r="AF77">
        <f>IFERROR(SUM($K$3:$K77),"")</f>
        <v>201384.06100000005</v>
      </c>
      <c r="AG77">
        <f>IFERROR(SUM($L$3:$L77),"")</f>
        <v>243043.2239999999</v>
      </c>
      <c r="AH77">
        <f>IFERROR(SUM($M$3:$M77),"")</f>
        <v>106762.73299999999</v>
      </c>
      <c r="AI77">
        <f t="shared" si="33"/>
        <v>349805.95699999988</v>
      </c>
      <c r="AJ77">
        <f t="shared" si="34"/>
        <v>57.57022056659833</v>
      </c>
      <c r="AK77">
        <f t="shared" si="35"/>
        <v>69.479441140563537</v>
      </c>
    </row>
    <row r="78" spans="1:37" x14ac:dyDescent="0.35">
      <c r="A78">
        <v>1925</v>
      </c>
      <c r="B78">
        <v>5152.6049999999996</v>
      </c>
      <c r="C78">
        <v>6387.3220000000001</v>
      </c>
      <c r="D78">
        <v>3641.4279999999999</v>
      </c>
      <c r="E78">
        <v>4084.8159999999998</v>
      </c>
      <c r="F78">
        <v>4697.4579999999996</v>
      </c>
      <c r="G78">
        <v>2398.27</v>
      </c>
      <c r="H78">
        <v>5152.6049999999996</v>
      </c>
      <c r="I78">
        <v>6387.3220000000001</v>
      </c>
      <c r="J78">
        <v>3641.4279999999999</v>
      </c>
      <c r="K78">
        <v>4645.7470000000003</v>
      </c>
      <c r="L78">
        <v>5315.5789999999997</v>
      </c>
      <c r="M78">
        <v>2715.4520000000002</v>
      </c>
      <c r="N78">
        <f>IFERROR(SUM($B$3:$B78),"")</f>
        <v>233438.34499999997</v>
      </c>
      <c r="O78">
        <f>IFERROR(SUM($C$3:$C78),"")</f>
        <v>324607.23899999988</v>
      </c>
      <c r="P78">
        <f>IFERROR(SUM($D$3:$D78),"")</f>
        <v>142205.174</v>
      </c>
      <c r="Q78">
        <f t="shared" si="24"/>
        <v>466812.41299999988</v>
      </c>
      <c r="R78">
        <f t="shared" si="25"/>
        <v>50.006884671252315</v>
      </c>
      <c r="S78">
        <f t="shared" si="26"/>
        <v>69.536976729879711</v>
      </c>
      <c r="T78">
        <f>IFERROR(SUM($E$3:$E78),"")</f>
        <v>189679.66800000006</v>
      </c>
      <c r="U78">
        <f>IFERROR(SUM($F$3:$F78),"")</f>
        <v>224253.69999999998</v>
      </c>
      <c r="V78">
        <f>IFERROR(SUM($G$3:$G78),"")</f>
        <v>91517.404999999999</v>
      </c>
      <c r="W78">
        <f t="shared" si="27"/>
        <v>315771.10499999998</v>
      </c>
      <c r="X78">
        <f t="shared" si="28"/>
        <v>60.068722247401354</v>
      </c>
      <c r="Y78">
        <f t="shared" si="29"/>
        <v>71.017802594699091</v>
      </c>
      <c r="Z78">
        <f>IFERROR(SUM($H$3:$H78),"")</f>
        <v>233438.34600000002</v>
      </c>
      <c r="AA78">
        <f>IFERROR(SUM($I$3:$I78),"")</f>
        <v>324607.24099999992</v>
      </c>
      <c r="AB78">
        <f>IFERROR(SUM($J$3:$J78),"")</f>
        <v>142205.17200000002</v>
      </c>
      <c r="AC78">
        <f t="shared" si="30"/>
        <v>466812.41299999994</v>
      </c>
      <c r="AD78">
        <f t="shared" si="31"/>
        <v>50.006884885471123</v>
      </c>
      <c r="AE78">
        <f t="shared" si="32"/>
        <v>69.536977158317328</v>
      </c>
      <c r="AF78">
        <f>IFERROR(SUM($K$3:$K78),"")</f>
        <v>206029.80800000005</v>
      </c>
      <c r="AG78">
        <f>IFERROR(SUM($L$3:$L78),"")</f>
        <v>248358.8029999999</v>
      </c>
      <c r="AH78">
        <f>IFERROR(SUM($M$3:$M78),"")</f>
        <v>109478.185</v>
      </c>
      <c r="AI78">
        <f t="shared" si="33"/>
        <v>357836.9879999999</v>
      </c>
      <c r="AJ78">
        <f t="shared" si="34"/>
        <v>57.576442600729727</v>
      </c>
      <c r="AK78">
        <f t="shared" si="35"/>
        <v>69.405570505193268</v>
      </c>
    </row>
    <row r="79" spans="1:37" x14ac:dyDescent="0.35">
      <c r="A79">
        <v>1926</v>
      </c>
      <c r="B79">
        <v>5037.3620000000001</v>
      </c>
      <c r="C79">
        <v>6320.018</v>
      </c>
      <c r="D79">
        <v>3681.192</v>
      </c>
      <c r="E79">
        <v>3973.0340000000001</v>
      </c>
      <c r="F79">
        <v>4639.3779999999997</v>
      </c>
      <c r="G79">
        <v>2416.6179999999999</v>
      </c>
      <c r="H79">
        <v>5037.3620000000001</v>
      </c>
      <c r="I79">
        <v>6320.018</v>
      </c>
      <c r="J79">
        <v>3681.192</v>
      </c>
      <c r="K79">
        <v>4540.7790000000005</v>
      </c>
      <c r="L79">
        <v>5240.5280000000002</v>
      </c>
      <c r="M79">
        <v>2715.4369999999999</v>
      </c>
      <c r="N79">
        <f>IFERROR(SUM($B$3:$B79),"")</f>
        <v>238475.70699999997</v>
      </c>
      <c r="O79">
        <f>IFERROR(SUM($C$3:$C79),"")</f>
        <v>330927.25699999987</v>
      </c>
      <c r="P79">
        <f>IFERROR(SUM($D$3:$D79),"")</f>
        <v>145886.36600000001</v>
      </c>
      <c r="Q79">
        <f t="shared" si="24"/>
        <v>476813.62299999991</v>
      </c>
      <c r="R79">
        <f t="shared" si="25"/>
        <v>50.014449146726669</v>
      </c>
      <c r="S79">
        <f t="shared" si="26"/>
        <v>69.403901448512087</v>
      </c>
      <c r="T79">
        <f>IFERROR(SUM($E$3:$E79),"")</f>
        <v>193652.70200000008</v>
      </c>
      <c r="U79">
        <f>IFERROR(SUM($F$3:$F79),"")</f>
        <v>228893.07799999998</v>
      </c>
      <c r="V79">
        <f>IFERROR(SUM($G$3:$G79),"")</f>
        <v>93934.023000000001</v>
      </c>
      <c r="W79">
        <f t="shared" si="27"/>
        <v>322827.10099999997</v>
      </c>
      <c r="X79">
        <f t="shared" si="28"/>
        <v>59.986507142719745</v>
      </c>
      <c r="Y79">
        <f t="shared" si="29"/>
        <v>70.902683600903757</v>
      </c>
      <c r="Z79">
        <f>IFERROR(SUM($H$3:$H79),"")</f>
        <v>238475.70800000001</v>
      </c>
      <c r="AA79">
        <f>IFERROR(SUM($I$3:$I79),"")</f>
        <v>330927.2589999999</v>
      </c>
      <c r="AB79">
        <f>IFERROR(SUM($J$3:$J79),"")</f>
        <v>145886.36400000003</v>
      </c>
      <c r="AC79">
        <f t="shared" si="30"/>
        <v>476813.62299999991</v>
      </c>
      <c r="AD79">
        <f t="shared" si="31"/>
        <v>50.014449356452232</v>
      </c>
      <c r="AE79">
        <f t="shared" si="32"/>
        <v>69.403901867963185</v>
      </c>
      <c r="AF79">
        <f>IFERROR(SUM($K$3:$K79),"")</f>
        <v>210570.58700000006</v>
      </c>
      <c r="AG79">
        <f>IFERROR(SUM($L$3:$L79),"")</f>
        <v>253599.33099999989</v>
      </c>
      <c r="AH79">
        <f>IFERROR(SUM($M$3:$M79),"")</f>
        <v>112193.622</v>
      </c>
      <c r="AI79">
        <f t="shared" si="33"/>
        <v>365792.95299999986</v>
      </c>
      <c r="AJ79">
        <f t="shared" si="34"/>
        <v>57.56551220383956</v>
      </c>
      <c r="AK79">
        <f t="shared" si="35"/>
        <v>69.328654070599327</v>
      </c>
    </row>
    <row r="80" spans="1:37" x14ac:dyDescent="0.35">
      <c r="A80">
        <v>1927</v>
      </c>
      <c r="B80">
        <v>5289.8230000000003</v>
      </c>
      <c r="C80">
        <v>6621.3959999999997</v>
      </c>
      <c r="D80">
        <v>3725.99</v>
      </c>
      <c r="E80">
        <v>4422.2960000000003</v>
      </c>
      <c r="F80">
        <v>5137.8370000000004</v>
      </c>
      <c r="G80">
        <v>2436.2759999999998</v>
      </c>
      <c r="H80">
        <v>5289.8230000000003</v>
      </c>
      <c r="I80">
        <v>6621.3959999999997</v>
      </c>
      <c r="J80">
        <v>3725.99</v>
      </c>
      <c r="K80">
        <v>4802.6379999999999</v>
      </c>
      <c r="L80">
        <v>5536.8230000000003</v>
      </c>
      <c r="M80">
        <v>2750.5010000000002</v>
      </c>
      <c r="N80">
        <f>IFERROR(SUM($B$3:$B80),"")</f>
        <v>243765.52999999997</v>
      </c>
      <c r="O80">
        <f>IFERROR(SUM($C$3:$C80),"")</f>
        <v>337548.65299999987</v>
      </c>
      <c r="P80">
        <f>IFERROR(SUM($D$3:$D80),"")</f>
        <v>149612.356</v>
      </c>
      <c r="Q80">
        <f t="shared" si="24"/>
        <v>487161.00899999985</v>
      </c>
      <c r="R80">
        <f t="shared" si="25"/>
        <v>50.037980358974096</v>
      </c>
      <c r="S80">
        <f t="shared" si="26"/>
        <v>69.288930510446491</v>
      </c>
      <c r="T80">
        <f>IFERROR(SUM($E$3:$E80),"")</f>
        <v>198074.99800000008</v>
      </c>
      <c r="U80">
        <f>IFERROR(SUM($F$3:$F80),"")</f>
        <v>234030.91499999998</v>
      </c>
      <c r="V80">
        <f>IFERROR(SUM($G$3:$G80),"")</f>
        <v>96370.298999999999</v>
      </c>
      <c r="W80">
        <f t="shared" si="27"/>
        <v>330401.21399999998</v>
      </c>
      <c r="X80">
        <f t="shared" si="28"/>
        <v>59.949839651618255</v>
      </c>
      <c r="Y80">
        <f t="shared" si="29"/>
        <v>70.832341130562554</v>
      </c>
      <c r="Z80">
        <f>IFERROR(SUM($H$3:$H80),"")</f>
        <v>243765.53100000002</v>
      </c>
      <c r="AA80">
        <f>IFERROR(SUM($I$3:$I80),"")</f>
        <v>337548.65499999991</v>
      </c>
      <c r="AB80">
        <f>IFERROR(SUM($J$3:$J80),"")</f>
        <v>149612.35400000002</v>
      </c>
      <c r="AC80">
        <f t="shared" si="30"/>
        <v>487161.00899999996</v>
      </c>
      <c r="AD80">
        <f t="shared" si="31"/>
        <v>50.037980564245046</v>
      </c>
      <c r="AE80">
        <f t="shared" si="32"/>
        <v>69.288930920988363</v>
      </c>
      <c r="AF80">
        <f>IFERROR(SUM($K$3:$K80),"")</f>
        <v>215373.22500000006</v>
      </c>
      <c r="AG80">
        <f>IFERROR(SUM($L$3:$L80),"")</f>
        <v>259136.15399999989</v>
      </c>
      <c r="AH80">
        <f>IFERROR(SUM($M$3:$M80),"")</f>
        <v>114944.12300000001</v>
      </c>
      <c r="AI80">
        <f t="shared" si="33"/>
        <v>374080.27699999989</v>
      </c>
      <c r="AJ80">
        <f t="shared" si="34"/>
        <v>57.574065846834301</v>
      </c>
      <c r="AK80">
        <f t="shared" si="35"/>
        <v>69.272872678074918</v>
      </c>
    </row>
    <row r="81" spans="1:37" x14ac:dyDescent="0.35">
      <c r="A81">
        <v>1928</v>
      </c>
      <c r="B81">
        <v>5234.8490000000002</v>
      </c>
      <c r="C81">
        <v>6592.7870000000003</v>
      </c>
      <c r="D81">
        <v>3805.1610000000001</v>
      </c>
      <c r="E81">
        <v>4362.4030000000002</v>
      </c>
      <c r="F81">
        <v>5099.5940000000001</v>
      </c>
      <c r="G81">
        <v>2471.6610000000001</v>
      </c>
      <c r="H81">
        <v>5234.8490000000002</v>
      </c>
      <c r="I81">
        <v>6592.7870000000003</v>
      </c>
      <c r="J81">
        <v>3805.1610000000001</v>
      </c>
      <c r="K81">
        <v>4753.357</v>
      </c>
      <c r="L81">
        <v>5497.9040000000005</v>
      </c>
      <c r="M81">
        <v>2804.9070000000002</v>
      </c>
      <c r="N81">
        <f>IFERROR(SUM($B$3:$B81),"")</f>
        <v>249000.37899999996</v>
      </c>
      <c r="O81">
        <f>IFERROR(SUM($C$3:$C81),"")</f>
        <v>344141.43999999989</v>
      </c>
      <c r="P81">
        <f>IFERROR(SUM($D$3:$D81),"")</f>
        <v>153417.51699999999</v>
      </c>
      <c r="Q81">
        <f t="shared" si="24"/>
        <v>497558.95699999988</v>
      </c>
      <c r="R81">
        <f t="shared" si="25"/>
        <v>50.044396849236108</v>
      </c>
      <c r="S81">
        <f t="shared" si="26"/>
        <v>69.165962175614098</v>
      </c>
      <c r="T81">
        <f>IFERROR(SUM($E$3:$E81),"")</f>
        <v>202437.40100000007</v>
      </c>
      <c r="U81">
        <f>IFERROR(SUM($F$3:$F81),"")</f>
        <v>239130.50899999999</v>
      </c>
      <c r="V81">
        <f>IFERROR(SUM($G$3:$G81),"")</f>
        <v>98841.959999999992</v>
      </c>
      <c r="W81">
        <f t="shared" si="27"/>
        <v>337972.46899999998</v>
      </c>
      <c r="X81">
        <f t="shared" si="28"/>
        <v>59.897601008441924</v>
      </c>
      <c r="Y81">
        <f t="shared" si="29"/>
        <v>70.754434438859576</v>
      </c>
      <c r="Z81">
        <f>IFERROR(SUM($H$3:$H81),"")</f>
        <v>249000.38</v>
      </c>
      <c r="AA81">
        <f>IFERROR(SUM($I$3:$I81),"")</f>
        <v>344141.44199999992</v>
      </c>
      <c r="AB81">
        <f>IFERROR(SUM($J$3:$J81),"")</f>
        <v>153417.51500000001</v>
      </c>
      <c r="AC81">
        <f t="shared" si="30"/>
        <v>497558.95699999994</v>
      </c>
      <c r="AD81">
        <f t="shared" si="31"/>
        <v>50.044397050217313</v>
      </c>
      <c r="AE81">
        <f t="shared" si="32"/>
        <v>69.165962577576494</v>
      </c>
      <c r="AF81">
        <f>IFERROR(SUM($K$3:$K81),"")</f>
        <v>220126.58200000005</v>
      </c>
      <c r="AG81">
        <f>IFERROR(SUM($L$3:$L81),"")</f>
        <v>264634.0579999999</v>
      </c>
      <c r="AH81">
        <f>IFERROR(SUM($M$3:$M81),"")</f>
        <v>117749.03000000001</v>
      </c>
      <c r="AI81">
        <f t="shared" si="33"/>
        <v>382383.08799999993</v>
      </c>
      <c r="AJ81">
        <f t="shared" si="34"/>
        <v>57.56702869662481</v>
      </c>
      <c r="AK81">
        <f t="shared" si="35"/>
        <v>69.206527774052589</v>
      </c>
    </row>
    <row r="82" spans="1:37" x14ac:dyDescent="0.35">
      <c r="A82">
        <v>1929</v>
      </c>
      <c r="B82">
        <v>5461.87</v>
      </c>
      <c r="C82">
        <v>6913.5959999999995</v>
      </c>
      <c r="D82">
        <v>3837</v>
      </c>
      <c r="E82">
        <v>4715.473</v>
      </c>
      <c r="F82">
        <v>5483.24</v>
      </c>
      <c r="G82">
        <v>2507.3789999999999</v>
      </c>
      <c r="H82">
        <v>5461.87</v>
      </c>
      <c r="I82">
        <v>6913.5959999999995</v>
      </c>
      <c r="J82">
        <v>3837</v>
      </c>
      <c r="K82">
        <v>4988.3209999999999</v>
      </c>
      <c r="L82">
        <v>5817.67</v>
      </c>
      <c r="M82">
        <v>2833.5839999999998</v>
      </c>
      <c r="N82">
        <f>IFERROR(SUM($B$3:$B82),"")</f>
        <v>254462.24899999995</v>
      </c>
      <c r="O82">
        <f>IFERROR(SUM($C$3:$C82),"")</f>
        <v>351055.03599999991</v>
      </c>
      <c r="P82">
        <f>IFERROR(SUM($D$3:$D82),"")</f>
        <v>157254.51699999999</v>
      </c>
      <c r="Q82">
        <f t="shared" si="24"/>
        <v>508309.5529999999</v>
      </c>
      <c r="R82">
        <f t="shared" si="25"/>
        <v>50.060489223187986</v>
      </c>
      <c r="S82">
        <f t="shared" si="26"/>
        <v>69.063237928168547</v>
      </c>
      <c r="T82">
        <f>IFERROR(SUM($E$3:$E82),"")</f>
        <v>207152.87400000007</v>
      </c>
      <c r="U82">
        <f>IFERROR(SUM($F$3:$F82),"")</f>
        <v>244613.74899999998</v>
      </c>
      <c r="V82">
        <f>IFERROR(SUM($G$3:$G82),"")</f>
        <v>101349.33899999999</v>
      </c>
      <c r="W82">
        <f t="shared" si="27"/>
        <v>345963.08799999999</v>
      </c>
      <c r="X82">
        <f t="shared" si="28"/>
        <v>59.877160652468241</v>
      </c>
      <c r="Y82">
        <f t="shared" si="29"/>
        <v>70.70515829133771</v>
      </c>
      <c r="Z82">
        <f>IFERROR(SUM($H$3:$H82),"")</f>
        <v>254462.25</v>
      </c>
      <c r="AA82">
        <f>IFERROR(SUM($I$3:$I82),"")</f>
        <v>351055.03799999994</v>
      </c>
      <c r="AB82">
        <f>IFERROR(SUM($J$3:$J82),"")</f>
        <v>157254.51500000001</v>
      </c>
      <c r="AC82">
        <f t="shared" si="30"/>
        <v>508309.55299999996</v>
      </c>
      <c r="AD82">
        <f t="shared" si="31"/>
        <v>50.060489419918497</v>
      </c>
      <c r="AE82">
        <f t="shared" si="32"/>
        <v>69.063238321629569</v>
      </c>
      <c r="AF82">
        <f>IFERROR(SUM($K$3:$K82),"")</f>
        <v>225114.90300000005</v>
      </c>
      <c r="AG82">
        <f>IFERROR(SUM($L$3:$L82),"")</f>
        <v>270451.72799999989</v>
      </c>
      <c r="AH82">
        <f>IFERROR(SUM($M$3:$M82),"")</f>
        <v>120582.61400000002</v>
      </c>
      <c r="AI82">
        <f t="shared" si="33"/>
        <v>391034.34199999989</v>
      </c>
      <c r="AJ82">
        <f t="shared" si="34"/>
        <v>57.569087627602819</v>
      </c>
      <c r="AK82">
        <f t="shared" si="35"/>
        <v>69.163165213760166</v>
      </c>
    </row>
    <row r="83" spans="1:37" x14ac:dyDescent="0.35">
      <c r="A83">
        <v>1930</v>
      </c>
      <c r="B83">
        <v>4942.9279999999999</v>
      </c>
      <c r="C83">
        <v>6632.5860000000002</v>
      </c>
      <c r="D83">
        <v>3836.8890000000001</v>
      </c>
      <c r="E83">
        <v>4616.9539999999997</v>
      </c>
      <c r="F83">
        <v>5401.2439999999997</v>
      </c>
      <c r="G83">
        <v>2533.6350000000002</v>
      </c>
      <c r="H83">
        <v>4942.9279999999999</v>
      </c>
      <c r="I83">
        <v>6632.5860000000002</v>
      </c>
      <c r="J83">
        <v>3836.8890000000001</v>
      </c>
      <c r="K83">
        <v>4621.9979999999996</v>
      </c>
      <c r="L83">
        <v>5515.6490000000003</v>
      </c>
      <c r="M83">
        <v>2831.2460000000001</v>
      </c>
      <c r="N83">
        <f>IFERROR(SUM($B$3:$B83),"")</f>
        <v>259405.17699999997</v>
      </c>
      <c r="O83">
        <f>IFERROR(SUM($C$3:$C83),"")</f>
        <v>357687.62199999992</v>
      </c>
      <c r="P83">
        <f>IFERROR(SUM($D$3:$D83),"")</f>
        <v>161091.40599999999</v>
      </c>
      <c r="Q83">
        <f t="shared" si="24"/>
        <v>518779.02799999993</v>
      </c>
      <c r="R83">
        <f t="shared" si="25"/>
        <v>50.003019204546561</v>
      </c>
      <c r="S83">
        <f t="shared" si="26"/>
        <v>68.947972584581805</v>
      </c>
      <c r="T83">
        <f>IFERROR(SUM($E$3:$E83),"")</f>
        <v>211769.82800000007</v>
      </c>
      <c r="U83">
        <f>IFERROR(SUM($F$3:$F83),"")</f>
        <v>250014.99299999999</v>
      </c>
      <c r="V83">
        <f>IFERROR(SUM($G$3:$G83),"")</f>
        <v>103882.97399999999</v>
      </c>
      <c r="W83">
        <f t="shared" si="27"/>
        <v>353897.96699999995</v>
      </c>
      <c r="X83">
        <f t="shared" si="28"/>
        <v>59.839232701780418</v>
      </c>
      <c r="Y83">
        <f t="shared" si="29"/>
        <v>70.646066469209202</v>
      </c>
      <c r="Z83">
        <f>IFERROR(SUM($H$3:$H83),"")</f>
        <v>259405.17800000001</v>
      </c>
      <c r="AA83">
        <f>IFERROR(SUM($I$3:$I83),"")</f>
        <v>357687.62399999995</v>
      </c>
      <c r="AB83">
        <f>IFERROR(SUM($J$3:$J83),"")</f>
        <v>161091.40400000001</v>
      </c>
      <c r="AC83">
        <f t="shared" si="30"/>
        <v>518779.02799999993</v>
      </c>
      <c r="AD83">
        <f t="shared" si="31"/>
        <v>50.003019397306872</v>
      </c>
      <c r="AE83">
        <f t="shared" si="32"/>
        <v>68.947972970102413</v>
      </c>
      <c r="AF83">
        <f>IFERROR(SUM($K$3:$K83),"")</f>
        <v>229736.90100000004</v>
      </c>
      <c r="AG83">
        <f>IFERROR(SUM($L$3:$L83),"")</f>
        <v>275967.37699999986</v>
      </c>
      <c r="AH83">
        <f>IFERROR(SUM($M$3:$M83),"")</f>
        <v>123413.86000000002</v>
      </c>
      <c r="AI83">
        <f t="shared" si="33"/>
        <v>399381.23699999985</v>
      </c>
      <c r="AJ83">
        <f t="shared" si="34"/>
        <v>57.523208332393473</v>
      </c>
      <c r="AK83">
        <f t="shared" si="35"/>
        <v>69.098733599245165</v>
      </c>
    </row>
    <row r="84" spans="1:37" x14ac:dyDescent="0.35">
      <c r="A84">
        <v>1931</v>
      </c>
      <c r="B84">
        <v>4445.2079999999996</v>
      </c>
      <c r="C84">
        <v>6249.6059999999998</v>
      </c>
      <c r="D84">
        <v>3875.3330000000001</v>
      </c>
      <c r="E84">
        <v>4145.2849999999999</v>
      </c>
      <c r="F84">
        <v>4956.1509999999998</v>
      </c>
      <c r="G84">
        <v>2571.5360000000001</v>
      </c>
      <c r="H84">
        <v>4445.2079999999996</v>
      </c>
      <c r="I84">
        <v>6249.6059999999998</v>
      </c>
      <c r="J84">
        <v>3875.3330000000001</v>
      </c>
      <c r="K84">
        <v>4218.91</v>
      </c>
      <c r="L84">
        <v>5167.4669999999996</v>
      </c>
      <c r="M84">
        <v>2843.7089999999998</v>
      </c>
      <c r="N84">
        <f>IFERROR(SUM($B$3:$B84),"")</f>
        <v>263850.38499999995</v>
      </c>
      <c r="O84">
        <f>IFERROR(SUM($C$3:$C84),"")</f>
        <v>363937.22799999989</v>
      </c>
      <c r="P84">
        <f>IFERROR(SUM($D$3:$D84),"")</f>
        <v>164966.739</v>
      </c>
      <c r="Q84">
        <f t="shared" si="24"/>
        <v>528903.96699999995</v>
      </c>
      <c r="R84">
        <f t="shared" si="25"/>
        <v>49.886255627195922</v>
      </c>
      <c r="S84">
        <f t="shared" si="26"/>
        <v>68.809699058279122</v>
      </c>
      <c r="T84">
        <f>IFERROR(SUM($E$3:$E84),"")</f>
        <v>215915.11300000007</v>
      </c>
      <c r="U84">
        <f>IFERROR(SUM($F$3:$F84),"")</f>
        <v>254971.144</v>
      </c>
      <c r="V84">
        <f>IFERROR(SUM($G$3:$G84),"")</f>
        <v>106454.50999999998</v>
      </c>
      <c r="W84">
        <f t="shared" si="27"/>
        <v>361425.65399999998</v>
      </c>
      <c r="X84">
        <f t="shared" si="28"/>
        <v>59.7398415442862</v>
      </c>
      <c r="Y84">
        <f t="shared" si="29"/>
        <v>70.545945252685357</v>
      </c>
      <c r="Z84">
        <f>IFERROR(SUM($H$3:$H84),"")</f>
        <v>263850.386</v>
      </c>
      <c r="AA84">
        <f>IFERROR(SUM($I$3:$I84),"")</f>
        <v>363937.23</v>
      </c>
      <c r="AB84">
        <f>IFERROR(SUM($J$3:$J84),"")</f>
        <v>164966.73700000002</v>
      </c>
      <c r="AC84">
        <f t="shared" si="30"/>
        <v>528903.96699999995</v>
      </c>
      <c r="AD84">
        <f t="shared" si="31"/>
        <v>49.886255816266171</v>
      </c>
      <c r="AE84">
        <f t="shared" si="32"/>
        <v>68.809699436419621</v>
      </c>
      <c r="AF84">
        <f>IFERROR(SUM($K$3:$K84),"")</f>
        <v>233955.81100000005</v>
      </c>
      <c r="AG84">
        <f>IFERROR(SUM($L$3:$L84),"")</f>
        <v>281134.84399999987</v>
      </c>
      <c r="AH84">
        <f>IFERROR(SUM($M$3:$M84),"")</f>
        <v>126257.56900000002</v>
      </c>
      <c r="AI84">
        <f t="shared" si="33"/>
        <v>407392.41299999988</v>
      </c>
      <c r="AJ84">
        <f t="shared" si="34"/>
        <v>57.42763083808341</v>
      </c>
      <c r="AK84">
        <f t="shared" si="35"/>
        <v>69.008365160693344</v>
      </c>
    </row>
    <row r="85" spans="1:37" x14ac:dyDescent="0.35">
      <c r="A85">
        <v>1932</v>
      </c>
      <c r="B85">
        <v>4014.9110000000001</v>
      </c>
      <c r="C85">
        <v>5888.9989999999998</v>
      </c>
      <c r="D85">
        <v>3920.991</v>
      </c>
      <c r="E85">
        <v>3395.556</v>
      </c>
      <c r="F85">
        <v>4210.22</v>
      </c>
      <c r="G85">
        <v>2590.2849999999999</v>
      </c>
      <c r="H85">
        <v>4014.9110000000001</v>
      </c>
      <c r="I85">
        <v>5888.9989999999998</v>
      </c>
      <c r="J85">
        <v>3920.991</v>
      </c>
      <c r="K85">
        <v>3836.3440000000001</v>
      </c>
      <c r="L85">
        <v>4791.6180000000004</v>
      </c>
      <c r="M85">
        <v>2916.6210000000001</v>
      </c>
      <c r="N85">
        <f>IFERROR(SUM($B$3:$B85),"")</f>
        <v>267865.29599999997</v>
      </c>
      <c r="O85">
        <f>IFERROR(SUM($C$3:$C85),"")</f>
        <v>369826.2269999999</v>
      </c>
      <c r="P85">
        <f>IFERROR(SUM($D$3:$D85),"")</f>
        <v>168887.73</v>
      </c>
      <c r="Q85">
        <f t="shared" si="24"/>
        <v>538713.95699999994</v>
      </c>
      <c r="R85">
        <f t="shared" si="25"/>
        <v>49.723103052999242</v>
      </c>
      <c r="S85">
        <f t="shared" si="26"/>
        <v>68.649832103755941</v>
      </c>
      <c r="T85">
        <f>IFERROR(SUM($E$3:$E85),"")</f>
        <v>219310.66900000008</v>
      </c>
      <c r="U85">
        <f>IFERROR(SUM($F$3:$F85),"")</f>
        <v>259181.364</v>
      </c>
      <c r="V85">
        <f>IFERROR(SUM($G$3:$G85),"")</f>
        <v>109044.79499999998</v>
      </c>
      <c r="W85">
        <f t="shared" si="27"/>
        <v>368226.15899999999</v>
      </c>
      <c r="X85">
        <f t="shared" si="28"/>
        <v>59.558687952965364</v>
      </c>
      <c r="Y85">
        <f t="shared" si="29"/>
        <v>70.386461598454773</v>
      </c>
      <c r="Z85">
        <f>IFERROR(SUM($H$3:$H85),"")</f>
        <v>267865.29700000002</v>
      </c>
      <c r="AA85">
        <f>IFERROR(SUM($I$3:$I85),"")</f>
        <v>369826.22899999999</v>
      </c>
      <c r="AB85">
        <f>IFERROR(SUM($J$3:$J85),"")</f>
        <v>168887.72800000003</v>
      </c>
      <c r="AC85">
        <f t="shared" si="30"/>
        <v>538713.95700000005</v>
      </c>
      <c r="AD85">
        <f t="shared" si="31"/>
        <v>49.723103238626507</v>
      </c>
      <c r="AE85">
        <f t="shared" si="32"/>
        <v>68.64983247501047</v>
      </c>
      <c r="AF85">
        <f>IFERROR(SUM($K$3:$K85),"")</f>
        <v>237792.15500000006</v>
      </c>
      <c r="AG85">
        <f>IFERROR(SUM($L$3:$L85),"")</f>
        <v>285926.46199999988</v>
      </c>
      <c r="AH85">
        <f>IFERROR(SUM($M$3:$M85),"")</f>
        <v>129174.19000000002</v>
      </c>
      <c r="AI85">
        <f t="shared" si="33"/>
        <v>415100.65199999989</v>
      </c>
      <c r="AJ85">
        <f t="shared" si="34"/>
        <v>57.285420741762685</v>
      </c>
      <c r="AK85">
        <f t="shared" si="35"/>
        <v>68.881236544046658</v>
      </c>
    </row>
    <row r="86" spans="1:37" x14ac:dyDescent="0.35">
      <c r="A86">
        <v>1933</v>
      </c>
      <c r="B86">
        <v>4089.6619999999998</v>
      </c>
      <c r="C86">
        <v>5985.857</v>
      </c>
      <c r="D86">
        <v>3935.194</v>
      </c>
      <c r="E86">
        <v>3500.06</v>
      </c>
      <c r="F86">
        <v>4335.9380000000001</v>
      </c>
      <c r="G86">
        <v>2631.3919999999998</v>
      </c>
      <c r="H86">
        <v>4089.6619999999998</v>
      </c>
      <c r="I86">
        <v>5985.857</v>
      </c>
      <c r="J86">
        <v>3935.194</v>
      </c>
      <c r="K86">
        <v>3958.5030000000002</v>
      </c>
      <c r="L86">
        <v>4910.7560000000003</v>
      </c>
      <c r="M86">
        <v>2926.14</v>
      </c>
      <c r="N86">
        <f>IFERROR(SUM($B$3:$B86),"")</f>
        <v>271954.95799999998</v>
      </c>
      <c r="O86">
        <f>IFERROR(SUM($C$3:$C86),"")</f>
        <v>375812.08399999992</v>
      </c>
      <c r="P86">
        <f>IFERROR(SUM($D$3:$D86),"")</f>
        <v>172822.924</v>
      </c>
      <c r="Q86">
        <f t="shared" si="24"/>
        <v>548635.00799999991</v>
      </c>
      <c r="R86">
        <f t="shared" si="25"/>
        <v>49.569377461235582</v>
      </c>
      <c r="S86">
        <f t="shared" si="26"/>
        <v>68.499472057021919</v>
      </c>
      <c r="T86">
        <f>IFERROR(SUM($E$3:$E86),"")</f>
        <v>222810.72900000008</v>
      </c>
      <c r="U86">
        <f>IFERROR(SUM($F$3:$F86),"")</f>
        <v>263517.30200000003</v>
      </c>
      <c r="V86">
        <f>IFERROR(SUM($G$3:$G86),"")</f>
        <v>111676.18699999998</v>
      </c>
      <c r="W86">
        <f t="shared" si="27"/>
        <v>375193.489</v>
      </c>
      <c r="X86">
        <f t="shared" si="28"/>
        <v>59.385553196526843</v>
      </c>
      <c r="Y86">
        <f t="shared" si="29"/>
        <v>70.235041312244093</v>
      </c>
      <c r="Z86">
        <f>IFERROR(SUM($H$3:$H86),"")</f>
        <v>271954.95900000003</v>
      </c>
      <c r="AA86">
        <f>IFERROR(SUM($I$3:$I86),"")</f>
        <v>375812.08600000001</v>
      </c>
      <c r="AB86">
        <f>IFERROR(SUM($J$3:$J86),"")</f>
        <v>172822.92200000002</v>
      </c>
      <c r="AC86">
        <f t="shared" si="30"/>
        <v>548635.00800000003</v>
      </c>
      <c r="AD86">
        <f t="shared" si="31"/>
        <v>49.569377643506115</v>
      </c>
      <c r="AE86">
        <f t="shared" si="32"/>
        <v>68.499472421562999</v>
      </c>
      <c r="AF86">
        <f>IFERROR(SUM($K$3:$K86),"")</f>
        <v>241750.65800000005</v>
      </c>
      <c r="AG86">
        <f>IFERROR(SUM($L$3:$L86),"")</f>
        <v>290837.21799999988</v>
      </c>
      <c r="AH86">
        <f>IFERROR(SUM($M$3:$M86),"")</f>
        <v>132100.33000000002</v>
      </c>
      <c r="AI86">
        <f t="shared" si="33"/>
        <v>422937.54799999989</v>
      </c>
      <c r="AJ86">
        <f t="shared" si="34"/>
        <v>57.159894916684038</v>
      </c>
      <c r="AK86">
        <f t="shared" si="35"/>
        <v>68.765996156009294</v>
      </c>
    </row>
    <row r="87" spans="1:37" x14ac:dyDescent="0.35">
      <c r="A87">
        <v>1934</v>
      </c>
      <c r="B87">
        <v>4267.9480000000003</v>
      </c>
      <c r="C87">
        <v>6250.9650000000001</v>
      </c>
      <c r="D87">
        <v>4017.5169999999998</v>
      </c>
      <c r="E87">
        <v>3685.2460000000001</v>
      </c>
      <c r="F87">
        <v>4568.7489999999998</v>
      </c>
      <c r="G87">
        <v>2670.9690000000001</v>
      </c>
      <c r="H87">
        <v>4267.9480000000003</v>
      </c>
      <c r="I87">
        <v>6250.9650000000001</v>
      </c>
      <c r="J87">
        <v>4017.5169999999998</v>
      </c>
      <c r="K87">
        <v>4176.8050000000003</v>
      </c>
      <c r="L87">
        <v>5153.9750000000004</v>
      </c>
      <c r="M87">
        <v>3028.1309999999999</v>
      </c>
      <c r="N87">
        <f>IFERROR(SUM($B$3:$B87),"")</f>
        <v>276222.90599999996</v>
      </c>
      <c r="O87">
        <f>IFERROR(SUM($C$3:$C87),"")</f>
        <v>382063.04899999994</v>
      </c>
      <c r="P87">
        <f>IFERROR(SUM($D$3:$D87),"")</f>
        <v>176840.44099999999</v>
      </c>
      <c r="Q87">
        <f t="shared" si="24"/>
        <v>558903.49</v>
      </c>
      <c r="R87">
        <f t="shared" si="25"/>
        <v>49.422290420838124</v>
      </c>
      <c r="S87">
        <f t="shared" si="26"/>
        <v>68.359395823418438</v>
      </c>
      <c r="T87">
        <f>IFERROR(SUM($E$3:$E87),"")</f>
        <v>226495.97500000009</v>
      </c>
      <c r="U87">
        <f>IFERROR(SUM($F$3:$F87),"")</f>
        <v>268086.05100000004</v>
      </c>
      <c r="V87">
        <f>IFERROR(SUM($G$3:$G87),"")</f>
        <v>114347.15599999997</v>
      </c>
      <c r="W87">
        <f t="shared" si="27"/>
        <v>382433.20699999999</v>
      </c>
      <c r="X87">
        <f t="shared" si="28"/>
        <v>59.224975983845482</v>
      </c>
      <c r="Y87">
        <f t="shared" si="29"/>
        <v>70.10009750539264</v>
      </c>
      <c r="Z87">
        <f>IFERROR(SUM($H$3:$H87),"")</f>
        <v>276222.90700000001</v>
      </c>
      <c r="AA87">
        <f>IFERROR(SUM($I$3:$I87),"")</f>
        <v>382063.05100000004</v>
      </c>
      <c r="AB87">
        <f>IFERROR(SUM($J$3:$J87),"")</f>
        <v>176840.43900000001</v>
      </c>
      <c r="AC87">
        <f t="shared" si="30"/>
        <v>558903.49</v>
      </c>
      <c r="AD87">
        <f t="shared" si="31"/>
        <v>49.422290599759897</v>
      </c>
      <c r="AE87">
        <f t="shared" si="32"/>
        <v>68.359396181261999</v>
      </c>
      <c r="AF87">
        <f>IFERROR(SUM($K$3:$K87),"")</f>
        <v>245927.46300000005</v>
      </c>
      <c r="AG87">
        <f>IFERROR(SUM($L$3:$L87),"")</f>
        <v>295991.19299999985</v>
      </c>
      <c r="AH87">
        <f>IFERROR(SUM($M$3:$M87),"")</f>
        <v>135128.46100000001</v>
      </c>
      <c r="AI87">
        <f t="shared" si="33"/>
        <v>431119.65399999986</v>
      </c>
      <c r="AJ87">
        <f t="shared" si="34"/>
        <v>57.043899696579395</v>
      </c>
      <c r="AK87">
        <f t="shared" si="35"/>
        <v>68.656390459990476</v>
      </c>
    </row>
    <row r="88" spans="1:37" x14ac:dyDescent="0.35">
      <c r="A88">
        <v>1935</v>
      </c>
      <c r="B88">
        <v>4314.5910000000003</v>
      </c>
      <c r="C88">
        <v>6384.6189999999997</v>
      </c>
      <c r="D88">
        <v>3993.6460000000002</v>
      </c>
      <c r="E88">
        <v>3790.64</v>
      </c>
      <c r="F88">
        <v>4704.7650000000003</v>
      </c>
      <c r="G88">
        <v>2730.3040000000001</v>
      </c>
      <c r="H88">
        <v>4314.5910000000003</v>
      </c>
      <c r="I88">
        <v>6384.6189999999997</v>
      </c>
      <c r="J88">
        <v>3993.6460000000002</v>
      </c>
      <c r="K88">
        <v>4273.9319999999998</v>
      </c>
      <c r="L88">
        <v>5314.8059999999996</v>
      </c>
      <c r="M88">
        <v>3010.5909999999999</v>
      </c>
      <c r="N88">
        <f>IFERROR(SUM($B$3:$B88),"")</f>
        <v>280537.49699999997</v>
      </c>
      <c r="O88">
        <f>IFERROR(SUM($C$3:$C88),"")</f>
        <v>388447.66799999995</v>
      </c>
      <c r="P88">
        <f>IFERROR(SUM($D$3:$D88),"")</f>
        <v>180834.087</v>
      </c>
      <c r="Q88">
        <f t="shared" si="24"/>
        <v>569281.75499999989</v>
      </c>
      <c r="R88">
        <f t="shared" si="25"/>
        <v>49.279200419834289</v>
      </c>
      <c r="S88">
        <f t="shared" si="26"/>
        <v>68.23469478659122</v>
      </c>
      <c r="T88">
        <f>IFERROR(SUM($E$3:$E88),"")</f>
        <v>230286.61500000011</v>
      </c>
      <c r="U88">
        <f>IFERROR(SUM($F$3:$F88),"")</f>
        <v>272790.81600000005</v>
      </c>
      <c r="V88">
        <f>IFERROR(SUM($G$3:$G88),"")</f>
        <v>117077.45999999998</v>
      </c>
      <c r="W88">
        <f t="shared" si="27"/>
        <v>389868.27600000001</v>
      </c>
      <c r="X88">
        <f t="shared" si="28"/>
        <v>59.067800376761127</v>
      </c>
      <c r="Y88">
        <f t="shared" si="29"/>
        <v>69.96999571209021</v>
      </c>
      <c r="Z88">
        <f>IFERROR(SUM($H$3:$H88),"")</f>
        <v>280537.49800000002</v>
      </c>
      <c r="AA88">
        <f>IFERROR(SUM($I$3:$I88),"")</f>
        <v>388447.67000000004</v>
      </c>
      <c r="AB88">
        <f>IFERROR(SUM($J$3:$J88),"")</f>
        <v>180834.08500000002</v>
      </c>
      <c r="AC88">
        <f t="shared" si="30"/>
        <v>569281.75500000012</v>
      </c>
      <c r="AD88">
        <f t="shared" si="31"/>
        <v>49.279200595494224</v>
      </c>
      <c r="AE88">
        <f t="shared" si="32"/>
        <v>68.234695137911089</v>
      </c>
      <c r="AF88">
        <f>IFERROR(SUM($K$3:$K88),"")</f>
        <v>250201.39500000005</v>
      </c>
      <c r="AG88">
        <f>IFERROR(SUM($L$3:$L88),"")</f>
        <v>301305.99899999984</v>
      </c>
      <c r="AH88">
        <f>IFERROR(SUM($M$3:$M88),"")</f>
        <v>138139.052</v>
      </c>
      <c r="AI88">
        <f t="shared" si="33"/>
        <v>439445.05099999986</v>
      </c>
      <c r="AJ88">
        <f t="shared" si="34"/>
        <v>56.935763511420255</v>
      </c>
      <c r="AK88">
        <f t="shared" si="35"/>
        <v>68.565113730226074</v>
      </c>
    </row>
    <row r="89" spans="1:37" x14ac:dyDescent="0.35">
      <c r="A89">
        <v>1936</v>
      </c>
      <c r="B89">
        <v>4590.7340000000004</v>
      </c>
      <c r="C89">
        <v>6788.8519999999999</v>
      </c>
      <c r="D89">
        <v>4095.0520000000001</v>
      </c>
      <c r="E89">
        <v>4068.5459999999998</v>
      </c>
      <c r="F89">
        <v>5028.9480000000003</v>
      </c>
      <c r="G89">
        <v>2835.9270000000001</v>
      </c>
      <c r="H89">
        <v>4590.7330000000002</v>
      </c>
      <c r="I89">
        <v>6788.8519999999999</v>
      </c>
      <c r="J89">
        <v>4095.0520000000001</v>
      </c>
      <c r="K89">
        <v>4585.3649999999998</v>
      </c>
      <c r="L89">
        <v>5719.3959999999997</v>
      </c>
      <c r="M89">
        <v>3118.5360000000001</v>
      </c>
      <c r="N89">
        <f>IFERROR(SUM($B$3:$B89),"")</f>
        <v>285128.23099999997</v>
      </c>
      <c r="O89">
        <f>IFERROR(SUM($C$3:$C89),"")</f>
        <v>395236.51999999996</v>
      </c>
      <c r="P89">
        <f>IFERROR(SUM($D$3:$D89),"")</f>
        <v>184929.139</v>
      </c>
      <c r="Q89">
        <f t="shared" si="24"/>
        <v>580165.65899999999</v>
      </c>
      <c r="R89">
        <f t="shared" si="25"/>
        <v>49.146002797107982</v>
      </c>
      <c r="S89">
        <f t="shared" si="26"/>
        <v>68.1247698599134</v>
      </c>
      <c r="T89">
        <f>IFERROR(SUM($E$3:$E89),"")</f>
        <v>234355.16100000011</v>
      </c>
      <c r="U89">
        <f>IFERROR(SUM($F$3:$F89),"")</f>
        <v>277819.76400000002</v>
      </c>
      <c r="V89">
        <f>IFERROR(SUM($G$3:$G89),"")</f>
        <v>119913.38699999997</v>
      </c>
      <c r="W89">
        <f t="shared" si="27"/>
        <v>397733.15100000001</v>
      </c>
      <c r="X89">
        <f t="shared" si="28"/>
        <v>58.922712479654507</v>
      </c>
      <c r="Y89">
        <f t="shared" si="29"/>
        <v>69.850794006356281</v>
      </c>
      <c r="Z89">
        <f>IFERROR(SUM($H$3:$H89),"")</f>
        <v>285128.23100000003</v>
      </c>
      <c r="AA89">
        <f>IFERROR(SUM($I$3:$I89),"")</f>
        <v>395236.52200000006</v>
      </c>
      <c r="AB89">
        <f>IFERROR(SUM($J$3:$J89),"")</f>
        <v>184929.13700000002</v>
      </c>
      <c r="AC89">
        <f t="shared" si="30"/>
        <v>580165.6590000001</v>
      </c>
      <c r="AD89">
        <f t="shared" si="31"/>
        <v>49.146002797107982</v>
      </c>
      <c r="AE89">
        <f t="shared" si="32"/>
        <v>68.12477020464253</v>
      </c>
      <c r="AF89">
        <f>IFERROR(SUM($K$3:$K89),"")</f>
        <v>254786.76000000004</v>
      </c>
      <c r="AG89">
        <f>IFERROR(SUM($L$3:$L89),"")</f>
        <v>307025.39499999984</v>
      </c>
      <c r="AH89">
        <f>IFERROR(SUM($M$3:$M89),"")</f>
        <v>141257.58799999999</v>
      </c>
      <c r="AI89">
        <f t="shared" si="33"/>
        <v>448282.98299999983</v>
      </c>
      <c r="AJ89">
        <f t="shared" si="34"/>
        <v>56.83614361065321</v>
      </c>
      <c r="AK89">
        <f t="shared" si="35"/>
        <v>68.489192461717863</v>
      </c>
    </row>
    <row r="90" spans="1:37" x14ac:dyDescent="0.35">
      <c r="A90">
        <v>1937</v>
      </c>
      <c r="B90">
        <v>4772.0429999999997</v>
      </c>
      <c r="C90">
        <v>7004.0370000000003</v>
      </c>
      <c r="D90">
        <v>4153.808</v>
      </c>
      <c r="E90">
        <v>4222.1710000000003</v>
      </c>
      <c r="F90">
        <v>5195.0659999999998</v>
      </c>
      <c r="G90">
        <v>2908.6669999999999</v>
      </c>
      <c r="H90">
        <v>4772.0429999999997</v>
      </c>
      <c r="I90">
        <v>7004.0370000000003</v>
      </c>
      <c r="J90">
        <v>4153.808</v>
      </c>
      <c r="K90">
        <v>4799.665</v>
      </c>
      <c r="L90">
        <v>5940.28</v>
      </c>
      <c r="M90">
        <v>3175.3020000000001</v>
      </c>
      <c r="N90">
        <f>IFERROR(SUM($B$3:$B90),"")</f>
        <v>289900.27399999998</v>
      </c>
      <c r="O90">
        <f>IFERROR(SUM($C$3:$C90),"")</f>
        <v>402240.55699999997</v>
      </c>
      <c r="P90">
        <f>IFERROR(SUM($D$3:$D90),"")</f>
        <v>189082.94699999999</v>
      </c>
      <c r="Q90">
        <f t="shared" si="24"/>
        <v>591323.50399999996</v>
      </c>
      <c r="R90">
        <f t="shared" si="25"/>
        <v>49.025663962107622</v>
      </c>
      <c r="S90">
        <f t="shared" si="26"/>
        <v>68.023772821315092</v>
      </c>
      <c r="T90">
        <f>IFERROR(SUM($E$3:$E90),"")</f>
        <v>238577.33200000011</v>
      </c>
      <c r="U90">
        <f>IFERROR(SUM($F$3:$F90),"")</f>
        <v>283014.83</v>
      </c>
      <c r="V90">
        <f>IFERROR(SUM($G$3:$G90),"")</f>
        <v>122822.05399999997</v>
      </c>
      <c r="W90">
        <f t="shared" si="27"/>
        <v>405836.88399999996</v>
      </c>
      <c r="X90">
        <f t="shared" si="28"/>
        <v>58.786507931102719</v>
      </c>
      <c r="Y90">
        <f t="shared" si="29"/>
        <v>69.736103631231316</v>
      </c>
      <c r="Z90">
        <f>IFERROR(SUM($H$3:$H90),"")</f>
        <v>289900.27400000003</v>
      </c>
      <c r="AA90">
        <f>IFERROR(SUM($I$3:$I90),"")</f>
        <v>402240.55900000007</v>
      </c>
      <c r="AB90">
        <f>IFERROR(SUM($J$3:$J90),"")</f>
        <v>189082.94500000001</v>
      </c>
      <c r="AC90">
        <f t="shared" si="30"/>
        <v>591323.50400000007</v>
      </c>
      <c r="AD90">
        <f t="shared" si="31"/>
        <v>49.025663962107622</v>
      </c>
      <c r="AE90">
        <f t="shared" si="32"/>
        <v>68.023773159539431</v>
      </c>
      <c r="AF90">
        <f>IFERROR(SUM($K$3:$K90),"")</f>
        <v>259586.42500000005</v>
      </c>
      <c r="AG90">
        <f>IFERROR(SUM($L$3:$L90),"")</f>
        <v>312965.67499999987</v>
      </c>
      <c r="AH90">
        <f>IFERROR(SUM($M$3:$M90),"")</f>
        <v>144432.88999999998</v>
      </c>
      <c r="AI90">
        <f t="shared" si="33"/>
        <v>457398.56499999983</v>
      </c>
      <c r="AJ90">
        <f t="shared" si="34"/>
        <v>56.752785177627338</v>
      </c>
      <c r="AK90">
        <f t="shared" si="35"/>
        <v>68.422968270571644</v>
      </c>
    </row>
    <row r="91" spans="1:37" x14ac:dyDescent="0.35">
      <c r="A91">
        <v>1938</v>
      </c>
      <c r="B91">
        <v>4453.3720000000003</v>
      </c>
      <c r="C91">
        <v>6753.777</v>
      </c>
      <c r="D91">
        <v>4167.7039999999997</v>
      </c>
      <c r="E91">
        <v>3898.8609999999999</v>
      </c>
      <c r="F91">
        <v>4894.7070000000003</v>
      </c>
      <c r="G91">
        <v>2944.1410000000001</v>
      </c>
      <c r="H91">
        <v>4453.3720000000003</v>
      </c>
      <c r="I91">
        <v>6753.777</v>
      </c>
      <c r="J91">
        <v>4167.7039999999997</v>
      </c>
      <c r="K91">
        <v>4514.7430000000004</v>
      </c>
      <c r="L91">
        <v>5691.1880000000001</v>
      </c>
      <c r="M91">
        <v>3219.9789999999998</v>
      </c>
      <c r="N91">
        <f>IFERROR(SUM($B$3:$B91),"")</f>
        <v>294353.64599999995</v>
      </c>
      <c r="O91">
        <f>IFERROR(SUM($C$3:$C91),"")</f>
        <v>408994.33399999997</v>
      </c>
      <c r="P91">
        <f>IFERROR(SUM($D$3:$D91),"")</f>
        <v>193250.65099999998</v>
      </c>
      <c r="Q91">
        <f t="shared" si="24"/>
        <v>602244.98499999999</v>
      </c>
      <c r="R91">
        <f t="shared" si="25"/>
        <v>48.876064281382099</v>
      </c>
      <c r="S91">
        <f t="shared" si="26"/>
        <v>67.911621381122828</v>
      </c>
      <c r="T91">
        <f>IFERROR(SUM($E$3:$E91),"")</f>
        <v>242476.19300000012</v>
      </c>
      <c r="U91">
        <f>IFERROR(SUM($F$3:$F91),"")</f>
        <v>287909.53700000001</v>
      </c>
      <c r="V91">
        <f>IFERROR(SUM($G$3:$G91),"")</f>
        <v>125766.19499999998</v>
      </c>
      <c r="W91">
        <f t="shared" si="27"/>
        <v>413675.73199999996</v>
      </c>
      <c r="X91">
        <f t="shared" si="28"/>
        <v>58.615039327470178</v>
      </c>
      <c r="Y91">
        <f t="shared" si="29"/>
        <v>69.597879384425681</v>
      </c>
      <c r="Z91">
        <f>IFERROR(SUM($H$3:$H91),"")</f>
        <v>294353.64600000001</v>
      </c>
      <c r="AA91">
        <f>IFERROR(SUM($I$3:$I91),"")</f>
        <v>408994.33600000007</v>
      </c>
      <c r="AB91">
        <f>IFERROR(SUM($J$3:$J91),"")</f>
        <v>193250.649</v>
      </c>
      <c r="AC91">
        <f t="shared" si="30"/>
        <v>602244.9850000001</v>
      </c>
      <c r="AD91">
        <f t="shared" si="31"/>
        <v>48.876064281382099</v>
      </c>
      <c r="AE91">
        <f t="shared" si="32"/>
        <v>67.911621713213606</v>
      </c>
      <c r="AF91">
        <f>IFERROR(SUM($K$3:$K91),"")</f>
        <v>264101.16800000006</v>
      </c>
      <c r="AG91">
        <f>IFERROR(SUM($L$3:$L91),"")</f>
        <v>318656.8629999999</v>
      </c>
      <c r="AH91">
        <f>IFERROR(SUM($M$3:$M91),"")</f>
        <v>147652.86899999998</v>
      </c>
      <c r="AI91">
        <f t="shared" si="33"/>
        <v>466309.73199999984</v>
      </c>
      <c r="AJ91">
        <f t="shared" si="34"/>
        <v>56.636426365641491</v>
      </c>
      <c r="AK91">
        <f t="shared" si="35"/>
        <v>68.335880881851295</v>
      </c>
    </row>
    <row r="92" spans="1:37" x14ac:dyDescent="0.35">
      <c r="A92">
        <v>1939</v>
      </c>
      <c r="B92">
        <v>4624.9679999999998</v>
      </c>
      <c r="C92">
        <v>6933.6379999999999</v>
      </c>
      <c r="D92">
        <v>4194.6530000000002</v>
      </c>
      <c r="E92">
        <v>4111.8180000000002</v>
      </c>
      <c r="F92">
        <v>5099.7719999999999</v>
      </c>
      <c r="G92">
        <v>3004.8780000000002</v>
      </c>
      <c r="H92">
        <v>4624.9679999999998</v>
      </c>
      <c r="I92">
        <v>6933.6379999999999</v>
      </c>
      <c r="J92">
        <v>4194.6530000000002</v>
      </c>
      <c r="K92">
        <v>4720.4660000000003</v>
      </c>
      <c r="L92">
        <v>5881.5720000000001</v>
      </c>
      <c r="M92">
        <v>3263.596</v>
      </c>
      <c r="N92">
        <f>IFERROR(SUM($B$3:$B92),"")</f>
        <v>298978.61399999994</v>
      </c>
      <c r="O92">
        <f>IFERROR(SUM($C$3:$C92),"")</f>
        <v>415927.97199999995</v>
      </c>
      <c r="P92">
        <f>IFERROR(SUM($D$3:$D92),"")</f>
        <v>197445.30399999997</v>
      </c>
      <c r="Q92">
        <f t="shared" si="24"/>
        <v>613373.27599999995</v>
      </c>
      <c r="R92">
        <f t="shared" si="25"/>
        <v>48.743338795216758</v>
      </c>
      <c r="S92">
        <f t="shared" si="26"/>
        <v>67.80992721306626</v>
      </c>
      <c r="T92">
        <f>IFERROR(SUM($E$3:$E92),"")</f>
        <v>246588.01100000012</v>
      </c>
      <c r="U92">
        <f>IFERROR(SUM($F$3:$F92),"")</f>
        <v>293009.30900000001</v>
      </c>
      <c r="V92">
        <f>IFERROR(SUM($G$3:$G92),"")</f>
        <v>128771.07299999997</v>
      </c>
      <c r="W92">
        <f t="shared" si="27"/>
        <v>421780.38199999998</v>
      </c>
      <c r="X92">
        <f t="shared" si="28"/>
        <v>58.463603696010715</v>
      </c>
      <c r="Y92">
        <f t="shared" si="29"/>
        <v>69.469639059694344</v>
      </c>
      <c r="Z92">
        <f>IFERROR(SUM($H$3:$H92),"")</f>
        <v>298978.614</v>
      </c>
      <c r="AA92">
        <f>IFERROR(SUM($I$3:$I92),"")</f>
        <v>415927.97400000005</v>
      </c>
      <c r="AB92">
        <f>IFERROR(SUM($J$3:$J92),"")</f>
        <v>197445.302</v>
      </c>
      <c r="AC92">
        <f t="shared" si="30"/>
        <v>613373.27600000007</v>
      </c>
      <c r="AD92">
        <f t="shared" si="31"/>
        <v>48.743338795216765</v>
      </c>
      <c r="AE92">
        <f t="shared" si="32"/>
        <v>67.809927539131976</v>
      </c>
      <c r="AF92">
        <f>IFERROR(SUM($K$3:$K92),"")</f>
        <v>268821.63400000008</v>
      </c>
      <c r="AG92">
        <f>IFERROR(SUM($L$3:$L92),"")</f>
        <v>324538.43499999988</v>
      </c>
      <c r="AH92">
        <f>IFERROR(SUM($M$3:$M92),"")</f>
        <v>150916.46499999997</v>
      </c>
      <c r="AI92">
        <f t="shared" si="33"/>
        <v>475454.89999999985</v>
      </c>
      <c r="AJ92">
        <f t="shared" si="34"/>
        <v>56.539880859362299</v>
      </c>
      <c r="AK92">
        <f t="shared" si="35"/>
        <v>68.258510954456455</v>
      </c>
    </row>
    <row r="93" spans="1:37" x14ac:dyDescent="0.35">
      <c r="A93">
        <v>1940</v>
      </c>
      <c r="B93">
        <v>4826.8860000000004</v>
      </c>
      <c r="C93">
        <v>6895.4470000000001</v>
      </c>
      <c r="D93">
        <v>4819.9780000000001</v>
      </c>
      <c r="E93">
        <v>4213.1180000000004</v>
      </c>
      <c r="F93">
        <v>5390.2179999999998</v>
      </c>
      <c r="G93">
        <v>3045.9810000000002</v>
      </c>
      <c r="H93">
        <v>4826.8850000000002</v>
      </c>
      <c r="I93">
        <v>6895.4470000000001</v>
      </c>
      <c r="J93">
        <v>4819.9780000000001</v>
      </c>
      <c r="K93">
        <v>4911.3090000000002</v>
      </c>
      <c r="L93">
        <v>6157.7659999999996</v>
      </c>
      <c r="M93">
        <v>3454.2890000000002</v>
      </c>
      <c r="N93">
        <f>IFERROR(SUM($B$3:$B93),"")</f>
        <v>303805.49999999994</v>
      </c>
      <c r="O93">
        <f>IFERROR(SUM($C$3:$C93),"")</f>
        <v>422823.41899999994</v>
      </c>
      <c r="P93">
        <f>IFERROR(SUM($D$3:$D93),"")</f>
        <v>202265.28199999998</v>
      </c>
      <c r="Q93">
        <f t="shared" si="24"/>
        <v>625088.70099999988</v>
      </c>
      <c r="R93">
        <f t="shared" si="25"/>
        <v>48.601982328904711</v>
      </c>
      <c r="S93">
        <f t="shared" si="26"/>
        <v>67.642147158247866</v>
      </c>
      <c r="T93">
        <f>IFERROR(SUM($E$3:$E93),"")</f>
        <v>250801.1290000001</v>
      </c>
      <c r="U93">
        <f>IFERROR(SUM($F$3:$F93),"")</f>
        <v>298399.527</v>
      </c>
      <c r="V93">
        <f>IFERROR(SUM($G$3:$G93),"")</f>
        <v>131817.05399999997</v>
      </c>
      <c r="W93">
        <f t="shared" si="27"/>
        <v>430216.58100000001</v>
      </c>
      <c r="X93">
        <f t="shared" si="28"/>
        <v>58.296481371553668</v>
      </c>
      <c r="Y93">
        <f t="shared" si="29"/>
        <v>69.360303665283425</v>
      </c>
      <c r="Z93">
        <f>IFERROR(SUM($H$3:$H93),"")</f>
        <v>303805.49900000001</v>
      </c>
      <c r="AA93">
        <f>IFERROR(SUM($I$3:$I93),"")</f>
        <v>422823.42100000003</v>
      </c>
      <c r="AB93">
        <f>IFERROR(SUM($J$3:$J93),"")</f>
        <v>202265.28</v>
      </c>
      <c r="AC93">
        <f t="shared" si="30"/>
        <v>625088.701</v>
      </c>
      <c r="AD93">
        <f t="shared" si="31"/>
        <v>48.601982168927414</v>
      </c>
      <c r="AE93">
        <f t="shared" si="32"/>
        <v>67.64214747820246</v>
      </c>
      <c r="AF93">
        <f>IFERROR(SUM($K$3:$K93),"")</f>
        <v>273732.94300000009</v>
      </c>
      <c r="AG93">
        <f>IFERROR(SUM($L$3:$L93),"")</f>
        <v>330696.20099999988</v>
      </c>
      <c r="AH93">
        <f>IFERROR(SUM($M$3:$M93),"")</f>
        <v>154370.75399999996</v>
      </c>
      <c r="AI93">
        <f t="shared" si="33"/>
        <v>485066.95499999984</v>
      </c>
      <c r="AJ93">
        <f t="shared" si="34"/>
        <v>56.431991538157902</v>
      </c>
      <c r="AK93">
        <f t="shared" si="35"/>
        <v>68.175371995810352</v>
      </c>
    </row>
    <row r="94" spans="1:37" x14ac:dyDescent="0.35">
      <c r="A94">
        <v>1941</v>
      </c>
      <c r="B94">
        <v>5002.6610000000001</v>
      </c>
      <c r="C94">
        <v>6821.4189999999999</v>
      </c>
      <c r="D94">
        <v>5162.6040000000003</v>
      </c>
      <c r="E94">
        <v>4364.7730000000001</v>
      </c>
      <c r="F94">
        <v>5428.4189999999999</v>
      </c>
      <c r="G94">
        <v>3064.386</v>
      </c>
      <c r="H94">
        <v>5002.6610000000001</v>
      </c>
      <c r="I94">
        <v>6821.4189999999999</v>
      </c>
      <c r="J94">
        <v>5162.6040000000003</v>
      </c>
      <c r="K94">
        <v>5075.5280000000002</v>
      </c>
      <c r="L94">
        <v>6230.4080000000004</v>
      </c>
      <c r="M94">
        <v>3648.95</v>
      </c>
      <c r="N94">
        <f>IFERROR(SUM($B$3:$B94),"")</f>
        <v>308808.16099999996</v>
      </c>
      <c r="O94">
        <f>IFERROR(SUM($C$3:$C94),"")</f>
        <v>429644.83799999993</v>
      </c>
      <c r="P94">
        <f>IFERROR(SUM($D$3:$D94),"")</f>
        <v>207427.88599999997</v>
      </c>
      <c r="Q94">
        <f t="shared" si="24"/>
        <v>637072.72399999993</v>
      </c>
      <c r="R94">
        <f t="shared" si="25"/>
        <v>48.472984224011448</v>
      </c>
      <c r="S94">
        <f t="shared" si="26"/>
        <v>67.440469794779659</v>
      </c>
      <c r="T94">
        <f>IFERROR(SUM($E$3:$E94),"")</f>
        <v>255165.90200000009</v>
      </c>
      <c r="U94">
        <f>IFERROR(SUM($F$3:$F94),"")</f>
        <v>303827.946</v>
      </c>
      <c r="V94">
        <f>IFERROR(SUM($G$3:$G94),"")</f>
        <v>134881.43999999997</v>
      </c>
      <c r="W94">
        <f t="shared" si="27"/>
        <v>438709.38599999994</v>
      </c>
      <c r="X94">
        <f t="shared" si="28"/>
        <v>58.162854532590316</v>
      </c>
      <c r="Y94">
        <f t="shared" si="29"/>
        <v>69.254945459498344</v>
      </c>
      <c r="Z94">
        <f>IFERROR(SUM($H$3:$H94),"")</f>
        <v>308808.16000000003</v>
      </c>
      <c r="AA94">
        <f>IFERROR(SUM($I$3:$I94),"")</f>
        <v>429644.84</v>
      </c>
      <c r="AB94">
        <f>IFERROR(SUM($J$3:$J94),"")</f>
        <v>207427.88399999999</v>
      </c>
      <c r="AC94">
        <f t="shared" si="30"/>
        <v>637072.72400000005</v>
      </c>
      <c r="AD94">
        <f t="shared" si="31"/>
        <v>48.472984067043498</v>
      </c>
      <c r="AE94">
        <f t="shared" si="32"/>
        <v>67.440470108715573</v>
      </c>
      <c r="AF94">
        <f>IFERROR(SUM($K$3:$K94),"")</f>
        <v>278808.47100000008</v>
      </c>
      <c r="AG94">
        <f>IFERROR(SUM($L$3:$L94),"")</f>
        <v>336926.60899999988</v>
      </c>
      <c r="AH94">
        <f>IFERROR(SUM($M$3:$M94),"")</f>
        <v>158019.70399999997</v>
      </c>
      <c r="AI94">
        <f t="shared" si="33"/>
        <v>494946.31299999985</v>
      </c>
      <c r="AJ94">
        <f t="shared" si="34"/>
        <v>56.331053222736131</v>
      </c>
      <c r="AK94">
        <f t="shared" si="35"/>
        <v>68.073364757037808</v>
      </c>
    </row>
    <row r="95" spans="1:37" x14ac:dyDescent="0.35">
      <c r="A95">
        <v>1942</v>
      </c>
      <c r="B95">
        <v>5169.6890000000003</v>
      </c>
      <c r="C95">
        <v>6667.9380000000001</v>
      </c>
      <c r="D95">
        <v>5314.6329999999998</v>
      </c>
      <c r="E95">
        <v>4569.1239999999998</v>
      </c>
      <c r="F95">
        <v>5514.183</v>
      </c>
      <c r="G95">
        <v>3073.5549999999998</v>
      </c>
      <c r="H95">
        <v>5169.6890000000003</v>
      </c>
      <c r="I95">
        <v>6667.9380000000001</v>
      </c>
      <c r="J95">
        <v>5314.6329999999998</v>
      </c>
      <c r="K95">
        <v>5224.2250000000004</v>
      </c>
      <c r="L95">
        <v>6176.9480000000003</v>
      </c>
      <c r="M95">
        <v>3700.4520000000002</v>
      </c>
      <c r="N95">
        <f>IFERROR(SUM($B$3:$B95),"")</f>
        <v>313977.84999999998</v>
      </c>
      <c r="O95">
        <f>IFERROR(SUM($C$3:$C95),"")</f>
        <v>436312.77599999995</v>
      </c>
      <c r="P95">
        <f>IFERROR(SUM($D$3:$D95),"")</f>
        <v>212742.51899999997</v>
      </c>
      <c r="Q95">
        <f t="shared" si="24"/>
        <v>649055.29499999993</v>
      </c>
      <c r="R95">
        <f t="shared" si="25"/>
        <v>48.374591875103647</v>
      </c>
      <c r="S95">
        <f t="shared" si="26"/>
        <v>67.222743479814</v>
      </c>
      <c r="T95">
        <f>IFERROR(SUM($E$3:$E95),"")</f>
        <v>259735.0260000001</v>
      </c>
      <c r="U95">
        <f>IFERROR(SUM($F$3:$F95),"")</f>
        <v>309342.12900000002</v>
      </c>
      <c r="V95">
        <f>IFERROR(SUM($G$3:$G95),"")</f>
        <v>137954.99499999997</v>
      </c>
      <c r="W95">
        <f t="shared" si="27"/>
        <v>447297.12399999995</v>
      </c>
      <c r="X95">
        <f t="shared" si="28"/>
        <v>58.067671814496201</v>
      </c>
      <c r="Y95">
        <f t="shared" si="29"/>
        <v>69.158085845416721</v>
      </c>
      <c r="Z95">
        <f>IFERROR(SUM($H$3:$H95),"")</f>
        <v>313977.84900000005</v>
      </c>
      <c r="AA95">
        <f>IFERROR(SUM($I$3:$I95),"")</f>
        <v>436312.77800000005</v>
      </c>
      <c r="AB95">
        <f>IFERROR(SUM($J$3:$J95),"")</f>
        <v>212742.51699999999</v>
      </c>
      <c r="AC95">
        <f t="shared" si="30"/>
        <v>649055.29500000004</v>
      </c>
      <c r="AD95">
        <f t="shared" si="31"/>
        <v>48.374591721033575</v>
      </c>
      <c r="AE95">
        <f t="shared" si="32"/>
        <v>67.222743787954158</v>
      </c>
      <c r="AF95">
        <f>IFERROR(SUM($K$3:$K95),"")</f>
        <v>284032.69600000005</v>
      </c>
      <c r="AG95">
        <f>IFERROR(SUM($L$3:$L95),"")</f>
        <v>343103.55699999986</v>
      </c>
      <c r="AH95">
        <f>IFERROR(SUM($M$3:$M95),"")</f>
        <v>161720.15599999996</v>
      </c>
      <c r="AI95">
        <f t="shared" si="33"/>
        <v>504823.71299999981</v>
      </c>
      <c r="AJ95">
        <f t="shared" si="34"/>
        <v>56.263738942073061</v>
      </c>
      <c r="AK95">
        <f t="shared" si="35"/>
        <v>67.965023861705959</v>
      </c>
    </row>
    <row r="96" spans="1:37" x14ac:dyDescent="0.35">
      <c r="A96">
        <v>1943</v>
      </c>
      <c r="B96">
        <v>5236.4939999999997</v>
      </c>
      <c r="C96">
        <v>6640.0609999999997</v>
      </c>
      <c r="D96">
        <v>5447.549</v>
      </c>
      <c r="E96">
        <v>4568.4409999999998</v>
      </c>
      <c r="F96">
        <v>5589.3059999999996</v>
      </c>
      <c r="G96">
        <v>3160.5259999999998</v>
      </c>
      <c r="H96">
        <v>5236.4939999999997</v>
      </c>
      <c r="I96">
        <v>6640.0609999999997</v>
      </c>
      <c r="J96">
        <v>5447.549</v>
      </c>
      <c r="K96">
        <v>5254.0119999999997</v>
      </c>
      <c r="L96">
        <v>6207.1980000000003</v>
      </c>
      <c r="M96">
        <v>3745.864</v>
      </c>
      <c r="N96">
        <f>IFERROR(SUM($B$3:$B96),"")</f>
        <v>319214.34399999998</v>
      </c>
      <c r="O96">
        <f>IFERROR(SUM($C$3:$C96),"")</f>
        <v>442952.83699999994</v>
      </c>
      <c r="P96">
        <f>IFERROR(SUM($D$3:$D96),"")</f>
        <v>218190.06799999997</v>
      </c>
      <c r="Q96">
        <f t="shared" si="24"/>
        <v>661142.90499999991</v>
      </c>
      <c r="R96">
        <f t="shared" si="25"/>
        <v>48.282200653730079</v>
      </c>
      <c r="S96">
        <f t="shared" si="26"/>
        <v>66.998047419112822</v>
      </c>
      <c r="T96">
        <f>IFERROR(SUM($E$3:$E96),"")</f>
        <v>264303.46700000012</v>
      </c>
      <c r="U96">
        <f>IFERROR(SUM($F$3:$F96),"")</f>
        <v>314931.435</v>
      </c>
      <c r="V96">
        <f>IFERROR(SUM($G$3:$G96),"")</f>
        <v>141115.52099999998</v>
      </c>
      <c r="W96">
        <f t="shared" si="27"/>
        <v>456046.95600000001</v>
      </c>
      <c r="X96">
        <f t="shared" si="28"/>
        <v>57.955318750115751</v>
      </c>
      <c r="Y96">
        <f t="shared" si="29"/>
        <v>69.056800151079173</v>
      </c>
      <c r="Z96">
        <f>IFERROR(SUM($H$3:$H96),"")</f>
        <v>319214.34300000005</v>
      </c>
      <c r="AA96">
        <f>IFERROR(SUM($I$3:$I96),"")</f>
        <v>442952.83900000004</v>
      </c>
      <c r="AB96">
        <f>IFERROR(SUM($J$3:$J96),"")</f>
        <v>218190.06599999999</v>
      </c>
      <c r="AC96">
        <f t="shared" si="30"/>
        <v>661142.90500000003</v>
      </c>
      <c r="AD96">
        <f t="shared" si="31"/>
        <v>48.282200502476854</v>
      </c>
      <c r="AE96">
        <f t="shared" si="32"/>
        <v>66.998047721619287</v>
      </c>
      <c r="AF96">
        <f>IFERROR(SUM($K$3:$K96),"")</f>
        <v>289286.70800000004</v>
      </c>
      <c r="AG96">
        <f>IFERROR(SUM($L$3:$L96),"")</f>
        <v>349310.75499999983</v>
      </c>
      <c r="AH96">
        <f>IFERROR(SUM($M$3:$M96),"")</f>
        <v>165466.01999999996</v>
      </c>
      <c r="AI96">
        <f t="shared" si="33"/>
        <v>514776.77499999979</v>
      </c>
      <c r="AJ96">
        <f t="shared" si="34"/>
        <v>56.19653450760287</v>
      </c>
      <c r="AK96">
        <f t="shared" si="35"/>
        <v>67.856743342781925</v>
      </c>
    </row>
    <row r="97" spans="1:37" x14ac:dyDescent="0.35">
      <c r="A97">
        <v>1944</v>
      </c>
      <c r="B97">
        <v>5230.3090000000002</v>
      </c>
      <c r="C97">
        <v>6547.9790000000003</v>
      </c>
      <c r="D97">
        <v>5547.7269999999999</v>
      </c>
      <c r="E97">
        <v>4510.2889999999998</v>
      </c>
      <c r="F97">
        <v>5461.5630000000001</v>
      </c>
      <c r="G97">
        <v>3255.3470000000002</v>
      </c>
      <c r="H97">
        <v>5230.3090000000002</v>
      </c>
      <c r="I97">
        <v>6547.9790000000003</v>
      </c>
      <c r="J97">
        <v>5547.7269999999999</v>
      </c>
      <c r="K97">
        <v>5249.3609999999999</v>
      </c>
      <c r="L97">
        <v>6229.223</v>
      </c>
      <c r="M97">
        <v>3822.616</v>
      </c>
      <c r="N97">
        <f>IFERROR(SUM($B$3:$B97),"")</f>
        <v>324444.65299999999</v>
      </c>
      <c r="O97">
        <f>IFERROR(SUM($C$3:$C97),"")</f>
        <v>449500.81599999993</v>
      </c>
      <c r="P97">
        <f>IFERROR(SUM($D$3:$D97),"")</f>
        <v>223737.79499999998</v>
      </c>
      <c r="Q97">
        <f t="shared" si="24"/>
        <v>673238.61099999992</v>
      </c>
      <c r="R97">
        <f t="shared" si="25"/>
        <v>48.191628896340887</v>
      </c>
      <c r="S97">
        <f t="shared" si="26"/>
        <v>66.766939485590498</v>
      </c>
      <c r="T97">
        <f>IFERROR(SUM($E$3:$E97),"")</f>
        <v>268813.75600000011</v>
      </c>
      <c r="U97">
        <f>IFERROR(SUM($F$3:$F97),"")</f>
        <v>320392.99800000002</v>
      </c>
      <c r="V97">
        <f>IFERROR(SUM($G$3:$G97),"")</f>
        <v>144370.86799999999</v>
      </c>
      <c r="W97">
        <f t="shared" si="27"/>
        <v>464763.86600000004</v>
      </c>
      <c r="X97">
        <f t="shared" si="28"/>
        <v>57.838781296306728</v>
      </c>
      <c r="Y97">
        <f t="shared" si="29"/>
        <v>68.936727107782517</v>
      </c>
      <c r="Z97">
        <f>IFERROR(SUM($H$3:$H97),"")</f>
        <v>324444.65200000006</v>
      </c>
      <c r="AA97">
        <f>IFERROR(SUM($I$3:$I97),"")</f>
        <v>449500.81800000003</v>
      </c>
      <c r="AB97">
        <f>IFERROR(SUM($J$3:$J97),"")</f>
        <v>223737.79300000001</v>
      </c>
      <c r="AC97">
        <f t="shared" si="30"/>
        <v>673238.61100000003</v>
      </c>
      <c r="AD97">
        <f t="shared" si="31"/>
        <v>48.19162874780514</v>
      </c>
      <c r="AE97">
        <f t="shared" si="32"/>
        <v>66.766939782661993</v>
      </c>
      <c r="AF97">
        <f>IFERROR(SUM($K$3:$K97),"")</f>
        <v>294536.06900000002</v>
      </c>
      <c r="AG97">
        <f>IFERROR(SUM($L$3:$L97),"")</f>
        <v>355539.97799999983</v>
      </c>
      <c r="AH97">
        <f>IFERROR(SUM($M$3:$M97),"")</f>
        <v>169288.63599999997</v>
      </c>
      <c r="AI97">
        <f t="shared" si="33"/>
        <v>524828.61399999983</v>
      </c>
      <c r="AJ97">
        <f t="shared" si="34"/>
        <v>56.120428868232416</v>
      </c>
      <c r="AK97">
        <f t="shared" si="35"/>
        <v>67.744015573053332</v>
      </c>
    </row>
    <row r="98" spans="1:37" x14ac:dyDescent="0.35">
      <c r="A98">
        <v>1945</v>
      </c>
      <c r="B98">
        <v>4554.6130000000003</v>
      </c>
      <c r="C98">
        <v>5646.3580000000002</v>
      </c>
      <c r="D98">
        <v>5594.558</v>
      </c>
      <c r="E98">
        <v>3764.404</v>
      </c>
      <c r="F98">
        <v>4531.5990000000002</v>
      </c>
      <c r="G98">
        <v>3307.1320000000001</v>
      </c>
      <c r="H98">
        <v>4554.6130000000003</v>
      </c>
      <c r="I98">
        <v>5646.3580000000002</v>
      </c>
      <c r="J98">
        <v>5594.558</v>
      </c>
      <c r="K98">
        <v>4558.6840000000002</v>
      </c>
      <c r="L98">
        <v>5418.9040000000005</v>
      </c>
      <c r="M98">
        <v>3831.74</v>
      </c>
      <c r="N98">
        <f>IFERROR(SUM($B$3:$B98),"")</f>
        <v>328999.266</v>
      </c>
      <c r="O98">
        <f>IFERROR(SUM($C$3:$C98),"")</f>
        <v>455147.17399999994</v>
      </c>
      <c r="P98">
        <f>IFERROR(SUM($D$3:$D98),"")</f>
        <v>229332.35299999997</v>
      </c>
      <c r="Q98">
        <f t="shared" si="24"/>
        <v>684479.52699999989</v>
      </c>
      <c r="R98">
        <f t="shared" si="25"/>
        <v>48.065610879841564</v>
      </c>
      <c r="S98">
        <f t="shared" si="26"/>
        <v>66.495367070343363</v>
      </c>
      <c r="T98">
        <f>IFERROR(SUM($E$3:$E98),"")</f>
        <v>272578.16000000009</v>
      </c>
      <c r="U98">
        <f>IFERROR(SUM($F$3:$F98),"")</f>
        <v>324924.59700000001</v>
      </c>
      <c r="V98">
        <f>IFERROR(SUM($G$3:$G98),"")</f>
        <v>147678</v>
      </c>
      <c r="W98">
        <f t="shared" si="27"/>
        <v>472602.59700000001</v>
      </c>
      <c r="X98">
        <f t="shared" si="28"/>
        <v>57.675975910898373</v>
      </c>
      <c r="Y98">
        <f t="shared" si="29"/>
        <v>68.752181867506749</v>
      </c>
      <c r="Z98">
        <f>IFERROR(SUM($H$3:$H98),"")</f>
        <v>328999.26500000007</v>
      </c>
      <c r="AA98">
        <f>IFERROR(SUM($I$3:$I98),"")</f>
        <v>455147.17600000004</v>
      </c>
      <c r="AB98">
        <f>IFERROR(SUM($J$3:$J98),"")</f>
        <v>229332.351</v>
      </c>
      <c r="AC98">
        <f t="shared" si="30"/>
        <v>684479.527</v>
      </c>
      <c r="AD98">
        <f t="shared" si="31"/>
        <v>48.06561073374516</v>
      </c>
      <c r="AE98">
        <f t="shared" si="32"/>
        <v>66.495367362536186</v>
      </c>
      <c r="AF98">
        <f>IFERROR(SUM($K$3:$K98),"")</f>
        <v>299094.75300000003</v>
      </c>
      <c r="AG98">
        <f>IFERROR(SUM($L$3:$L98),"")</f>
        <v>360958.88199999981</v>
      </c>
      <c r="AH98">
        <f>IFERROR(SUM($M$3:$M98),"")</f>
        <v>173120.37599999996</v>
      </c>
      <c r="AI98">
        <f t="shared" si="33"/>
        <v>534079.2579999998</v>
      </c>
      <c r="AJ98">
        <f t="shared" si="34"/>
        <v>56.001941382265805</v>
      </c>
      <c r="AK98">
        <f t="shared" si="35"/>
        <v>67.585265031955231</v>
      </c>
    </row>
    <row r="99" spans="1:37" x14ac:dyDescent="0.35">
      <c r="A99">
        <v>1946</v>
      </c>
      <c r="B99">
        <v>4749.0910000000003</v>
      </c>
      <c r="C99">
        <v>5827.1819999999998</v>
      </c>
      <c r="D99">
        <v>5679.6980000000003</v>
      </c>
      <c r="E99">
        <v>4003.518</v>
      </c>
      <c r="F99">
        <v>4862.2920000000004</v>
      </c>
      <c r="G99">
        <v>3739.03</v>
      </c>
      <c r="H99">
        <v>4749.0910000000003</v>
      </c>
      <c r="I99">
        <v>5827.1819999999998</v>
      </c>
      <c r="J99">
        <v>5679.6980000000003</v>
      </c>
      <c r="K99">
        <v>4749.1549999999997</v>
      </c>
      <c r="L99">
        <v>5688.6279999999997</v>
      </c>
      <c r="M99">
        <v>3887.2640000000001</v>
      </c>
      <c r="N99">
        <f>IFERROR(SUM($B$3:$B99),"")</f>
        <v>333748.35700000002</v>
      </c>
      <c r="O99">
        <f>IFERROR(SUM($C$3:$C99),"")</f>
        <v>460974.35599999991</v>
      </c>
      <c r="P99">
        <f>IFERROR(SUM($D$3:$D99),"")</f>
        <v>235012.05099999998</v>
      </c>
      <c r="Q99">
        <f t="shared" ref="Q99:Q130" si="36">IFERROR(O99+P99,"")</f>
        <v>695986.40699999989</v>
      </c>
      <c r="R99">
        <f t="shared" ref="R99:R130" si="37">IFERROR(N99/Q99*100,NA())</f>
        <v>47.953286679634829</v>
      </c>
      <c r="S99">
        <f t="shared" ref="S99:S130" si="38">IFERROR(O99/Q99*100,NA())</f>
        <v>66.233241247770508</v>
      </c>
      <c r="T99">
        <f>IFERROR(SUM($E$3:$E99),"")</f>
        <v>276581.67800000007</v>
      </c>
      <c r="U99">
        <f>IFERROR(SUM($F$3:$F99),"")</f>
        <v>329786.88900000002</v>
      </c>
      <c r="V99">
        <f>IFERROR(SUM($G$3:$G99),"")</f>
        <v>151417.03</v>
      </c>
      <c r="W99">
        <f t="shared" ref="W99:W130" si="39">IFERROR(U99+V99,"")</f>
        <v>481203.91899999999</v>
      </c>
      <c r="X99">
        <f t="shared" ref="X99:X130" si="40">IFERROR(T99/W99*100,NA())</f>
        <v>57.477021088018212</v>
      </c>
      <c r="Y99">
        <f t="shared" ref="Y99:Y130" si="41">IFERROR(U99/W99*100,NA())</f>
        <v>68.533708055690212</v>
      </c>
      <c r="Z99">
        <f>IFERROR(SUM($H$3:$H99),"")</f>
        <v>333748.35600000009</v>
      </c>
      <c r="AA99">
        <f>IFERROR(SUM($I$3:$I99),"")</f>
        <v>460974.35800000001</v>
      </c>
      <c r="AB99">
        <f>IFERROR(SUM($J$3:$J99),"")</f>
        <v>235012.049</v>
      </c>
      <c r="AC99">
        <f t="shared" ref="AC99:AC130" si="42">IFERROR(AA99+AB99,"")</f>
        <v>695986.40700000001</v>
      </c>
      <c r="AD99">
        <f t="shared" ref="AD99:AD130" si="43">IFERROR(Z99/AC99*100,NA())</f>
        <v>47.953286535953865</v>
      </c>
      <c r="AE99">
        <f t="shared" ref="AE99:AE130" si="44">IFERROR(AA99/AC99*100,NA())</f>
        <v>66.23324153513245</v>
      </c>
      <c r="AF99">
        <f>IFERROR(SUM($K$3:$K99),"")</f>
        <v>303843.90800000005</v>
      </c>
      <c r="AG99">
        <f>IFERROR(SUM($L$3:$L99),"")</f>
        <v>366647.50999999983</v>
      </c>
      <c r="AH99">
        <f>IFERROR(SUM($M$3:$M99),"")</f>
        <v>177007.63999999996</v>
      </c>
      <c r="AI99">
        <f t="shared" ref="AI99:AI130" si="45">IFERROR(AG99+AH99,"")</f>
        <v>543655.14999999979</v>
      </c>
      <c r="AJ99">
        <f t="shared" ref="AJ99:AJ130" si="46">IFERROR(AF99/AI99*100,NA())</f>
        <v>55.889088515026522</v>
      </c>
      <c r="AK99">
        <f t="shared" ref="AK99:AK130" si="47">IFERROR(AG99/AI99*100,NA())</f>
        <v>67.441191350803891</v>
      </c>
    </row>
    <row r="100" spans="1:37" x14ac:dyDescent="0.35">
      <c r="A100">
        <v>1947</v>
      </c>
      <c r="B100">
        <v>5163.2380000000003</v>
      </c>
      <c r="C100">
        <v>6203.576</v>
      </c>
      <c r="D100">
        <v>5781.482</v>
      </c>
      <c r="E100">
        <v>4518.5309999999999</v>
      </c>
      <c r="F100">
        <v>5445.9380000000001</v>
      </c>
      <c r="G100">
        <v>3860.395</v>
      </c>
      <c r="H100">
        <v>5163.2380000000003</v>
      </c>
      <c r="I100">
        <v>6203.576</v>
      </c>
      <c r="J100">
        <v>5781.482</v>
      </c>
      <c r="K100">
        <v>5162.2510000000002</v>
      </c>
      <c r="L100">
        <v>6144.1109999999999</v>
      </c>
      <c r="M100">
        <v>3986.2080000000001</v>
      </c>
      <c r="N100">
        <f>IFERROR(SUM($B$3:$B100),"")</f>
        <v>338911.59500000003</v>
      </c>
      <c r="O100">
        <f>IFERROR(SUM($C$3:$C100),"")</f>
        <v>467177.93199999991</v>
      </c>
      <c r="P100">
        <f>IFERROR(SUM($D$3:$D100),"")</f>
        <v>240793.53299999997</v>
      </c>
      <c r="Q100">
        <f t="shared" si="36"/>
        <v>707971.46499999985</v>
      </c>
      <c r="R100">
        <f t="shared" si="37"/>
        <v>47.870798719267604</v>
      </c>
      <c r="S100">
        <f t="shared" si="38"/>
        <v>65.988243184349244</v>
      </c>
      <c r="T100">
        <f>IFERROR(SUM($E$3:$E100),"")</f>
        <v>281100.20900000009</v>
      </c>
      <c r="U100">
        <f>IFERROR(SUM($F$3:$F100),"")</f>
        <v>335232.82700000005</v>
      </c>
      <c r="V100">
        <f>IFERROR(SUM($G$3:$G100),"")</f>
        <v>155277.42499999999</v>
      </c>
      <c r="W100">
        <f t="shared" si="39"/>
        <v>490510.25200000004</v>
      </c>
      <c r="X100">
        <f t="shared" si="40"/>
        <v>57.307713315643419</v>
      </c>
      <c r="Y100">
        <f t="shared" si="41"/>
        <v>68.343694272061825</v>
      </c>
      <c r="Z100">
        <f>IFERROR(SUM($H$3:$H100),"")</f>
        <v>338911.5940000001</v>
      </c>
      <c r="AA100">
        <f>IFERROR(SUM($I$3:$I100),"")</f>
        <v>467177.93400000001</v>
      </c>
      <c r="AB100">
        <f>IFERROR(SUM($J$3:$J100),"")</f>
        <v>240793.53099999999</v>
      </c>
      <c r="AC100">
        <f t="shared" si="42"/>
        <v>707971.46499999997</v>
      </c>
      <c r="AD100">
        <f t="shared" si="43"/>
        <v>47.870798578018977</v>
      </c>
      <c r="AE100">
        <f t="shared" si="44"/>
        <v>65.988243466846512</v>
      </c>
      <c r="AF100">
        <f>IFERROR(SUM($K$3:$K100),"")</f>
        <v>309006.15900000004</v>
      </c>
      <c r="AG100">
        <f>IFERROR(SUM($L$3:$L100),"")</f>
        <v>372791.62099999981</v>
      </c>
      <c r="AH100">
        <f>IFERROR(SUM($M$3:$M100),"")</f>
        <v>180993.84799999997</v>
      </c>
      <c r="AI100">
        <f t="shared" si="45"/>
        <v>553785.46899999981</v>
      </c>
      <c r="AJ100">
        <f t="shared" si="46"/>
        <v>55.798892585244076</v>
      </c>
      <c r="AK100">
        <f t="shared" si="47"/>
        <v>67.316974147618879</v>
      </c>
    </row>
    <row r="101" spans="1:37" x14ac:dyDescent="0.35">
      <c r="A101">
        <v>1948</v>
      </c>
      <c r="B101">
        <v>5399.558</v>
      </c>
      <c r="C101">
        <v>6385.4809999999998</v>
      </c>
      <c r="D101">
        <v>5818.54</v>
      </c>
      <c r="E101">
        <v>4741.5590000000002</v>
      </c>
      <c r="F101">
        <v>5704.1710000000003</v>
      </c>
      <c r="G101">
        <v>3937.21</v>
      </c>
      <c r="H101">
        <v>5399.558</v>
      </c>
      <c r="I101">
        <v>6385.4809999999998</v>
      </c>
      <c r="J101">
        <v>5818.5410000000002</v>
      </c>
      <c r="K101">
        <v>5387.7780000000002</v>
      </c>
      <c r="L101">
        <v>6379.9120000000003</v>
      </c>
      <c r="M101">
        <v>4009.4720000000002</v>
      </c>
      <c r="N101">
        <f>IFERROR(SUM($B$3:$B101),"")</f>
        <v>344311.15300000005</v>
      </c>
      <c r="O101">
        <f>IFERROR(SUM($C$3:$C101),"")</f>
        <v>473563.41299999994</v>
      </c>
      <c r="P101">
        <f>IFERROR(SUM($D$3:$D101),"")</f>
        <v>246612.07299999997</v>
      </c>
      <c r="Q101">
        <f t="shared" si="36"/>
        <v>720175.48599999992</v>
      </c>
      <c r="R101">
        <f t="shared" si="37"/>
        <v>47.809340875010022</v>
      </c>
      <c r="S101">
        <f t="shared" si="38"/>
        <v>65.756669340450173</v>
      </c>
      <c r="T101">
        <f>IFERROR(SUM($E$3:$E101),"")</f>
        <v>285841.7680000001</v>
      </c>
      <c r="U101">
        <f>IFERROR(SUM($F$3:$F101),"")</f>
        <v>340936.99800000002</v>
      </c>
      <c r="V101">
        <f>IFERROR(SUM($G$3:$G101),"")</f>
        <v>159214.63499999998</v>
      </c>
      <c r="W101">
        <f t="shared" si="39"/>
        <v>500151.63300000003</v>
      </c>
      <c r="X101">
        <f t="shared" si="40"/>
        <v>57.151021638271857</v>
      </c>
      <c r="Y101">
        <f t="shared" si="41"/>
        <v>68.166726949384966</v>
      </c>
      <c r="Z101">
        <f>IFERROR(SUM($H$3:$H101),"")</f>
        <v>344311.15200000012</v>
      </c>
      <c r="AA101">
        <f>IFERROR(SUM($I$3:$I101),"")</f>
        <v>473563.41500000004</v>
      </c>
      <c r="AB101">
        <f>IFERROR(SUM($J$3:$J101),"")</f>
        <v>246612.07199999999</v>
      </c>
      <c r="AC101">
        <f t="shared" si="42"/>
        <v>720175.48699999996</v>
      </c>
      <c r="AD101">
        <f t="shared" si="43"/>
        <v>47.809340669769298</v>
      </c>
      <c r="AE101">
        <f t="shared" si="44"/>
        <v>65.756669526853813</v>
      </c>
      <c r="AF101">
        <f>IFERROR(SUM($K$3:$K101),"")</f>
        <v>314393.93700000003</v>
      </c>
      <c r="AG101">
        <f>IFERROR(SUM($L$3:$L101),"")</f>
        <v>379171.53299999982</v>
      </c>
      <c r="AH101">
        <f>IFERROR(SUM($M$3:$M101),"")</f>
        <v>185003.31999999998</v>
      </c>
      <c r="AI101">
        <f t="shared" si="45"/>
        <v>564174.85299999977</v>
      </c>
      <c r="AJ101">
        <f t="shared" si="46"/>
        <v>55.726329404476338</v>
      </c>
      <c r="AK101">
        <f t="shared" si="47"/>
        <v>67.20815913431008</v>
      </c>
    </row>
    <row r="102" spans="1:37" x14ac:dyDescent="0.35">
      <c r="A102">
        <v>1949</v>
      </c>
      <c r="B102">
        <v>5022.1480000000001</v>
      </c>
      <c r="C102">
        <v>5987.1769999999997</v>
      </c>
      <c r="D102">
        <v>5883.9319999999998</v>
      </c>
      <c r="E102">
        <v>4384.4589999999998</v>
      </c>
      <c r="F102">
        <v>5433.7269999999999</v>
      </c>
      <c r="G102">
        <v>4047.145</v>
      </c>
      <c r="H102">
        <v>5022.1490000000003</v>
      </c>
      <c r="I102">
        <v>5987.1769999999997</v>
      </c>
      <c r="J102">
        <v>5883.9319999999998</v>
      </c>
      <c r="K102">
        <v>5053.8230000000003</v>
      </c>
      <c r="L102">
        <v>6102.5630000000001</v>
      </c>
      <c r="M102">
        <v>4068.4780000000001</v>
      </c>
      <c r="N102">
        <f>IFERROR(SUM($B$3:$B102),"")</f>
        <v>349333.30100000004</v>
      </c>
      <c r="O102">
        <f>IFERROR(SUM($C$3:$C102),"")</f>
        <v>479550.58999999997</v>
      </c>
      <c r="P102">
        <f>IFERROR(SUM($D$3:$D102),"")</f>
        <v>252496.00499999998</v>
      </c>
      <c r="Q102">
        <f t="shared" si="36"/>
        <v>732046.59499999997</v>
      </c>
      <c r="R102">
        <f t="shared" si="37"/>
        <v>47.720090959510578</v>
      </c>
      <c r="S102">
        <f t="shared" si="38"/>
        <v>65.508205799386303</v>
      </c>
      <c r="T102">
        <f>IFERROR(SUM($E$3:$E102),"")</f>
        <v>290226.22700000007</v>
      </c>
      <c r="U102">
        <f>IFERROR(SUM($F$3:$F102),"")</f>
        <v>346370.72500000003</v>
      </c>
      <c r="V102">
        <f>IFERROR(SUM($G$3:$G102),"")</f>
        <v>163261.77999999997</v>
      </c>
      <c r="W102">
        <f t="shared" si="39"/>
        <v>509632.505</v>
      </c>
      <c r="X102">
        <f t="shared" si="40"/>
        <v>56.94813893395596</v>
      </c>
      <c r="Y102">
        <f t="shared" si="41"/>
        <v>67.964802402075989</v>
      </c>
      <c r="Z102">
        <f>IFERROR(SUM($H$3:$H102),"")</f>
        <v>349333.30100000009</v>
      </c>
      <c r="AA102">
        <f>IFERROR(SUM($I$3:$I102),"")</f>
        <v>479550.59200000006</v>
      </c>
      <c r="AB102">
        <f>IFERROR(SUM($J$3:$J102),"")</f>
        <v>252496.00399999999</v>
      </c>
      <c r="AC102">
        <f t="shared" si="42"/>
        <v>732046.59600000002</v>
      </c>
      <c r="AD102">
        <f t="shared" si="43"/>
        <v>47.720090894323356</v>
      </c>
      <c r="AE102">
        <f t="shared" si="44"/>
        <v>65.508205983106578</v>
      </c>
      <c r="AF102">
        <f>IFERROR(SUM($K$3:$K102),"")</f>
        <v>319447.76</v>
      </c>
      <c r="AG102">
        <f>IFERROR(SUM($L$3:$L102),"")</f>
        <v>385274.09599999984</v>
      </c>
      <c r="AH102">
        <f>IFERROR(SUM($M$3:$M102),"")</f>
        <v>189071.79799999998</v>
      </c>
      <c r="AI102">
        <f t="shared" si="45"/>
        <v>574345.89399999985</v>
      </c>
      <c r="AJ102">
        <f t="shared" si="46"/>
        <v>55.619403453069708</v>
      </c>
      <c r="AK102">
        <f t="shared" si="47"/>
        <v>67.08049975194912</v>
      </c>
    </row>
    <row r="103" spans="1:37" x14ac:dyDescent="0.35">
      <c r="A103">
        <v>1950</v>
      </c>
      <c r="B103">
        <v>5492.5370000000003</v>
      </c>
      <c r="C103">
        <v>6805.2370000000001</v>
      </c>
      <c r="D103">
        <v>6960.777</v>
      </c>
      <c r="E103">
        <v>4852.4369999999999</v>
      </c>
      <c r="F103">
        <v>5975.0420000000004</v>
      </c>
      <c r="G103">
        <v>3996.7919999999999</v>
      </c>
      <c r="H103">
        <v>5492.5370000000003</v>
      </c>
      <c r="I103">
        <v>6805.2370000000001</v>
      </c>
      <c r="J103">
        <v>6960.777</v>
      </c>
      <c r="K103">
        <v>5519.2219999999998</v>
      </c>
      <c r="L103">
        <v>6753.3639999999996</v>
      </c>
      <c r="M103">
        <v>4589.8249999999998</v>
      </c>
      <c r="N103">
        <f>IFERROR(SUM($B$3:$B103),"")</f>
        <v>354825.83800000005</v>
      </c>
      <c r="O103">
        <f>IFERROR(SUM($C$3:$C103),"")</f>
        <v>486355.82699999999</v>
      </c>
      <c r="P103">
        <f>IFERROR(SUM($D$3:$D103),"")</f>
        <v>259456.78199999998</v>
      </c>
      <c r="Q103">
        <f t="shared" si="36"/>
        <v>745812.60899999994</v>
      </c>
      <c r="R103">
        <f t="shared" si="37"/>
        <v>47.575736011725169</v>
      </c>
      <c r="S103">
        <f t="shared" si="38"/>
        <v>65.21153184204212</v>
      </c>
      <c r="T103">
        <f>IFERROR(SUM($E$3:$E103),"")</f>
        <v>295078.66400000005</v>
      </c>
      <c r="U103">
        <f>IFERROR(SUM($F$3:$F103),"")</f>
        <v>352345.76700000005</v>
      </c>
      <c r="V103">
        <f>IFERROR(SUM($G$3:$G103),"")</f>
        <v>167258.57199999996</v>
      </c>
      <c r="W103">
        <f t="shared" si="39"/>
        <v>519604.33900000004</v>
      </c>
      <c r="X103">
        <f t="shared" si="40"/>
        <v>56.789106990116956</v>
      </c>
      <c r="Y103">
        <f t="shared" si="41"/>
        <v>67.810397364676362</v>
      </c>
      <c r="Z103">
        <f>IFERROR(SUM($H$3:$H103),"")</f>
        <v>354825.83800000011</v>
      </c>
      <c r="AA103">
        <f>IFERROR(SUM($I$3:$I103),"")</f>
        <v>486355.82900000009</v>
      </c>
      <c r="AB103">
        <f>IFERROR(SUM($J$3:$J103),"")</f>
        <v>259456.78099999999</v>
      </c>
      <c r="AC103">
        <f t="shared" si="42"/>
        <v>745812.6100000001</v>
      </c>
      <c r="AD103">
        <f t="shared" si="43"/>
        <v>47.575735947934703</v>
      </c>
      <c r="AE103">
        <f t="shared" si="44"/>
        <v>65.211532022769106</v>
      </c>
      <c r="AF103">
        <f>IFERROR(SUM($K$3:$K103),"")</f>
        <v>324966.98200000002</v>
      </c>
      <c r="AG103">
        <f>IFERROR(SUM($L$3:$L103),"")</f>
        <v>392027.45999999985</v>
      </c>
      <c r="AH103">
        <f>IFERROR(SUM($M$3:$M103),"")</f>
        <v>193661.62299999999</v>
      </c>
      <c r="AI103">
        <f t="shared" si="45"/>
        <v>585689.08299999987</v>
      </c>
      <c r="AJ103">
        <f t="shared" si="46"/>
        <v>55.484555104811484</v>
      </c>
      <c r="AK103">
        <f t="shared" si="47"/>
        <v>66.934397682806036</v>
      </c>
    </row>
    <row r="104" spans="1:37" x14ac:dyDescent="0.35">
      <c r="A104">
        <v>1951</v>
      </c>
      <c r="B104">
        <v>5733.6329999999998</v>
      </c>
      <c r="C104">
        <v>7274.5789999999997</v>
      </c>
      <c r="D104">
        <v>7605.7849999999999</v>
      </c>
      <c r="E104">
        <v>5325.7030000000004</v>
      </c>
      <c r="F104">
        <v>6893.1419999999998</v>
      </c>
      <c r="G104">
        <v>4369.5770000000002</v>
      </c>
      <c r="H104">
        <v>5733.6329999999998</v>
      </c>
      <c r="I104">
        <v>7274.5789999999997</v>
      </c>
      <c r="J104">
        <v>7605.7849999999999</v>
      </c>
      <c r="K104">
        <v>5769.0259999999998</v>
      </c>
      <c r="L104">
        <v>7141.6260000000002</v>
      </c>
      <c r="M104">
        <v>5049.1779999999999</v>
      </c>
      <c r="N104">
        <f>IFERROR(SUM($B$3:$B104),"")</f>
        <v>360559.47100000002</v>
      </c>
      <c r="O104">
        <f>IFERROR(SUM($C$3:$C104),"")</f>
        <v>493630.40600000002</v>
      </c>
      <c r="P104">
        <f>IFERROR(SUM($D$3:$D104),"")</f>
        <v>267062.56699999998</v>
      </c>
      <c r="Q104">
        <f t="shared" si="36"/>
        <v>760692.973</v>
      </c>
      <c r="R104">
        <f t="shared" si="37"/>
        <v>47.39881710462442</v>
      </c>
      <c r="S104">
        <f t="shared" si="38"/>
        <v>64.892200075575033</v>
      </c>
      <c r="T104">
        <f>IFERROR(SUM($E$3:$E104),"")</f>
        <v>300404.36700000003</v>
      </c>
      <c r="U104">
        <f>IFERROR(SUM($F$3:$F104),"")</f>
        <v>359238.90900000004</v>
      </c>
      <c r="V104">
        <f>IFERROR(SUM($G$3:$G104),"")</f>
        <v>171628.14899999995</v>
      </c>
      <c r="W104">
        <f t="shared" si="39"/>
        <v>530867.05799999996</v>
      </c>
      <c r="X104">
        <f t="shared" si="40"/>
        <v>56.587494453272335</v>
      </c>
      <c r="Y104">
        <f t="shared" si="41"/>
        <v>67.670220554540421</v>
      </c>
      <c r="Z104">
        <f>IFERROR(SUM($H$3:$H104),"")</f>
        <v>360559.47100000008</v>
      </c>
      <c r="AA104">
        <f>IFERROR(SUM($I$3:$I104),"")</f>
        <v>493630.40800000011</v>
      </c>
      <c r="AB104">
        <f>IFERROR(SUM($J$3:$J104),"")</f>
        <v>267062.56599999999</v>
      </c>
      <c r="AC104">
        <f t="shared" si="42"/>
        <v>760692.97400000016</v>
      </c>
      <c r="AD104">
        <f t="shared" si="43"/>
        <v>47.39881704231437</v>
      </c>
      <c r="AE104">
        <f t="shared" si="44"/>
        <v>64.892200253186516</v>
      </c>
      <c r="AF104">
        <f>IFERROR(SUM($K$3:$K104),"")</f>
        <v>330736.00800000003</v>
      </c>
      <c r="AG104">
        <f>IFERROR(SUM($L$3:$L104),"")</f>
        <v>399169.08599999984</v>
      </c>
      <c r="AH104">
        <f>IFERROR(SUM($M$3:$M104),"")</f>
        <v>198710.80099999998</v>
      </c>
      <c r="AI104">
        <f t="shared" si="45"/>
        <v>597879.88699999987</v>
      </c>
      <c r="AJ104">
        <f t="shared" si="46"/>
        <v>55.318135831520301</v>
      </c>
      <c r="AK104">
        <f t="shared" si="47"/>
        <v>66.764093370479941</v>
      </c>
    </row>
    <row r="105" spans="1:37" x14ac:dyDescent="0.35">
      <c r="A105">
        <v>1952</v>
      </c>
      <c r="B105">
        <v>5717.7129999999997</v>
      </c>
      <c r="C105">
        <v>7405.5720000000001</v>
      </c>
      <c r="D105">
        <v>7653.7259999999997</v>
      </c>
      <c r="E105">
        <v>5145.6679999999997</v>
      </c>
      <c r="F105">
        <v>6861.7830000000004</v>
      </c>
      <c r="G105">
        <v>4593.3459999999995</v>
      </c>
      <c r="H105">
        <v>5717.7129999999997</v>
      </c>
      <c r="I105">
        <v>7405.5720000000001</v>
      </c>
      <c r="J105">
        <v>7653.7259999999997</v>
      </c>
      <c r="K105">
        <v>5722.5789999999997</v>
      </c>
      <c r="L105">
        <v>7182.06</v>
      </c>
      <c r="M105">
        <v>5146.4229999999998</v>
      </c>
      <c r="N105">
        <f>IFERROR(SUM($B$3:$B105),"")</f>
        <v>366277.18400000001</v>
      </c>
      <c r="O105">
        <f>IFERROR(SUM($C$3:$C105),"")</f>
        <v>501035.978</v>
      </c>
      <c r="P105">
        <f>IFERROR(SUM($D$3:$D105),"")</f>
        <v>274716.29300000001</v>
      </c>
      <c r="Q105">
        <f t="shared" si="36"/>
        <v>775752.27099999995</v>
      </c>
      <c r="R105">
        <f t="shared" si="37"/>
        <v>47.215741118984106</v>
      </c>
      <c r="S105">
        <f t="shared" si="38"/>
        <v>64.587110696321773</v>
      </c>
      <c r="T105">
        <f>IFERROR(SUM($E$3:$E105),"")</f>
        <v>305550.03500000003</v>
      </c>
      <c r="U105">
        <f>IFERROR(SUM($F$3:$F105),"")</f>
        <v>366100.69200000004</v>
      </c>
      <c r="V105">
        <f>IFERROR(SUM($G$3:$G105),"")</f>
        <v>176221.49499999994</v>
      </c>
      <c r="W105">
        <f t="shared" si="39"/>
        <v>542322.18699999992</v>
      </c>
      <c r="X105">
        <f t="shared" si="40"/>
        <v>56.341053772893133</v>
      </c>
      <c r="Y105">
        <f t="shared" si="41"/>
        <v>67.506124730980275</v>
      </c>
      <c r="Z105">
        <f>IFERROR(SUM($H$3:$H105),"")</f>
        <v>366277.18400000007</v>
      </c>
      <c r="AA105">
        <f>IFERROR(SUM($I$3:$I105),"")</f>
        <v>501035.9800000001</v>
      </c>
      <c r="AB105">
        <f>IFERROR(SUM($J$3:$J105),"")</f>
        <v>274716.29200000002</v>
      </c>
      <c r="AC105">
        <f t="shared" si="42"/>
        <v>775752.27200000011</v>
      </c>
      <c r="AD105">
        <f t="shared" si="43"/>
        <v>47.215741058119647</v>
      </c>
      <c r="AE105">
        <f t="shared" si="44"/>
        <v>64.587110870878632</v>
      </c>
      <c r="AF105">
        <f>IFERROR(SUM($K$3:$K105),"")</f>
        <v>336458.58700000006</v>
      </c>
      <c r="AG105">
        <f>IFERROR(SUM($L$3:$L105),"")</f>
        <v>406351.14599999983</v>
      </c>
      <c r="AH105">
        <f>IFERROR(SUM($M$3:$M105),"")</f>
        <v>203857.22399999999</v>
      </c>
      <c r="AI105">
        <f t="shared" si="45"/>
        <v>610208.36999999988</v>
      </c>
      <c r="AJ105">
        <f t="shared" si="46"/>
        <v>55.138310705243207</v>
      </c>
      <c r="AK105">
        <f t="shared" si="47"/>
        <v>66.592194728499038</v>
      </c>
    </row>
    <row r="106" spans="1:37" x14ac:dyDescent="0.35">
      <c r="A106">
        <v>1953</v>
      </c>
      <c r="B106">
        <v>5799.8230000000003</v>
      </c>
      <c r="C106">
        <v>7648.0439999999999</v>
      </c>
      <c r="D106">
        <v>7778.7089999999998</v>
      </c>
      <c r="E106">
        <v>5179.4750000000004</v>
      </c>
      <c r="F106">
        <v>7040.2330000000002</v>
      </c>
      <c r="G106">
        <v>4606.5050000000001</v>
      </c>
      <c r="H106">
        <v>5799.8230000000003</v>
      </c>
      <c r="I106">
        <v>7648.0439999999999</v>
      </c>
      <c r="J106">
        <v>7778.7089999999998</v>
      </c>
      <c r="K106">
        <v>5782.7640000000001</v>
      </c>
      <c r="L106">
        <v>7306.0839999999998</v>
      </c>
      <c r="M106">
        <v>5222.1270000000004</v>
      </c>
      <c r="N106">
        <f>IFERROR(SUM($B$3:$B106),"")</f>
        <v>372077.00699999998</v>
      </c>
      <c r="O106">
        <f>IFERROR(SUM($C$3:$C106),"")</f>
        <v>508684.022</v>
      </c>
      <c r="P106">
        <f>IFERROR(SUM($D$3:$D106),"")</f>
        <v>282495.00199999998</v>
      </c>
      <c r="Q106">
        <f t="shared" si="36"/>
        <v>791179.02399999998</v>
      </c>
      <c r="R106">
        <f t="shared" si="37"/>
        <v>47.028168810501732</v>
      </c>
      <c r="S106">
        <f t="shared" si="38"/>
        <v>64.294427249628399</v>
      </c>
      <c r="T106">
        <f>IFERROR(SUM($E$3:$E106),"")</f>
        <v>310729.51</v>
      </c>
      <c r="U106">
        <f>IFERROR(SUM($F$3:$F106),"")</f>
        <v>373140.92500000005</v>
      </c>
      <c r="V106">
        <f>IFERROR(SUM($G$3:$G106),"")</f>
        <v>180827.99999999994</v>
      </c>
      <c r="W106">
        <f t="shared" si="39"/>
        <v>553968.92500000005</v>
      </c>
      <c r="X106">
        <f t="shared" si="40"/>
        <v>56.091505493742268</v>
      </c>
      <c r="Y106">
        <f t="shared" si="41"/>
        <v>67.357735815235486</v>
      </c>
      <c r="Z106">
        <f>IFERROR(SUM($H$3:$H106),"")</f>
        <v>372077.00700000004</v>
      </c>
      <c r="AA106">
        <f>IFERROR(SUM($I$3:$I106),"")</f>
        <v>508684.02400000009</v>
      </c>
      <c r="AB106">
        <f>IFERROR(SUM($J$3:$J106),"")</f>
        <v>282495.00099999999</v>
      </c>
      <c r="AC106">
        <f t="shared" si="42"/>
        <v>791179.02500000014</v>
      </c>
      <c r="AD106">
        <f t="shared" si="43"/>
        <v>47.028168751061109</v>
      </c>
      <c r="AE106">
        <f t="shared" si="44"/>
        <v>64.29442742115161</v>
      </c>
      <c r="AF106">
        <f>IFERROR(SUM($K$3:$K106),"")</f>
        <v>342241.35100000008</v>
      </c>
      <c r="AG106">
        <f>IFERROR(SUM($L$3:$L106),"")</f>
        <v>413657.22999999981</v>
      </c>
      <c r="AH106">
        <f>IFERROR(SUM($M$3:$M106),"")</f>
        <v>209079.351</v>
      </c>
      <c r="AI106">
        <f t="shared" si="45"/>
        <v>622736.58099999977</v>
      </c>
      <c r="AJ106">
        <f t="shared" si="46"/>
        <v>54.957643639694943</v>
      </c>
      <c r="AK106">
        <f t="shared" si="47"/>
        <v>66.425715562709158</v>
      </c>
    </row>
    <row r="107" spans="1:37" x14ac:dyDescent="0.35">
      <c r="A107">
        <v>1954</v>
      </c>
      <c r="B107">
        <v>5768.7479999999996</v>
      </c>
      <c r="C107">
        <v>7796.2860000000001</v>
      </c>
      <c r="D107">
        <v>8369.1759999999995</v>
      </c>
      <c r="E107">
        <v>5176.72</v>
      </c>
      <c r="F107">
        <v>7205.473</v>
      </c>
      <c r="G107">
        <v>4821.1490000000003</v>
      </c>
      <c r="H107">
        <v>5768.7479999999996</v>
      </c>
      <c r="I107">
        <v>7796.2860000000001</v>
      </c>
      <c r="J107">
        <v>8369.1759999999995</v>
      </c>
      <c r="K107">
        <v>5733.2359999999999</v>
      </c>
      <c r="L107">
        <v>7385.9359999999997</v>
      </c>
      <c r="M107">
        <v>5475.482</v>
      </c>
      <c r="N107">
        <f>IFERROR(SUM($B$3:$B107),"")</f>
        <v>377845.755</v>
      </c>
      <c r="O107">
        <f>IFERROR(SUM($C$3:$C107),"")</f>
        <v>516480.30800000002</v>
      </c>
      <c r="P107">
        <f>IFERROR(SUM($D$3:$D107),"")</f>
        <v>290864.17799999996</v>
      </c>
      <c r="Q107">
        <f t="shared" si="36"/>
        <v>807344.48600000003</v>
      </c>
      <c r="R107">
        <f t="shared" si="37"/>
        <v>46.801057237913682</v>
      </c>
      <c r="S107">
        <f t="shared" si="38"/>
        <v>63.97272997539244</v>
      </c>
      <c r="T107">
        <f>IFERROR(SUM($E$3:$E107),"")</f>
        <v>315906.23</v>
      </c>
      <c r="U107">
        <f>IFERROR(SUM($F$3:$F107),"")</f>
        <v>380346.39800000004</v>
      </c>
      <c r="V107">
        <f>IFERROR(SUM($G$3:$G107),"")</f>
        <v>185649.14899999995</v>
      </c>
      <c r="W107">
        <f t="shared" si="39"/>
        <v>565995.54700000002</v>
      </c>
      <c r="X107">
        <f t="shared" si="40"/>
        <v>55.814260672973106</v>
      </c>
      <c r="Y107">
        <f t="shared" si="41"/>
        <v>67.1995389391288</v>
      </c>
      <c r="Z107">
        <f>IFERROR(SUM($H$3:$H107),"")</f>
        <v>377845.75500000006</v>
      </c>
      <c r="AA107">
        <f>IFERROR(SUM($I$3:$I107),"")</f>
        <v>516480.31000000011</v>
      </c>
      <c r="AB107">
        <f>IFERROR(SUM($J$3:$J107),"")</f>
        <v>290864.17699999997</v>
      </c>
      <c r="AC107">
        <f t="shared" si="42"/>
        <v>807344.48700000008</v>
      </c>
      <c r="AD107">
        <f t="shared" si="43"/>
        <v>46.801057179944557</v>
      </c>
      <c r="AE107">
        <f t="shared" si="44"/>
        <v>63.972730143879716</v>
      </c>
      <c r="AF107">
        <f>IFERROR(SUM($K$3:$K107),"")</f>
        <v>347974.58700000006</v>
      </c>
      <c r="AG107">
        <f>IFERROR(SUM($L$3:$L107),"")</f>
        <v>421043.16599999979</v>
      </c>
      <c r="AH107">
        <f>IFERROR(SUM($M$3:$M107),"")</f>
        <v>214554.83299999998</v>
      </c>
      <c r="AI107">
        <f t="shared" si="45"/>
        <v>635597.99899999984</v>
      </c>
      <c r="AJ107">
        <f t="shared" si="46"/>
        <v>54.747590072258888</v>
      </c>
      <c r="AK107">
        <f t="shared" si="47"/>
        <v>66.243626736150233</v>
      </c>
    </row>
    <row r="108" spans="1:37" x14ac:dyDescent="0.35">
      <c r="A108">
        <v>1955</v>
      </c>
      <c r="B108">
        <v>6162.9690000000001</v>
      </c>
      <c r="C108">
        <v>8389.2520000000004</v>
      </c>
      <c r="D108">
        <v>8619.0750000000007</v>
      </c>
      <c r="E108">
        <v>5563.9030000000002</v>
      </c>
      <c r="F108">
        <v>7800.3379999999997</v>
      </c>
      <c r="G108">
        <v>5072.0410000000002</v>
      </c>
      <c r="H108">
        <v>6162.9690000000001</v>
      </c>
      <c r="I108">
        <v>8389.2520000000004</v>
      </c>
      <c r="J108">
        <v>8619.0640000000003</v>
      </c>
      <c r="K108">
        <v>6102.7089999999998</v>
      </c>
      <c r="L108">
        <v>7899.8959999999997</v>
      </c>
      <c r="M108">
        <v>5762.7950000000001</v>
      </c>
      <c r="N108">
        <f>IFERROR(SUM($B$3:$B108),"")</f>
        <v>384008.72399999999</v>
      </c>
      <c r="O108">
        <f>IFERROR(SUM($C$3:$C108),"")</f>
        <v>524869.56000000006</v>
      </c>
      <c r="P108">
        <f>IFERROR(SUM($D$3:$D108),"")</f>
        <v>299483.25299999997</v>
      </c>
      <c r="Q108">
        <f t="shared" si="36"/>
        <v>824352.81300000008</v>
      </c>
      <c r="R108">
        <f t="shared" si="37"/>
        <v>46.583054966781553</v>
      </c>
      <c r="S108">
        <f t="shared" si="38"/>
        <v>63.670500266734699</v>
      </c>
      <c r="T108">
        <f>IFERROR(SUM($E$3:$E108),"")</f>
        <v>321470.13299999997</v>
      </c>
      <c r="U108">
        <f>IFERROR(SUM($F$3:$F108),"")</f>
        <v>388146.73600000003</v>
      </c>
      <c r="V108">
        <f>IFERROR(SUM($G$3:$G108),"")</f>
        <v>190721.18999999994</v>
      </c>
      <c r="W108">
        <f t="shared" si="39"/>
        <v>578867.92599999998</v>
      </c>
      <c r="X108">
        <f t="shared" si="40"/>
        <v>55.534279679541264</v>
      </c>
      <c r="Y108">
        <f t="shared" si="41"/>
        <v>67.052728017271434</v>
      </c>
      <c r="Z108">
        <f>IFERROR(SUM($H$3:$H108),"")</f>
        <v>384008.72400000005</v>
      </c>
      <c r="AA108">
        <f>IFERROR(SUM($I$3:$I108),"")</f>
        <v>524869.56200000015</v>
      </c>
      <c r="AB108">
        <f>IFERROR(SUM($J$3:$J108),"")</f>
        <v>299483.24099999998</v>
      </c>
      <c r="AC108">
        <f t="shared" si="42"/>
        <v>824352.80300000007</v>
      </c>
      <c r="AD108">
        <f t="shared" si="43"/>
        <v>46.583055531867949</v>
      </c>
      <c r="AE108">
        <f t="shared" si="44"/>
        <v>63.670501281718828</v>
      </c>
      <c r="AF108">
        <f>IFERROR(SUM($K$3:$K108),"")</f>
        <v>354077.29600000003</v>
      </c>
      <c r="AG108">
        <f>IFERROR(SUM($L$3:$L108),"")</f>
        <v>428943.0619999998</v>
      </c>
      <c r="AH108">
        <f>IFERROR(SUM($M$3:$M108),"")</f>
        <v>220317.628</v>
      </c>
      <c r="AI108">
        <f t="shared" si="45"/>
        <v>649260.68999999983</v>
      </c>
      <c r="AJ108">
        <f t="shared" si="46"/>
        <v>54.535458784667853</v>
      </c>
      <c r="AK108">
        <f t="shared" si="47"/>
        <v>66.066384213096271</v>
      </c>
    </row>
    <row r="109" spans="1:37" x14ac:dyDescent="0.35">
      <c r="A109">
        <v>1956</v>
      </c>
      <c r="B109">
        <v>6419.9809999999998</v>
      </c>
      <c r="C109">
        <v>8805.4500000000007</v>
      </c>
      <c r="D109">
        <v>8744.6059999999998</v>
      </c>
      <c r="E109">
        <v>5892.4530000000004</v>
      </c>
      <c r="F109">
        <v>8329.3310000000001</v>
      </c>
      <c r="G109">
        <v>5277.2969999999996</v>
      </c>
      <c r="H109">
        <v>6419.9809999999998</v>
      </c>
      <c r="I109">
        <v>8805.4500000000007</v>
      </c>
      <c r="J109">
        <v>8744.5949999999993</v>
      </c>
      <c r="K109">
        <v>6344.9489999999996</v>
      </c>
      <c r="L109">
        <v>8256.3880000000008</v>
      </c>
      <c r="M109">
        <v>5932.6030000000001</v>
      </c>
      <c r="N109">
        <f>IFERROR(SUM($B$3:$B109),"")</f>
        <v>390428.70499999996</v>
      </c>
      <c r="O109">
        <f>IFERROR(SUM($C$3:$C109),"")</f>
        <v>533675.01</v>
      </c>
      <c r="P109">
        <f>IFERROR(SUM($D$3:$D109),"")</f>
        <v>308227.85899999994</v>
      </c>
      <c r="Q109">
        <f t="shared" si="36"/>
        <v>841902.86899999995</v>
      </c>
      <c r="R109">
        <f t="shared" si="37"/>
        <v>46.374554521205695</v>
      </c>
      <c r="S109">
        <f t="shared" si="38"/>
        <v>63.389142578156488</v>
      </c>
      <c r="T109">
        <f>IFERROR(SUM($E$3:$E109),"")</f>
        <v>327362.58599999995</v>
      </c>
      <c r="U109">
        <f>IFERROR(SUM($F$3:$F109),"")</f>
        <v>396476.06700000004</v>
      </c>
      <c r="V109">
        <f>IFERROR(SUM($G$3:$G109),"")</f>
        <v>195998.48699999994</v>
      </c>
      <c r="W109">
        <f t="shared" si="39"/>
        <v>592474.554</v>
      </c>
      <c r="X109">
        <f t="shared" si="40"/>
        <v>55.253442327583905</v>
      </c>
      <c r="Y109">
        <f t="shared" si="41"/>
        <v>66.918665843664243</v>
      </c>
      <c r="Z109">
        <f>IFERROR(SUM($H$3:$H109),"")</f>
        <v>390428.70500000007</v>
      </c>
      <c r="AA109">
        <f>IFERROR(SUM($I$3:$I109),"")</f>
        <v>533675.0120000001</v>
      </c>
      <c r="AB109">
        <f>IFERROR(SUM($J$3:$J109),"")</f>
        <v>308227.83599999995</v>
      </c>
      <c r="AC109">
        <f t="shared" si="42"/>
        <v>841902.848</v>
      </c>
      <c r="AD109">
        <f t="shared" si="43"/>
        <v>46.374555677949211</v>
      </c>
      <c r="AE109">
        <f t="shared" si="44"/>
        <v>63.389144396860395</v>
      </c>
      <c r="AF109">
        <f>IFERROR(SUM($K$3:$K109),"")</f>
        <v>360422.24500000005</v>
      </c>
      <c r="AG109">
        <f>IFERROR(SUM($L$3:$L109),"")</f>
        <v>437199.44999999978</v>
      </c>
      <c r="AH109">
        <f>IFERROR(SUM($M$3:$M109),"")</f>
        <v>226250.231</v>
      </c>
      <c r="AI109">
        <f t="shared" si="45"/>
        <v>663449.68099999975</v>
      </c>
      <c r="AJ109">
        <f t="shared" si="46"/>
        <v>54.325483201189485</v>
      </c>
      <c r="AK109">
        <f t="shared" si="47"/>
        <v>65.89790643067623</v>
      </c>
    </row>
    <row r="110" spans="1:37" x14ac:dyDescent="0.35">
      <c r="A110">
        <v>1957</v>
      </c>
      <c r="B110">
        <v>6459.7420000000002</v>
      </c>
      <c r="C110">
        <v>9017.8979999999992</v>
      </c>
      <c r="D110">
        <v>9057.3379999999997</v>
      </c>
      <c r="E110">
        <v>5912.0990000000002</v>
      </c>
      <c r="F110">
        <v>8564.2430000000004</v>
      </c>
      <c r="G110">
        <v>5443.2849999999999</v>
      </c>
      <c r="H110">
        <v>6459.7420000000002</v>
      </c>
      <c r="I110">
        <v>9017.8979999999992</v>
      </c>
      <c r="J110">
        <v>9057.3230000000003</v>
      </c>
      <c r="K110">
        <v>6338.1570000000002</v>
      </c>
      <c r="L110">
        <v>8364.1319999999996</v>
      </c>
      <c r="M110">
        <v>6146.9960000000001</v>
      </c>
      <c r="N110">
        <f>IFERROR(SUM($B$3:$B110),"")</f>
        <v>396888.44699999999</v>
      </c>
      <c r="O110">
        <f>IFERROR(SUM($C$3:$C110),"")</f>
        <v>542692.90800000005</v>
      </c>
      <c r="P110">
        <f>IFERROR(SUM($D$3:$D110),"")</f>
        <v>317285.19699999993</v>
      </c>
      <c r="Q110">
        <f t="shared" si="36"/>
        <v>859978.10499999998</v>
      </c>
      <c r="R110">
        <f t="shared" si="37"/>
        <v>46.150994390723469</v>
      </c>
      <c r="S110">
        <f t="shared" si="38"/>
        <v>63.105433131928415</v>
      </c>
      <c r="T110">
        <f>IFERROR(SUM($E$3:$E110),"")</f>
        <v>333274.68499999994</v>
      </c>
      <c r="U110">
        <f>IFERROR(SUM($F$3:$F110),"")</f>
        <v>405040.31000000006</v>
      </c>
      <c r="V110">
        <f>IFERROR(SUM($G$3:$G110),"")</f>
        <v>201441.77199999994</v>
      </c>
      <c r="W110">
        <f t="shared" si="39"/>
        <v>606482.08199999994</v>
      </c>
      <c r="X110">
        <f t="shared" si="40"/>
        <v>54.952107389711799</v>
      </c>
      <c r="Y110">
        <f t="shared" si="41"/>
        <v>66.785206359979497</v>
      </c>
      <c r="Z110">
        <f>IFERROR(SUM($H$3:$H110),"")</f>
        <v>396888.4470000001</v>
      </c>
      <c r="AA110">
        <f>IFERROR(SUM($I$3:$I110),"")</f>
        <v>542692.91000000015</v>
      </c>
      <c r="AB110">
        <f>IFERROR(SUM($J$3:$J110),"")</f>
        <v>317285.15899999993</v>
      </c>
      <c r="AC110">
        <f t="shared" si="42"/>
        <v>859978.06900000013</v>
      </c>
      <c r="AD110">
        <f t="shared" si="43"/>
        <v>46.150996322674828</v>
      </c>
      <c r="AE110">
        <f t="shared" si="44"/>
        <v>63.105436006182622</v>
      </c>
      <c r="AF110">
        <f>IFERROR(SUM($K$3:$K110),"")</f>
        <v>366760.40200000006</v>
      </c>
      <c r="AG110">
        <f>IFERROR(SUM($L$3:$L110),"")</f>
        <v>445563.58199999976</v>
      </c>
      <c r="AH110">
        <f>IFERROR(SUM($M$3:$M110),"")</f>
        <v>232397.22700000001</v>
      </c>
      <c r="AI110">
        <f t="shared" si="45"/>
        <v>677960.80899999978</v>
      </c>
      <c r="AJ110">
        <f t="shared" si="46"/>
        <v>54.0975816199429</v>
      </c>
      <c r="AK110">
        <f t="shared" si="47"/>
        <v>65.721141411877667</v>
      </c>
    </row>
    <row r="111" spans="1:37" x14ac:dyDescent="0.35">
      <c r="A111">
        <v>1958</v>
      </c>
      <c r="B111">
        <v>6281.3149999999996</v>
      </c>
      <c r="C111">
        <v>8960.5360000000001</v>
      </c>
      <c r="D111">
        <v>9256.8140000000003</v>
      </c>
      <c r="E111">
        <v>5896.34</v>
      </c>
      <c r="F111">
        <v>8721.8070000000007</v>
      </c>
      <c r="G111">
        <v>5769.0479999999998</v>
      </c>
      <c r="H111">
        <v>6281.3149999999996</v>
      </c>
      <c r="I111">
        <v>8960.5360000000001</v>
      </c>
      <c r="J111">
        <v>9256.7999999999993</v>
      </c>
      <c r="K111">
        <v>6148.5990000000002</v>
      </c>
      <c r="L111">
        <v>8293.6769999999997</v>
      </c>
      <c r="M111">
        <v>6485.1589999999997</v>
      </c>
      <c r="N111">
        <f>IFERROR(SUM($B$3:$B111),"")</f>
        <v>403169.76199999999</v>
      </c>
      <c r="O111">
        <f>IFERROR(SUM($C$3:$C111),"")</f>
        <v>551653.44400000002</v>
      </c>
      <c r="P111">
        <f>IFERROR(SUM($D$3:$D111),"")</f>
        <v>326542.01099999994</v>
      </c>
      <c r="Q111">
        <f t="shared" si="36"/>
        <v>878195.45499999996</v>
      </c>
      <c r="R111">
        <f t="shared" si="37"/>
        <v>45.908887333059589</v>
      </c>
      <c r="S111">
        <f t="shared" si="38"/>
        <v>62.816704511411992</v>
      </c>
      <c r="T111">
        <f>IFERROR(SUM($E$3:$E111),"")</f>
        <v>339171.02499999997</v>
      </c>
      <c r="U111">
        <f>IFERROR(SUM($F$3:$F111),"")</f>
        <v>413762.11700000009</v>
      </c>
      <c r="V111">
        <f>IFERROR(SUM($G$3:$G111),"")</f>
        <v>207210.81999999995</v>
      </c>
      <c r="W111">
        <f t="shared" si="39"/>
        <v>620972.93700000003</v>
      </c>
      <c r="X111">
        <f t="shared" si="40"/>
        <v>54.619292531262111</v>
      </c>
      <c r="Y111">
        <f t="shared" si="41"/>
        <v>66.631263996614408</v>
      </c>
      <c r="Z111">
        <f>IFERROR(SUM($H$3:$H111),"")</f>
        <v>403169.7620000001</v>
      </c>
      <c r="AA111">
        <f>IFERROR(SUM($I$3:$I111),"")</f>
        <v>551653.44600000011</v>
      </c>
      <c r="AB111">
        <f>IFERROR(SUM($J$3:$J111),"")</f>
        <v>326541.95899999992</v>
      </c>
      <c r="AC111">
        <f t="shared" si="42"/>
        <v>878195.40500000003</v>
      </c>
      <c r="AD111">
        <f t="shared" si="43"/>
        <v>45.908889946879199</v>
      </c>
      <c r="AE111">
        <f t="shared" si="44"/>
        <v>62.81670831561685</v>
      </c>
      <c r="AF111">
        <f>IFERROR(SUM($K$3:$K111),"")</f>
        <v>372909.00100000005</v>
      </c>
      <c r="AG111">
        <f>IFERROR(SUM($L$3:$L111),"")</f>
        <v>453857.25899999979</v>
      </c>
      <c r="AH111">
        <f>IFERROR(SUM($M$3:$M111),"")</f>
        <v>238882.386</v>
      </c>
      <c r="AI111">
        <f t="shared" si="45"/>
        <v>692739.64499999979</v>
      </c>
      <c r="AJ111">
        <f t="shared" si="46"/>
        <v>53.831046583164756</v>
      </c>
      <c r="AK111">
        <f t="shared" si="47"/>
        <v>65.516281950342247</v>
      </c>
    </row>
    <row r="112" spans="1:37" x14ac:dyDescent="0.35">
      <c r="A112">
        <v>1959</v>
      </c>
      <c r="B112">
        <v>6311.1490000000003</v>
      </c>
      <c r="C112">
        <v>9571.6270000000004</v>
      </c>
      <c r="D112">
        <v>9715.3559999999998</v>
      </c>
      <c r="E112">
        <v>5873.7150000000001</v>
      </c>
      <c r="F112">
        <v>8551.1569999999992</v>
      </c>
      <c r="G112">
        <v>5975.0259999999998</v>
      </c>
      <c r="H112">
        <v>6311.1490000000003</v>
      </c>
      <c r="I112">
        <v>9571.6270000000004</v>
      </c>
      <c r="J112">
        <v>9715.3420000000006</v>
      </c>
      <c r="K112">
        <v>6216.3829999999998</v>
      </c>
      <c r="L112">
        <v>8495.2780000000002</v>
      </c>
      <c r="M112">
        <v>6927.4380000000001</v>
      </c>
      <c r="N112">
        <f>IFERROR(SUM($B$3:$B112),"")</f>
        <v>409480.91099999996</v>
      </c>
      <c r="O112">
        <f>IFERROR(SUM($C$3:$C112),"")</f>
        <v>561225.071</v>
      </c>
      <c r="P112">
        <f>IFERROR(SUM($D$3:$D112),"")</f>
        <v>336257.36699999997</v>
      </c>
      <c r="Q112">
        <f t="shared" si="36"/>
        <v>897482.43799999997</v>
      </c>
      <c r="R112">
        <f t="shared" si="37"/>
        <v>45.62550682468062</v>
      </c>
      <c r="S112">
        <f t="shared" si="38"/>
        <v>62.533264968467272</v>
      </c>
      <c r="T112">
        <f>IFERROR(SUM($E$3:$E112),"")</f>
        <v>345044.74</v>
      </c>
      <c r="U112">
        <f>IFERROR(SUM($F$3:$F112),"")</f>
        <v>422313.27400000009</v>
      </c>
      <c r="V112">
        <f>IFERROR(SUM($G$3:$G112),"")</f>
        <v>213185.84599999996</v>
      </c>
      <c r="W112">
        <f t="shared" si="39"/>
        <v>635499.12000000011</v>
      </c>
      <c r="X112">
        <f t="shared" si="40"/>
        <v>54.295077544717905</v>
      </c>
      <c r="Y112">
        <f t="shared" si="41"/>
        <v>66.453793673231203</v>
      </c>
      <c r="Z112">
        <f>IFERROR(SUM($H$3:$H112),"")</f>
        <v>409480.91100000008</v>
      </c>
      <c r="AA112">
        <f>IFERROR(SUM($I$3:$I112),"")</f>
        <v>561225.07300000009</v>
      </c>
      <c r="AB112">
        <f>IFERROR(SUM($J$3:$J112),"")</f>
        <v>336257.30099999992</v>
      </c>
      <c r="AC112">
        <f t="shared" si="42"/>
        <v>897482.37400000007</v>
      </c>
      <c r="AD112">
        <f t="shared" si="43"/>
        <v>45.625510078262558</v>
      </c>
      <c r="AE112">
        <f t="shared" si="44"/>
        <v>62.53326965059707</v>
      </c>
      <c r="AF112">
        <f>IFERROR(SUM($K$3:$K112),"")</f>
        <v>379125.38400000002</v>
      </c>
      <c r="AG112">
        <f>IFERROR(SUM($L$3:$L112),"")</f>
        <v>462352.53699999978</v>
      </c>
      <c r="AH112">
        <f>IFERROR(SUM($M$3:$M112),"")</f>
        <v>245809.82399999999</v>
      </c>
      <c r="AI112">
        <f t="shared" si="45"/>
        <v>708162.3609999998</v>
      </c>
      <c r="AJ112">
        <f t="shared" si="46"/>
        <v>53.536505874815923</v>
      </c>
      <c r="AK112">
        <f t="shared" si="47"/>
        <v>65.289058337851984</v>
      </c>
    </row>
    <row r="113" spans="1:37" x14ac:dyDescent="0.35">
      <c r="A113">
        <v>1960</v>
      </c>
      <c r="B113">
        <v>6503.223</v>
      </c>
      <c r="C113">
        <v>9374.0429999999997</v>
      </c>
      <c r="D113">
        <v>8730.5589999999993</v>
      </c>
      <c r="E113">
        <v>6152.9290000000001</v>
      </c>
      <c r="F113">
        <v>8927.1309999999994</v>
      </c>
      <c r="G113">
        <v>6093.3789999999999</v>
      </c>
      <c r="H113">
        <v>6503.223</v>
      </c>
      <c r="I113">
        <v>9374.0429999999997</v>
      </c>
      <c r="J113">
        <v>8730.5439999999999</v>
      </c>
      <c r="K113">
        <v>6418.741</v>
      </c>
      <c r="L113">
        <v>8782.4760000000006</v>
      </c>
      <c r="M113">
        <v>6839.0640000000003</v>
      </c>
      <c r="N113">
        <f>IFERROR(SUM($B$3:$B113),"")</f>
        <v>415984.13399999996</v>
      </c>
      <c r="O113">
        <f>IFERROR(SUM($C$3:$C113),"")</f>
        <v>570599.11399999994</v>
      </c>
      <c r="P113">
        <f>IFERROR(SUM($D$3:$D113),"")</f>
        <v>344987.92599999998</v>
      </c>
      <c r="Q113">
        <f t="shared" si="36"/>
        <v>915587.03999999992</v>
      </c>
      <c r="R113">
        <f t="shared" si="37"/>
        <v>45.433597880546671</v>
      </c>
      <c r="S113">
        <f t="shared" si="38"/>
        <v>62.320575660398156</v>
      </c>
      <c r="T113">
        <f>IFERROR(SUM($E$3:$E113),"")</f>
        <v>351197.66899999999</v>
      </c>
      <c r="U113">
        <f>IFERROR(SUM($F$3:$F113),"")</f>
        <v>431240.40500000009</v>
      </c>
      <c r="V113">
        <f>IFERROR(SUM($G$3:$G113),"")</f>
        <v>219279.22499999995</v>
      </c>
      <c r="W113">
        <f t="shared" si="39"/>
        <v>650519.63</v>
      </c>
      <c r="X113">
        <f t="shared" si="40"/>
        <v>53.987251545353054</v>
      </c>
      <c r="Y113">
        <f t="shared" si="41"/>
        <v>66.291682081907368</v>
      </c>
      <c r="Z113">
        <f>IFERROR(SUM($H$3:$H113),"")</f>
        <v>415984.13400000008</v>
      </c>
      <c r="AA113">
        <f>IFERROR(SUM($I$3:$I113),"")</f>
        <v>570599.11600000004</v>
      </c>
      <c r="AB113">
        <f>IFERROR(SUM($J$3:$J113),"")</f>
        <v>344987.84499999991</v>
      </c>
      <c r="AC113">
        <f t="shared" si="42"/>
        <v>915586.96099999989</v>
      </c>
      <c r="AD113">
        <f t="shared" si="43"/>
        <v>45.433601800714172</v>
      </c>
      <c r="AE113">
        <f t="shared" si="44"/>
        <v>62.320581256071442</v>
      </c>
      <c r="AF113">
        <f>IFERROR(SUM($K$3:$K113),"")</f>
        <v>385544.125</v>
      </c>
      <c r="AG113">
        <f>IFERROR(SUM($L$3:$L113),"")</f>
        <v>471135.0129999998</v>
      </c>
      <c r="AH113">
        <f>IFERROR(SUM($M$3:$M113),"")</f>
        <v>252648.88800000001</v>
      </c>
      <c r="AI113">
        <f t="shared" si="45"/>
        <v>723783.90099999984</v>
      </c>
      <c r="AJ113">
        <f t="shared" si="46"/>
        <v>53.267850316554643</v>
      </c>
      <c r="AK113">
        <f t="shared" si="47"/>
        <v>65.093325832346736</v>
      </c>
    </row>
    <row r="114" spans="1:37" x14ac:dyDescent="0.35">
      <c r="A114">
        <v>1961</v>
      </c>
      <c r="B114">
        <v>6494.9219999999996</v>
      </c>
      <c r="C114">
        <v>9457.9249999999993</v>
      </c>
      <c r="D114">
        <v>8746.9789999999994</v>
      </c>
      <c r="E114">
        <v>6222.8149999999996</v>
      </c>
      <c r="F114">
        <v>9049.2569999999996</v>
      </c>
      <c r="G114">
        <v>6284.4930000000004</v>
      </c>
      <c r="H114">
        <v>6494.9219999999996</v>
      </c>
      <c r="I114">
        <v>9457.9249999999993</v>
      </c>
      <c r="J114">
        <v>8746.9279999999999</v>
      </c>
      <c r="K114">
        <v>6473.9560000000001</v>
      </c>
      <c r="L114">
        <v>8871.6579999999994</v>
      </c>
      <c r="M114">
        <v>6668.1639999999998</v>
      </c>
      <c r="N114">
        <f>IFERROR(SUM($B$3:$B114),"")</f>
        <v>422479.05599999998</v>
      </c>
      <c r="O114">
        <f>IFERROR(SUM($C$3:$C114),"")</f>
        <v>580057.03899999999</v>
      </c>
      <c r="P114">
        <f>IFERROR(SUM($D$3:$D114),"")</f>
        <v>353734.90499999997</v>
      </c>
      <c r="Q114">
        <f t="shared" si="36"/>
        <v>933791.9439999999</v>
      </c>
      <c r="R114">
        <f t="shared" si="37"/>
        <v>45.243381966893473</v>
      </c>
      <c r="S114">
        <f t="shared" si="38"/>
        <v>62.118445412504009</v>
      </c>
      <c r="T114">
        <f>IFERROR(SUM($E$3:$E114),"")</f>
        <v>357420.484</v>
      </c>
      <c r="U114">
        <f>IFERROR(SUM($F$3:$F114),"")</f>
        <v>440289.66200000007</v>
      </c>
      <c r="V114">
        <f>IFERROR(SUM($G$3:$G114),"")</f>
        <v>225563.71799999994</v>
      </c>
      <c r="W114">
        <f t="shared" si="39"/>
        <v>665853.38</v>
      </c>
      <c r="X114">
        <f t="shared" si="40"/>
        <v>53.678556681652644</v>
      </c>
      <c r="Y114">
        <f t="shared" si="41"/>
        <v>66.124116092945272</v>
      </c>
      <c r="Z114">
        <f>IFERROR(SUM($H$3:$H114),"")</f>
        <v>422479.0560000001</v>
      </c>
      <c r="AA114">
        <f>IFERROR(SUM($I$3:$I114),"")</f>
        <v>580057.04100000008</v>
      </c>
      <c r="AB114">
        <f>IFERROR(SUM($J$3:$J114),"")</f>
        <v>353734.77299999993</v>
      </c>
      <c r="AC114">
        <f t="shared" si="42"/>
        <v>933791.81400000001</v>
      </c>
      <c r="AD114">
        <f t="shared" si="43"/>
        <v>45.24338826555617</v>
      </c>
      <c r="AE114">
        <f t="shared" si="44"/>
        <v>62.118454274648428</v>
      </c>
      <c r="AF114">
        <f>IFERROR(SUM($K$3:$K114),"")</f>
        <v>392018.08100000001</v>
      </c>
      <c r="AG114">
        <f>IFERROR(SUM($L$3:$L114),"")</f>
        <v>480006.6709999998</v>
      </c>
      <c r="AH114">
        <f>IFERROR(SUM($M$3:$M114),"")</f>
        <v>259317.052</v>
      </c>
      <c r="AI114">
        <f t="shared" si="45"/>
        <v>739323.72299999977</v>
      </c>
      <c r="AJ114">
        <f t="shared" si="46"/>
        <v>53.02387422512075</v>
      </c>
      <c r="AK114">
        <f t="shared" si="47"/>
        <v>64.925100611170294</v>
      </c>
    </row>
    <row r="115" spans="1:37" x14ac:dyDescent="0.35">
      <c r="A115">
        <v>1962</v>
      </c>
      <c r="B115">
        <v>6785.027</v>
      </c>
      <c r="C115">
        <v>9496.4279999999999</v>
      </c>
      <c r="D115">
        <v>8416.8240000000005</v>
      </c>
      <c r="E115">
        <v>6525.5330000000004</v>
      </c>
      <c r="F115">
        <v>9452.6460000000006</v>
      </c>
      <c r="G115">
        <v>6246.91</v>
      </c>
      <c r="H115">
        <v>6785.027</v>
      </c>
      <c r="I115">
        <v>9496.4279999999999</v>
      </c>
      <c r="J115">
        <v>8416.7729999999992</v>
      </c>
      <c r="K115">
        <v>6706.9549999999999</v>
      </c>
      <c r="L115">
        <v>8986.1370000000006</v>
      </c>
      <c r="M115">
        <v>6514.5720000000001</v>
      </c>
      <c r="N115">
        <f>IFERROR(SUM($B$3:$B115),"")</f>
        <v>429264.08299999998</v>
      </c>
      <c r="O115">
        <f>IFERROR(SUM($C$3:$C115),"")</f>
        <v>589553.46699999995</v>
      </c>
      <c r="P115">
        <f>IFERROR(SUM($D$3:$D115),"")</f>
        <v>362151.72899999999</v>
      </c>
      <c r="Q115">
        <f t="shared" si="36"/>
        <v>951705.196</v>
      </c>
      <c r="R115">
        <f t="shared" si="37"/>
        <v>45.104732516349529</v>
      </c>
      <c r="S115">
        <f t="shared" si="38"/>
        <v>61.947068217961053</v>
      </c>
      <c r="T115">
        <f>IFERROR(SUM($E$3:$E115),"")</f>
        <v>363946.01699999999</v>
      </c>
      <c r="U115">
        <f>IFERROR(SUM($F$3:$F115),"")</f>
        <v>449742.30800000008</v>
      </c>
      <c r="V115">
        <f>IFERROR(SUM($G$3:$G115),"")</f>
        <v>231810.62799999994</v>
      </c>
      <c r="W115">
        <f t="shared" si="39"/>
        <v>681552.93599999999</v>
      </c>
      <c r="X115">
        <f t="shared" si="40"/>
        <v>53.399523026924498</v>
      </c>
      <c r="Y115">
        <f t="shared" si="41"/>
        <v>65.987876252065632</v>
      </c>
      <c r="Z115">
        <f>IFERROR(SUM($H$3:$H115),"")</f>
        <v>429264.0830000001</v>
      </c>
      <c r="AA115">
        <f>IFERROR(SUM($I$3:$I115),"")</f>
        <v>589553.46900000004</v>
      </c>
      <c r="AB115">
        <f>IFERROR(SUM($J$3:$J115),"")</f>
        <v>362151.54599999991</v>
      </c>
      <c r="AC115">
        <f t="shared" si="42"/>
        <v>951705.0149999999</v>
      </c>
      <c r="AD115">
        <f t="shared" si="43"/>
        <v>45.104741094592235</v>
      </c>
      <c r="AE115">
        <f t="shared" si="44"/>
        <v>61.947080209512194</v>
      </c>
      <c r="AF115">
        <f>IFERROR(SUM($K$3:$K115),"")</f>
        <v>398725.03600000002</v>
      </c>
      <c r="AG115">
        <f>IFERROR(SUM($L$3:$L115),"")</f>
        <v>488992.80799999979</v>
      </c>
      <c r="AH115">
        <f>IFERROR(SUM($M$3:$M115),"")</f>
        <v>265831.62400000001</v>
      </c>
      <c r="AI115">
        <f t="shared" si="45"/>
        <v>754824.4319999998</v>
      </c>
      <c r="AJ115">
        <f t="shared" si="46"/>
        <v>52.823546654886243</v>
      </c>
      <c r="AK115">
        <f t="shared" si="47"/>
        <v>64.78232384507659</v>
      </c>
    </row>
    <row r="116" spans="1:37" x14ac:dyDescent="0.35">
      <c r="A116">
        <v>1963</v>
      </c>
      <c r="B116">
        <v>6991.5550000000003</v>
      </c>
      <c r="C116">
        <v>9775.7189999999991</v>
      </c>
      <c r="D116">
        <v>8397.1839999999993</v>
      </c>
      <c r="E116">
        <v>6879.4530000000004</v>
      </c>
      <c r="F116">
        <v>9950.4590000000007</v>
      </c>
      <c r="G116">
        <v>6418.6660000000002</v>
      </c>
      <c r="H116">
        <v>6991.5550000000003</v>
      </c>
      <c r="I116">
        <v>9775.7189999999991</v>
      </c>
      <c r="J116">
        <v>8397.1290000000008</v>
      </c>
      <c r="K116">
        <v>6939.7240000000002</v>
      </c>
      <c r="L116">
        <v>9376.3809999999994</v>
      </c>
      <c r="M116">
        <v>6570.5159999999996</v>
      </c>
      <c r="N116">
        <f>IFERROR(SUM($B$3:$B116),"")</f>
        <v>436255.63799999998</v>
      </c>
      <c r="O116">
        <f>IFERROR(SUM($C$3:$C116),"")</f>
        <v>599329.18599999999</v>
      </c>
      <c r="P116">
        <f>IFERROR(SUM($D$3:$D116),"")</f>
        <v>370548.913</v>
      </c>
      <c r="Q116">
        <f t="shared" si="36"/>
        <v>969878.09899999993</v>
      </c>
      <c r="R116">
        <f t="shared" si="37"/>
        <v>44.980460786752957</v>
      </c>
      <c r="S116">
        <f t="shared" si="38"/>
        <v>61.794279777834227</v>
      </c>
      <c r="T116">
        <f>IFERROR(SUM($E$3:$E116),"")</f>
        <v>370825.47</v>
      </c>
      <c r="U116">
        <f>IFERROR(SUM($F$3:$F116),"")</f>
        <v>459692.76700000005</v>
      </c>
      <c r="V116">
        <f>IFERROR(SUM($G$3:$G116),"")</f>
        <v>238229.29399999994</v>
      </c>
      <c r="W116">
        <f t="shared" si="39"/>
        <v>697922.06099999999</v>
      </c>
      <c r="X116">
        <f t="shared" si="40"/>
        <v>53.132790997990817</v>
      </c>
      <c r="Y116">
        <f t="shared" si="41"/>
        <v>65.865917225963727</v>
      </c>
      <c r="Z116">
        <f>IFERROR(SUM($H$3:$H116),"")</f>
        <v>436255.63800000009</v>
      </c>
      <c r="AA116">
        <f>IFERROR(SUM($I$3:$I116),"")</f>
        <v>599329.18800000008</v>
      </c>
      <c r="AB116">
        <f>IFERROR(SUM($J$3:$J116),"")</f>
        <v>370548.67499999993</v>
      </c>
      <c r="AC116">
        <f t="shared" si="42"/>
        <v>969877.86300000001</v>
      </c>
      <c r="AD116">
        <f t="shared" si="43"/>
        <v>44.980471731830846</v>
      </c>
      <c r="AE116">
        <f t="shared" si="44"/>
        <v>61.794295020423625</v>
      </c>
      <c r="AF116">
        <f>IFERROR(SUM($K$3:$K116),"")</f>
        <v>405664.76</v>
      </c>
      <c r="AG116">
        <f>IFERROR(SUM($L$3:$L116),"")</f>
        <v>498369.18899999978</v>
      </c>
      <c r="AH116">
        <f>IFERROR(SUM($M$3:$M116),"")</f>
        <v>272402.14</v>
      </c>
      <c r="AI116">
        <f t="shared" si="45"/>
        <v>770771.32899999979</v>
      </c>
      <c r="AJ116">
        <f t="shared" si="46"/>
        <v>52.631013211961353</v>
      </c>
      <c r="AK116">
        <f t="shared" si="47"/>
        <v>64.658501198609059</v>
      </c>
    </row>
    <row r="117" spans="1:37" x14ac:dyDescent="0.35">
      <c r="A117">
        <v>1964</v>
      </c>
      <c r="B117">
        <v>7293.1</v>
      </c>
      <c r="C117">
        <v>10122.742</v>
      </c>
      <c r="D117">
        <v>8132.0739999999996</v>
      </c>
      <c r="E117">
        <v>7181.8450000000003</v>
      </c>
      <c r="F117">
        <v>10393.64</v>
      </c>
      <c r="G117">
        <v>6576.9830000000002</v>
      </c>
      <c r="H117">
        <v>7293.1</v>
      </c>
      <c r="I117">
        <v>10122.742</v>
      </c>
      <c r="J117">
        <v>8132.0159999999996</v>
      </c>
      <c r="K117">
        <v>7187.9340000000002</v>
      </c>
      <c r="L117">
        <v>9709.9760000000006</v>
      </c>
      <c r="M117">
        <v>6592.32</v>
      </c>
      <c r="N117">
        <f>IFERROR(SUM($B$3:$B117),"")</f>
        <v>443548.73799999995</v>
      </c>
      <c r="O117">
        <f>IFERROR(SUM($C$3:$C117),"")</f>
        <v>609451.92799999996</v>
      </c>
      <c r="P117">
        <f>IFERROR(SUM($D$3:$D117),"")</f>
        <v>378680.98700000002</v>
      </c>
      <c r="Q117">
        <f t="shared" si="36"/>
        <v>988132.91500000004</v>
      </c>
      <c r="R117">
        <f t="shared" si="37"/>
        <v>44.887558269425718</v>
      </c>
      <c r="S117">
        <f t="shared" si="38"/>
        <v>61.677120430706424</v>
      </c>
      <c r="T117">
        <f>IFERROR(SUM($E$3:$E117),"")</f>
        <v>378007.31499999994</v>
      </c>
      <c r="U117">
        <f>IFERROR(SUM($F$3:$F117),"")</f>
        <v>470086.40700000006</v>
      </c>
      <c r="V117">
        <f>IFERROR(SUM($G$3:$G117),"")</f>
        <v>244806.27699999994</v>
      </c>
      <c r="W117">
        <f t="shared" si="39"/>
        <v>714892.68400000001</v>
      </c>
      <c r="X117">
        <f t="shared" si="40"/>
        <v>52.876092238761807</v>
      </c>
      <c r="Y117">
        <f t="shared" si="41"/>
        <v>65.756220132195395</v>
      </c>
      <c r="Z117">
        <f>IFERROR(SUM($H$3:$H117),"")</f>
        <v>443548.73800000007</v>
      </c>
      <c r="AA117">
        <f>IFERROR(SUM($I$3:$I117),"")</f>
        <v>609451.93000000005</v>
      </c>
      <c r="AB117">
        <f>IFERROR(SUM($J$3:$J117),"")</f>
        <v>378680.69099999993</v>
      </c>
      <c r="AC117">
        <f t="shared" si="42"/>
        <v>988132.62100000004</v>
      </c>
      <c r="AD117">
        <f t="shared" si="43"/>
        <v>44.887571624861891</v>
      </c>
      <c r="AE117">
        <f t="shared" si="44"/>
        <v>61.677138983958315</v>
      </c>
      <c r="AF117">
        <f>IFERROR(SUM($K$3:$K117),"")</f>
        <v>412852.69400000002</v>
      </c>
      <c r="AG117">
        <f>IFERROR(SUM($L$3:$L117),"")</f>
        <v>508079.1649999998</v>
      </c>
      <c r="AH117">
        <f>IFERROR(SUM($M$3:$M117),"")</f>
        <v>278994.46000000002</v>
      </c>
      <c r="AI117">
        <f t="shared" si="45"/>
        <v>787073.62499999977</v>
      </c>
      <c r="AJ117">
        <f t="shared" si="46"/>
        <v>52.454139090228082</v>
      </c>
      <c r="AK117">
        <f t="shared" si="47"/>
        <v>64.552940012441653</v>
      </c>
    </row>
    <row r="118" spans="1:37" x14ac:dyDescent="0.35">
      <c r="A118">
        <v>1965</v>
      </c>
      <c r="B118">
        <v>7515.8829999999998</v>
      </c>
      <c r="C118">
        <v>10389.843000000001</v>
      </c>
      <c r="D118">
        <v>8014.1809999999996</v>
      </c>
      <c r="E118">
        <v>7429.9930000000004</v>
      </c>
      <c r="F118">
        <v>10752.707</v>
      </c>
      <c r="G118">
        <v>6822.348</v>
      </c>
      <c r="H118">
        <v>7515.8829999999998</v>
      </c>
      <c r="I118">
        <v>10389.843000000001</v>
      </c>
      <c r="J118">
        <v>8014.1149999999998</v>
      </c>
      <c r="K118">
        <v>7404.866</v>
      </c>
      <c r="L118">
        <v>10021.314</v>
      </c>
      <c r="M118">
        <v>6537.0129999999999</v>
      </c>
      <c r="N118">
        <f>IFERROR(SUM($B$3:$B118),"")</f>
        <v>451064.62099999993</v>
      </c>
      <c r="O118">
        <f>IFERROR(SUM($C$3:$C118),"")</f>
        <v>619841.77099999995</v>
      </c>
      <c r="P118">
        <f>IFERROR(SUM($D$3:$D118),"")</f>
        <v>386695.16800000001</v>
      </c>
      <c r="Q118">
        <f t="shared" si="36"/>
        <v>1006536.939</v>
      </c>
      <c r="R118">
        <f t="shared" si="37"/>
        <v>44.813518860831387</v>
      </c>
      <c r="S118">
        <f t="shared" si="38"/>
        <v>61.581621794806274</v>
      </c>
      <c r="T118">
        <f>IFERROR(SUM($E$3:$E118),"")</f>
        <v>385437.30799999996</v>
      </c>
      <c r="U118">
        <f>IFERROR(SUM($F$3:$F118),"")</f>
        <v>480839.11400000006</v>
      </c>
      <c r="V118">
        <f>IFERROR(SUM($G$3:$G118),"")</f>
        <v>251628.62499999994</v>
      </c>
      <c r="W118">
        <f t="shared" si="39"/>
        <v>732467.73900000006</v>
      </c>
      <c r="X118">
        <f t="shared" si="40"/>
        <v>52.621745297099011</v>
      </c>
      <c r="Y118">
        <f t="shared" si="41"/>
        <v>65.646456273482386</v>
      </c>
      <c r="Z118">
        <f>IFERROR(SUM($H$3:$H118),"")</f>
        <v>451064.62100000004</v>
      </c>
      <c r="AA118">
        <f>IFERROR(SUM($I$3:$I118),"")</f>
        <v>619841.77300000004</v>
      </c>
      <c r="AB118">
        <f>IFERROR(SUM($J$3:$J118),"")</f>
        <v>386694.80599999992</v>
      </c>
      <c r="AC118">
        <f t="shared" si="42"/>
        <v>1006536.5789999999</v>
      </c>
      <c r="AD118">
        <f t="shared" si="43"/>
        <v>44.813534888929269</v>
      </c>
      <c r="AE118">
        <f t="shared" si="44"/>
        <v>61.581644018920457</v>
      </c>
      <c r="AF118">
        <f>IFERROR(SUM($K$3:$K118),"")</f>
        <v>420257.56</v>
      </c>
      <c r="AG118">
        <f>IFERROR(SUM($L$3:$L118),"")</f>
        <v>518100.47899999982</v>
      </c>
      <c r="AH118">
        <f>IFERROR(SUM($M$3:$M118),"")</f>
        <v>285531.473</v>
      </c>
      <c r="AI118">
        <f t="shared" si="45"/>
        <v>803631.95199999982</v>
      </c>
      <c r="AJ118">
        <f t="shared" si="46"/>
        <v>52.294779837225803</v>
      </c>
      <c r="AK118">
        <f t="shared" si="47"/>
        <v>64.469870530981567</v>
      </c>
    </row>
    <row r="119" spans="1:37" x14ac:dyDescent="0.35">
      <c r="A119">
        <v>1966</v>
      </c>
      <c r="B119">
        <v>7678.7359999999999</v>
      </c>
      <c r="C119">
        <v>10580.45</v>
      </c>
      <c r="D119">
        <v>7753.6049999999996</v>
      </c>
      <c r="E119">
        <v>7822.1580000000004</v>
      </c>
      <c r="F119">
        <v>11237.061</v>
      </c>
      <c r="G119">
        <v>7039.0529999999999</v>
      </c>
      <c r="H119">
        <v>7678.7359999999999</v>
      </c>
      <c r="I119">
        <v>10580.450999999999</v>
      </c>
      <c r="J119">
        <v>7753.5389999999998</v>
      </c>
      <c r="K119">
        <v>7622.8980000000001</v>
      </c>
      <c r="L119">
        <v>10296.329</v>
      </c>
      <c r="M119">
        <v>6494.78</v>
      </c>
      <c r="N119">
        <f>IFERROR(SUM($B$3:$B119),"")</f>
        <v>458743.3569999999</v>
      </c>
      <c r="O119">
        <f>IFERROR(SUM($C$3:$C119),"")</f>
        <v>630422.2209999999</v>
      </c>
      <c r="P119">
        <f>IFERROR(SUM($D$3:$D119),"")</f>
        <v>394448.77299999999</v>
      </c>
      <c r="Q119">
        <f t="shared" si="36"/>
        <v>1024870.9939999999</v>
      </c>
      <c r="R119">
        <f t="shared" si="37"/>
        <v>44.761083071495328</v>
      </c>
      <c r="S119">
        <f t="shared" si="38"/>
        <v>61.512348841048372</v>
      </c>
      <c r="T119">
        <f>IFERROR(SUM($E$3:$E119),"")</f>
        <v>393259.46599999996</v>
      </c>
      <c r="U119">
        <f>IFERROR(SUM($F$3:$F119),"")</f>
        <v>492076.17500000005</v>
      </c>
      <c r="V119">
        <f>IFERROR(SUM($G$3:$G119),"")</f>
        <v>258667.67799999996</v>
      </c>
      <c r="W119">
        <f t="shared" si="39"/>
        <v>750743.853</v>
      </c>
      <c r="X119">
        <f t="shared" si="40"/>
        <v>52.382642152649098</v>
      </c>
      <c r="Y119">
        <f t="shared" si="41"/>
        <v>65.545148725979658</v>
      </c>
      <c r="Z119">
        <f>IFERROR(SUM($H$3:$H119),"")</f>
        <v>458743.35700000002</v>
      </c>
      <c r="AA119">
        <f>IFERROR(SUM($I$3:$I119),"")</f>
        <v>630422.22400000005</v>
      </c>
      <c r="AB119">
        <f>IFERROR(SUM($J$3:$J119),"")</f>
        <v>394448.34499999991</v>
      </c>
      <c r="AC119">
        <f t="shared" si="42"/>
        <v>1024870.5689999999</v>
      </c>
      <c r="AD119">
        <f t="shared" si="43"/>
        <v>44.761101633312691</v>
      </c>
      <c r="AE119">
        <f t="shared" si="44"/>
        <v>61.512374642109577</v>
      </c>
      <c r="AF119">
        <f>IFERROR(SUM($K$3:$K119),"")</f>
        <v>427880.45799999998</v>
      </c>
      <c r="AG119">
        <f>IFERROR(SUM($L$3:$L119),"")</f>
        <v>528396.80799999984</v>
      </c>
      <c r="AH119">
        <f>IFERROR(SUM($M$3:$M119),"")</f>
        <v>292026.25300000003</v>
      </c>
      <c r="AI119">
        <f t="shared" si="45"/>
        <v>820423.06099999987</v>
      </c>
      <c r="AJ119">
        <f t="shared" si="46"/>
        <v>52.153636134808757</v>
      </c>
      <c r="AK119">
        <f t="shared" si="47"/>
        <v>64.405406566210587</v>
      </c>
    </row>
    <row r="120" spans="1:37" x14ac:dyDescent="0.35">
      <c r="A120">
        <v>1967</v>
      </c>
      <c r="B120">
        <v>8591.1450000000004</v>
      </c>
      <c r="C120">
        <v>11633.066000000001</v>
      </c>
      <c r="D120">
        <v>7545.9440000000004</v>
      </c>
      <c r="E120">
        <v>8100.4719999999998</v>
      </c>
      <c r="F120">
        <v>11588.177</v>
      </c>
      <c r="G120">
        <v>7061.2430000000004</v>
      </c>
      <c r="H120">
        <v>8591.1450000000004</v>
      </c>
      <c r="I120">
        <v>11633.066000000001</v>
      </c>
      <c r="J120">
        <v>7545.87</v>
      </c>
      <c r="K120">
        <v>7988.3320000000003</v>
      </c>
      <c r="L120">
        <v>10755.858</v>
      </c>
      <c r="M120">
        <v>6375.92</v>
      </c>
      <c r="N120">
        <f>IFERROR(SUM($B$3:$B120),"")</f>
        <v>467334.50199999992</v>
      </c>
      <c r="O120">
        <f>IFERROR(SUM($C$3:$C120),"")</f>
        <v>642055.28699999989</v>
      </c>
      <c r="P120">
        <f>IFERROR(SUM($D$3:$D120),"")</f>
        <v>401994.717</v>
      </c>
      <c r="Q120">
        <f t="shared" si="36"/>
        <v>1044050.004</v>
      </c>
      <c r="R120">
        <f t="shared" si="37"/>
        <v>44.761697256791535</v>
      </c>
      <c r="S120">
        <f t="shared" si="38"/>
        <v>61.496603087987722</v>
      </c>
      <c r="T120">
        <f>IFERROR(SUM($E$3:$E120),"")</f>
        <v>401359.93799999997</v>
      </c>
      <c r="U120">
        <f>IFERROR(SUM($F$3:$F120),"")</f>
        <v>503664.35200000007</v>
      </c>
      <c r="V120">
        <f>IFERROR(SUM($G$3:$G120),"")</f>
        <v>265728.92099999997</v>
      </c>
      <c r="W120">
        <f t="shared" si="39"/>
        <v>769393.27300000004</v>
      </c>
      <c r="X120">
        <f t="shared" si="40"/>
        <v>52.165771665123451</v>
      </c>
      <c r="Y120">
        <f t="shared" si="41"/>
        <v>65.462536478402512</v>
      </c>
      <c r="Z120">
        <f>IFERROR(SUM($H$3:$H120),"")</f>
        <v>467334.50200000004</v>
      </c>
      <c r="AA120">
        <f>IFERROR(SUM($I$3:$I120),"")</f>
        <v>642055.29</v>
      </c>
      <c r="AB120">
        <f>IFERROR(SUM($J$3:$J120),"")</f>
        <v>401994.21499999991</v>
      </c>
      <c r="AC120">
        <f t="shared" si="42"/>
        <v>1044049.5049999999</v>
      </c>
      <c r="AD120">
        <f t="shared" si="43"/>
        <v>44.761718650496377</v>
      </c>
      <c r="AE120">
        <f t="shared" si="44"/>
        <v>61.496632767428025</v>
      </c>
      <c r="AF120">
        <f>IFERROR(SUM($K$3:$K120),"")</f>
        <v>435868.79</v>
      </c>
      <c r="AG120">
        <f>IFERROR(SUM($L$3:$L120),"")</f>
        <v>539152.66599999985</v>
      </c>
      <c r="AH120">
        <f>IFERROR(SUM($M$3:$M120),"")</f>
        <v>298402.17300000001</v>
      </c>
      <c r="AI120">
        <f t="shared" si="45"/>
        <v>837554.83899999992</v>
      </c>
      <c r="AJ120">
        <f t="shared" si="46"/>
        <v>52.040627037676281</v>
      </c>
      <c r="AK120">
        <f t="shared" si="47"/>
        <v>64.372222676633584</v>
      </c>
    </row>
    <row r="121" spans="1:37" x14ac:dyDescent="0.35">
      <c r="A121">
        <v>1968</v>
      </c>
      <c r="B121">
        <v>9102.7790000000005</v>
      </c>
      <c r="C121">
        <v>12351</v>
      </c>
      <c r="D121">
        <v>7502.7079999999996</v>
      </c>
      <c r="E121">
        <v>8510.1360000000004</v>
      </c>
      <c r="F121">
        <v>12062.055</v>
      </c>
      <c r="G121">
        <v>7047.9269999999997</v>
      </c>
      <c r="H121">
        <v>9102.7790000000005</v>
      </c>
      <c r="I121">
        <v>12351</v>
      </c>
      <c r="J121">
        <v>7502.6310000000003</v>
      </c>
      <c r="K121">
        <v>8421.5840000000007</v>
      </c>
      <c r="L121">
        <v>11325.777</v>
      </c>
      <c r="M121">
        <v>6510.451</v>
      </c>
      <c r="N121">
        <f>IFERROR(SUM($B$3:$B121),"")</f>
        <v>476437.2809999999</v>
      </c>
      <c r="O121">
        <f>IFERROR(SUM($C$3:$C121),"")</f>
        <v>654406.28699999989</v>
      </c>
      <c r="P121">
        <f>IFERROR(SUM($D$3:$D121),"")</f>
        <v>409497.42499999999</v>
      </c>
      <c r="Q121">
        <f t="shared" si="36"/>
        <v>1063903.7119999998</v>
      </c>
      <c r="R121">
        <f t="shared" si="37"/>
        <v>44.781992545581041</v>
      </c>
      <c r="S121">
        <f t="shared" si="38"/>
        <v>61.509916698175779</v>
      </c>
      <c r="T121">
        <f>IFERROR(SUM($E$3:$E121),"")</f>
        <v>409870.07399999996</v>
      </c>
      <c r="U121">
        <f>IFERROR(SUM($F$3:$F121),"")</f>
        <v>515726.40700000006</v>
      </c>
      <c r="V121">
        <f>IFERROR(SUM($G$3:$G121),"")</f>
        <v>272776.848</v>
      </c>
      <c r="W121">
        <f t="shared" si="39"/>
        <v>788503.25500000012</v>
      </c>
      <c r="X121">
        <f t="shared" si="40"/>
        <v>51.980771341267307</v>
      </c>
      <c r="Y121">
        <f t="shared" si="41"/>
        <v>65.405742300962345</v>
      </c>
      <c r="Z121">
        <f>IFERROR(SUM($H$3:$H121),"")</f>
        <v>476437.28100000002</v>
      </c>
      <c r="AA121">
        <f>IFERROR(SUM($I$3:$I121),"")</f>
        <v>654406.29</v>
      </c>
      <c r="AB121">
        <f>IFERROR(SUM($J$3:$J121),"")</f>
        <v>409496.8459999999</v>
      </c>
      <c r="AC121">
        <f t="shared" si="42"/>
        <v>1063903.1359999999</v>
      </c>
      <c r="AD121">
        <f t="shared" si="43"/>
        <v>44.782016790671442</v>
      </c>
      <c r="AE121">
        <f t="shared" si="44"/>
        <v>61.509950281789571</v>
      </c>
      <c r="AF121">
        <f>IFERROR(SUM($K$3:$K121),"")</f>
        <v>444290.37399999995</v>
      </c>
      <c r="AG121">
        <f>IFERROR(SUM($L$3:$L121),"")</f>
        <v>550478.44299999985</v>
      </c>
      <c r="AH121">
        <f>IFERROR(SUM($M$3:$M121),"")</f>
        <v>304912.62400000001</v>
      </c>
      <c r="AI121">
        <f t="shared" si="45"/>
        <v>855391.06699999981</v>
      </c>
      <c r="AJ121">
        <f t="shared" si="46"/>
        <v>51.940029670662909</v>
      </c>
      <c r="AK121">
        <f t="shared" si="47"/>
        <v>64.354008854759286</v>
      </c>
    </row>
    <row r="122" spans="1:37" x14ac:dyDescent="0.35">
      <c r="A122">
        <v>1969</v>
      </c>
      <c r="B122">
        <v>9073.2340000000004</v>
      </c>
      <c r="C122">
        <v>12355.328</v>
      </c>
      <c r="D122">
        <v>9065.7819999999992</v>
      </c>
      <c r="E122">
        <v>9053.7610000000004</v>
      </c>
      <c r="F122">
        <v>12712.767</v>
      </c>
      <c r="G122">
        <v>7318.6940000000004</v>
      </c>
      <c r="H122">
        <v>9073.2340000000004</v>
      </c>
      <c r="I122">
        <v>12355.328</v>
      </c>
      <c r="J122">
        <v>9065.65</v>
      </c>
      <c r="K122">
        <v>8836.4179999999997</v>
      </c>
      <c r="L122">
        <v>11886.53</v>
      </c>
      <c r="M122">
        <v>7118.9629999999997</v>
      </c>
      <c r="N122">
        <f>IFERROR(SUM($B$3:$B122),"")</f>
        <v>485510.5149999999</v>
      </c>
      <c r="O122">
        <f>IFERROR(SUM($C$3:$C122),"")</f>
        <v>666761.61499999987</v>
      </c>
      <c r="P122">
        <f>IFERROR(SUM($D$3:$D122),"")</f>
        <v>418563.20699999999</v>
      </c>
      <c r="Q122">
        <f t="shared" si="36"/>
        <v>1085324.8219999999</v>
      </c>
      <c r="R122">
        <f t="shared" si="37"/>
        <v>44.734120620711273</v>
      </c>
      <c r="S122">
        <f t="shared" si="38"/>
        <v>61.434291512039138</v>
      </c>
      <c r="T122">
        <f>IFERROR(SUM($E$3:$E122),"")</f>
        <v>418923.83499999996</v>
      </c>
      <c r="U122">
        <f>IFERROR(SUM($F$3:$F122),"")</f>
        <v>528439.17400000012</v>
      </c>
      <c r="V122">
        <f>IFERROR(SUM($G$3:$G122),"")</f>
        <v>280095.54200000002</v>
      </c>
      <c r="W122">
        <f t="shared" si="39"/>
        <v>808534.71600000013</v>
      </c>
      <c r="X122">
        <f t="shared" si="40"/>
        <v>51.812720803444122</v>
      </c>
      <c r="Y122">
        <f t="shared" si="41"/>
        <v>65.357635676338731</v>
      </c>
      <c r="Z122">
        <f>IFERROR(SUM($H$3:$H122),"")</f>
        <v>485510.51500000001</v>
      </c>
      <c r="AA122">
        <f>IFERROR(SUM($I$3:$I122),"")</f>
        <v>666761.61800000002</v>
      </c>
      <c r="AB122">
        <f>IFERROR(SUM($J$3:$J122),"")</f>
        <v>418562.49599999993</v>
      </c>
      <c r="AC122">
        <f t="shared" si="42"/>
        <v>1085324.1140000001</v>
      </c>
      <c r="AD122">
        <f t="shared" si="43"/>
        <v>44.734149802553816</v>
      </c>
      <c r="AE122">
        <f t="shared" si="44"/>
        <v>61.434331864481173</v>
      </c>
      <c r="AF122">
        <f>IFERROR(SUM($K$3:$K122),"")</f>
        <v>453126.79199999996</v>
      </c>
      <c r="AG122">
        <f>IFERROR(SUM($L$3:$L122),"")</f>
        <v>562364.97299999988</v>
      </c>
      <c r="AH122">
        <f>IFERROR(SUM($M$3:$M122),"")</f>
        <v>312031.587</v>
      </c>
      <c r="AI122">
        <f t="shared" si="45"/>
        <v>874396.55999999982</v>
      </c>
      <c r="AJ122">
        <f t="shared" si="46"/>
        <v>51.821657669833478</v>
      </c>
      <c r="AK122">
        <f t="shared" si="47"/>
        <v>64.314636942304531</v>
      </c>
    </row>
    <row r="123" spans="1:37" x14ac:dyDescent="0.35">
      <c r="A123">
        <v>1970</v>
      </c>
      <c r="B123">
        <v>9433.9230000000007</v>
      </c>
      <c r="C123">
        <v>13011.2</v>
      </c>
      <c r="D123">
        <v>9052.8060000000005</v>
      </c>
      <c r="E123">
        <v>9607.9339999999993</v>
      </c>
      <c r="F123">
        <v>13309.056</v>
      </c>
      <c r="G123">
        <v>7699.2740000000003</v>
      </c>
      <c r="H123">
        <v>9433.9230000000007</v>
      </c>
      <c r="I123">
        <v>13011.2</v>
      </c>
      <c r="J123">
        <v>9052.6010000000006</v>
      </c>
      <c r="K123">
        <v>9322.4480000000003</v>
      </c>
      <c r="L123">
        <v>12596.103999999999</v>
      </c>
      <c r="M123">
        <v>7776.6030000000001</v>
      </c>
      <c r="N123">
        <f>IFERROR(SUM($B$3:$B123),"")</f>
        <v>494944.43799999991</v>
      </c>
      <c r="O123">
        <f>IFERROR(SUM($C$3:$C123),"")</f>
        <v>679772.81499999983</v>
      </c>
      <c r="P123">
        <f>IFERROR(SUM($D$3:$D123),"")</f>
        <v>427616.01299999998</v>
      </c>
      <c r="Q123">
        <f t="shared" si="36"/>
        <v>1107388.8279999997</v>
      </c>
      <c r="R123">
        <f t="shared" si="37"/>
        <v>44.694729212131804</v>
      </c>
      <c r="S123">
        <f t="shared" si="38"/>
        <v>61.385197124275123</v>
      </c>
      <c r="T123">
        <f>IFERROR(SUM($E$3:$E123),"")</f>
        <v>428531.76899999997</v>
      </c>
      <c r="U123">
        <f>IFERROR(SUM($F$3:$F123),"")</f>
        <v>541748.2300000001</v>
      </c>
      <c r="V123">
        <f>IFERROR(SUM($G$3:$G123),"")</f>
        <v>287794.81599999999</v>
      </c>
      <c r="W123">
        <f t="shared" si="39"/>
        <v>829543.04600000009</v>
      </c>
      <c r="X123">
        <f t="shared" si="40"/>
        <v>51.658774196993264</v>
      </c>
      <c r="Y123">
        <f t="shared" si="41"/>
        <v>65.306825560442348</v>
      </c>
      <c r="Z123">
        <f>IFERROR(SUM($H$3:$H123),"")</f>
        <v>494944.43800000002</v>
      </c>
      <c r="AA123">
        <f>IFERROR(SUM($I$3:$I123),"")</f>
        <v>679772.81799999997</v>
      </c>
      <c r="AB123">
        <f>IFERROR(SUM($J$3:$J123),"")</f>
        <v>427615.09699999995</v>
      </c>
      <c r="AC123">
        <f t="shared" si="42"/>
        <v>1107387.915</v>
      </c>
      <c r="AD123">
        <f t="shared" si="43"/>
        <v>44.6947660612677</v>
      </c>
      <c r="AE123">
        <f t="shared" si="44"/>
        <v>61.385248004986579</v>
      </c>
      <c r="AF123">
        <f>IFERROR(SUM($K$3:$K123),"")</f>
        <v>462449.23999999993</v>
      </c>
      <c r="AG123">
        <f>IFERROR(SUM($L$3:$L123),"")</f>
        <v>574961.07699999993</v>
      </c>
      <c r="AH123">
        <f>IFERROR(SUM($M$3:$M123),"")</f>
        <v>319808.19</v>
      </c>
      <c r="AI123">
        <f t="shared" si="45"/>
        <v>894769.26699999999</v>
      </c>
      <c r="AJ123">
        <f t="shared" si="46"/>
        <v>51.683630300637041</v>
      </c>
      <c r="AK123">
        <f t="shared" si="47"/>
        <v>64.258026980267303</v>
      </c>
    </row>
    <row r="124" spans="1:37" x14ac:dyDescent="0.35">
      <c r="A124">
        <v>1971</v>
      </c>
      <c r="B124">
        <v>9527.5859999999993</v>
      </c>
      <c r="C124">
        <v>13090.857</v>
      </c>
      <c r="D124">
        <v>8992.7759999999998</v>
      </c>
      <c r="E124">
        <v>9472.6730000000007</v>
      </c>
      <c r="F124">
        <v>13244.295</v>
      </c>
      <c r="G124">
        <v>7733.7280000000001</v>
      </c>
      <c r="H124">
        <v>9527.5869999999995</v>
      </c>
      <c r="I124">
        <v>13090.857</v>
      </c>
      <c r="J124">
        <v>8992.527</v>
      </c>
      <c r="K124">
        <v>9479.1910000000007</v>
      </c>
      <c r="L124">
        <v>12748.281999999999</v>
      </c>
      <c r="M124">
        <v>7772.3620000000001</v>
      </c>
      <c r="N124">
        <f>IFERROR(SUM($B$3:$B124),"")</f>
        <v>504472.02399999992</v>
      </c>
      <c r="O124">
        <f>IFERROR(SUM($C$3:$C124),"")</f>
        <v>692863.67199999979</v>
      </c>
      <c r="P124">
        <f>IFERROR(SUM($D$3:$D124),"")</f>
        <v>436608.78899999999</v>
      </c>
      <c r="Q124">
        <f t="shared" si="36"/>
        <v>1129472.4609999997</v>
      </c>
      <c r="R124">
        <f t="shared" si="37"/>
        <v>44.6643934597003</v>
      </c>
      <c r="S124">
        <f t="shared" si="38"/>
        <v>61.344007572044731</v>
      </c>
      <c r="T124">
        <f>IFERROR(SUM($E$3:$E124),"")</f>
        <v>438004.44199999998</v>
      </c>
      <c r="U124">
        <f>IFERROR(SUM($F$3:$F124),"")</f>
        <v>554992.52500000014</v>
      </c>
      <c r="V124">
        <f>IFERROR(SUM($G$3:$G124),"")</f>
        <v>295528.54399999999</v>
      </c>
      <c r="W124">
        <f t="shared" si="39"/>
        <v>850521.06900000013</v>
      </c>
      <c r="X124">
        <f t="shared" si="40"/>
        <v>51.498364704237552</v>
      </c>
      <c r="Y124">
        <f t="shared" si="41"/>
        <v>65.253236542691695</v>
      </c>
      <c r="Z124">
        <f>IFERROR(SUM($H$3:$H124),"")</f>
        <v>504472.02500000002</v>
      </c>
      <c r="AA124">
        <f>IFERROR(SUM($I$3:$I124),"")</f>
        <v>692863.67499999993</v>
      </c>
      <c r="AB124">
        <f>IFERROR(SUM($J$3:$J124),"")</f>
        <v>436607.62399999995</v>
      </c>
      <c r="AC124">
        <f t="shared" si="42"/>
        <v>1129471.2989999999</v>
      </c>
      <c r="AD124">
        <f t="shared" si="43"/>
        <v>44.66443949896243</v>
      </c>
      <c r="AE124">
        <f t="shared" si="44"/>
        <v>61.344070948366792</v>
      </c>
      <c r="AF124">
        <f>IFERROR(SUM($K$3:$K124),"")</f>
        <v>471928.43099999992</v>
      </c>
      <c r="AG124">
        <f>IFERROR(SUM($L$3:$L124),"")</f>
        <v>587709.35899999994</v>
      </c>
      <c r="AH124">
        <f>IFERROR(SUM($M$3:$M124),"")</f>
        <v>327580.55200000003</v>
      </c>
      <c r="AI124">
        <f t="shared" si="45"/>
        <v>915289.91099999996</v>
      </c>
      <c r="AJ124">
        <f t="shared" si="46"/>
        <v>51.560541127826319</v>
      </c>
      <c r="AK124">
        <f t="shared" si="47"/>
        <v>64.210186514336002</v>
      </c>
    </row>
    <row r="125" spans="1:37" x14ac:dyDescent="0.35">
      <c r="A125">
        <v>1972</v>
      </c>
      <c r="B125">
        <v>9744.6219999999994</v>
      </c>
      <c r="C125">
        <v>13402.102999999999</v>
      </c>
      <c r="D125">
        <v>9971.9459999999999</v>
      </c>
      <c r="E125">
        <v>9880.2450000000008</v>
      </c>
      <c r="F125">
        <v>13769.956</v>
      </c>
      <c r="G125">
        <v>7850.1369999999997</v>
      </c>
      <c r="H125">
        <v>9744.6219999999994</v>
      </c>
      <c r="I125">
        <v>13402.103999999999</v>
      </c>
      <c r="J125">
        <v>9971.69</v>
      </c>
      <c r="K125">
        <v>9776.3700000000008</v>
      </c>
      <c r="L125">
        <v>13182.870999999999</v>
      </c>
      <c r="M125">
        <v>7952.183</v>
      </c>
      <c r="N125">
        <f>IFERROR(SUM($B$3:$B125),"")</f>
        <v>514216.64599999989</v>
      </c>
      <c r="O125">
        <f>IFERROR(SUM($C$3:$C125),"")</f>
        <v>706265.77499999979</v>
      </c>
      <c r="P125">
        <f>IFERROR(SUM($D$3:$D125),"")</f>
        <v>446580.73499999999</v>
      </c>
      <c r="Q125">
        <f t="shared" si="36"/>
        <v>1152846.5099999998</v>
      </c>
      <c r="R125">
        <f t="shared" si="37"/>
        <v>44.604085759864077</v>
      </c>
      <c r="S125">
        <f t="shared" si="38"/>
        <v>61.262775996086418</v>
      </c>
      <c r="T125">
        <f>IFERROR(SUM($E$3:$E125),"")</f>
        <v>447884.68699999998</v>
      </c>
      <c r="U125">
        <f>IFERROR(SUM($F$3:$F125),"")</f>
        <v>568762.48100000015</v>
      </c>
      <c r="V125">
        <f>IFERROR(SUM($G$3:$G125),"")</f>
        <v>303378.68099999998</v>
      </c>
      <c r="W125">
        <f t="shared" si="39"/>
        <v>872141.16200000013</v>
      </c>
      <c r="X125">
        <f t="shared" si="40"/>
        <v>51.354609381456982</v>
      </c>
      <c r="Y125">
        <f t="shared" si="41"/>
        <v>65.214498040169332</v>
      </c>
      <c r="Z125">
        <f>IFERROR(SUM($H$3:$H125),"")</f>
        <v>514216.647</v>
      </c>
      <c r="AA125">
        <f>IFERROR(SUM($I$3:$I125),"")</f>
        <v>706265.77899999998</v>
      </c>
      <c r="AB125">
        <f>IFERROR(SUM($J$3:$J125),"")</f>
        <v>446579.31399999995</v>
      </c>
      <c r="AC125">
        <f t="shared" si="42"/>
        <v>1152845.0929999999</v>
      </c>
      <c r="AD125">
        <f t="shared" si="43"/>
        <v>44.604140670961776</v>
      </c>
      <c r="AE125">
        <f t="shared" si="44"/>
        <v>61.262851643156544</v>
      </c>
      <c r="AF125">
        <f>IFERROR(SUM($K$3:$K125),"")</f>
        <v>481704.80099999992</v>
      </c>
      <c r="AG125">
        <f>IFERROR(SUM($L$3:$L125),"")</f>
        <v>600892.23</v>
      </c>
      <c r="AH125">
        <f>IFERROR(SUM($M$3:$M125),"")</f>
        <v>335532.73500000004</v>
      </c>
      <c r="AI125">
        <f t="shared" si="45"/>
        <v>936424.96500000008</v>
      </c>
      <c r="AJ125">
        <f t="shared" si="46"/>
        <v>51.440832848791032</v>
      </c>
      <c r="AK125">
        <f t="shared" si="47"/>
        <v>64.16875376661919</v>
      </c>
    </row>
    <row r="126" spans="1:37" x14ac:dyDescent="0.35">
      <c r="A126">
        <v>1973</v>
      </c>
      <c r="B126">
        <v>10142.714</v>
      </c>
      <c r="C126">
        <v>13968.674000000001</v>
      </c>
      <c r="D126">
        <v>9881.3320000000003</v>
      </c>
      <c r="E126">
        <v>10276.799999999999</v>
      </c>
      <c r="F126">
        <v>14263.343999999999</v>
      </c>
      <c r="G126">
        <v>8182.0119999999997</v>
      </c>
      <c r="H126">
        <v>10142.714</v>
      </c>
      <c r="I126">
        <v>13968.674000000001</v>
      </c>
      <c r="J126">
        <v>9881.0869999999995</v>
      </c>
      <c r="K126">
        <v>10176.486000000001</v>
      </c>
      <c r="L126">
        <v>13724.166999999999</v>
      </c>
      <c r="M126">
        <v>8248.6129999999994</v>
      </c>
      <c r="N126">
        <f>IFERROR(SUM($B$3:$B126),"")</f>
        <v>524359.35999999987</v>
      </c>
      <c r="O126">
        <f>IFERROR(SUM($C$3:$C126),"")</f>
        <v>720234.44899999979</v>
      </c>
      <c r="P126">
        <f>IFERROR(SUM($D$3:$D126),"")</f>
        <v>456462.06699999998</v>
      </c>
      <c r="Q126">
        <f t="shared" si="36"/>
        <v>1176696.5159999998</v>
      </c>
      <c r="R126">
        <f t="shared" si="37"/>
        <v>44.561987978215441</v>
      </c>
      <c r="S126">
        <f t="shared" si="38"/>
        <v>61.208173832988543</v>
      </c>
      <c r="T126">
        <f>IFERROR(SUM($E$3:$E126),"")</f>
        <v>458161.48699999996</v>
      </c>
      <c r="U126">
        <f>IFERROR(SUM($F$3:$F126),"")</f>
        <v>583025.82500000019</v>
      </c>
      <c r="V126">
        <f>IFERROR(SUM($G$3:$G126),"")</f>
        <v>311560.69299999997</v>
      </c>
      <c r="W126">
        <f t="shared" si="39"/>
        <v>894586.51800000016</v>
      </c>
      <c r="X126">
        <f t="shared" si="40"/>
        <v>51.214888418427954</v>
      </c>
      <c r="Y126">
        <f t="shared" si="41"/>
        <v>65.172659465453748</v>
      </c>
      <c r="Z126">
        <f>IFERROR(SUM($H$3:$H126),"")</f>
        <v>524359.36100000003</v>
      </c>
      <c r="AA126">
        <f>IFERROR(SUM($I$3:$I126),"")</f>
        <v>720234.45299999998</v>
      </c>
      <c r="AB126">
        <f>IFERROR(SUM($J$3:$J126),"")</f>
        <v>456460.40099999995</v>
      </c>
      <c r="AC126">
        <f t="shared" si="42"/>
        <v>1176694.8539999998</v>
      </c>
      <c r="AD126">
        <f t="shared" si="43"/>
        <v>44.562051003921546</v>
      </c>
      <c r="AE126">
        <f t="shared" si="44"/>
        <v>61.208260625230892</v>
      </c>
      <c r="AF126">
        <f>IFERROR(SUM($K$3:$K126),"")</f>
        <v>491881.28699999989</v>
      </c>
      <c r="AG126">
        <f>IFERROR(SUM($L$3:$L126),"")</f>
        <v>614616.397</v>
      </c>
      <c r="AH126">
        <f>IFERROR(SUM($M$3:$M126),"")</f>
        <v>343781.34800000006</v>
      </c>
      <c r="AI126">
        <f t="shared" si="45"/>
        <v>958397.74500000011</v>
      </c>
      <c r="AJ126">
        <f t="shared" si="46"/>
        <v>51.323293441179771</v>
      </c>
      <c r="AK126">
        <f t="shared" si="47"/>
        <v>64.129574616225753</v>
      </c>
    </row>
    <row r="127" spans="1:37" x14ac:dyDescent="0.35">
      <c r="A127">
        <v>1974</v>
      </c>
      <c r="B127">
        <v>9893.0640000000003</v>
      </c>
      <c r="C127">
        <v>13806.355</v>
      </c>
      <c r="D127">
        <v>9971.0640000000003</v>
      </c>
      <c r="E127">
        <v>9964.0149999999994</v>
      </c>
      <c r="F127">
        <v>14012.093999999999</v>
      </c>
      <c r="G127">
        <v>8341.5689999999995</v>
      </c>
      <c r="H127">
        <v>9893.0640000000003</v>
      </c>
      <c r="I127">
        <v>13806.355</v>
      </c>
      <c r="J127">
        <v>9970.7450000000008</v>
      </c>
      <c r="K127">
        <v>9954.2870000000003</v>
      </c>
      <c r="L127">
        <v>13642.659</v>
      </c>
      <c r="M127">
        <v>8429.19</v>
      </c>
      <c r="N127">
        <f>IFERROR(SUM($B$3:$B127),"")</f>
        <v>534252.42399999988</v>
      </c>
      <c r="O127">
        <f>IFERROR(SUM($C$3:$C127),"")</f>
        <v>734040.80399999977</v>
      </c>
      <c r="P127">
        <f>IFERROR(SUM($D$3:$D127),"")</f>
        <v>466433.13099999999</v>
      </c>
      <c r="Q127">
        <f t="shared" si="36"/>
        <v>1200473.9349999998</v>
      </c>
      <c r="R127">
        <f t="shared" si="37"/>
        <v>44.503458877680671</v>
      </c>
      <c r="S127">
        <f t="shared" si="38"/>
        <v>61.145917674589064</v>
      </c>
      <c r="T127">
        <f>IFERROR(SUM($E$3:$E127),"")</f>
        <v>468125.50199999998</v>
      </c>
      <c r="U127">
        <f>IFERROR(SUM($F$3:$F127),"")</f>
        <v>597037.91900000023</v>
      </c>
      <c r="V127">
        <f>IFERROR(SUM($G$3:$G127),"")</f>
        <v>319902.26199999999</v>
      </c>
      <c r="W127">
        <f t="shared" si="39"/>
        <v>916940.18100000022</v>
      </c>
      <c r="X127">
        <f t="shared" si="40"/>
        <v>51.053003423786038</v>
      </c>
      <c r="Y127">
        <f t="shared" si="41"/>
        <v>65.111981279834438</v>
      </c>
      <c r="Z127">
        <f>IFERROR(SUM($H$3:$H127),"")</f>
        <v>534252.42500000005</v>
      </c>
      <c r="AA127">
        <f>IFERROR(SUM($I$3:$I127),"")</f>
        <v>734040.80799999996</v>
      </c>
      <c r="AB127">
        <f>IFERROR(SUM($J$3:$J127),"")</f>
        <v>466431.14599999995</v>
      </c>
      <c r="AC127">
        <f t="shared" si="42"/>
        <v>1200471.9539999999</v>
      </c>
      <c r="AD127">
        <f t="shared" si="43"/>
        <v>44.503532399891462</v>
      </c>
      <c r="AE127">
        <f t="shared" si="44"/>
        <v>61.146018909826196</v>
      </c>
      <c r="AF127">
        <f>IFERROR(SUM($K$3:$K127),"")</f>
        <v>501835.57399999991</v>
      </c>
      <c r="AG127">
        <f>IFERROR(SUM($L$3:$L127),"")</f>
        <v>628259.05599999998</v>
      </c>
      <c r="AH127">
        <f>IFERROR(SUM($M$3:$M127),"")</f>
        <v>352210.53800000006</v>
      </c>
      <c r="AI127">
        <f t="shared" si="45"/>
        <v>980469.59400000004</v>
      </c>
      <c r="AJ127">
        <f t="shared" si="46"/>
        <v>51.18318579902845</v>
      </c>
      <c r="AK127">
        <f t="shared" si="47"/>
        <v>64.077362505134445</v>
      </c>
    </row>
    <row r="128" spans="1:37" x14ac:dyDescent="0.35">
      <c r="A128">
        <v>1975</v>
      </c>
      <c r="B128">
        <v>9563.8349999999991</v>
      </c>
      <c r="C128">
        <v>13634.519</v>
      </c>
      <c r="D128">
        <v>9894.8150000000005</v>
      </c>
      <c r="E128">
        <v>9534.3209999999999</v>
      </c>
      <c r="F128">
        <v>13729.491</v>
      </c>
      <c r="G128">
        <v>8526.8880000000008</v>
      </c>
      <c r="H128">
        <v>9563.8349999999991</v>
      </c>
      <c r="I128">
        <v>13634.519</v>
      </c>
      <c r="J128">
        <v>9894.4850000000006</v>
      </c>
      <c r="K128">
        <v>9567.0380000000005</v>
      </c>
      <c r="L128">
        <v>13363.592000000001</v>
      </c>
      <c r="M128">
        <v>8634.35</v>
      </c>
      <c r="N128">
        <f>IFERROR(SUM($B$3:$B128),"")</f>
        <v>543816.25899999985</v>
      </c>
      <c r="O128">
        <f>IFERROR(SUM($C$3:$C128),"")</f>
        <v>747675.32299999974</v>
      </c>
      <c r="P128">
        <f>IFERROR(SUM($D$3:$D128),"")</f>
        <v>476327.946</v>
      </c>
      <c r="Q128">
        <f t="shared" si="36"/>
        <v>1224003.2689999999</v>
      </c>
      <c r="R128">
        <f t="shared" si="37"/>
        <v>44.429314265172927</v>
      </c>
      <c r="S128">
        <f t="shared" si="38"/>
        <v>61.084422071098231</v>
      </c>
      <c r="T128">
        <f>IFERROR(SUM($E$3:$E128),"")</f>
        <v>477659.82299999997</v>
      </c>
      <c r="U128">
        <f>IFERROR(SUM($F$3:$F128),"")</f>
        <v>610767.41000000027</v>
      </c>
      <c r="V128">
        <f>IFERROR(SUM($G$3:$G128),"")</f>
        <v>328429.14999999997</v>
      </c>
      <c r="W128">
        <f t="shared" si="39"/>
        <v>939196.56000000029</v>
      </c>
      <c r="X128">
        <f t="shared" si="40"/>
        <v>50.858344604669313</v>
      </c>
      <c r="Y128">
        <f t="shared" si="41"/>
        <v>65.030839763723165</v>
      </c>
      <c r="Z128">
        <f>IFERROR(SUM($H$3:$H128),"")</f>
        <v>543816.26</v>
      </c>
      <c r="AA128">
        <f>IFERROR(SUM($I$3:$I128),"")</f>
        <v>747675.32699999993</v>
      </c>
      <c r="AB128">
        <f>IFERROR(SUM($J$3:$J128),"")</f>
        <v>476325.63099999994</v>
      </c>
      <c r="AC128">
        <f t="shared" si="42"/>
        <v>1224000.9579999999</v>
      </c>
      <c r="AD128">
        <f t="shared" si="43"/>
        <v>44.429398232546156</v>
      </c>
      <c r="AE128">
        <f t="shared" si="44"/>
        <v>61.084537729585662</v>
      </c>
      <c r="AF128">
        <f>IFERROR(SUM($K$3:$K128),"")</f>
        <v>511402.61199999991</v>
      </c>
      <c r="AG128">
        <f>IFERROR(SUM($L$3:$L128),"")</f>
        <v>641622.64799999993</v>
      </c>
      <c r="AH128">
        <f>IFERROR(SUM($M$3:$M128),"")</f>
        <v>360844.88800000004</v>
      </c>
      <c r="AI128">
        <f t="shared" si="45"/>
        <v>1002467.536</v>
      </c>
      <c r="AJ128">
        <f t="shared" si="46"/>
        <v>51.014381377433452</v>
      </c>
      <c r="AK128">
        <f t="shared" si="47"/>
        <v>64.004331807110006</v>
      </c>
    </row>
    <row r="129" spans="1:37" x14ac:dyDescent="0.35">
      <c r="A129">
        <v>1976</v>
      </c>
      <c r="B129">
        <v>10041.337</v>
      </c>
      <c r="C129">
        <v>14289.133</v>
      </c>
      <c r="D129">
        <v>9948.3700000000008</v>
      </c>
      <c r="E129">
        <v>10109.978999999999</v>
      </c>
      <c r="F129">
        <v>14459.647999999999</v>
      </c>
      <c r="G129">
        <v>8976.2690000000002</v>
      </c>
      <c r="H129">
        <v>10041.337</v>
      </c>
      <c r="I129">
        <v>14289.133</v>
      </c>
      <c r="J129">
        <v>9948.1319999999996</v>
      </c>
      <c r="K129">
        <v>10010.825999999999</v>
      </c>
      <c r="L129">
        <v>14007.681</v>
      </c>
      <c r="M129">
        <v>8889.107</v>
      </c>
      <c r="N129">
        <f>IFERROR(SUM($B$3:$B129),"")</f>
        <v>553857.5959999999</v>
      </c>
      <c r="O129">
        <f>IFERROR(SUM($C$3:$C129),"")</f>
        <v>761964.45599999977</v>
      </c>
      <c r="P129">
        <f>IFERROR(SUM($D$3:$D129),"")</f>
        <v>486276.31599999999</v>
      </c>
      <c r="Q129">
        <f t="shared" si="36"/>
        <v>1248240.7719999999</v>
      </c>
      <c r="R129">
        <f t="shared" si="37"/>
        <v>44.371054721484448</v>
      </c>
      <c r="S129">
        <f t="shared" si="38"/>
        <v>61.043067418727112</v>
      </c>
      <c r="T129">
        <f>IFERROR(SUM($E$3:$E129),"")</f>
        <v>487769.80199999997</v>
      </c>
      <c r="U129">
        <f>IFERROR(SUM($F$3:$F129),"")</f>
        <v>625227.05800000031</v>
      </c>
      <c r="V129">
        <f>IFERROR(SUM($G$3:$G129),"")</f>
        <v>337405.41899999999</v>
      </c>
      <c r="W129">
        <f t="shared" si="39"/>
        <v>962632.4770000003</v>
      </c>
      <c r="X129">
        <f t="shared" si="40"/>
        <v>50.670407830007157</v>
      </c>
      <c r="Y129">
        <f t="shared" si="41"/>
        <v>64.949715798961165</v>
      </c>
      <c r="Z129">
        <f>IFERROR(SUM($H$3:$H129),"")</f>
        <v>553857.59700000007</v>
      </c>
      <c r="AA129">
        <f>IFERROR(SUM($I$3:$I129),"")</f>
        <v>761964.46</v>
      </c>
      <c r="AB129">
        <f>IFERROR(SUM($J$3:$J129),"")</f>
        <v>486273.76299999992</v>
      </c>
      <c r="AC129">
        <f t="shared" si="42"/>
        <v>1248238.2229999998</v>
      </c>
      <c r="AD129">
        <f t="shared" si="43"/>
        <v>44.371145410758679</v>
      </c>
      <c r="AE129">
        <f t="shared" si="44"/>
        <v>61.043192393892923</v>
      </c>
      <c r="AF129">
        <f>IFERROR(SUM($K$3:$K129),"")</f>
        <v>521413.43799999991</v>
      </c>
      <c r="AG129">
        <f>IFERROR(SUM($L$3:$L129),"")</f>
        <v>655630.32899999991</v>
      </c>
      <c r="AH129">
        <f>IFERROR(SUM($M$3:$M129),"")</f>
        <v>369733.99500000005</v>
      </c>
      <c r="AI129">
        <f t="shared" si="45"/>
        <v>1025364.324</v>
      </c>
      <c r="AJ129">
        <f t="shared" si="46"/>
        <v>50.851529139022389</v>
      </c>
      <c r="AK129">
        <f t="shared" si="47"/>
        <v>63.941207398590926</v>
      </c>
    </row>
    <row r="130" spans="1:37" x14ac:dyDescent="0.35">
      <c r="A130">
        <v>1977</v>
      </c>
      <c r="B130">
        <v>10419.695</v>
      </c>
      <c r="C130">
        <v>14771.84</v>
      </c>
      <c r="D130">
        <v>10898.955</v>
      </c>
      <c r="E130">
        <v>10198.146000000001</v>
      </c>
      <c r="F130">
        <v>14647.776</v>
      </c>
      <c r="G130">
        <v>9241.6409999999996</v>
      </c>
      <c r="H130">
        <v>10419.695</v>
      </c>
      <c r="I130">
        <v>14771.84</v>
      </c>
      <c r="J130">
        <v>10898.68</v>
      </c>
      <c r="K130">
        <v>10108.224</v>
      </c>
      <c r="L130">
        <v>14222.630999999999</v>
      </c>
      <c r="M130">
        <v>9217.0759999999991</v>
      </c>
      <c r="N130">
        <f>IFERROR(SUM($B$3:$B130),"")</f>
        <v>564277.29099999985</v>
      </c>
      <c r="O130">
        <f>IFERROR(SUM($C$3:$C130),"")</f>
        <v>776736.29599999974</v>
      </c>
      <c r="P130">
        <f>IFERROR(SUM($D$3:$D130),"")</f>
        <v>497175.27100000001</v>
      </c>
      <c r="Q130">
        <f t="shared" si="36"/>
        <v>1273911.5669999998</v>
      </c>
      <c r="R130">
        <f t="shared" si="37"/>
        <v>44.294855751160625</v>
      </c>
      <c r="S130">
        <f t="shared" si="38"/>
        <v>60.972544415243533</v>
      </c>
      <c r="T130">
        <f>IFERROR(SUM($E$3:$E130),"")</f>
        <v>497967.94799999997</v>
      </c>
      <c r="U130">
        <f>IFERROR(SUM($F$3:$F130),"")</f>
        <v>639874.83400000026</v>
      </c>
      <c r="V130">
        <f>IFERROR(SUM($G$3:$G130),"")</f>
        <v>346647.06</v>
      </c>
      <c r="W130">
        <f t="shared" si="39"/>
        <v>986521.89400000032</v>
      </c>
      <c r="X130">
        <f t="shared" si="40"/>
        <v>50.477130921130865</v>
      </c>
      <c r="Y130">
        <f t="shared" si="41"/>
        <v>64.861696216951884</v>
      </c>
      <c r="Z130">
        <f>IFERROR(SUM($H$3:$H130),"")</f>
        <v>564277.29200000002</v>
      </c>
      <c r="AA130">
        <f>IFERROR(SUM($I$3:$I130),"")</f>
        <v>776736.29999999993</v>
      </c>
      <c r="AB130">
        <f>IFERROR(SUM($J$3:$J130),"")</f>
        <v>497172.44299999991</v>
      </c>
      <c r="AC130">
        <f t="shared" si="42"/>
        <v>1273908.7429999998</v>
      </c>
      <c r="AD130">
        <f t="shared" si="43"/>
        <v>44.294954022464083</v>
      </c>
      <c r="AE130">
        <f t="shared" si="44"/>
        <v>60.972679893131101</v>
      </c>
      <c r="AF130">
        <f>IFERROR(SUM($K$3:$K130),"")</f>
        <v>531521.66199999989</v>
      </c>
      <c r="AG130">
        <f>IFERROR(SUM($L$3:$L130),"")</f>
        <v>669852.96</v>
      </c>
      <c r="AH130">
        <f>IFERROR(SUM($M$3:$M130),"")</f>
        <v>378951.07100000005</v>
      </c>
      <c r="AI130">
        <f t="shared" si="45"/>
        <v>1048804.031</v>
      </c>
      <c r="AJ130">
        <f t="shared" si="46"/>
        <v>50.678834776522699</v>
      </c>
      <c r="AK130">
        <f t="shared" si="47"/>
        <v>63.868267111952015</v>
      </c>
    </row>
    <row r="131" spans="1:37" x14ac:dyDescent="0.35">
      <c r="A131">
        <v>1978</v>
      </c>
      <c r="B131">
        <v>10499.709000000001</v>
      </c>
      <c r="C131">
        <v>15014.12</v>
      </c>
      <c r="D131">
        <v>11212.773999999999</v>
      </c>
      <c r="E131">
        <v>10455.737999999999</v>
      </c>
      <c r="F131">
        <v>15020.124</v>
      </c>
      <c r="G131">
        <v>9533.3089999999993</v>
      </c>
      <c r="H131">
        <v>10499.71</v>
      </c>
      <c r="I131">
        <v>15014.12</v>
      </c>
      <c r="J131">
        <v>11212.572</v>
      </c>
      <c r="K131">
        <v>10287.269</v>
      </c>
      <c r="L131">
        <v>14520.813</v>
      </c>
      <c r="M131">
        <v>9598.1959999999999</v>
      </c>
      <c r="N131">
        <f>IFERROR(SUM($B$3:$B131),"")</f>
        <v>574776.99999999988</v>
      </c>
      <c r="O131">
        <f>IFERROR(SUM($C$3:$C131),"")</f>
        <v>791750.41599999974</v>
      </c>
      <c r="P131">
        <f>IFERROR(SUM($D$3:$D131),"")</f>
        <v>508388.04499999998</v>
      </c>
      <c r="Q131">
        <f t="shared" ref="Q131:Q162" si="48">IFERROR(O131+P131,"")</f>
        <v>1300138.4609999997</v>
      </c>
      <c r="R131">
        <f t="shared" ref="R131:R162" si="49">IFERROR(N131/Q131*100,NA())</f>
        <v>44.208906761969871</v>
      </c>
      <c r="S131">
        <f t="shared" ref="S131:S162" si="50">IFERROR(O131/Q131*100,NA())</f>
        <v>60.897392066305464</v>
      </c>
      <c r="T131">
        <f>IFERROR(SUM($E$3:$E131),"")</f>
        <v>508423.68599999999</v>
      </c>
      <c r="U131">
        <f>IFERROR(SUM($F$3:$F131),"")</f>
        <v>654894.95800000022</v>
      </c>
      <c r="V131">
        <f>IFERROR(SUM($G$3:$G131),"")</f>
        <v>356180.36900000001</v>
      </c>
      <c r="W131">
        <f t="shared" ref="W131:W162" si="51">IFERROR(U131+V131,"")</f>
        <v>1011075.3270000003</v>
      </c>
      <c r="X131">
        <f t="shared" ref="X131:X162" si="52">IFERROR(T131/W131*100,NA())</f>
        <v>50.28544089870762</v>
      </c>
      <c r="Y131">
        <f t="shared" ref="Y131:Y162" si="53">IFERROR(U131/W131*100,NA())</f>
        <v>64.772123353377026</v>
      </c>
      <c r="Z131">
        <f>IFERROR(SUM($H$3:$H131),"")</f>
        <v>574777.00199999998</v>
      </c>
      <c r="AA131">
        <f>IFERROR(SUM($I$3:$I131),"")</f>
        <v>791750.41999999993</v>
      </c>
      <c r="AB131">
        <f>IFERROR(SUM($J$3:$J131),"")</f>
        <v>508385.0149999999</v>
      </c>
      <c r="AC131">
        <f t="shared" ref="AC131:AC162" si="54">IFERROR(AA131+AB131,"")</f>
        <v>1300135.4349999998</v>
      </c>
      <c r="AD131">
        <f t="shared" ref="AD131:AD162" si="55">IFERROR(Z131/AC131*100,NA())</f>
        <v>44.209009809812628</v>
      </c>
      <c r="AE131">
        <f t="shared" ref="AE131:AE162" si="56">IFERROR(AA131/AC131*100,NA())</f>
        <v>60.897534109590666</v>
      </c>
      <c r="AF131">
        <f>IFERROR(SUM($K$3:$K131),"")</f>
        <v>541808.93099999987</v>
      </c>
      <c r="AG131">
        <f>IFERROR(SUM($L$3:$L131),"")</f>
        <v>684373.77299999993</v>
      </c>
      <c r="AH131">
        <f>IFERROR(SUM($M$3:$M131),"")</f>
        <v>388549.26700000005</v>
      </c>
      <c r="AI131">
        <f t="shared" ref="AI131:AI162" si="57">IFERROR(AG131+AH131,"")</f>
        <v>1072923.04</v>
      </c>
      <c r="AJ131">
        <f t="shared" ref="AJ131:AJ162" si="58">IFERROR(AF131/AI131*100,NA())</f>
        <v>50.498396511272588</v>
      </c>
      <c r="AK131">
        <f t="shared" ref="AK131:AK162" si="59">IFERROR(AG131/AI131*100,NA())</f>
        <v>63.785914505107456</v>
      </c>
    </row>
    <row r="132" spans="1:37" x14ac:dyDescent="0.35">
      <c r="A132">
        <v>1979</v>
      </c>
      <c r="B132">
        <v>10722.335999999999</v>
      </c>
      <c r="C132">
        <v>15188.069</v>
      </c>
      <c r="D132">
        <v>10500.963</v>
      </c>
      <c r="E132">
        <v>10720.686</v>
      </c>
      <c r="F132">
        <v>15299.467000000001</v>
      </c>
      <c r="G132">
        <v>9682.7980000000007</v>
      </c>
      <c r="H132">
        <v>10722.335999999999</v>
      </c>
      <c r="I132">
        <v>15188.069</v>
      </c>
      <c r="J132">
        <v>10500.739</v>
      </c>
      <c r="K132">
        <v>10514.467000000001</v>
      </c>
      <c r="L132">
        <v>14742.777</v>
      </c>
      <c r="M132">
        <v>9545.2309999999998</v>
      </c>
      <c r="N132">
        <f>IFERROR(SUM($B$3:$B132),"")</f>
        <v>585499.33599999989</v>
      </c>
      <c r="O132">
        <f>IFERROR(SUM($C$3:$C132),"")</f>
        <v>806938.48499999975</v>
      </c>
      <c r="P132">
        <f>IFERROR(SUM($D$3:$D132),"")</f>
        <v>518889.00799999997</v>
      </c>
      <c r="Q132">
        <f t="shared" si="48"/>
        <v>1325827.4929999998</v>
      </c>
      <c r="R132">
        <f t="shared" si="49"/>
        <v>44.161049540100308</v>
      </c>
      <c r="S132">
        <f t="shared" si="50"/>
        <v>60.863007386738502</v>
      </c>
      <c r="T132">
        <f>IFERROR(SUM($E$3:$E132),"")</f>
        <v>519144.37199999997</v>
      </c>
      <c r="U132">
        <f>IFERROR(SUM($F$3:$F132),"")</f>
        <v>670194.42500000016</v>
      </c>
      <c r="V132">
        <f>IFERROR(SUM($G$3:$G132),"")</f>
        <v>365863.16700000002</v>
      </c>
      <c r="W132">
        <f t="shared" si="51"/>
        <v>1036057.5920000002</v>
      </c>
      <c r="X132">
        <f t="shared" si="52"/>
        <v>50.107675095343531</v>
      </c>
      <c r="Y132">
        <f t="shared" si="53"/>
        <v>64.686985566725141</v>
      </c>
      <c r="Z132">
        <f>IFERROR(SUM($H$3:$H132),"")</f>
        <v>585499.33799999999</v>
      </c>
      <c r="AA132">
        <f>IFERROR(SUM($I$3:$I132),"")</f>
        <v>806938.48899999994</v>
      </c>
      <c r="AB132">
        <f>IFERROR(SUM($J$3:$J132),"")</f>
        <v>518885.7539999999</v>
      </c>
      <c r="AC132">
        <f t="shared" si="54"/>
        <v>1325824.2429999998</v>
      </c>
      <c r="AD132">
        <f t="shared" si="55"/>
        <v>44.161157943164874</v>
      </c>
      <c r="AE132">
        <f t="shared" si="56"/>
        <v>60.8631568822505</v>
      </c>
      <c r="AF132">
        <f>IFERROR(SUM($K$3:$K132),"")</f>
        <v>552323.39799999981</v>
      </c>
      <c r="AG132">
        <f>IFERROR(SUM($L$3:$L132),"")</f>
        <v>699116.54999999993</v>
      </c>
      <c r="AH132">
        <f>IFERROR(SUM($M$3:$M132),"")</f>
        <v>398094.49800000002</v>
      </c>
      <c r="AI132">
        <f t="shared" si="57"/>
        <v>1097211.048</v>
      </c>
      <c r="AJ132">
        <f t="shared" si="58"/>
        <v>50.338847663517129</v>
      </c>
      <c r="AK132">
        <f t="shared" si="59"/>
        <v>63.717600298898923</v>
      </c>
    </row>
    <row r="133" spans="1:37" x14ac:dyDescent="0.35">
      <c r="A133">
        <v>1980</v>
      </c>
      <c r="B133">
        <v>10470.843000000001</v>
      </c>
      <c r="C133">
        <v>15222.822</v>
      </c>
      <c r="D133">
        <v>10591.092000000001</v>
      </c>
      <c r="E133">
        <v>10338.017</v>
      </c>
      <c r="F133">
        <v>15026.342000000001</v>
      </c>
      <c r="G133">
        <v>9606.4779999999992</v>
      </c>
      <c r="H133">
        <v>10470.843000000001</v>
      </c>
      <c r="I133">
        <v>15222.822</v>
      </c>
      <c r="J133">
        <v>10590.834999999999</v>
      </c>
      <c r="K133">
        <v>10255.226000000001</v>
      </c>
      <c r="L133">
        <v>14715.505999999999</v>
      </c>
      <c r="M133">
        <v>9502.5889999999999</v>
      </c>
      <c r="N133">
        <f>IFERROR(SUM($B$3:$B133),"")</f>
        <v>595970.17899999989</v>
      </c>
      <c r="O133">
        <f>IFERROR(SUM($C$3:$C133),"")</f>
        <v>822161.3069999998</v>
      </c>
      <c r="P133">
        <f>IFERROR(SUM($D$3:$D133),"")</f>
        <v>529480.1</v>
      </c>
      <c r="Q133">
        <f t="shared" si="48"/>
        <v>1351641.4069999997</v>
      </c>
      <c r="R133">
        <f t="shared" si="49"/>
        <v>44.092329216428041</v>
      </c>
      <c r="S133">
        <f t="shared" si="50"/>
        <v>60.82688076453698</v>
      </c>
      <c r="T133">
        <f>IFERROR(SUM($E$3:$E133),"")</f>
        <v>529482.38899999997</v>
      </c>
      <c r="U133">
        <f>IFERROR(SUM($F$3:$F133),"")</f>
        <v>685220.76700000011</v>
      </c>
      <c r="V133">
        <f>IFERROR(SUM($G$3:$G133),"")</f>
        <v>375469.64500000002</v>
      </c>
      <c r="W133">
        <f t="shared" si="51"/>
        <v>1060690.412</v>
      </c>
      <c r="X133">
        <f t="shared" si="52"/>
        <v>49.918655152319786</v>
      </c>
      <c r="Y133">
        <f t="shared" si="53"/>
        <v>64.601391626419272</v>
      </c>
      <c r="Z133">
        <f>IFERROR(SUM($H$3:$H133),"")</f>
        <v>595970.18099999998</v>
      </c>
      <c r="AA133">
        <f>IFERROR(SUM($I$3:$I133),"")</f>
        <v>822161.31099999999</v>
      </c>
      <c r="AB133">
        <f>IFERROR(SUM($J$3:$J133),"")</f>
        <v>529476.58899999992</v>
      </c>
      <c r="AC133">
        <f t="shared" si="54"/>
        <v>1351637.9</v>
      </c>
      <c r="AD133">
        <f t="shared" si="55"/>
        <v>44.09244376766884</v>
      </c>
      <c r="AE133">
        <f t="shared" si="56"/>
        <v>60.827038883712866</v>
      </c>
      <c r="AF133">
        <f>IFERROR(SUM($K$3:$K133),"")</f>
        <v>562578.62399999984</v>
      </c>
      <c r="AG133">
        <f>IFERROR(SUM($L$3:$L133),"")</f>
        <v>713832.05599999998</v>
      </c>
      <c r="AH133">
        <f>IFERROR(SUM($M$3:$M133),"")</f>
        <v>407597.087</v>
      </c>
      <c r="AI133">
        <f t="shared" si="57"/>
        <v>1121429.1429999999</v>
      </c>
      <c r="AJ133">
        <f t="shared" si="58"/>
        <v>50.166221157318347</v>
      </c>
      <c r="AK133">
        <f t="shared" si="59"/>
        <v>63.653781467671386</v>
      </c>
    </row>
    <row r="134" spans="1:37" x14ac:dyDescent="0.35">
      <c r="A134">
        <v>1981</v>
      </c>
      <c r="B134">
        <v>10087.187</v>
      </c>
      <c r="C134">
        <v>14563.036</v>
      </c>
      <c r="D134">
        <v>10596.503000000001</v>
      </c>
      <c r="E134">
        <v>9961.0859999999993</v>
      </c>
      <c r="F134">
        <v>14510.741</v>
      </c>
      <c r="G134">
        <v>9717.7520000000004</v>
      </c>
      <c r="H134">
        <v>10087.186</v>
      </c>
      <c r="I134">
        <v>14563.036</v>
      </c>
      <c r="J134">
        <v>10596.243</v>
      </c>
      <c r="K134">
        <v>9845.634</v>
      </c>
      <c r="L134">
        <v>14088.19</v>
      </c>
      <c r="M134">
        <v>9497.9889999999996</v>
      </c>
      <c r="N134">
        <f>IFERROR(SUM($B$3:$B134),"")</f>
        <v>606057.36599999992</v>
      </c>
      <c r="O134">
        <f>IFERROR(SUM($C$3:$C134),"")</f>
        <v>836724.34299999976</v>
      </c>
      <c r="P134">
        <f>IFERROR(SUM($D$3:$D134),"")</f>
        <v>540076.603</v>
      </c>
      <c r="Q134">
        <f t="shared" si="48"/>
        <v>1376800.9459999998</v>
      </c>
      <c r="R134">
        <f t="shared" si="49"/>
        <v>44.019243868241794</v>
      </c>
      <c r="S134">
        <f t="shared" si="50"/>
        <v>60.773080192232811</v>
      </c>
      <c r="T134">
        <f>IFERROR(SUM($E$3:$E134),"")</f>
        <v>539443.47499999998</v>
      </c>
      <c r="U134">
        <f>IFERROR(SUM($F$3:$F134),"")</f>
        <v>699731.50800000015</v>
      </c>
      <c r="V134">
        <f>IFERROR(SUM($G$3:$G134),"")</f>
        <v>385187.397</v>
      </c>
      <c r="W134">
        <f t="shared" si="51"/>
        <v>1084918.9050000003</v>
      </c>
      <c r="X134">
        <f t="shared" si="52"/>
        <v>49.722008945912862</v>
      </c>
      <c r="Y134">
        <f t="shared" si="53"/>
        <v>64.496203796909583</v>
      </c>
      <c r="Z134">
        <f>IFERROR(SUM($H$3:$H134),"")</f>
        <v>606057.36699999997</v>
      </c>
      <c r="AA134">
        <f>IFERROR(SUM($I$3:$I134),"")</f>
        <v>836724.34699999995</v>
      </c>
      <c r="AB134">
        <f>IFERROR(SUM($J$3:$J134),"")</f>
        <v>540072.83199999994</v>
      </c>
      <c r="AC134">
        <f t="shared" si="54"/>
        <v>1376797.179</v>
      </c>
      <c r="AD134">
        <f t="shared" si="55"/>
        <v>44.019364380176434</v>
      </c>
      <c r="AE134">
        <f t="shared" si="56"/>
        <v>60.773246761569666</v>
      </c>
      <c r="AF134">
        <f>IFERROR(SUM($K$3:$K134),"")</f>
        <v>572424.2579999998</v>
      </c>
      <c r="AG134">
        <f>IFERROR(SUM($L$3:$L134),"")</f>
        <v>727920.24599999993</v>
      </c>
      <c r="AH134">
        <f>IFERROR(SUM($M$3:$M134),"")</f>
        <v>417095.076</v>
      </c>
      <c r="AI134">
        <f t="shared" si="57"/>
        <v>1145015.3219999999</v>
      </c>
      <c r="AJ134">
        <f t="shared" si="58"/>
        <v>49.992715992668593</v>
      </c>
      <c r="AK134">
        <f t="shared" si="59"/>
        <v>63.572969899524189</v>
      </c>
    </row>
    <row r="135" spans="1:37" x14ac:dyDescent="0.35">
      <c r="A135">
        <v>1982</v>
      </c>
      <c r="B135">
        <v>9597.0169999999998</v>
      </c>
      <c r="C135">
        <v>14161.383</v>
      </c>
      <c r="D135">
        <v>10410.565000000001</v>
      </c>
      <c r="E135">
        <v>9507.5059999999994</v>
      </c>
      <c r="F135">
        <v>14117.93</v>
      </c>
      <c r="G135">
        <v>10598.344999999999</v>
      </c>
      <c r="H135">
        <v>9597.0169999999998</v>
      </c>
      <c r="I135">
        <v>14161.383</v>
      </c>
      <c r="J135">
        <v>10410.334000000001</v>
      </c>
      <c r="K135">
        <v>9401.1129999999994</v>
      </c>
      <c r="L135">
        <v>13736.4</v>
      </c>
      <c r="M135">
        <v>9621.8739999999998</v>
      </c>
      <c r="N135">
        <f>IFERROR(SUM($B$3:$B135),"")</f>
        <v>615654.38299999991</v>
      </c>
      <c r="O135">
        <f>IFERROR(SUM($C$3:$C135),"")</f>
        <v>850885.72599999979</v>
      </c>
      <c r="P135">
        <f>IFERROR(SUM($D$3:$D135),"")</f>
        <v>550487.16799999995</v>
      </c>
      <c r="Q135">
        <f t="shared" si="48"/>
        <v>1401372.8939999999</v>
      </c>
      <c r="R135">
        <f t="shared" si="49"/>
        <v>43.932231430758641</v>
      </c>
      <c r="S135">
        <f t="shared" si="50"/>
        <v>60.718009435110417</v>
      </c>
      <c r="T135">
        <f>IFERROR(SUM($E$3:$E135),"")</f>
        <v>548950.98100000003</v>
      </c>
      <c r="U135">
        <f>IFERROR(SUM($F$3:$F135),"")</f>
        <v>713849.4380000002</v>
      </c>
      <c r="V135">
        <f>IFERROR(SUM($G$3:$G135),"")</f>
        <v>395785.74199999997</v>
      </c>
      <c r="W135">
        <f t="shared" si="51"/>
        <v>1109635.1800000002</v>
      </c>
      <c r="X135">
        <f t="shared" si="52"/>
        <v>49.471302901553635</v>
      </c>
      <c r="Y135">
        <f t="shared" si="53"/>
        <v>64.331903932606039</v>
      </c>
      <c r="Z135">
        <f>IFERROR(SUM($H$3:$H135),"")</f>
        <v>615654.38399999996</v>
      </c>
      <c r="AA135">
        <f>IFERROR(SUM($I$3:$I135),"")</f>
        <v>850885.73</v>
      </c>
      <c r="AB135">
        <f>IFERROR(SUM($J$3:$J135),"")</f>
        <v>550483.16599999997</v>
      </c>
      <c r="AC135">
        <f t="shared" si="54"/>
        <v>1401368.8959999999</v>
      </c>
      <c r="AD135">
        <f t="shared" si="55"/>
        <v>43.932356837467587</v>
      </c>
      <c r="AE135">
        <f t="shared" si="56"/>
        <v>60.71818294445719</v>
      </c>
      <c r="AF135">
        <f>IFERROR(SUM($K$3:$K135),"")</f>
        <v>581825.37099999981</v>
      </c>
      <c r="AG135">
        <f>IFERROR(SUM($L$3:$L135),"")</f>
        <v>741656.64599999995</v>
      </c>
      <c r="AH135">
        <f>IFERROR(SUM($M$3:$M135),"")</f>
        <v>426716.95</v>
      </c>
      <c r="AI135">
        <f t="shared" si="57"/>
        <v>1168373.5959999999</v>
      </c>
      <c r="AJ135">
        <f t="shared" si="58"/>
        <v>49.79788767838604</v>
      </c>
      <c r="AK135">
        <f t="shared" si="59"/>
        <v>63.477696563762478</v>
      </c>
    </row>
    <row r="136" spans="1:37" x14ac:dyDescent="0.35">
      <c r="A136">
        <v>1983</v>
      </c>
      <c r="B136">
        <v>9726.5939999999991</v>
      </c>
      <c r="C136">
        <v>14380.71</v>
      </c>
      <c r="D136">
        <v>10900.24</v>
      </c>
      <c r="E136">
        <v>9462.8719999999994</v>
      </c>
      <c r="F136">
        <v>14118.761</v>
      </c>
      <c r="G136">
        <v>10974.083000000001</v>
      </c>
      <c r="H136">
        <v>9726.5930000000008</v>
      </c>
      <c r="I136">
        <v>14380.71</v>
      </c>
      <c r="J136">
        <v>10900.002</v>
      </c>
      <c r="K136">
        <v>9305.6959999999999</v>
      </c>
      <c r="L136">
        <v>13648.347</v>
      </c>
      <c r="M136">
        <v>9968.2999999999993</v>
      </c>
      <c r="N136">
        <f>IFERROR(SUM($B$3:$B136),"")</f>
        <v>625380.97699999996</v>
      </c>
      <c r="O136">
        <f>IFERROR(SUM($C$3:$C136),"")</f>
        <v>865266.43599999975</v>
      </c>
      <c r="P136">
        <f>IFERROR(SUM($D$3:$D136),"")</f>
        <v>561387.40799999994</v>
      </c>
      <c r="Q136">
        <f t="shared" si="48"/>
        <v>1426653.8439999996</v>
      </c>
      <c r="R136">
        <f t="shared" si="49"/>
        <v>43.835509197282207</v>
      </c>
      <c r="S136">
        <f t="shared" si="50"/>
        <v>60.650061655741069</v>
      </c>
      <c r="T136">
        <f>IFERROR(SUM($E$3:$E136),"")</f>
        <v>558413.853</v>
      </c>
      <c r="U136">
        <f>IFERROR(SUM($F$3:$F136),"")</f>
        <v>727968.19900000026</v>
      </c>
      <c r="V136">
        <f>IFERROR(SUM($G$3:$G136),"")</f>
        <v>406759.82499999995</v>
      </c>
      <c r="W136">
        <f t="shared" si="51"/>
        <v>1134728.0240000002</v>
      </c>
      <c r="X136">
        <f t="shared" si="52"/>
        <v>49.211250730509839</v>
      </c>
      <c r="Y136">
        <f t="shared" si="53"/>
        <v>64.153540196694763</v>
      </c>
      <c r="Z136">
        <f>IFERROR(SUM($H$3:$H136),"")</f>
        <v>625380.97699999996</v>
      </c>
      <c r="AA136">
        <f>IFERROR(SUM($I$3:$I136),"")</f>
        <v>865266.44</v>
      </c>
      <c r="AB136">
        <f>IFERROR(SUM($J$3:$J136),"")</f>
        <v>561383.16799999995</v>
      </c>
      <c r="AC136">
        <f t="shared" si="54"/>
        <v>1426649.608</v>
      </c>
      <c r="AD136">
        <f t="shared" si="55"/>
        <v>43.835639353429798</v>
      </c>
      <c r="AE136">
        <f t="shared" si="56"/>
        <v>60.650242017940535</v>
      </c>
      <c r="AF136">
        <f>IFERROR(SUM($K$3:$K136),"")</f>
        <v>591131.06699999981</v>
      </c>
      <c r="AG136">
        <f>IFERROR(SUM($L$3:$L136),"")</f>
        <v>755304.9929999999</v>
      </c>
      <c r="AH136">
        <f>IFERROR(SUM($M$3:$M136),"")</f>
        <v>436685.25</v>
      </c>
      <c r="AI136">
        <f t="shared" si="57"/>
        <v>1191990.2429999998</v>
      </c>
      <c r="AJ136">
        <f t="shared" si="58"/>
        <v>49.591938396428631</v>
      </c>
      <c r="AK136">
        <f t="shared" si="59"/>
        <v>63.365031503869453</v>
      </c>
    </row>
    <row r="137" spans="1:37" x14ac:dyDescent="0.35">
      <c r="A137">
        <v>1984</v>
      </c>
      <c r="B137">
        <v>9872.8729999999996</v>
      </c>
      <c r="C137">
        <v>14577.371999999999</v>
      </c>
      <c r="D137">
        <v>11968.97</v>
      </c>
      <c r="E137">
        <v>9705.0740000000005</v>
      </c>
      <c r="F137">
        <v>14410.758</v>
      </c>
      <c r="G137">
        <v>11495.159</v>
      </c>
      <c r="H137">
        <v>9872.8729999999996</v>
      </c>
      <c r="I137">
        <v>14577.371999999999</v>
      </c>
      <c r="J137">
        <v>11968.812</v>
      </c>
      <c r="K137">
        <v>9594.9840000000004</v>
      </c>
      <c r="L137">
        <v>14009.6</v>
      </c>
      <c r="M137">
        <v>10545.804</v>
      </c>
      <c r="N137">
        <f>IFERROR(SUM($B$3:$B137),"")</f>
        <v>635253.85</v>
      </c>
      <c r="O137">
        <f>IFERROR(SUM($C$3:$C137),"")</f>
        <v>879843.80799999973</v>
      </c>
      <c r="P137">
        <f>IFERROR(SUM($D$3:$D137),"")</f>
        <v>573356.37799999991</v>
      </c>
      <c r="Q137">
        <f t="shared" si="48"/>
        <v>1453200.1859999998</v>
      </c>
      <c r="R137">
        <f t="shared" si="49"/>
        <v>43.71413216981243</v>
      </c>
      <c r="S137">
        <f t="shared" si="50"/>
        <v>60.545258421815248</v>
      </c>
      <c r="T137">
        <f>IFERROR(SUM($E$3:$E137),"")</f>
        <v>568118.92700000003</v>
      </c>
      <c r="U137">
        <f>IFERROR(SUM($F$3:$F137),"")</f>
        <v>742378.95700000029</v>
      </c>
      <c r="V137">
        <f>IFERROR(SUM($G$3:$G137),"")</f>
        <v>418254.98399999994</v>
      </c>
      <c r="W137">
        <f t="shared" si="51"/>
        <v>1160633.9410000001</v>
      </c>
      <c r="X137">
        <f t="shared" si="52"/>
        <v>48.949018887945819</v>
      </c>
      <c r="Y137">
        <f t="shared" si="53"/>
        <v>63.963229987946754</v>
      </c>
      <c r="Z137">
        <f>IFERROR(SUM($H$3:$H137),"")</f>
        <v>635253.85</v>
      </c>
      <c r="AA137">
        <f>IFERROR(SUM($I$3:$I137),"")</f>
        <v>879843.81199999992</v>
      </c>
      <c r="AB137">
        <f>IFERROR(SUM($J$3:$J137),"")</f>
        <v>573351.98</v>
      </c>
      <c r="AC137">
        <f t="shared" si="54"/>
        <v>1453195.7919999999</v>
      </c>
      <c r="AD137">
        <f t="shared" si="55"/>
        <v>43.714264347388095</v>
      </c>
      <c r="AE137">
        <f t="shared" si="56"/>
        <v>60.545441766597129</v>
      </c>
      <c r="AF137">
        <f>IFERROR(SUM($K$3:$K137),"")</f>
        <v>600726.05099999986</v>
      </c>
      <c r="AG137">
        <f>IFERROR(SUM($L$3:$L137),"")</f>
        <v>769314.59299999988</v>
      </c>
      <c r="AH137">
        <f>IFERROR(SUM($M$3:$M137),"")</f>
        <v>447231.054</v>
      </c>
      <c r="AI137">
        <f t="shared" si="57"/>
        <v>1216545.6469999999</v>
      </c>
      <c r="AJ137">
        <f t="shared" si="58"/>
        <v>49.379655624216781</v>
      </c>
      <c r="AK137">
        <f t="shared" si="59"/>
        <v>63.237626545056379</v>
      </c>
    </row>
    <row r="138" spans="1:37" x14ac:dyDescent="0.35">
      <c r="A138">
        <v>1985</v>
      </c>
      <c r="B138">
        <v>9860.8310000000001</v>
      </c>
      <c r="C138">
        <v>14857.026</v>
      </c>
      <c r="D138">
        <v>12670.642</v>
      </c>
      <c r="E138">
        <v>9755.8970000000008</v>
      </c>
      <c r="F138">
        <v>14710.352999999999</v>
      </c>
      <c r="G138">
        <v>11934.779</v>
      </c>
      <c r="H138">
        <v>9860.8320000000003</v>
      </c>
      <c r="I138">
        <v>14857.027</v>
      </c>
      <c r="J138">
        <v>12670.481</v>
      </c>
      <c r="K138">
        <v>9622.0650000000005</v>
      </c>
      <c r="L138">
        <v>14341.425999999999</v>
      </c>
      <c r="M138">
        <v>11220.213</v>
      </c>
      <c r="N138">
        <f>IFERROR(SUM($B$3:$B138),"")</f>
        <v>645114.68099999998</v>
      </c>
      <c r="O138">
        <f>IFERROR(SUM($C$3:$C138),"")</f>
        <v>894700.83399999968</v>
      </c>
      <c r="P138">
        <f>IFERROR(SUM($D$3:$D138),"")</f>
        <v>586027.0199999999</v>
      </c>
      <c r="Q138">
        <f t="shared" si="48"/>
        <v>1480727.8539999996</v>
      </c>
      <c r="R138">
        <f t="shared" si="49"/>
        <v>43.567403642560251</v>
      </c>
      <c r="S138">
        <f t="shared" si="50"/>
        <v>60.423043409569033</v>
      </c>
      <c r="T138">
        <f>IFERROR(SUM($E$3:$E138),"")</f>
        <v>577874.82400000002</v>
      </c>
      <c r="U138">
        <f>IFERROR(SUM($F$3:$F138),"")</f>
        <v>757089.31000000029</v>
      </c>
      <c r="V138">
        <f>IFERROR(SUM($G$3:$G138),"")</f>
        <v>430189.76299999992</v>
      </c>
      <c r="W138">
        <f t="shared" si="51"/>
        <v>1187279.0730000003</v>
      </c>
      <c r="X138">
        <f t="shared" si="52"/>
        <v>48.672198233885645</v>
      </c>
      <c r="Y138">
        <f t="shared" si="53"/>
        <v>63.76675267146733</v>
      </c>
      <c r="Z138">
        <f>IFERROR(SUM($H$3:$H138),"")</f>
        <v>645114.68200000003</v>
      </c>
      <c r="AA138">
        <f>IFERROR(SUM($I$3:$I138),"")</f>
        <v>894700.83899999992</v>
      </c>
      <c r="AB138">
        <f>IFERROR(SUM($J$3:$J138),"")</f>
        <v>586022.46100000001</v>
      </c>
      <c r="AC138">
        <f t="shared" si="54"/>
        <v>1480723.2999999998</v>
      </c>
      <c r="AD138">
        <f t="shared" si="55"/>
        <v>43.567537702688959</v>
      </c>
      <c r="AE138">
        <f t="shared" si="56"/>
        <v>60.423229579760104</v>
      </c>
      <c r="AF138">
        <f>IFERROR(SUM($K$3:$K138),"")</f>
        <v>610348.11599999981</v>
      </c>
      <c r="AG138">
        <f>IFERROR(SUM($L$3:$L138),"")</f>
        <v>783656.01899999985</v>
      </c>
      <c r="AH138">
        <f>IFERROR(SUM($M$3:$M138),"")</f>
        <v>458451.26699999999</v>
      </c>
      <c r="AI138">
        <f t="shared" si="57"/>
        <v>1242107.2859999998</v>
      </c>
      <c r="AJ138">
        <f t="shared" si="58"/>
        <v>49.138115755324527</v>
      </c>
      <c r="AK138">
        <f t="shared" si="59"/>
        <v>63.09084793501485</v>
      </c>
    </row>
    <row r="139" spans="1:37" x14ac:dyDescent="0.35">
      <c r="A139">
        <v>1986</v>
      </c>
      <c r="B139">
        <v>9756.5169999999998</v>
      </c>
      <c r="C139">
        <v>14802.403</v>
      </c>
      <c r="D139">
        <v>13255.824000000001</v>
      </c>
      <c r="E139">
        <v>9723.3559999999998</v>
      </c>
      <c r="F139">
        <v>14715.5</v>
      </c>
      <c r="G139">
        <v>12235.728999999999</v>
      </c>
      <c r="H139">
        <v>9756.5169999999998</v>
      </c>
      <c r="I139">
        <v>14802.403</v>
      </c>
      <c r="J139">
        <v>13255.663</v>
      </c>
      <c r="K139">
        <v>9590.0589999999993</v>
      </c>
      <c r="L139">
        <v>14296.214</v>
      </c>
      <c r="M139">
        <v>11688.737999999999</v>
      </c>
      <c r="N139">
        <f>IFERROR(SUM($B$3:$B139),"")</f>
        <v>654871.19799999997</v>
      </c>
      <c r="O139">
        <f>IFERROR(SUM($C$3:$C139),"")</f>
        <v>909503.23699999973</v>
      </c>
      <c r="P139">
        <f>IFERROR(SUM($D$3:$D139),"")</f>
        <v>599282.84399999992</v>
      </c>
      <c r="Q139">
        <f t="shared" si="48"/>
        <v>1508786.0809999998</v>
      </c>
      <c r="R139">
        <f t="shared" si="49"/>
        <v>43.403846724643799</v>
      </c>
      <c r="S139">
        <f t="shared" si="50"/>
        <v>60.28046311225215</v>
      </c>
      <c r="T139">
        <f>IFERROR(SUM($E$3:$E139),"")</f>
        <v>587598.18000000005</v>
      </c>
      <c r="U139">
        <f>IFERROR(SUM($F$3:$F139),"")</f>
        <v>771804.81000000029</v>
      </c>
      <c r="V139">
        <f>IFERROR(SUM($G$3:$G139),"")</f>
        <v>442425.49199999991</v>
      </c>
      <c r="W139">
        <f t="shared" si="51"/>
        <v>1214230.3020000001</v>
      </c>
      <c r="X139">
        <f t="shared" si="52"/>
        <v>48.392646685900282</v>
      </c>
      <c r="Y139">
        <f t="shared" si="53"/>
        <v>63.563296742696529</v>
      </c>
      <c r="Z139">
        <f>IFERROR(SUM($H$3:$H139),"")</f>
        <v>654871.19900000002</v>
      </c>
      <c r="AA139">
        <f>IFERROR(SUM($I$3:$I139),"")</f>
        <v>909503.24199999997</v>
      </c>
      <c r="AB139">
        <f>IFERROR(SUM($J$3:$J139),"")</f>
        <v>599278.12400000007</v>
      </c>
      <c r="AC139">
        <f t="shared" si="54"/>
        <v>1508781.3659999999</v>
      </c>
      <c r="AD139">
        <f t="shared" si="55"/>
        <v>43.403982429618637</v>
      </c>
      <c r="AE139">
        <f t="shared" si="56"/>
        <v>60.280651822419188</v>
      </c>
      <c r="AF139">
        <f>IFERROR(SUM($K$3:$K139),"")</f>
        <v>619938.17499999981</v>
      </c>
      <c r="AG139">
        <f>IFERROR(SUM($L$3:$L139),"")</f>
        <v>797952.23299999989</v>
      </c>
      <c r="AH139">
        <f>IFERROR(SUM($M$3:$M139),"")</f>
        <v>470140.005</v>
      </c>
      <c r="AI139">
        <f t="shared" si="57"/>
        <v>1268092.2379999999</v>
      </c>
      <c r="AJ139">
        <f t="shared" si="58"/>
        <v>48.887467048749485</v>
      </c>
      <c r="AK139">
        <f t="shared" si="59"/>
        <v>62.925409452746763</v>
      </c>
    </row>
    <row r="140" spans="1:37" x14ac:dyDescent="0.35">
      <c r="A140">
        <v>1987</v>
      </c>
      <c r="B140">
        <v>9992.5059999999994</v>
      </c>
      <c r="C140">
        <v>14990.61</v>
      </c>
      <c r="D140">
        <v>12944.21</v>
      </c>
      <c r="E140">
        <v>9981.7009999999991</v>
      </c>
      <c r="F140">
        <v>14988.269</v>
      </c>
      <c r="G140">
        <v>12548.69</v>
      </c>
      <c r="H140">
        <v>9992.5059999999994</v>
      </c>
      <c r="I140">
        <v>14990.61</v>
      </c>
      <c r="J140">
        <v>12944.045</v>
      </c>
      <c r="K140">
        <v>9821.5830000000005</v>
      </c>
      <c r="L140">
        <v>14549.349</v>
      </c>
      <c r="M140">
        <v>11808.561</v>
      </c>
      <c r="N140">
        <f>IFERROR(SUM($B$3:$B140),"")</f>
        <v>664863.70400000003</v>
      </c>
      <c r="O140">
        <f>IFERROR(SUM($C$3:$C140),"")</f>
        <v>924493.84699999972</v>
      </c>
      <c r="P140">
        <f>IFERROR(SUM($D$3:$D140),"")</f>
        <v>612227.05399999989</v>
      </c>
      <c r="Q140">
        <f t="shared" si="48"/>
        <v>1536720.9009999996</v>
      </c>
      <c r="R140">
        <f t="shared" si="49"/>
        <v>43.265091505383268</v>
      </c>
      <c r="S140">
        <f t="shared" si="50"/>
        <v>60.160166130258155</v>
      </c>
      <c r="T140">
        <f>IFERROR(SUM($E$3:$E140),"")</f>
        <v>597579.88100000005</v>
      </c>
      <c r="U140">
        <f>IFERROR(SUM($F$3:$F140),"")</f>
        <v>786793.07900000026</v>
      </c>
      <c r="V140">
        <f>IFERROR(SUM($G$3:$G140),"")</f>
        <v>454974.18199999991</v>
      </c>
      <c r="W140">
        <f t="shared" si="51"/>
        <v>1241767.2610000002</v>
      </c>
      <c r="X140">
        <f t="shared" si="52"/>
        <v>48.123339998412149</v>
      </c>
      <c r="Y140">
        <f t="shared" si="53"/>
        <v>63.360752349549998</v>
      </c>
      <c r="Z140">
        <f>IFERROR(SUM($H$3:$H140),"")</f>
        <v>664863.70500000007</v>
      </c>
      <c r="AA140">
        <f>IFERROR(SUM($I$3:$I140),"")</f>
        <v>924493.85199999996</v>
      </c>
      <c r="AB140">
        <f>IFERROR(SUM($J$3:$J140),"")</f>
        <v>612222.16900000011</v>
      </c>
      <c r="AC140">
        <f t="shared" si="54"/>
        <v>1536716.0210000002</v>
      </c>
      <c r="AD140">
        <f t="shared" si="55"/>
        <v>43.265228963211285</v>
      </c>
      <c r="AE140">
        <f t="shared" si="56"/>
        <v>60.160357500431097</v>
      </c>
      <c r="AF140">
        <f>IFERROR(SUM($K$3:$K140),"")</f>
        <v>629759.7579999998</v>
      </c>
      <c r="AG140">
        <f>IFERROR(SUM($L$3:$L140),"")</f>
        <v>812501.58199999994</v>
      </c>
      <c r="AH140">
        <f>IFERROR(SUM($M$3:$M140),"")</f>
        <v>481948.56599999999</v>
      </c>
      <c r="AI140">
        <f t="shared" si="57"/>
        <v>1294450.148</v>
      </c>
      <c r="AJ140">
        <f t="shared" si="58"/>
        <v>48.650754065192459</v>
      </c>
      <c r="AK140">
        <f t="shared" si="59"/>
        <v>62.768085990438614</v>
      </c>
    </row>
    <row r="141" spans="1:37" x14ac:dyDescent="0.35">
      <c r="A141">
        <v>1988</v>
      </c>
      <c r="B141">
        <v>10295.871999999999</v>
      </c>
      <c r="C141">
        <v>15332.401</v>
      </c>
      <c r="D141">
        <v>12958.968000000001</v>
      </c>
      <c r="E141">
        <v>10350.453</v>
      </c>
      <c r="F141">
        <v>15362.817999999999</v>
      </c>
      <c r="G141">
        <v>13042.973</v>
      </c>
      <c r="H141">
        <v>10295.871999999999</v>
      </c>
      <c r="I141">
        <v>15332.401</v>
      </c>
      <c r="J141">
        <v>12958.778</v>
      </c>
      <c r="K141">
        <v>10123.091</v>
      </c>
      <c r="L141">
        <v>14874.13</v>
      </c>
      <c r="M141">
        <v>12153.904</v>
      </c>
      <c r="N141">
        <f>IFERROR(SUM($B$3:$B141),"")</f>
        <v>675159.576</v>
      </c>
      <c r="O141">
        <f>IFERROR(SUM($C$3:$C141),"")</f>
        <v>939826.24799999967</v>
      </c>
      <c r="P141">
        <f>IFERROR(SUM($D$3:$D141),"")</f>
        <v>625186.02199999988</v>
      </c>
      <c r="Q141">
        <f t="shared" si="48"/>
        <v>1565012.2699999996</v>
      </c>
      <c r="R141">
        <f t="shared" si="49"/>
        <v>43.140848729575787</v>
      </c>
      <c r="S141">
        <f t="shared" si="50"/>
        <v>60.052324573787516</v>
      </c>
      <c r="T141">
        <f>IFERROR(SUM($E$3:$E141),"")</f>
        <v>607930.33400000003</v>
      </c>
      <c r="U141">
        <f>IFERROR(SUM($F$3:$F141),"")</f>
        <v>802155.89700000023</v>
      </c>
      <c r="V141">
        <f>IFERROR(SUM($G$3:$G141),"")</f>
        <v>468017.15499999991</v>
      </c>
      <c r="W141">
        <f t="shared" si="51"/>
        <v>1270173.0520000001</v>
      </c>
      <c r="X141">
        <f t="shared" si="52"/>
        <v>47.862008491107552</v>
      </c>
      <c r="Y141">
        <f t="shared" si="53"/>
        <v>63.153276298606286</v>
      </c>
      <c r="Z141">
        <f>IFERROR(SUM($H$3:$H141),"")</f>
        <v>675159.57700000005</v>
      </c>
      <c r="AA141">
        <f>IFERROR(SUM($I$3:$I141),"")</f>
        <v>939826.25299999991</v>
      </c>
      <c r="AB141">
        <f>IFERROR(SUM($J$3:$J141),"")</f>
        <v>625180.94700000016</v>
      </c>
      <c r="AC141">
        <f t="shared" si="54"/>
        <v>1565007.2000000002</v>
      </c>
      <c r="AD141">
        <f t="shared" si="55"/>
        <v>43.140988552640522</v>
      </c>
      <c r="AE141">
        <f t="shared" si="56"/>
        <v>60.052519438888197</v>
      </c>
      <c r="AF141">
        <f>IFERROR(SUM($K$3:$K141),"")</f>
        <v>639882.84899999981</v>
      </c>
      <c r="AG141">
        <f>IFERROR(SUM($L$3:$L141),"")</f>
        <v>827375.71199999994</v>
      </c>
      <c r="AH141">
        <f>IFERROR(SUM($M$3:$M141),"")</f>
        <v>494102.47</v>
      </c>
      <c r="AI141">
        <f t="shared" si="57"/>
        <v>1321478.182</v>
      </c>
      <c r="AJ141">
        <f t="shared" si="58"/>
        <v>48.421749047083381</v>
      </c>
      <c r="AK141">
        <f t="shared" si="59"/>
        <v>62.609865472603012</v>
      </c>
    </row>
    <row r="142" spans="1:37" x14ac:dyDescent="0.35">
      <c r="A142">
        <v>1989</v>
      </c>
      <c r="B142">
        <v>10485.145</v>
      </c>
      <c r="C142">
        <v>15365.201999999999</v>
      </c>
      <c r="D142">
        <v>12905.727000000001</v>
      </c>
      <c r="E142">
        <v>10553.686</v>
      </c>
      <c r="F142">
        <v>15425.791999999999</v>
      </c>
      <c r="G142">
        <v>13335.348</v>
      </c>
      <c r="H142">
        <v>10485.145</v>
      </c>
      <c r="I142">
        <v>15365.201999999999</v>
      </c>
      <c r="J142">
        <v>12905.492</v>
      </c>
      <c r="K142">
        <v>10301.276</v>
      </c>
      <c r="L142">
        <v>14914.56</v>
      </c>
      <c r="M142">
        <v>12256.137000000001</v>
      </c>
      <c r="N142">
        <f>IFERROR(SUM($B$3:$B142),"")</f>
        <v>685644.72100000002</v>
      </c>
      <c r="O142">
        <f>IFERROR(SUM($C$3:$C142),"")</f>
        <v>955191.44999999972</v>
      </c>
      <c r="P142">
        <f>IFERROR(SUM($D$3:$D142),"")</f>
        <v>638091.74899999984</v>
      </c>
      <c r="Q142">
        <f t="shared" si="48"/>
        <v>1593283.1989999996</v>
      </c>
      <c r="R142">
        <f t="shared" si="49"/>
        <v>43.033449510440747</v>
      </c>
      <c r="S142">
        <f t="shared" si="50"/>
        <v>59.951140550500462</v>
      </c>
      <c r="T142">
        <f>IFERROR(SUM($E$3:$E142),"")</f>
        <v>618484.02</v>
      </c>
      <c r="U142">
        <f>IFERROR(SUM($F$3:$F142),"")</f>
        <v>817581.68900000025</v>
      </c>
      <c r="V142">
        <f>IFERROR(SUM($G$3:$G142),"")</f>
        <v>481352.50299999991</v>
      </c>
      <c r="W142">
        <f t="shared" si="51"/>
        <v>1298934.1920000003</v>
      </c>
      <c r="X142">
        <f t="shared" si="52"/>
        <v>47.614730893156739</v>
      </c>
      <c r="Y142">
        <f t="shared" si="53"/>
        <v>62.942502709944833</v>
      </c>
      <c r="Z142">
        <f>IFERROR(SUM($H$3:$H142),"")</f>
        <v>685644.72200000007</v>
      </c>
      <c r="AA142">
        <f>IFERROR(SUM($I$3:$I142),"")</f>
        <v>955191.45499999996</v>
      </c>
      <c r="AB142">
        <f>IFERROR(SUM($J$3:$J142),"")</f>
        <v>638086.43900000013</v>
      </c>
      <c r="AC142">
        <f t="shared" si="54"/>
        <v>1593277.8940000001</v>
      </c>
      <c r="AD142">
        <f t="shared" si="55"/>
        <v>43.033592857970078</v>
      </c>
      <c r="AE142">
        <f t="shared" si="56"/>
        <v>59.951340478461432</v>
      </c>
      <c r="AF142">
        <f>IFERROR(SUM($K$3:$K142),"")</f>
        <v>650184.12499999977</v>
      </c>
      <c r="AG142">
        <f>IFERROR(SUM($L$3:$L142),"")</f>
        <v>842290.272</v>
      </c>
      <c r="AH142">
        <f>IFERROR(SUM($M$3:$M142),"")</f>
        <v>506358.60699999996</v>
      </c>
      <c r="AI142">
        <f t="shared" si="57"/>
        <v>1348648.879</v>
      </c>
      <c r="AJ142">
        <f t="shared" si="58"/>
        <v>48.210037106329715</v>
      </c>
      <c r="AK142">
        <f t="shared" si="59"/>
        <v>62.454378238503693</v>
      </c>
    </row>
    <row r="143" spans="1:37" x14ac:dyDescent="0.35">
      <c r="A143">
        <v>1990</v>
      </c>
      <c r="B143">
        <v>10981.573</v>
      </c>
      <c r="C143">
        <v>15927.812</v>
      </c>
      <c r="D143">
        <v>12594.893</v>
      </c>
      <c r="E143">
        <v>9397.6219999999994</v>
      </c>
      <c r="F143">
        <v>12959.11</v>
      </c>
      <c r="G143">
        <v>10170.048000000001</v>
      </c>
      <c r="H143">
        <v>10981.573</v>
      </c>
      <c r="I143">
        <v>15927.812</v>
      </c>
      <c r="J143">
        <v>12594.647999999999</v>
      </c>
      <c r="K143">
        <v>10789.064</v>
      </c>
      <c r="L143">
        <v>15453.284</v>
      </c>
      <c r="M143">
        <v>12198.921</v>
      </c>
      <c r="N143">
        <f>IFERROR(SUM($B$3:$B143),"")</f>
        <v>696626.29399999999</v>
      </c>
      <c r="O143">
        <f>IFERROR(SUM($C$3:$C143),"")</f>
        <v>971119.26199999976</v>
      </c>
      <c r="P143">
        <f>IFERROR(SUM($D$3:$D143),"")</f>
        <v>650686.64199999988</v>
      </c>
      <c r="Q143">
        <f t="shared" si="48"/>
        <v>1621805.9039999996</v>
      </c>
      <c r="R143">
        <f t="shared" si="49"/>
        <v>42.953740165937894</v>
      </c>
      <c r="S143">
        <f t="shared" si="50"/>
        <v>59.878883139150297</v>
      </c>
      <c r="T143">
        <f>IFERROR(SUM($E$3:$E143),"")</f>
        <v>627881.64199999999</v>
      </c>
      <c r="U143">
        <f>IFERROR(SUM($F$3:$F143),"")</f>
        <v>830540.79900000023</v>
      </c>
      <c r="V143">
        <f>IFERROR(SUM($G$3:$G143),"")</f>
        <v>491522.55099999992</v>
      </c>
      <c r="W143">
        <f t="shared" si="51"/>
        <v>1322063.3500000001</v>
      </c>
      <c r="X143">
        <f t="shared" si="52"/>
        <v>47.492553363649328</v>
      </c>
      <c r="Y143">
        <f t="shared" si="53"/>
        <v>62.821558361783516</v>
      </c>
      <c r="Z143">
        <f>IFERROR(SUM($H$3:$H143),"")</f>
        <v>696626.29500000004</v>
      </c>
      <c r="AA143">
        <f>IFERROR(SUM($I$3:$I143),"")</f>
        <v>971119.26699999999</v>
      </c>
      <c r="AB143">
        <f>IFERROR(SUM($J$3:$J143),"")</f>
        <v>650681.08700000017</v>
      </c>
      <c r="AC143">
        <f t="shared" si="54"/>
        <v>1621800.3540000003</v>
      </c>
      <c r="AD143">
        <f t="shared" si="55"/>
        <v>42.953887220572149</v>
      </c>
      <c r="AE143">
        <f t="shared" si="56"/>
        <v>59.879088360342024</v>
      </c>
      <c r="AF143">
        <f>IFERROR(SUM($K$3:$K143),"")</f>
        <v>660973.18899999978</v>
      </c>
      <c r="AG143">
        <f>IFERROR(SUM($L$3:$L143),"")</f>
        <v>857743.55599999998</v>
      </c>
      <c r="AH143">
        <f>IFERROR(SUM($M$3:$M143),"")</f>
        <v>518557.52799999993</v>
      </c>
      <c r="AI143">
        <f t="shared" si="57"/>
        <v>1376301.0839999998</v>
      </c>
      <c r="AJ143">
        <f t="shared" si="58"/>
        <v>48.025333750300227</v>
      </c>
      <c r="AK143">
        <f t="shared" si="59"/>
        <v>62.322377419561789</v>
      </c>
    </row>
    <row r="144" spans="1:37" x14ac:dyDescent="0.35">
      <c r="A144">
        <v>1991</v>
      </c>
      <c r="B144">
        <v>10858.023999999999</v>
      </c>
      <c r="C144">
        <v>15504.478999999999</v>
      </c>
      <c r="D144">
        <v>13220.904</v>
      </c>
      <c r="E144">
        <v>9250.8389999999999</v>
      </c>
      <c r="F144">
        <v>12303.793</v>
      </c>
      <c r="G144">
        <v>10904.05</v>
      </c>
      <c r="H144">
        <v>10858.023999999999</v>
      </c>
      <c r="I144">
        <v>15504.48</v>
      </c>
      <c r="J144">
        <v>12742.731</v>
      </c>
      <c r="K144">
        <v>10781.518</v>
      </c>
      <c r="L144">
        <v>15162.602999999999</v>
      </c>
      <c r="M144">
        <v>12450.308000000001</v>
      </c>
      <c r="N144">
        <f>IFERROR(SUM($B$3:$B144),"")</f>
        <v>707484.31799999997</v>
      </c>
      <c r="O144">
        <f>IFERROR(SUM($C$3:$C144),"")</f>
        <v>986623.74099999981</v>
      </c>
      <c r="P144">
        <f>IFERROR(SUM($D$3:$D144),"")</f>
        <v>663907.54599999986</v>
      </c>
      <c r="Q144">
        <f t="shared" si="48"/>
        <v>1650531.2869999995</v>
      </c>
      <c r="R144">
        <f t="shared" si="49"/>
        <v>42.864035572807666</v>
      </c>
      <c r="S144">
        <f t="shared" si="50"/>
        <v>59.776130799270334</v>
      </c>
      <c r="T144">
        <f>IFERROR(SUM($E$3:$E144),"")</f>
        <v>637132.48100000003</v>
      </c>
      <c r="U144">
        <f>IFERROR(SUM($F$3:$F144),"")</f>
        <v>842844.59200000018</v>
      </c>
      <c r="V144">
        <f>IFERROR(SUM($G$3:$G144),"")</f>
        <v>502426.60099999991</v>
      </c>
      <c r="W144">
        <f t="shared" si="51"/>
        <v>1345271.193</v>
      </c>
      <c r="X144">
        <f t="shared" si="52"/>
        <v>47.360895283810635</v>
      </c>
      <c r="Y144">
        <f t="shared" si="53"/>
        <v>62.652392795271894</v>
      </c>
      <c r="Z144">
        <f>IFERROR(SUM($H$3:$H144),"")</f>
        <v>707484.31900000002</v>
      </c>
      <c r="AA144">
        <f>IFERROR(SUM($I$3:$I144),"")</f>
        <v>986623.74699999997</v>
      </c>
      <c r="AB144">
        <f>IFERROR(SUM($J$3:$J144),"")</f>
        <v>663423.8180000002</v>
      </c>
      <c r="AC144">
        <f t="shared" si="54"/>
        <v>1650047.5650000002</v>
      </c>
      <c r="AD144">
        <f t="shared" si="55"/>
        <v>42.876601499666464</v>
      </c>
      <c r="AE144">
        <f t="shared" si="56"/>
        <v>59.793654918062913</v>
      </c>
      <c r="AF144">
        <f>IFERROR(SUM($K$3:$K144),"")</f>
        <v>671754.70699999982</v>
      </c>
      <c r="AG144">
        <f>IFERROR(SUM($L$3:$L144),"")</f>
        <v>872906.15899999999</v>
      </c>
      <c r="AH144">
        <f>IFERROR(SUM($M$3:$M144),"")</f>
        <v>531007.83599999989</v>
      </c>
      <c r="AI144">
        <f t="shared" si="57"/>
        <v>1403913.9949999999</v>
      </c>
      <c r="AJ144">
        <f t="shared" si="58"/>
        <v>47.848707926015081</v>
      </c>
      <c r="AK144">
        <f t="shared" si="59"/>
        <v>62.176612107923326</v>
      </c>
    </row>
    <row r="145" spans="1:37" x14ac:dyDescent="0.35">
      <c r="A145">
        <v>1992</v>
      </c>
      <c r="B145">
        <v>10956.936</v>
      </c>
      <c r="C145">
        <v>14925.174000000001</v>
      </c>
      <c r="D145">
        <v>13536.34</v>
      </c>
      <c r="E145">
        <v>9266.2219999999998</v>
      </c>
      <c r="F145">
        <v>11713.014999999999</v>
      </c>
      <c r="G145">
        <v>10950.7</v>
      </c>
      <c r="H145">
        <v>10956.936</v>
      </c>
      <c r="I145">
        <v>14925.173000000001</v>
      </c>
      <c r="J145">
        <v>13536.325999999999</v>
      </c>
      <c r="K145">
        <v>10822.409</v>
      </c>
      <c r="L145">
        <v>14648.13</v>
      </c>
      <c r="M145">
        <v>12777.706</v>
      </c>
      <c r="N145">
        <f>IFERROR(SUM($B$3:$B145),"")</f>
        <v>718441.25399999996</v>
      </c>
      <c r="O145">
        <f>IFERROR(SUM($C$3:$C145),"")</f>
        <v>1001548.9149999998</v>
      </c>
      <c r="P145">
        <f>IFERROR(SUM($D$3:$D145),"")</f>
        <v>677443.88599999982</v>
      </c>
      <c r="Q145">
        <f t="shared" si="48"/>
        <v>1678992.8009999995</v>
      </c>
      <c r="R145">
        <f t="shared" si="49"/>
        <v>42.790013963853809</v>
      </c>
      <c r="S145">
        <f t="shared" si="50"/>
        <v>59.651769465806069</v>
      </c>
      <c r="T145">
        <f>IFERROR(SUM($E$3:$E145),"")</f>
        <v>646398.70299999998</v>
      </c>
      <c r="U145">
        <f>IFERROR(SUM($F$3:$F145),"")</f>
        <v>854557.60700000019</v>
      </c>
      <c r="V145">
        <f>IFERROR(SUM($G$3:$G145),"")</f>
        <v>513377.30099999992</v>
      </c>
      <c r="W145">
        <f t="shared" si="51"/>
        <v>1367934.9080000001</v>
      </c>
      <c r="X145">
        <f t="shared" si="52"/>
        <v>47.253615593820342</v>
      </c>
      <c r="Y145">
        <f t="shared" si="53"/>
        <v>62.470633800069685</v>
      </c>
      <c r="Z145">
        <f>IFERROR(SUM($H$3:$H145),"")</f>
        <v>718441.255</v>
      </c>
      <c r="AA145">
        <f>IFERROR(SUM($I$3:$I145),"")</f>
        <v>1001548.9199999999</v>
      </c>
      <c r="AB145">
        <f>IFERROR(SUM($J$3:$J145),"")</f>
        <v>676960.1440000002</v>
      </c>
      <c r="AC145">
        <f t="shared" si="54"/>
        <v>1678509.0640000002</v>
      </c>
      <c r="AD145">
        <f t="shared" si="55"/>
        <v>42.802345868059007</v>
      </c>
      <c r="AE145">
        <f t="shared" si="56"/>
        <v>59.668961072705869</v>
      </c>
      <c r="AF145">
        <f>IFERROR(SUM($K$3:$K145),"")</f>
        <v>682577.11599999981</v>
      </c>
      <c r="AG145">
        <f>IFERROR(SUM($L$3:$L145),"")</f>
        <v>887554.28899999999</v>
      </c>
      <c r="AH145">
        <f>IFERROR(SUM($M$3:$M145),"")</f>
        <v>543785.5419999999</v>
      </c>
      <c r="AI145">
        <f t="shared" si="57"/>
        <v>1431339.8309999998</v>
      </c>
      <c r="AJ145">
        <f t="shared" si="58"/>
        <v>47.687984447629049</v>
      </c>
      <c r="AK145">
        <f t="shared" si="59"/>
        <v>62.00863483131841</v>
      </c>
    </row>
    <row r="146" spans="1:37" x14ac:dyDescent="0.35">
      <c r="A146">
        <v>1993</v>
      </c>
      <c r="B146">
        <v>10995.789000000001</v>
      </c>
      <c r="C146">
        <v>14710.124</v>
      </c>
      <c r="D146">
        <v>13640.2</v>
      </c>
      <c r="E146">
        <v>9281.2469999999994</v>
      </c>
      <c r="F146">
        <v>11374.438</v>
      </c>
      <c r="G146">
        <v>11316.329</v>
      </c>
      <c r="H146">
        <v>10995.79</v>
      </c>
      <c r="I146">
        <v>14710.125</v>
      </c>
      <c r="J146">
        <v>13640.184999999999</v>
      </c>
      <c r="K146">
        <v>10855.550999999999</v>
      </c>
      <c r="L146">
        <v>14421.8</v>
      </c>
      <c r="M146">
        <v>13212.008</v>
      </c>
      <c r="N146">
        <f>IFERROR(SUM($B$3:$B146),"")</f>
        <v>729437.04299999995</v>
      </c>
      <c r="O146">
        <f>IFERROR(SUM($C$3:$C146),"")</f>
        <v>1016259.0389999998</v>
      </c>
      <c r="P146">
        <f>IFERROR(SUM($D$3:$D146),"")</f>
        <v>691084.08599999978</v>
      </c>
      <c r="Q146">
        <f t="shared" si="48"/>
        <v>1707343.1249999995</v>
      </c>
      <c r="R146">
        <f t="shared" si="49"/>
        <v>42.723517746322969</v>
      </c>
      <c r="S146">
        <f t="shared" si="50"/>
        <v>59.522835458162518</v>
      </c>
      <c r="T146">
        <f>IFERROR(SUM($E$3:$E146),"")</f>
        <v>655679.94999999995</v>
      </c>
      <c r="U146">
        <f>IFERROR(SUM($F$3:$F146),"")</f>
        <v>865932.04500000016</v>
      </c>
      <c r="V146">
        <f>IFERROR(SUM($G$3:$G146),"")</f>
        <v>524693.62999999989</v>
      </c>
      <c r="W146">
        <f t="shared" si="51"/>
        <v>1390625.675</v>
      </c>
      <c r="X146">
        <f t="shared" si="52"/>
        <v>47.149995990114299</v>
      </c>
      <c r="Y146">
        <f t="shared" si="53"/>
        <v>62.269240426615887</v>
      </c>
      <c r="Z146">
        <f>IFERROR(SUM($H$3:$H146),"")</f>
        <v>729437.04500000004</v>
      </c>
      <c r="AA146">
        <f>IFERROR(SUM($I$3:$I146),"")</f>
        <v>1016259.0449999999</v>
      </c>
      <c r="AB146">
        <f>IFERROR(SUM($J$3:$J146),"")</f>
        <v>690600.32900000026</v>
      </c>
      <c r="AC146">
        <f t="shared" si="54"/>
        <v>1706859.3740000003</v>
      </c>
      <c r="AD146">
        <f t="shared" si="55"/>
        <v>42.735626385586464</v>
      </c>
      <c r="AE146">
        <f t="shared" si="56"/>
        <v>59.539705524680201</v>
      </c>
      <c r="AF146">
        <f>IFERROR(SUM($K$3:$K146),"")</f>
        <v>693432.66699999978</v>
      </c>
      <c r="AG146">
        <f>IFERROR(SUM($L$3:$L146),"")</f>
        <v>901976.08900000004</v>
      </c>
      <c r="AH146">
        <f>IFERROR(SUM($M$3:$M146),"")</f>
        <v>556997.54999999993</v>
      </c>
      <c r="AI146">
        <f t="shared" si="57"/>
        <v>1458973.639</v>
      </c>
      <c r="AJ146">
        <f t="shared" si="58"/>
        <v>47.528800278755398</v>
      </c>
      <c r="AK146">
        <f t="shared" si="59"/>
        <v>61.822644692759944</v>
      </c>
    </row>
    <row r="147" spans="1:37" x14ac:dyDescent="0.35">
      <c r="A147">
        <v>1994</v>
      </c>
      <c r="B147">
        <v>11168.339</v>
      </c>
      <c r="C147">
        <v>14494.375</v>
      </c>
      <c r="D147">
        <v>15300.683000000001</v>
      </c>
      <c r="E147">
        <v>9428.1319999999996</v>
      </c>
      <c r="F147">
        <v>10972.144</v>
      </c>
      <c r="G147">
        <v>9316.4950000000008</v>
      </c>
      <c r="H147">
        <v>11168.339</v>
      </c>
      <c r="I147">
        <v>14494.375</v>
      </c>
      <c r="J147">
        <v>15300.669</v>
      </c>
      <c r="K147">
        <v>10995.644</v>
      </c>
      <c r="L147">
        <v>14179.436</v>
      </c>
      <c r="M147">
        <v>13995.554</v>
      </c>
      <c r="N147">
        <f>IFERROR(SUM($B$3:$B147),"")</f>
        <v>740605.38199999998</v>
      </c>
      <c r="O147">
        <f>IFERROR(SUM($C$3:$C147),"")</f>
        <v>1030753.4139999998</v>
      </c>
      <c r="P147">
        <f>IFERROR(SUM($D$3:$D147),"")</f>
        <v>706384.76899999974</v>
      </c>
      <c r="Q147">
        <f t="shared" si="48"/>
        <v>1737138.1829999995</v>
      </c>
      <c r="R147">
        <f t="shared" si="49"/>
        <v>42.633648217955276</v>
      </c>
      <c r="S147">
        <f t="shared" si="50"/>
        <v>59.336293686200094</v>
      </c>
      <c r="T147">
        <f>IFERROR(SUM($E$3:$E147),"")</f>
        <v>665108.08199999994</v>
      </c>
      <c r="U147">
        <f>IFERROR(SUM($F$3:$F147),"")</f>
        <v>876904.18900000013</v>
      </c>
      <c r="V147">
        <f>IFERROR(SUM($G$3:$G147),"")</f>
        <v>534010.12499999988</v>
      </c>
      <c r="W147">
        <f t="shared" si="51"/>
        <v>1410914.314</v>
      </c>
      <c r="X147">
        <f t="shared" si="52"/>
        <v>47.14021789986603</v>
      </c>
      <c r="Y147">
        <f t="shared" si="53"/>
        <v>62.151484345916138</v>
      </c>
      <c r="Z147">
        <f>IFERROR(SUM($H$3:$H147),"")</f>
        <v>740605.38400000008</v>
      </c>
      <c r="AA147">
        <f>IFERROR(SUM($I$3:$I147),"")</f>
        <v>1030753.4199999999</v>
      </c>
      <c r="AB147">
        <f>IFERROR(SUM($J$3:$J147),"")</f>
        <v>705900.99800000025</v>
      </c>
      <c r="AC147">
        <f t="shared" si="54"/>
        <v>1736654.4180000001</v>
      </c>
      <c r="AD147">
        <f t="shared" si="55"/>
        <v>42.645524424652692</v>
      </c>
      <c r="AE147">
        <f t="shared" si="56"/>
        <v>59.35282283662724</v>
      </c>
      <c r="AF147">
        <f>IFERROR(SUM($K$3:$K147),"")</f>
        <v>704428.31099999975</v>
      </c>
      <c r="AG147">
        <f>IFERROR(SUM($L$3:$L147),"")</f>
        <v>916155.52500000002</v>
      </c>
      <c r="AH147">
        <f>IFERROR(SUM($M$3:$M147),"")</f>
        <v>570993.10399999993</v>
      </c>
      <c r="AI147">
        <f t="shared" si="57"/>
        <v>1487148.629</v>
      </c>
      <c r="AJ147">
        <f t="shared" si="58"/>
        <v>47.367714111647125</v>
      </c>
      <c r="AK147">
        <f t="shared" si="59"/>
        <v>61.604839431284589</v>
      </c>
    </row>
    <row r="148" spans="1:37" x14ac:dyDescent="0.35">
      <c r="A148">
        <v>1995</v>
      </c>
      <c r="B148">
        <v>11407.597</v>
      </c>
      <c r="C148">
        <v>14570.962</v>
      </c>
      <c r="D148">
        <v>15278.038</v>
      </c>
      <c r="E148">
        <v>9572.4069999999992</v>
      </c>
      <c r="F148">
        <v>10976.775</v>
      </c>
      <c r="G148">
        <v>10351.936</v>
      </c>
      <c r="H148">
        <v>11407.597</v>
      </c>
      <c r="I148">
        <v>14570.962</v>
      </c>
      <c r="J148">
        <v>15278.034</v>
      </c>
      <c r="K148">
        <v>11153.099</v>
      </c>
      <c r="L148">
        <v>14259.955</v>
      </c>
      <c r="M148">
        <v>14467.625</v>
      </c>
      <c r="N148">
        <f>IFERROR(SUM($B$3:$B148),"")</f>
        <v>752012.97899999993</v>
      </c>
      <c r="O148">
        <f>IFERROR(SUM($C$3:$C148),"")</f>
        <v>1045324.3759999997</v>
      </c>
      <c r="P148">
        <f>IFERROR(SUM($D$3:$D148),"")</f>
        <v>721662.8069999998</v>
      </c>
      <c r="Q148">
        <f t="shared" si="48"/>
        <v>1766987.1829999995</v>
      </c>
      <c r="R148">
        <f t="shared" si="49"/>
        <v>42.559051148476847</v>
      </c>
      <c r="S148">
        <f t="shared" si="50"/>
        <v>59.158571497119908</v>
      </c>
      <c r="T148">
        <f>IFERROR(SUM($E$3:$E148),"")</f>
        <v>674680.48899999994</v>
      </c>
      <c r="U148">
        <f>IFERROR(SUM($F$3:$F148),"")</f>
        <v>887880.96400000015</v>
      </c>
      <c r="V148">
        <f>IFERROR(SUM($G$3:$G148),"")</f>
        <v>544362.06099999987</v>
      </c>
      <c r="W148">
        <f t="shared" si="51"/>
        <v>1432243.0249999999</v>
      </c>
      <c r="X148">
        <f t="shared" si="52"/>
        <v>47.106564823382541</v>
      </c>
      <c r="Y148">
        <f t="shared" si="53"/>
        <v>61.992339882402305</v>
      </c>
      <c r="Z148">
        <f>IFERROR(SUM($H$3:$H148),"")</f>
        <v>752012.98100000003</v>
      </c>
      <c r="AA148">
        <f>IFERROR(SUM($I$3:$I148),"")</f>
        <v>1045324.382</v>
      </c>
      <c r="AB148">
        <f>IFERROR(SUM($J$3:$J148),"")</f>
        <v>721179.03200000024</v>
      </c>
      <c r="AC148">
        <f t="shared" si="54"/>
        <v>1766503.4140000003</v>
      </c>
      <c r="AD148">
        <f t="shared" si="55"/>
        <v>42.570706347924435</v>
      </c>
      <c r="AE148">
        <f t="shared" si="56"/>
        <v>59.174772814789463</v>
      </c>
      <c r="AF148">
        <f>IFERROR(SUM($K$3:$K148),"")</f>
        <v>715581.4099999998</v>
      </c>
      <c r="AG148">
        <f>IFERROR(SUM($L$3:$L148),"")</f>
        <v>930415.48</v>
      </c>
      <c r="AH148">
        <f>IFERROR(SUM($M$3:$M148),"")</f>
        <v>585460.72899999993</v>
      </c>
      <c r="AI148">
        <f t="shared" si="57"/>
        <v>1515876.2089999998</v>
      </c>
      <c r="AJ148">
        <f t="shared" si="58"/>
        <v>47.205794625674471</v>
      </c>
      <c r="AK148">
        <f t="shared" si="59"/>
        <v>61.378064678103286</v>
      </c>
    </row>
    <row r="149" spans="1:37" x14ac:dyDescent="0.35">
      <c r="A149">
        <v>1996</v>
      </c>
      <c r="B149">
        <v>11706.003000000001</v>
      </c>
      <c r="C149">
        <v>15255.588</v>
      </c>
      <c r="D149">
        <v>15480.727999999999</v>
      </c>
      <c r="E149">
        <v>9797.5020000000004</v>
      </c>
      <c r="F149">
        <v>11422.411</v>
      </c>
      <c r="G149">
        <v>10071.846</v>
      </c>
      <c r="H149">
        <v>11706.003000000001</v>
      </c>
      <c r="I149">
        <v>15255.588</v>
      </c>
      <c r="J149">
        <v>15480.724</v>
      </c>
      <c r="K149">
        <v>11462.053</v>
      </c>
      <c r="L149">
        <v>14845.733</v>
      </c>
      <c r="M149">
        <v>14852.705</v>
      </c>
      <c r="N149">
        <f>IFERROR(SUM($B$3:$B149),"")</f>
        <v>763718.98199999996</v>
      </c>
      <c r="O149">
        <f>IFERROR(SUM($C$3:$C149),"")</f>
        <v>1060579.9639999997</v>
      </c>
      <c r="P149">
        <f>IFERROR(SUM($D$3:$D149),"")</f>
        <v>737143.5349999998</v>
      </c>
      <c r="Q149">
        <f t="shared" si="48"/>
        <v>1797723.4989999994</v>
      </c>
      <c r="R149">
        <f t="shared" si="49"/>
        <v>42.482560995883176</v>
      </c>
      <c r="S149">
        <f t="shared" si="50"/>
        <v>58.995722344952227</v>
      </c>
      <c r="T149">
        <f>IFERROR(SUM($E$3:$E149),"")</f>
        <v>684477.99099999992</v>
      </c>
      <c r="U149">
        <f>IFERROR(SUM($F$3:$F149),"")</f>
        <v>899303.37500000012</v>
      </c>
      <c r="V149">
        <f>IFERROR(SUM($G$3:$G149),"")</f>
        <v>554433.90699999989</v>
      </c>
      <c r="W149">
        <f t="shared" si="51"/>
        <v>1453737.2820000001</v>
      </c>
      <c r="X149">
        <f t="shared" si="52"/>
        <v>47.084022641169348</v>
      </c>
      <c r="Y149">
        <f t="shared" si="53"/>
        <v>61.86147842083065</v>
      </c>
      <c r="Z149">
        <f>IFERROR(SUM($H$3:$H149),"")</f>
        <v>763718.98400000005</v>
      </c>
      <c r="AA149">
        <f>IFERROR(SUM($I$3:$I149),"")</f>
        <v>1060579.97</v>
      </c>
      <c r="AB149">
        <f>IFERROR(SUM($J$3:$J149),"")</f>
        <v>736659.75600000028</v>
      </c>
      <c r="AC149">
        <f t="shared" si="54"/>
        <v>1797239.7260000003</v>
      </c>
      <c r="AD149">
        <f t="shared" si="55"/>
        <v>42.493996374081924</v>
      </c>
      <c r="AE149">
        <f t="shared" si="56"/>
        <v>59.011602885078887</v>
      </c>
      <c r="AF149">
        <f>IFERROR(SUM($K$3:$K149),"")</f>
        <v>727043.46299999976</v>
      </c>
      <c r="AG149">
        <f>IFERROR(SUM($L$3:$L149),"")</f>
        <v>945261.21299999999</v>
      </c>
      <c r="AH149">
        <f>IFERROR(SUM($M$3:$M149),"")</f>
        <v>600313.43399999989</v>
      </c>
      <c r="AI149">
        <f t="shared" si="57"/>
        <v>1545574.6469999999</v>
      </c>
      <c r="AJ149">
        <f t="shared" si="58"/>
        <v>47.040333148011307</v>
      </c>
      <c r="AK149">
        <f t="shared" si="59"/>
        <v>61.159207990036343</v>
      </c>
    </row>
    <row r="150" spans="1:37" x14ac:dyDescent="0.35">
      <c r="A150">
        <v>1997</v>
      </c>
      <c r="B150">
        <v>11658.313</v>
      </c>
      <c r="C150">
        <v>14660.718000000001</v>
      </c>
      <c r="D150">
        <v>17669.134999999998</v>
      </c>
      <c r="E150">
        <v>9841.3580000000002</v>
      </c>
      <c r="F150">
        <v>11082.128000000001</v>
      </c>
      <c r="G150">
        <v>9906.0360000000001</v>
      </c>
      <c r="H150">
        <v>11658.314</v>
      </c>
      <c r="I150">
        <v>14660.718000000001</v>
      </c>
      <c r="J150">
        <v>17669.131000000001</v>
      </c>
      <c r="K150">
        <v>11423.117</v>
      </c>
      <c r="L150">
        <v>14368.463</v>
      </c>
      <c r="M150">
        <v>16944.629000000001</v>
      </c>
      <c r="N150">
        <f>IFERROR(SUM($B$3:$B150),"")</f>
        <v>775377.29499999993</v>
      </c>
      <c r="O150">
        <f>IFERROR(SUM($C$3:$C150),"")</f>
        <v>1075240.6819999998</v>
      </c>
      <c r="P150">
        <f>IFERROR(SUM($D$3:$D150),"")</f>
        <v>754812.66999999981</v>
      </c>
      <c r="Q150">
        <f t="shared" si="48"/>
        <v>1830053.3519999995</v>
      </c>
      <c r="R150">
        <f t="shared" si="49"/>
        <v>42.369108755906929</v>
      </c>
      <c r="S150">
        <f t="shared" si="50"/>
        <v>58.754608483130177</v>
      </c>
      <c r="T150">
        <f>IFERROR(SUM($E$3:$E150),"")</f>
        <v>694319.34899999993</v>
      </c>
      <c r="U150">
        <f>IFERROR(SUM($F$3:$F150),"")</f>
        <v>910385.50300000014</v>
      </c>
      <c r="V150">
        <f>IFERROR(SUM($G$3:$G150),"")</f>
        <v>564339.94299999985</v>
      </c>
      <c r="W150">
        <f t="shared" si="51"/>
        <v>1474725.446</v>
      </c>
      <c r="X150">
        <f t="shared" si="52"/>
        <v>47.081261863572664</v>
      </c>
      <c r="Y150">
        <f t="shared" si="53"/>
        <v>61.732541841554422</v>
      </c>
      <c r="Z150">
        <f>IFERROR(SUM($H$3:$H150),"")</f>
        <v>775377.29800000007</v>
      </c>
      <c r="AA150">
        <f>IFERROR(SUM($I$3:$I150),"")</f>
        <v>1075240.6880000001</v>
      </c>
      <c r="AB150">
        <f>IFERROR(SUM($J$3:$J150),"")</f>
        <v>754328.88700000034</v>
      </c>
      <c r="AC150">
        <f t="shared" si="54"/>
        <v>1829569.5750000004</v>
      </c>
      <c r="AD150">
        <f t="shared" si="55"/>
        <v>42.38031221086522</v>
      </c>
      <c r="AE150">
        <f t="shared" si="56"/>
        <v>58.770144775718613</v>
      </c>
      <c r="AF150">
        <f>IFERROR(SUM($K$3:$K150),"")</f>
        <v>738466.57999999973</v>
      </c>
      <c r="AG150">
        <f>IFERROR(SUM($L$3:$L150),"")</f>
        <v>959629.67599999998</v>
      </c>
      <c r="AH150">
        <f>IFERROR(SUM($M$3:$M150),"")</f>
        <v>617258.06299999985</v>
      </c>
      <c r="AI150">
        <f t="shared" si="57"/>
        <v>1576887.7389999998</v>
      </c>
      <c r="AJ150">
        <f t="shared" si="58"/>
        <v>46.830637447172123</v>
      </c>
      <c r="AK150">
        <f t="shared" si="59"/>
        <v>60.855928565248362</v>
      </c>
    </row>
    <row r="151" spans="1:37" x14ac:dyDescent="0.35">
      <c r="A151">
        <v>1998</v>
      </c>
      <c r="B151">
        <v>11848.843000000001</v>
      </c>
      <c r="C151">
        <v>14813.4</v>
      </c>
      <c r="D151">
        <v>16396.271000000001</v>
      </c>
      <c r="E151">
        <v>9890.4719999999998</v>
      </c>
      <c r="F151">
        <v>11336.442999999999</v>
      </c>
      <c r="G151">
        <v>10133.646000000001</v>
      </c>
      <c r="H151">
        <v>11848.843000000001</v>
      </c>
      <c r="I151">
        <v>14813.401</v>
      </c>
      <c r="J151">
        <v>16396.268</v>
      </c>
      <c r="K151">
        <v>11512.925999999999</v>
      </c>
      <c r="L151">
        <v>14433.523999999999</v>
      </c>
      <c r="M151">
        <v>15161.127</v>
      </c>
      <c r="N151">
        <f>IFERROR(SUM($B$3:$B151),"")</f>
        <v>787226.13799999992</v>
      </c>
      <c r="O151">
        <f>IFERROR(SUM($C$3:$C151),"")</f>
        <v>1090054.0819999997</v>
      </c>
      <c r="P151">
        <f>IFERROR(SUM($D$3:$D151),"")</f>
        <v>771208.94099999976</v>
      </c>
      <c r="Q151">
        <f t="shared" si="48"/>
        <v>1861263.0229999996</v>
      </c>
      <c r="R151">
        <f t="shared" si="49"/>
        <v>42.295265541306577</v>
      </c>
      <c r="S151">
        <f t="shared" si="50"/>
        <v>58.565289726921087</v>
      </c>
      <c r="T151">
        <f>IFERROR(SUM($E$3:$E151),"")</f>
        <v>704209.82099999988</v>
      </c>
      <c r="U151">
        <f>IFERROR(SUM($F$3:$F151),"")</f>
        <v>921721.94600000011</v>
      </c>
      <c r="V151">
        <f>IFERROR(SUM($G$3:$G151),"")</f>
        <v>574473.5889999998</v>
      </c>
      <c r="W151">
        <f t="shared" si="51"/>
        <v>1496195.5349999999</v>
      </c>
      <c r="X151">
        <f t="shared" si="52"/>
        <v>47.066697134609477</v>
      </c>
      <c r="Y151">
        <f t="shared" si="53"/>
        <v>61.604377532111819</v>
      </c>
      <c r="Z151">
        <f>IFERROR(SUM($H$3:$H151),"")</f>
        <v>787226.14100000006</v>
      </c>
      <c r="AA151">
        <f>IFERROR(SUM($I$3:$I151),"")</f>
        <v>1090054.0890000002</v>
      </c>
      <c r="AB151">
        <f>IFERROR(SUM($J$3:$J151),"")</f>
        <v>770725.15500000038</v>
      </c>
      <c r="AC151">
        <f t="shared" si="54"/>
        <v>1860779.2440000004</v>
      </c>
      <c r="AD151">
        <f t="shared" si="55"/>
        <v>42.30626193506702</v>
      </c>
      <c r="AE151">
        <f t="shared" si="56"/>
        <v>58.580516335553014</v>
      </c>
      <c r="AF151">
        <f>IFERROR(SUM($K$3:$K151),"")</f>
        <v>749979.5059999997</v>
      </c>
      <c r="AG151">
        <f>IFERROR(SUM($L$3:$L151),"")</f>
        <v>974063.2</v>
      </c>
      <c r="AH151">
        <f>IFERROR(SUM($M$3:$M151),"")</f>
        <v>632419.18999999983</v>
      </c>
      <c r="AI151">
        <f t="shared" si="57"/>
        <v>1606482.3899999997</v>
      </c>
      <c r="AJ151">
        <f t="shared" si="58"/>
        <v>46.684576853656004</v>
      </c>
      <c r="AK151">
        <f t="shared" si="59"/>
        <v>60.633294585943155</v>
      </c>
    </row>
    <row r="152" spans="1:37" x14ac:dyDescent="0.35">
      <c r="A152">
        <v>1999</v>
      </c>
      <c r="B152">
        <v>11942.659</v>
      </c>
      <c r="C152">
        <v>14870.102000000001</v>
      </c>
      <c r="D152">
        <v>16502.556</v>
      </c>
      <c r="E152">
        <v>10058.393</v>
      </c>
      <c r="F152">
        <v>11078.224</v>
      </c>
      <c r="G152">
        <v>10405.805</v>
      </c>
      <c r="H152">
        <v>11942.66</v>
      </c>
      <c r="I152">
        <v>14870.102000000001</v>
      </c>
      <c r="J152">
        <v>16502.553</v>
      </c>
      <c r="K152">
        <v>11643.313</v>
      </c>
      <c r="L152">
        <v>14538.200999999999</v>
      </c>
      <c r="M152">
        <v>15730.087</v>
      </c>
      <c r="N152">
        <f>IFERROR(SUM($B$3:$B152),"")</f>
        <v>799168.7969999999</v>
      </c>
      <c r="O152">
        <f>IFERROR(SUM($C$3:$C152),"")</f>
        <v>1104924.1839999997</v>
      </c>
      <c r="P152">
        <f>IFERROR(SUM($D$3:$D152),"")</f>
        <v>787711.49699999974</v>
      </c>
      <c r="Q152">
        <f t="shared" si="48"/>
        <v>1892635.6809999994</v>
      </c>
      <c r="R152">
        <f t="shared" si="49"/>
        <v>42.225178623798762</v>
      </c>
      <c r="S152">
        <f t="shared" si="50"/>
        <v>58.380183523550514</v>
      </c>
      <c r="T152">
        <f>IFERROR(SUM($E$3:$E152),"")</f>
        <v>714268.21399999992</v>
      </c>
      <c r="U152">
        <f>IFERROR(SUM($F$3:$F152),"")</f>
        <v>932800.17000000016</v>
      </c>
      <c r="V152">
        <f>IFERROR(SUM($G$3:$G152),"")</f>
        <v>584879.39399999985</v>
      </c>
      <c r="W152">
        <f t="shared" si="51"/>
        <v>1517679.564</v>
      </c>
      <c r="X152">
        <f t="shared" si="52"/>
        <v>47.06317663772667</v>
      </c>
      <c r="Y152">
        <f t="shared" si="53"/>
        <v>61.462260685747772</v>
      </c>
      <c r="Z152">
        <f>IFERROR(SUM($H$3:$H152),"")</f>
        <v>799168.80100000009</v>
      </c>
      <c r="AA152">
        <f>IFERROR(SUM($I$3:$I152),"")</f>
        <v>1104924.1910000001</v>
      </c>
      <c r="AB152">
        <f>IFERROR(SUM($J$3:$J152),"")</f>
        <v>787227.70800000033</v>
      </c>
      <c r="AC152">
        <f t="shared" si="54"/>
        <v>1892151.8990000004</v>
      </c>
      <c r="AD152">
        <f t="shared" si="55"/>
        <v>42.23597489304953</v>
      </c>
      <c r="AE152">
        <f t="shared" si="56"/>
        <v>58.395110433995868</v>
      </c>
      <c r="AF152">
        <f>IFERROR(SUM($K$3:$K152),"")</f>
        <v>761622.81899999967</v>
      </c>
      <c r="AG152">
        <f>IFERROR(SUM($L$3:$L152),"")</f>
        <v>988601.40099999995</v>
      </c>
      <c r="AH152">
        <f>IFERROR(SUM($M$3:$M152),"")</f>
        <v>648149.27699999977</v>
      </c>
      <c r="AI152">
        <f t="shared" si="57"/>
        <v>1636750.6779999998</v>
      </c>
      <c r="AJ152">
        <f t="shared" si="58"/>
        <v>46.532610570270357</v>
      </c>
      <c r="AK152">
        <f t="shared" si="59"/>
        <v>60.40024386658601</v>
      </c>
    </row>
    <row r="153" spans="1:37" x14ac:dyDescent="0.35">
      <c r="A153">
        <v>2000</v>
      </c>
      <c r="B153">
        <v>12319.548000000001</v>
      </c>
      <c r="C153">
        <v>15096.38</v>
      </c>
      <c r="D153">
        <v>16497.562000000002</v>
      </c>
      <c r="E153">
        <v>10382.906999999999</v>
      </c>
      <c r="F153">
        <v>11508.968999999999</v>
      </c>
      <c r="G153">
        <v>10100.652</v>
      </c>
      <c r="H153">
        <v>12319.548000000001</v>
      </c>
      <c r="I153">
        <v>15096.38</v>
      </c>
      <c r="J153">
        <v>16497.559000000001</v>
      </c>
      <c r="K153">
        <v>12015.544</v>
      </c>
      <c r="L153">
        <v>14833.565000000001</v>
      </c>
      <c r="M153">
        <v>15790.503000000001</v>
      </c>
      <c r="N153">
        <f>IFERROR(SUM($B$3:$B153),"")</f>
        <v>811488.34499999986</v>
      </c>
      <c r="O153">
        <f>IFERROR(SUM($C$3:$C153),"")</f>
        <v>1120020.5639999995</v>
      </c>
      <c r="P153">
        <f>IFERROR(SUM($D$3:$D153),"")</f>
        <v>804209.05899999978</v>
      </c>
      <c r="Q153">
        <f t="shared" si="48"/>
        <v>1924229.6229999992</v>
      </c>
      <c r="R153">
        <f t="shared" si="49"/>
        <v>42.172115806783843</v>
      </c>
      <c r="S153">
        <f t="shared" si="50"/>
        <v>58.2061803130239</v>
      </c>
      <c r="T153">
        <f>IFERROR(SUM($E$3:$E153),"")</f>
        <v>724651.12099999993</v>
      </c>
      <c r="U153">
        <f>IFERROR(SUM($F$3:$F153),"")</f>
        <v>944309.1390000002</v>
      </c>
      <c r="V153">
        <f>IFERROR(SUM($G$3:$G153),"")</f>
        <v>594980.04599999986</v>
      </c>
      <c r="W153">
        <f t="shared" si="51"/>
        <v>1539289.1850000001</v>
      </c>
      <c r="X153">
        <f t="shared" si="52"/>
        <v>47.07699684124006</v>
      </c>
      <c r="Y153">
        <f t="shared" si="53"/>
        <v>61.347091125050689</v>
      </c>
      <c r="Z153">
        <f>IFERROR(SUM($H$3:$H153),"")</f>
        <v>811488.34900000005</v>
      </c>
      <c r="AA153">
        <f>IFERROR(SUM($I$3:$I153),"")</f>
        <v>1120020.571</v>
      </c>
      <c r="AB153">
        <f>IFERROR(SUM($J$3:$J153),"")</f>
        <v>803725.26700000034</v>
      </c>
      <c r="AC153">
        <f t="shared" si="54"/>
        <v>1923745.8380000005</v>
      </c>
      <c r="AD153">
        <f t="shared" si="55"/>
        <v>42.182721489011996</v>
      </c>
      <c r="AE153">
        <f t="shared" si="56"/>
        <v>58.22081840938074</v>
      </c>
      <c r="AF153">
        <f>IFERROR(SUM($K$3:$K153),"")</f>
        <v>773638.36299999966</v>
      </c>
      <c r="AG153">
        <f>IFERROR(SUM($L$3:$L153),"")</f>
        <v>1003434.9659999999</v>
      </c>
      <c r="AH153">
        <f>IFERROR(SUM($M$3:$M153),"")</f>
        <v>663939.7799999998</v>
      </c>
      <c r="AI153">
        <f t="shared" si="57"/>
        <v>1667374.7459999998</v>
      </c>
      <c r="AJ153">
        <f t="shared" si="58"/>
        <v>46.398589450628499</v>
      </c>
      <c r="AK153">
        <f t="shared" si="59"/>
        <v>60.180530406090249</v>
      </c>
    </row>
    <row r="154" spans="1:37" x14ac:dyDescent="0.35">
      <c r="A154">
        <v>2001</v>
      </c>
      <c r="B154">
        <v>12037.284</v>
      </c>
      <c r="C154">
        <v>14813.49</v>
      </c>
      <c r="D154">
        <v>16043.732</v>
      </c>
      <c r="E154">
        <v>10259.415000000001</v>
      </c>
      <c r="F154">
        <v>11346.347</v>
      </c>
      <c r="G154">
        <v>10453.655000000001</v>
      </c>
      <c r="H154">
        <v>12037.284</v>
      </c>
      <c r="I154">
        <v>14813.49</v>
      </c>
      <c r="J154">
        <v>16043.728999999999</v>
      </c>
      <c r="K154">
        <v>11922.31</v>
      </c>
      <c r="L154">
        <v>14778.803</v>
      </c>
      <c r="M154">
        <v>15691.511</v>
      </c>
      <c r="N154">
        <f>IFERROR(SUM($B$3:$B154),"")</f>
        <v>823525.62899999984</v>
      </c>
      <c r="O154">
        <f>IFERROR(SUM($C$3:$C154),"")</f>
        <v>1134834.0539999995</v>
      </c>
      <c r="P154">
        <f>IFERROR(SUM($D$3:$D154),"")</f>
        <v>820252.79099999974</v>
      </c>
      <c r="Q154">
        <f t="shared" si="48"/>
        <v>1955086.8449999993</v>
      </c>
      <c r="R154">
        <f t="shared" si="49"/>
        <v>42.122201942389935</v>
      </c>
      <c r="S154">
        <f t="shared" si="50"/>
        <v>58.045199214667107</v>
      </c>
      <c r="T154">
        <f>IFERROR(SUM($E$3:$E154),"")</f>
        <v>734910.53599999996</v>
      </c>
      <c r="U154">
        <f>IFERROR(SUM($F$3:$F154),"")</f>
        <v>955655.48600000015</v>
      </c>
      <c r="V154">
        <f>IFERROR(SUM($G$3:$G154),"")</f>
        <v>605433.70099999988</v>
      </c>
      <c r="W154">
        <f t="shared" si="51"/>
        <v>1561089.1869999999</v>
      </c>
      <c r="X154">
        <f t="shared" si="52"/>
        <v>47.076780886062217</v>
      </c>
      <c r="Y154">
        <f t="shared" si="53"/>
        <v>61.217225380730291</v>
      </c>
      <c r="Z154">
        <f>IFERROR(SUM($H$3:$H154),"")</f>
        <v>823525.63300000003</v>
      </c>
      <c r="AA154">
        <f>IFERROR(SUM($I$3:$I154),"")</f>
        <v>1134834.061</v>
      </c>
      <c r="AB154">
        <f>IFERROR(SUM($J$3:$J154),"")</f>
        <v>819768.99600000039</v>
      </c>
      <c r="AC154">
        <f t="shared" si="54"/>
        <v>1954603.0570000005</v>
      </c>
      <c r="AD154">
        <f t="shared" si="55"/>
        <v>42.132627903692047</v>
      </c>
      <c r="AE154">
        <f t="shared" si="56"/>
        <v>58.059566464701362</v>
      </c>
      <c r="AF154">
        <f>IFERROR(SUM($K$3:$K154),"")</f>
        <v>785560.67299999972</v>
      </c>
      <c r="AG154">
        <f>IFERROR(SUM($L$3:$L154),"")</f>
        <v>1018213.7689999999</v>
      </c>
      <c r="AH154">
        <f>IFERROR(SUM($M$3:$M154),"")</f>
        <v>679631.29099999985</v>
      </c>
      <c r="AI154">
        <f t="shared" si="57"/>
        <v>1697845.0599999996</v>
      </c>
      <c r="AJ154">
        <f t="shared" si="58"/>
        <v>46.268101342533569</v>
      </c>
      <c r="AK154">
        <f t="shared" si="59"/>
        <v>59.97094746678475</v>
      </c>
    </row>
    <row r="155" spans="1:37" x14ac:dyDescent="0.35">
      <c r="A155">
        <v>2002</v>
      </c>
      <c r="B155">
        <v>12105.23</v>
      </c>
      <c r="C155">
        <v>14798.538</v>
      </c>
      <c r="D155">
        <v>17341.839</v>
      </c>
      <c r="E155">
        <v>10430.745000000001</v>
      </c>
      <c r="F155">
        <v>11556.47</v>
      </c>
      <c r="G155">
        <v>11424.656999999999</v>
      </c>
      <c r="H155">
        <v>12105.23</v>
      </c>
      <c r="I155">
        <v>14798.538</v>
      </c>
      <c r="J155">
        <v>17341.834999999999</v>
      </c>
      <c r="K155">
        <v>11945.94</v>
      </c>
      <c r="L155">
        <v>14742.476000000001</v>
      </c>
      <c r="M155">
        <v>16510.503000000001</v>
      </c>
      <c r="N155">
        <f>IFERROR(SUM($B$3:$B155),"")</f>
        <v>835630.85899999982</v>
      </c>
      <c r="O155">
        <f>IFERROR(SUM($C$3:$C155),"")</f>
        <v>1149632.5919999995</v>
      </c>
      <c r="P155">
        <f>IFERROR(SUM($D$3:$D155),"")</f>
        <v>837594.62999999977</v>
      </c>
      <c r="Q155">
        <f t="shared" si="48"/>
        <v>1987227.2219999991</v>
      </c>
      <c r="R155">
        <f t="shared" si="49"/>
        <v>42.050091189823696</v>
      </c>
      <c r="S155">
        <f t="shared" si="50"/>
        <v>57.851089159445898</v>
      </c>
      <c r="T155">
        <f>IFERROR(SUM($E$3:$E155),"")</f>
        <v>745341.28099999996</v>
      </c>
      <c r="U155">
        <f>IFERROR(SUM($F$3:$F155),"")</f>
        <v>967211.95600000012</v>
      </c>
      <c r="V155">
        <f>IFERROR(SUM($G$3:$G155),"")</f>
        <v>616858.35799999989</v>
      </c>
      <c r="W155">
        <f t="shared" si="51"/>
        <v>1584070.314</v>
      </c>
      <c r="X155">
        <f t="shared" si="52"/>
        <v>47.052285142438436</v>
      </c>
      <c r="Y155">
        <f t="shared" si="53"/>
        <v>61.058650455840827</v>
      </c>
      <c r="Z155">
        <f>IFERROR(SUM($H$3:$H155),"")</f>
        <v>835630.86300000001</v>
      </c>
      <c r="AA155">
        <f>IFERROR(SUM($I$3:$I155),"")</f>
        <v>1149632.5989999999</v>
      </c>
      <c r="AB155">
        <f>IFERROR(SUM($J$3:$J155),"")</f>
        <v>837110.83100000035</v>
      </c>
      <c r="AC155">
        <f t="shared" si="54"/>
        <v>1986743.4300000002</v>
      </c>
      <c r="AD155">
        <f t="shared" si="55"/>
        <v>42.060331011136149</v>
      </c>
      <c r="AE155">
        <f t="shared" si="56"/>
        <v>57.865176833628681</v>
      </c>
      <c r="AF155">
        <f>IFERROR(SUM($K$3:$K155),"")</f>
        <v>797506.61299999966</v>
      </c>
      <c r="AG155">
        <f>IFERROR(SUM($L$3:$L155),"")</f>
        <v>1032956.2449999999</v>
      </c>
      <c r="AH155">
        <f>IFERROR(SUM($M$3:$M155),"")</f>
        <v>696141.79399999988</v>
      </c>
      <c r="AI155">
        <f t="shared" si="57"/>
        <v>1729098.0389999999</v>
      </c>
      <c r="AJ155">
        <f t="shared" si="58"/>
        <v>46.122694897116808</v>
      </c>
      <c r="AK155">
        <f t="shared" si="59"/>
        <v>59.739599589008606</v>
      </c>
    </row>
    <row r="156" spans="1:37" x14ac:dyDescent="0.35">
      <c r="A156">
        <v>2003</v>
      </c>
      <c r="B156">
        <v>12571.71</v>
      </c>
      <c r="C156">
        <v>15449.305</v>
      </c>
      <c r="D156">
        <v>19599.266</v>
      </c>
      <c r="E156">
        <v>10571.15</v>
      </c>
      <c r="F156">
        <v>11904.013999999999</v>
      </c>
      <c r="G156">
        <v>13505.061</v>
      </c>
      <c r="H156">
        <v>12571.71</v>
      </c>
      <c r="I156">
        <v>15449.305</v>
      </c>
      <c r="J156">
        <v>19599.262999999999</v>
      </c>
      <c r="K156">
        <v>12133.296</v>
      </c>
      <c r="L156">
        <v>15046.773999999999</v>
      </c>
      <c r="M156">
        <v>17713.362000000001</v>
      </c>
      <c r="N156">
        <f>IFERROR(SUM($B$3:$B156),"")</f>
        <v>848202.56899999978</v>
      </c>
      <c r="O156">
        <f>IFERROR(SUM($C$3:$C156),"")</f>
        <v>1165081.8969999994</v>
      </c>
      <c r="P156">
        <f>IFERROR(SUM($D$3:$D156),"")</f>
        <v>857193.89599999972</v>
      </c>
      <c r="Q156">
        <f t="shared" si="48"/>
        <v>2022275.7929999991</v>
      </c>
      <c r="R156">
        <f t="shared" si="49"/>
        <v>41.942971969303507</v>
      </c>
      <c r="S156">
        <f t="shared" si="50"/>
        <v>57.612413748553429</v>
      </c>
      <c r="T156">
        <f>IFERROR(SUM($E$3:$E156),"")</f>
        <v>755912.43099999998</v>
      </c>
      <c r="U156">
        <f>IFERROR(SUM($F$3:$F156),"")</f>
        <v>979115.97000000009</v>
      </c>
      <c r="V156">
        <f>IFERROR(SUM($G$3:$G156),"")</f>
        <v>630363.41899999988</v>
      </c>
      <c r="W156">
        <f t="shared" si="51"/>
        <v>1609479.389</v>
      </c>
      <c r="X156">
        <f t="shared" si="52"/>
        <v>46.966269724625839</v>
      </c>
      <c r="Y156">
        <f t="shared" si="53"/>
        <v>60.834327962928647</v>
      </c>
      <c r="Z156">
        <f>IFERROR(SUM($H$3:$H156),"")</f>
        <v>848202.57299999997</v>
      </c>
      <c r="AA156">
        <f>IFERROR(SUM($I$3:$I156),"")</f>
        <v>1165081.9039999999</v>
      </c>
      <c r="AB156">
        <f>IFERROR(SUM($J$3:$J156),"")</f>
        <v>856710.09400000039</v>
      </c>
      <c r="AC156">
        <f t="shared" si="54"/>
        <v>2021791.9980000001</v>
      </c>
      <c r="AD156">
        <f t="shared" si="55"/>
        <v>41.953008709059098</v>
      </c>
      <c r="AE156">
        <f t="shared" si="56"/>
        <v>57.626200180459897</v>
      </c>
      <c r="AF156">
        <f>IFERROR(SUM($K$3:$K156),"")</f>
        <v>809639.90899999964</v>
      </c>
      <c r="AG156">
        <f>IFERROR(SUM($L$3:$L156),"")</f>
        <v>1048003.0189999999</v>
      </c>
      <c r="AH156">
        <f>IFERROR(SUM($M$3:$M156),"")</f>
        <v>713855.15599999984</v>
      </c>
      <c r="AI156">
        <f t="shared" si="57"/>
        <v>1761858.1749999998</v>
      </c>
      <c r="AJ156">
        <f t="shared" si="58"/>
        <v>45.95375044872722</v>
      </c>
      <c r="AK156">
        <f t="shared" si="59"/>
        <v>59.482825227972732</v>
      </c>
    </row>
    <row r="157" spans="1:37" x14ac:dyDescent="0.35">
      <c r="A157">
        <v>2004</v>
      </c>
      <c r="B157">
        <v>12586.757</v>
      </c>
      <c r="C157">
        <v>15439.153</v>
      </c>
      <c r="D157">
        <v>19419.846000000001</v>
      </c>
      <c r="E157">
        <v>10695.956</v>
      </c>
      <c r="F157">
        <v>11655.413</v>
      </c>
      <c r="G157">
        <v>15004.93</v>
      </c>
      <c r="H157">
        <v>12586.757</v>
      </c>
      <c r="I157">
        <v>15439.153</v>
      </c>
      <c r="J157">
        <v>19419.839</v>
      </c>
      <c r="K157">
        <v>12275.457</v>
      </c>
      <c r="L157">
        <v>15188.224</v>
      </c>
      <c r="M157">
        <v>18351.003000000001</v>
      </c>
      <c r="N157">
        <f>IFERROR(SUM($B$3:$B157),"")</f>
        <v>860789.32599999977</v>
      </c>
      <c r="O157">
        <f>IFERROR(SUM($C$3:$C157),"")</f>
        <v>1180521.0499999993</v>
      </c>
      <c r="P157">
        <f>IFERROR(SUM($D$3:$D157),"")</f>
        <v>876613.74199999974</v>
      </c>
      <c r="Q157">
        <f t="shared" si="48"/>
        <v>2057134.791999999</v>
      </c>
      <c r="R157">
        <f t="shared" si="49"/>
        <v>41.844089621522485</v>
      </c>
      <c r="S157">
        <f t="shared" si="50"/>
        <v>57.386664918163511</v>
      </c>
      <c r="T157">
        <f>IFERROR(SUM($E$3:$E157),"")</f>
        <v>766608.38699999999</v>
      </c>
      <c r="U157">
        <f>IFERROR(SUM($F$3:$F157),"")</f>
        <v>990771.38300000015</v>
      </c>
      <c r="V157">
        <f>IFERROR(SUM($G$3:$G157),"")</f>
        <v>645368.34899999993</v>
      </c>
      <c r="W157">
        <f t="shared" si="51"/>
        <v>1636139.7320000001</v>
      </c>
      <c r="X157">
        <f t="shared" si="52"/>
        <v>46.85470146629261</v>
      </c>
      <c r="Y157">
        <f t="shared" si="53"/>
        <v>60.555425898061387</v>
      </c>
      <c r="Z157">
        <f>IFERROR(SUM($H$3:$H157),"")</f>
        <v>860789.33</v>
      </c>
      <c r="AA157">
        <f>IFERROR(SUM($I$3:$I157),"")</f>
        <v>1180521.0569999998</v>
      </c>
      <c r="AB157">
        <f>IFERROR(SUM($J$3:$J157),"")</f>
        <v>876129.93300000043</v>
      </c>
      <c r="AC157">
        <f t="shared" si="54"/>
        <v>2056650.9900000002</v>
      </c>
      <c r="AD157">
        <f t="shared" si="55"/>
        <v>41.853933126495122</v>
      </c>
      <c r="AE157">
        <f t="shared" si="56"/>
        <v>57.400164769813458</v>
      </c>
      <c r="AF157">
        <f>IFERROR(SUM($K$3:$K157),"")</f>
        <v>821915.36599999969</v>
      </c>
      <c r="AG157">
        <f>IFERROR(SUM($L$3:$L157),"")</f>
        <v>1063191.2429999998</v>
      </c>
      <c r="AH157">
        <f>IFERROR(SUM($M$3:$M157),"")</f>
        <v>732206.15899999987</v>
      </c>
      <c r="AI157">
        <f t="shared" si="57"/>
        <v>1795397.4019999998</v>
      </c>
      <c r="AJ157">
        <f t="shared" si="58"/>
        <v>45.779021685361656</v>
      </c>
      <c r="AK157">
        <f t="shared" si="59"/>
        <v>59.217599502797981</v>
      </c>
    </row>
    <row r="158" spans="1:37" x14ac:dyDescent="0.35">
      <c r="A158">
        <v>2005</v>
      </c>
      <c r="B158">
        <v>12622.008</v>
      </c>
      <c r="C158">
        <v>15531.507</v>
      </c>
      <c r="D158">
        <v>19669.713</v>
      </c>
      <c r="E158">
        <v>10713.782999999999</v>
      </c>
      <c r="F158">
        <v>11766.857</v>
      </c>
      <c r="G158">
        <v>15054.874</v>
      </c>
      <c r="H158">
        <v>12622.008</v>
      </c>
      <c r="I158">
        <v>15531.507</v>
      </c>
      <c r="J158">
        <v>19669.705999999998</v>
      </c>
      <c r="K158">
        <v>12310.157999999999</v>
      </c>
      <c r="L158">
        <v>15284.334000000001</v>
      </c>
      <c r="M158">
        <v>18776.668000000001</v>
      </c>
      <c r="N158">
        <f>IFERROR(SUM($B$3:$B158),"")</f>
        <v>873411.3339999998</v>
      </c>
      <c r="O158">
        <f>IFERROR(SUM($C$3:$C158),"")</f>
        <v>1196052.5569999993</v>
      </c>
      <c r="P158">
        <f>IFERROR(SUM($D$3:$D158),"")</f>
        <v>896283.45499999973</v>
      </c>
      <c r="Q158">
        <f t="shared" si="48"/>
        <v>2092336.0119999992</v>
      </c>
      <c r="R158">
        <f t="shared" si="49"/>
        <v>41.743359048967136</v>
      </c>
      <c r="S158">
        <f t="shared" si="50"/>
        <v>57.163502904905307</v>
      </c>
      <c r="T158">
        <f>IFERROR(SUM($E$3:$E158),"")</f>
        <v>777322.17</v>
      </c>
      <c r="U158">
        <f>IFERROR(SUM($F$3:$F158),"")</f>
        <v>1002538.2400000001</v>
      </c>
      <c r="V158">
        <f>IFERROR(SUM($G$3:$G158),"")</f>
        <v>660423.22299999988</v>
      </c>
      <c r="W158">
        <f t="shared" si="51"/>
        <v>1662961.463</v>
      </c>
      <c r="X158">
        <f t="shared" si="52"/>
        <v>46.743246148212158</v>
      </c>
      <c r="Y158">
        <f t="shared" si="53"/>
        <v>60.286318252463325</v>
      </c>
      <c r="Z158">
        <f>IFERROR(SUM($H$3:$H158),"")</f>
        <v>873411.33799999999</v>
      </c>
      <c r="AA158">
        <f>IFERROR(SUM($I$3:$I158),"")</f>
        <v>1196052.5639999998</v>
      </c>
      <c r="AB158">
        <f>IFERROR(SUM($J$3:$J158),"")</f>
        <v>895799.63900000043</v>
      </c>
      <c r="AC158">
        <f t="shared" si="54"/>
        <v>2091852.2030000002</v>
      </c>
      <c r="AD158">
        <f t="shared" si="55"/>
        <v>41.753013752473024</v>
      </c>
      <c r="AE158">
        <f t="shared" si="56"/>
        <v>57.176724162667803</v>
      </c>
      <c r="AF158">
        <f>IFERROR(SUM($K$3:$K158),"")</f>
        <v>834225.52399999974</v>
      </c>
      <c r="AG158">
        <f>IFERROR(SUM($L$3:$L158),"")</f>
        <v>1078475.5769999998</v>
      </c>
      <c r="AH158">
        <f>IFERROR(SUM($M$3:$M158),"")</f>
        <v>750982.82699999982</v>
      </c>
      <c r="AI158">
        <f t="shared" si="57"/>
        <v>1829458.4039999996</v>
      </c>
      <c r="AJ158">
        <f t="shared" si="58"/>
        <v>45.599589593073901</v>
      </c>
      <c r="AK158">
        <f t="shared" si="59"/>
        <v>58.950538292752576</v>
      </c>
    </row>
    <row r="159" spans="1:37" x14ac:dyDescent="0.35">
      <c r="A159">
        <v>2006</v>
      </c>
      <c r="B159">
        <v>12027.618</v>
      </c>
      <c r="C159">
        <v>15050.976000000001</v>
      </c>
      <c r="D159">
        <v>21064.312999999998</v>
      </c>
      <c r="E159">
        <v>10586.273999999999</v>
      </c>
      <c r="F159">
        <v>11728.589</v>
      </c>
      <c r="G159">
        <v>15381.602000000001</v>
      </c>
      <c r="H159">
        <v>12027.618</v>
      </c>
      <c r="I159">
        <v>15050.976000000001</v>
      </c>
      <c r="J159">
        <v>21064.305</v>
      </c>
      <c r="K159">
        <v>12186.563</v>
      </c>
      <c r="L159">
        <v>15281.846</v>
      </c>
      <c r="M159">
        <v>20248.618999999999</v>
      </c>
      <c r="N159">
        <f>IFERROR(SUM($B$3:$B159),"")</f>
        <v>885438.95199999982</v>
      </c>
      <c r="O159">
        <f>IFERROR(SUM($C$3:$C159),"")</f>
        <v>1211103.5329999994</v>
      </c>
      <c r="P159">
        <f>IFERROR(SUM($D$3:$D159),"")</f>
        <v>917347.76799999969</v>
      </c>
      <c r="Q159">
        <f t="shared" si="48"/>
        <v>2128451.300999999</v>
      </c>
      <c r="R159">
        <f t="shared" si="49"/>
        <v>41.600150850714726</v>
      </c>
      <c r="S159">
        <f t="shared" si="50"/>
        <v>56.900692650613763</v>
      </c>
      <c r="T159">
        <f>IFERROR(SUM($E$3:$E159),"")</f>
        <v>787908.44400000002</v>
      </c>
      <c r="U159">
        <f>IFERROR(SUM($F$3:$F159),"")</f>
        <v>1014266.8290000001</v>
      </c>
      <c r="V159">
        <f>IFERROR(SUM($G$3:$G159),"")</f>
        <v>675804.82499999984</v>
      </c>
      <c r="W159">
        <f t="shared" si="51"/>
        <v>1690071.6540000001</v>
      </c>
      <c r="X159">
        <f t="shared" si="52"/>
        <v>46.619824794718433</v>
      </c>
      <c r="Y159">
        <f t="shared" si="53"/>
        <v>60.01324420769204</v>
      </c>
      <c r="Z159">
        <f>IFERROR(SUM($H$3:$H159),"")</f>
        <v>885438.95600000001</v>
      </c>
      <c r="AA159">
        <f>IFERROR(SUM($I$3:$I159),"")</f>
        <v>1211103.5399999998</v>
      </c>
      <c r="AB159">
        <f>IFERROR(SUM($J$3:$J159),"")</f>
        <v>916863.94400000048</v>
      </c>
      <c r="AC159">
        <f t="shared" si="54"/>
        <v>2127967.4840000002</v>
      </c>
      <c r="AD159">
        <f t="shared" si="55"/>
        <v>41.60960929419916</v>
      </c>
      <c r="AE159">
        <f t="shared" si="56"/>
        <v>56.913629982891209</v>
      </c>
      <c r="AF159">
        <f>IFERROR(SUM($K$3:$K159),"")</f>
        <v>846412.08699999971</v>
      </c>
      <c r="AG159">
        <f>IFERROR(SUM($L$3:$L159),"")</f>
        <v>1093757.4229999997</v>
      </c>
      <c r="AH159">
        <f>IFERROR(SUM($M$3:$M159),"")</f>
        <v>771231.44599999976</v>
      </c>
      <c r="AI159">
        <f t="shared" si="57"/>
        <v>1864988.8689999995</v>
      </c>
      <c r="AJ159">
        <f t="shared" si="58"/>
        <v>45.384296982632549</v>
      </c>
      <c r="AK159">
        <f t="shared" si="59"/>
        <v>58.646860642469598</v>
      </c>
    </row>
    <row r="160" spans="1:37" x14ac:dyDescent="0.35">
      <c r="A160">
        <v>2007</v>
      </c>
      <c r="B160">
        <v>12211.620999999999</v>
      </c>
      <c r="C160">
        <v>15378.269</v>
      </c>
      <c r="D160">
        <v>21156.091</v>
      </c>
      <c r="E160">
        <v>10701.597</v>
      </c>
      <c r="F160">
        <v>11849.371999999999</v>
      </c>
      <c r="G160">
        <v>15524.019</v>
      </c>
      <c r="H160">
        <v>12211.620999999999</v>
      </c>
      <c r="I160">
        <v>15378.269</v>
      </c>
      <c r="J160">
        <v>21156.080999999998</v>
      </c>
      <c r="K160">
        <v>12171.807000000001</v>
      </c>
      <c r="L160">
        <v>15337.398999999999</v>
      </c>
      <c r="M160">
        <v>20357.493999999999</v>
      </c>
      <c r="N160">
        <f>IFERROR(SUM($B$3:$B160),"")</f>
        <v>897650.57299999986</v>
      </c>
      <c r="O160">
        <f>IFERROR(SUM($C$3:$C160),"")</f>
        <v>1226481.8019999994</v>
      </c>
      <c r="P160">
        <f>IFERROR(SUM($D$3:$D160),"")</f>
        <v>938503.85899999971</v>
      </c>
      <c r="Q160">
        <f t="shared" si="48"/>
        <v>2164985.6609999994</v>
      </c>
      <c r="R160">
        <f t="shared" si="49"/>
        <v>41.462194838989284</v>
      </c>
      <c r="S160">
        <f t="shared" si="50"/>
        <v>56.650804857224401</v>
      </c>
      <c r="T160">
        <f>IFERROR(SUM($E$3:$E160),"")</f>
        <v>798610.04099999997</v>
      </c>
      <c r="U160">
        <f>IFERROR(SUM($F$3:$F160),"")</f>
        <v>1026116.2010000001</v>
      </c>
      <c r="V160">
        <f>IFERROR(SUM($G$3:$G160),"")</f>
        <v>691328.84399999981</v>
      </c>
      <c r="W160">
        <f t="shared" si="51"/>
        <v>1717445.0449999999</v>
      </c>
      <c r="X160">
        <f t="shared" si="52"/>
        <v>46.499889083787252</v>
      </c>
      <c r="Y160">
        <f t="shared" si="53"/>
        <v>59.746668691806683</v>
      </c>
      <c r="Z160">
        <f>IFERROR(SUM($H$3:$H160),"")</f>
        <v>897650.57700000005</v>
      </c>
      <c r="AA160">
        <f>IFERROR(SUM($I$3:$I160),"")</f>
        <v>1226481.8089999999</v>
      </c>
      <c r="AB160">
        <f>IFERROR(SUM($J$3:$J160),"")</f>
        <v>938020.02500000049</v>
      </c>
      <c r="AC160">
        <f t="shared" si="54"/>
        <v>2164501.8340000003</v>
      </c>
      <c r="AD160">
        <f t="shared" si="55"/>
        <v>41.471462989760624</v>
      </c>
      <c r="AE160">
        <f t="shared" si="56"/>
        <v>56.663468227858282</v>
      </c>
      <c r="AF160">
        <f>IFERROR(SUM($K$3:$K160),"")</f>
        <v>858583.89399999974</v>
      </c>
      <c r="AG160">
        <f>IFERROR(SUM($L$3:$L160),"")</f>
        <v>1109094.8219999997</v>
      </c>
      <c r="AH160">
        <f>IFERROR(SUM($M$3:$M160),"")</f>
        <v>791588.93999999971</v>
      </c>
      <c r="AI160">
        <f t="shared" si="57"/>
        <v>1900683.7619999994</v>
      </c>
      <c r="AJ160">
        <f t="shared" si="58"/>
        <v>45.172369605375735</v>
      </c>
      <c r="AK160">
        <f t="shared" si="59"/>
        <v>58.352412125252847</v>
      </c>
    </row>
    <row r="161" spans="1:37" x14ac:dyDescent="0.35">
      <c r="A161">
        <v>2008</v>
      </c>
      <c r="B161">
        <v>12127.227999999999</v>
      </c>
      <c r="C161">
        <v>15221.392</v>
      </c>
      <c r="D161">
        <v>22273.838</v>
      </c>
      <c r="E161">
        <v>10290.096</v>
      </c>
      <c r="F161">
        <v>11521.911</v>
      </c>
      <c r="G161">
        <v>16169.334999999999</v>
      </c>
      <c r="H161">
        <v>12127.227000000001</v>
      </c>
      <c r="I161">
        <v>15221.392</v>
      </c>
      <c r="J161">
        <v>22273.838</v>
      </c>
      <c r="K161">
        <v>11845.31</v>
      </c>
      <c r="L161">
        <v>14938.323</v>
      </c>
      <c r="M161">
        <v>21470.763999999999</v>
      </c>
      <c r="N161">
        <f>IFERROR(SUM($B$3:$B161),"")</f>
        <v>909777.80099999986</v>
      </c>
      <c r="O161">
        <f>IFERROR(SUM($C$3:$C161),"")</f>
        <v>1241703.1939999994</v>
      </c>
      <c r="P161">
        <f>IFERROR(SUM($D$3:$D161),"")</f>
        <v>960777.69699999969</v>
      </c>
      <c r="Q161">
        <f t="shared" si="48"/>
        <v>2202480.8909999989</v>
      </c>
      <c r="R161">
        <f t="shared" si="49"/>
        <v>41.306955475419848</v>
      </c>
      <c r="S161">
        <f t="shared" si="50"/>
        <v>56.377478645738677</v>
      </c>
      <c r="T161">
        <f>IFERROR(SUM($E$3:$E161),"")</f>
        <v>808900.13699999999</v>
      </c>
      <c r="U161">
        <f>IFERROR(SUM($F$3:$F161),"")</f>
        <v>1037638.1120000001</v>
      </c>
      <c r="V161">
        <f>IFERROR(SUM($G$3:$G161),"")</f>
        <v>707498.17899999977</v>
      </c>
      <c r="W161">
        <f t="shared" si="51"/>
        <v>1745136.2909999997</v>
      </c>
      <c r="X161">
        <f t="shared" si="52"/>
        <v>46.351688471075413</v>
      </c>
      <c r="Y161">
        <f t="shared" si="53"/>
        <v>59.458858162041409</v>
      </c>
      <c r="Z161">
        <f>IFERROR(SUM($H$3:$H161),"")</f>
        <v>909777.804</v>
      </c>
      <c r="AA161">
        <f>IFERROR(SUM($I$3:$I161),"")</f>
        <v>1241703.2009999999</v>
      </c>
      <c r="AB161">
        <f>IFERROR(SUM($J$3:$J161),"")</f>
        <v>960293.86300000048</v>
      </c>
      <c r="AC161">
        <f t="shared" si="54"/>
        <v>2201997.0640000002</v>
      </c>
      <c r="AD161">
        <f t="shared" si="55"/>
        <v>41.316031654799694</v>
      </c>
      <c r="AE161">
        <f t="shared" si="56"/>
        <v>56.389866330902592</v>
      </c>
      <c r="AF161">
        <f>IFERROR(SUM($K$3:$K161),"")</f>
        <v>870429.20399999979</v>
      </c>
      <c r="AG161">
        <f>IFERROR(SUM($L$3:$L161),"")</f>
        <v>1124033.1449999998</v>
      </c>
      <c r="AH161">
        <f>IFERROR(SUM($M$3:$M161),"")</f>
        <v>813059.70399999968</v>
      </c>
      <c r="AI161">
        <f t="shared" si="57"/>
        <v>1937092.8489999995</v>
      </c>
      <c r="AJ161">
        <f t="shared" si="58"/>
        <v>44.934820984412191</v>
      </c>
      <c r="AK161">
        <f t="shared" si="59"/>
        <v>58.026807831140779</v>
      </c>
    </row>
    <row r="162" spans="1:37" x14ac:dyDescent="0.35">
      <c r="A162">
        <v>2009</v>
      </c>
      <c r="B162">
        <v>11071.749</v>
      </c>
      <c r="C162">
        <v>14224.397999999999</v>
      </c>
      <c r="D162">
        <v>23523.278999999999</v>
      </c>
      <c r="E162">
        <v>9503.0609999999997</v>
      </c>
      <c r="F162">
        <v>10456.441999999999</v>
      </c>
      <c r="G162">
        <v>16092.346</v>
      </c>
      <c r="H162">
        <v>11071.749</v>
      </c>
      <c r="I162">
        <v>14224.398999999999</v>
      </c>
      <c r="J162">
        <v>23523.279999999999</v>
      </c>
      <c r="K162">
        <v>10936.817999999999</v>
      </c>
      <c r="L162">
        <v>13973.844999999999</v>
      </c>
      <c r="M162">
        <v>22389.316999999999</v>
      </c>
      <c r="N162">
        <f>IFERROR(SUM($B$3:$B162),"")</f>
        <v>920849.54999999981</v>
      </c>
      <c r="O162">
        <f>IFERROR(SUM($C$3:$C162),"")</f>
        <v>1255927.5919999995</v>
      </c>
      <c r="P162">
        <f>IFERROR(SUM($D$3:$D162),"")</f>
        <v>984300.97599999967</v>
      </c>
      <c r="Q162">
        <f t="shared" si="48"/>
        <v>2240228.567999999</v>
      </c>
      <c r="R162">
        <f t="shared" si="49"/>
        <v>41.105160569490614</v>
      </c>
      <c r="S162">
        <f t="shared" si="50"/>
        <v>56.062475496473539</v>
      </c>
      <c r="T162">
        <f>IFERROR(SUM($E$3:$E162),"")</f>
        <v>818403.19799999997</v>
      </c>
      <c r="U162">
        <f>IFERROR(SUM($F$3:$F162),"")</f>
        <v>1048094.5540000001</v>
      </c>
      <c r="V162">
        <f>IFERROR(SUM($G$3:$G162),"")</f>
        <v>723590.52499999979</v>
      </c>
      <c r="W162">
        <f t="shared" si="51"/>
        <v>1771685.0789999999</v>
      </c>
      <c r="X162">
        <f t="shared" si="52"/>
        <v>46.193491591741285</v>
      </c>
      <c r="Y162">
        <f t="shared" si="53"/>
        <v>59.158061803601171</v>
      </c>
      <c r="Z162">
        <f>IFERROR(SUM($H$3:$H162),"")</f>
        <v>920849.55299999996</v>
      </c>
      <c r="AA162">
        <f>IFERROR(SUM($I$3:$I162),"")</f>
        <v>1255927.5999999999</v>
      </c>
      <c r="AB162">
        <f>IFERROR(SUM($J$3:$J162),"")</f>
        <v>983817.14300000051</v>
      </c>
      <c r="AC162">
        <f t="shared" si="54"/>
        <v>2239744.7430000002</v>
      </c>
      <c r="AD162">
        <f t="shared" si="55"/>
        <v>41.114040154708817</v>
      </c>
      <c r="AE162">
        <f t="shared" si="56"/>
        <v>56.07458635298601</v>
      </c>
      <c r="AF162">
        <f>IFERROR(SUM($K$3:$K162),"")</f>
        <v>881366.02199999976</v>
      </c>
      <c r="AG162">
        <f>IFERROR(SUM($L$3:$L162),"")</f>
        <v>1138006.9899999998</v>
      </c>
      <c r="AH162">
        <f>IFERROR(SUM($M$3:$M162),"")</f>
        <v>835449.02099999972</v>
      </c>
      <c r="AI162">
        <f t="shared" si="57"/>
        <v>1973456.0109999995</v>
      </c>
      <c r="AJ162">
        <f t="shared" si="58"/>
        <v>44.661042206529331</v>
      </c>
      <c r="AK162">
        <f t="shared" si="59"/>
        <v>57.665688196583773</v>
      </c>
    </row>
    <row r="163" spans="1:37" x14ac:dyDescent="0.35">
      <c r="A163">
        <v>2010</v>
      </c>
      <c r="B163">
        <v>11895.232</v>
      </c>
      <c r="C163">
        <v>15295.797</v>
      </c>
      <c r="D163">
        <v>24166.399000000001</v>
      </c>
      <c r="E163">
        <v>9852.8080000000009</v>
      </c>
      <c r="F163">
        <v>10952.944</v>
      </c>
      <c r="G163">
        <v>16737.86</v>
      </c>
      <c r="H163">
        <v>11895.232</v>
      </c>
      <c r="I163">
        <v>15295.797</v>
      </c>
      <c r="J163">
        <v>24166.399000000001</v>
      </c>
      <c r="K163">
        <v>11294.884</v>
      </c>
      <c r="L163">
        <v>14590.031000000001</v>
      </c>
      <c r="M163">
        <v>23534.274000000001</v>
      </c>
      <c r="N163">
        <f>IFERROR(SUM($B$3:$B163),"")</f>
        <v>932744.78199999977</v>
      </c>
      <c r="O163">
        <f>IFERROR(SUM($C$3:$C163),"")</f>
        <v>1271223.3889999995</v>
      </c>
      <c r="P163">
        <f>IFERROR(SUM($D$3:$D163),"")</f>
        <v>1008467.3749999997</v>
      </c>
      <c r="Q163">
        <f t="shared" ref="Q163:Q177" si="60">IFERROR(O163+P163,"")</f>
        <v>2279690.763999999</v>
      </c>
      <c r="R163">
        <f t="shared" ref="R163:R177" si="61">IFERROR(N163/Q163*100,NA())</f>
        <v>40.915408209286412</v>
      </c>
      <c r="S163">
        <f t="shared" ref="S163:S177" si="62">IFERROR(O163/Q163*100,NA())</f>
        <v>55.762974920751141</v>
      </c>
      <c r="T163">
        <f>IFERROR(SUM($E$3:$E163),"")</f>
        <v>828256.00599999994</v>
      </c>
      <c r="U163">
        <f>IFERROR(SUM($F$3:$F163),"")</f>
        <v>1059047.4980000001</v>
      </c>
      <c r="V163">
        <f>IFERROR(SUM($G$3:$G163),"")</f>
        <v>740328.38499999978</v>
      </c>
      <c r="W163">
        <f t="shared" ref="W163:W177" si="63">IFERROR(U163+V163,"")</f>
        <v>1799375.8829999999</v>
      </c>
      <c r="X163">
        <f t="shared" ref="X163:X177" si="64">IFERROR(T163/W163*100,NA())</f>
        <v>46.0301826775123</v>
      </c>
      <c r="Y163">
        <f t="shared" ref="Y163:Y177" si="65">IFERROR(U163/W163*100,NA())</f>
        <v>58.856379481662771</v>
      </c>
      <c r="Z163">
        <f>IFERROR(SUM($H$3:$H163),"")</f>
        <v>932744.78499999992</v>
      </c>
      <c r="AA163">
        <f>IFERROR(SUM($I$3:$I163),"")</f>
        <v>1271223.3969999999</v>
      </c>
      <c r="AB163">
        <f>IFERROR(SUM($J$3:$J163),"")</f>
        <v>1007983.5420000005</v>
      </c>
      <c r="AC163">
        <f t="shared" ref="AC163:AC177" si="66">IFERROR(AA163+AB163,"")</f>
        <v>2279206.9390000002</v>
      </c>
      <c r="AD163">
        <f t="shared" ref="AD163:AD177" si="67">IFERROR(Z163/AC163*100,NA())</f>
        <v>40.924093773127979</v>
      </c>
      <c r="AE163">
        <f t="shared" ref="AE163:AE177" si="68">IFERROR(AA163/AC163*100,NA())</f>
        <v>55.774812512537707</v>
      </c>
      <c r="AF163">
        <f>IFERROR(SUM($K$3:$K163),"")</f>
        <v>892660.90599999973</v>
      </c>
      <c r="AG163">
        <f>IFERROR(SUM($L$3:$L163),"")</f>
        <v>1152597.0209999997</v>
      </c>
      <c r="AH163">
        <f>IFERROR(SUM($M$3:$M163),"")</f>
        <v>858983.29499999969</v>
      </c>
      <c r="AI163">
        <f t="shared" ref="AI163:AI177" si="69">IFERROR(AG163+AH163,"")</f>
        <v>2011580.3159999994</v>
      </c>
      <c r="AJ163">
        <f t="shared" ref="AJ163:AJ177" si="70">IFERROR(AF163/AI163*100,NA())</f>
        <v>44.376100665721566</v>
      </c>
      <c r="AK163">
        <f t="shared" ref="AK163:AK177" si="71">IFERROR(AG163/AI163*100,NA())</f>
        <v>57.298086078507836</v>
      </c>
    </row>
    <row r="164" spans="1:37" x14ac:dyDescent="0.35">
      <c r="A164">
        <v>2011</v>
      </c>
      <c r="B164">
        <v>11269.467000000001</v>
      </c>
      <c r="C164">
        <v>14462.842000000001</v>
      </c>
      <c r="D164">
        <v>25802.384999999998</v>
      </c>
      <c r="E164">
        <v>9540.4850000000006</v>
      </c>
      <c r="F164">
        <v>11107.620999999999</v>
      </c>
      <c r="G164">
        <v>18718.382000000001</v>
      </c>
      <c r="H164">
        <v>11269.467000000001</v>
      </c>
      <c r="I164">
        <v>14462.842000000001</v>
      </c>
      <c r="J164">
        <v>25802.384999999998</v>
      </c>
      <c r="K164">
        <v>11077.163</v>
      </c>
      <c r="L164">
        <v>14231.841</v>
      </c>
      <c r="M164">
        <v>24998.133999999998</v>
      </c>
      <c r="N164">
        <f>IFERROR(SUM($B$3:$B164),"")</f>
        <v>944014.24899999972</v>
      </c>
      <c r="O164">
        <f>IFERROR(SUM($C$3:$C164),"")</f>
        <v>1285686.2309999994</v>
      </c>
      <c r="P164">
        <f>IFERROR(SUM($D$3:$D164),"")</f>
        <v>1034269.7599999997</v>
      </c>
      <c r="Q164">
        <f t="shared" si="60"/>
        <v>2319955.990999999</v>
      </c>
      <c r="R164">
        <f t="shared" si="61"/>
        <v>40.691041237945626</v>
      </c>
      <c r="S164">
        <f t="shared" si="62"/>
        <v>55.418561213560537</v>
      </c>
      <c r="T164">
        <f>IFERROR(SUM($E$3:$E164),"")</f>
        <v>837796.49099999992</v>
      </c>
      <c r="U164">
        <f>IFERROR(SUM($F$3:$F164),"")</f>
        <v>1070155.1190000002</v>
      </c>
      <c r="V164">
        <f>IFERROR(SUM($G$3:$G164),"")</f>
        <v>759046.76699999976</v>
      </c>
      <c r="W164">
        <f t="shared" si="63"/>
        <v>1829201.8859999999</v>
      </c>
      <c r="X164">
        <f t="shared" si="64"/>
        <v>45.801204197971181</v>
      </c>
      <c r="Y164">
        <f t="shared" si="65"/>
        <v>58.503937000642267</v>
      </c>
      <c r="Z164">
        <f>IFERROR(SUM($H$3:$H164),"")</f>
        <v>944014.25199999986</v>
      </c>
      <c r="AA164">
        <f>IFERROR(SUM($I$3:$I164),"")</f>
        <v>1285686.2389999998</v>
      </c>
      <c r="AB164">
        <f>IFERROR(SUM($J$3:$J164),"")</f>
        <v>1033785.9270000005</v>
      </c>
      <c r="AC164">
        <f t="shared" si="66"/>
        <v>2319472.1660000002</v>
      </c>
      <c r="AD164">
        <f t="shared" si="67"/>
        <v>40.69952922211526</v>
      </c>
      <c r="AE164">
        <f t="shared" si="68"/>
        <v>55.43012146669578</v>
      </c>
      <c r="AF164">
        <f>IFERROR(SUM($K$3:$K164),"")</f>
        <v>903738.06899999967</v>
      </c>
      <c r="AG164">
        <f>IFERROR(SUM($L$3:$L164),"")</f>
        <v>1166828.8619999997</v>
      </c>
      <c r="AH164">
        <f>IFERROR(SUM($M$3:$M164),"")</f>
        <v>883981.42899999965</v>
      </c>
      <c r="AI164">
        <f t="shared" si="69"/>
        <v>2050810.2909999993</v>
      </c>
      <c r="AJ164">
        <f t="shared" si="70"/>
        <v>44.067365614755438</v>
      </c>
      <c r="AK164">
        <f t="shared" si="71"/>
        <v>56.895992141283834</v>
      </c>
    </row>
    <row r="165" spans="1:37" x14ac:dyDescent="0.35">
      <c r="A165">
        <v>2012</v>
      </c>
      <c r="B165">
        <v>11063.984</v>
      </c>
      <c r="C165">
        <v>14565.038</v>
      </c>
      <c r="D165">
        <v>26572.498</v>
      </c>
      <c r="E165">
        <v>9331.4060000000009</v>
      </c>
      <c r="F165">
        <v>11280.571</v>
      </c>
      <c r="G165">
        <v>19392.306</v>
      </c>
      <c r="H165">
        <v>11063.985000000001</v>
      </c>
      <c r="I165">
        <v>14565.039000000001</v>
      </c>
      <c r="J165">
        <v>26572.499</v>
      </c>
      <c r="K165">
        <v>10846.607</v>
      </c>
      <c r="L165">
        <v>14186.684999999999</v>
      </c>
      <c r="M165">
        <v>25471.082999999999</v>
      </c>
      <c r="N165">
        <f>IFERROR(SUM($B$3:$B165),"")</f>
        <v>955078.23299999977</v>
      </c>
      <c r="O165">
        <f>IFERROR(SUM($C$3:$C165),"")</f>
        <v>1300251.2689999994</v>
      </c>
      <c r="P165">
        <f>IFERROR(SUM($D$3:$D165),"")</f>
        <v>1060842.2579999997</v>
      </c>
      <c r="Q165">
        <f t="shared" si="60"/>
        <v>2361093.5269999988</v>
      </c>
      <c r="R165">
        <f t="shared" si="61"/>
        <v>40.450673473046209</v>
      </c>
      <c r="S165">
        <f t="shared" si="62"/>
        <v>55.069875637332174</v>
      </c>
      <c r="T165">
        <f>IFERROR(SUM($E$3:$E165),"")</f>
        <v>847127.89699999988</v>
      </c>
      <c r="U165">
        <f>IFERROR(SUM($F$3:$F165),"")</f>
        <v>1081435.6900000002</v>
      </c>
      <c r="V165">
        <f>IFERROR(SUM($G$3:$G165),"")</f>
        <v>778439.07299999974</v>
      </c>
      <c r="W165">
        <f t="shared" si="63"/>
        <v>1859874.7629999998</v>
      </c>
      <c r="X165">
        <f t="shared" si="64"/>
        <v>45.547577388144816</v>
      </c>
      <c r="Y165">
        <f t="shared" si="65"/>
        <v>58.145618807990694</v>
      </c>
      <c r="Z165">
        <f>IFERROR(SUM($H$3:$H165),"")</f>
        <v>955078.23699999985</v>
      </c>
      <c r="AA165">
        <f>IFERROR(SUM($I$3:$I165),"")</f>
        <v>1300251.2779999999</v>
      </c>
      <c r="AB165">
        <f>IFERROR(SUM($J$3:$J165),"")</f>
        <v>1060358.4260000004</v>
      </c>
      <c r="AC165">
        <f t="shared" si="66"/>
        <v>2360609.7040000004</v>
      </c>
      <c r="AD165">
        <f t="shared" si="67"/>
        <v>40.458964282898656</v>
      </c>
      <c r="AE165">
        <f t="shared" si="68"/>
        <v>55.081162963820461</v>
      </c>
      <c r="AF165">
        <f>IFERROR(SUM($K$3:$K165),"")</f>
        <v>914584.67599999963</v>
      </c>
      <c r="AG165">
        <f>IFERROR(SUM($L$3:$L165),"")</f>
        <v>1181015.5469999998</v>
      </c>
      <c r="AH165">
        <f>IFERROR(SUM($M$3:$M165),"")</f>
        <v>909452.51199999964</v>
      </c>
      <c r="AI165">
        <f t="shared" si="69"/>
        <v>2090468.0589999994</v>
      </c>
      <c r="AJ165">
        <f t="shared" si="70"/>
        <v>43.75023440623638</v>
      </c>
      <c r="AK165">
        <f t="shared" si="71"/>
        <v>56.495268699056453</v>
      </c>
    </row>
    <row r="166" spans="1:37" x14ac:dyDescent="0.35">
      <c r="A166">
        <v>2013</v>
      </c>
      <c r="B166">
        <v>11104.181</v>
      </c>
      <c r="C166">
        <v>14364.075000000001</v>
      </c>
      <c r="D166">
        <v>26850.191999999999</v>
      </c>
      <c r="E166">
        <v>9479.7909999999993</v>
      </c>
      <c r="F166">
        <v>10878.342000000001</v>
      </c>
      <c r="G166">
        <v>19652.264999999999</v>
      </c>
      <c r="H166">
        <v>11104.181</v>
      </c>
      <c r="I166">
        <v>14364.075000000001</v>
      </c>
      <c r="J166">
        <v>26850.191999999999</v>
      </c>
      <c r="K166">
        <v>10896.143</v>
      </c>
      <c r="L166">
        <v>14039.444</v>
      </c>
      <c r="M166">
        <v>25758.593000000001</v>
      </c>
      <c r="N166">
        <f>IFERROR(SUM($B$3:$B166),"")</f>
        <v>966182.41399999976</v>
      </c>
      <c r="O166">
        <f>IFERROR(SUM($C$3:$C166),"")</f>
        <v>1314615.3439999993</v>
      </c>
      <c r="P166">
        <f>IFERROR(SUM($D$3:$D166),"")</f>
        <v>1087692.4499999997</v>
      </c>
      <c r="Q166">
        <f t="shared" si="60"/>
        <v>2402307.7939999988</v>
      </c>
      <c r="R166">
        <f t="shared" si="61"/>
        <v>40.218926834152384</v>
      </c>
      <c r="S166">
        <f t="shared" si="62"/>
        <v>54.723018727382943</v>
      </c>
      <c r="T166">
        <f>IFERROR(SUM($E$3:$E166),"")</f>
        <v>856607.68799999985</v>
      </c>
      <c r="U166">
        <f>IFERROR(SUM($F$3:$F166),"")</f>
        <v>1092314.0320000001</v>
      </c>
      <c r="V166">
        <f>IFERROR(SUM($G$3:$G166),"")</f>
        <v>798091.33799999976</v>
      </c>
      <c r="W166">
        <f t="shared" si="63"/>
        <v>1890405.3699999999</v>
      </c>
      <c r="X166">
        <f t="shared" si="64"/>
        <v>45.313439201667094</v>
      </c>
      <c r="Y166">
        <f t="shared" si="65"/>
        <v>57.782000058537719</v>
      </c>
      <c r="Z166">
        <f>IFERROR(SUM($H$3:$H166),"")</f>
        <v>966182.41799999983</v>
      </c>
      <c r="AA166">
        <f>IFERROR(SUM($I$3:$I166),"")</f>
        <v>1314615.3529999999</v>
      </c>
      <c r="AB166">
        <f>IFERROR(SUM($J$3:$J166),"")</f>
        <v>1087208.6180000005</v>
      </c>
      <c r="AC166">
        <f t="shared" si="66"/>
        <v>2401823.9710000004</v>
      </c>
      <c r="AD166">
        <f t="shared" si="67"/>
        <v>40.227028694268938</v>
      </c>
      <c r="AE166">
        <f t="shared" si="68"/>
        <v>54.734042497404978</v>
      </c>
      <c r="AF166">
        <f>IFERROR(SUM($K$3:$K166),"")</f>
        <v>925480.81899999967</v>
      </c>
      <c r="AG166">
        <f>IFERROR(SUM($L$3:$L166),"")</f>
        <v>1195054.9909999997</v>
      </c>
      <c r="AH166">
        <f>IFERROR(SUM($M$3:$M166),"")</f>
        <v>935211.10499999963</v>
      </c>
      <c r="AI166">
        <f t="shared" si="69"/>
        <v>2130266.0959999994</v>
      </c>
      <c r="AJ166">
        <f t="shared" si="70"/>
        <v>43.444376302931119</v>
      </c>
      <c r="AK166">
        <f t="shared" si="71"/>
        <v>56.098859820562062</v>
      </c>
    </row>
    <row r="167" spans="1:37" x14ac:dyDescent="0.35">
      <c r="A167">
        <v>2014</v>
      </c>
      <c r="B167">
        <v>10941.716</v>
      </c>
      <c r="C167">
        <v>14023.258</v>
      </c>
      <c r="D167">
        <v>27476.524000000001</v>
      </c>
      <c r="E167">
        <v>9264.25</v>
      </c>
      <c r="F167">
        <v>10805.486999999999</v>
      </c>
      <c r="G167">
        <v>20084.989000000001</v>
      </c>
      <c r="H167">
        <v>10941.716</v>
      </c>
      <c r="I167">
        <v>14023.257</v>
      </c>
      <c r="J167">
        <v>27476.525000000001</v>
      </c>
      <c r="K167">
        <v>10714.335999999999</v>
      </c>
      <c r="L167">
        <v>13708.294</v>
      </c>
      <c r="M167">
        <v>26382.324000000001</v>
      </c>
      <c r="N167">
        <f>IFERROR(SUM($B$3:$B167),"")</f>
        <v>977124.12999999977</v>
      </c>
      <c r="O167">
        <f>IFERROR(SUM($C$3:$C167),"")</f>
        <v>1328638.6019999993</v>
      </c>
      <c r="P167">
        <f>IFERROR(SUM($D$3:$D167),"")</f>
        <v>1115168.9739999997</v>
      </c>
      <c r="Q167">
        <f t="shared" si="60"/>
        <v>2443807.575999999</v>
      </c>
      <c r="R167">
        <f t="shared" si="61"/>
        <v>39.983677094550437</v>
      </c>
      <c r="S167">
        <f t="shared" si="62"/>
        <v>54.367562121020271</v>
      </c>
      <c r="T167">
        <f>IFERROR(SUM($E$3:$E167),"")</f>
        <v>865871.93799999985</v>
      </c>
      <c r="U167">
        <f>IFERROR(SUM($F$3:$F167),"")</f>
        <v>1103119.5190000001</v>
      </c>
      <c r="V167">
        <f>IFERROR(SUM($G$3:$G167),"")</f>
        <v>818176.32699999982</v>
      </c>
      <c r="W167">
        <f t="shared" si="63"/>
        <v>1921295.8459999999</v>
      </c>
      <c r="X167">
        <f t="shared" si="64"/>
        <v>45.067080106516812</v>
      </c>
      <c r="Y167">
        <f t="shared" si="65"/>
        <v>57.415390830965244</v>
      </c>
      <c r="Z167">
        <f>IFERROR(SUM($H$3:$H167),"")</f>
        <v>977124.13399999985</v>
      </c>
      <c r="AA167">
        <f>IFERROR(SUM($I$3:$I167),"")</f>
        <v>1328638.6099999999</v>
      </c>
      <c r="AB167">
        <f>IFERROR(SUM($J$3:$J167),"")</f>
        <v>1114685.1430000004</v>
      </c>
      <c r="AC167">
        <f t="shared" si="66"/>
        <v>2443323.7530000005</v>
      </c>
      <c r="AD167">
        <f t="shared" si="67"/>
        <v>39.991594761040233</v>
      </c>
      <c r="AE167">
        <f t="shared" si="68"/>
        <v>54.378328224765539</v>
      </c>
      <c r="AF167">
        <f>IFERROR(SUM($K$3:$K167),"")</f>
        <v>936195.15499999968</v>
      </c>
      <c r="AG167">
        <f>IFERROR(SUM($L$3:$L167),"")</f>
        <v>1208763.2849999997</v>
      </c>
      <c r="AH167">
        <f>IFERROR(SUM($M$3:$M167),"")</f>
        <v>961593.42899999965</v>
      </c>
      <c r="AI167">
        <f t="shared" si="69"/>
        <v>2170356.7139999992</v>
      </c>
      <c r="AJ167">
        <f t="shared" si="70"/>
        <v>43.135543063544532</v>
      </c>
      <c r="AK167">
        <f t="shared" si="71"/>
        <v>55.694221931482922</v>
      </c>
    </row>
    <row r="168" spans="1:37" x14ac:dyDescent="0.35">
      <c r="A168">
        <v>2015</v>
      </c>
      <c r="B168">
        <v>10737.214</v>
      </c>
      <c r="C168">
        <v>14140.307000000001</v>
      </c>
      <c r="D168">
        <v>27380.474999999999</v>
      </c>
      <c r="E168">
        <v>9181.93</v>
      </c>
      <c r="F168">
        <v>10770.040999999999</v>
      </c>
      <c r="G168">
        <v>21216.995999999999</v>
      </c>
      <c r="H168">
        <v>10737.215</v>
      </c>
      <c r="I168">
        <v>14140.308000000001</v>
      </c>
      <c r="J168">
        <v>27380.474999999999</v>
      </c>
      <c r="K168">
        <v>10514.602999999999</v>
      </c>
      <c r="L168">
        <v>13673.904</v>
      </c>
      <c r="M168">
        <v>26649.652999999998</v>
      </c>
      <c r="N168">
        <f>IFERROR(SUM($B$3:$B168),"")</f>
        <v>987861.34399999981</v>
      </c>
      <c r="O168">
        <f>IFERROR(SUM($C$3:$C168),"")</f>
        <v>1342778.9089999993</v>
      </c>
      <c r="P168">
        <f>IFERROR(SUM($D$3:$D168),"")</f>
        <v>1142549.4489999998</v>
      </c>
      <c r="Q168">
        <f t="shared" si="60"/>
        <v>2485328.3579999991</v>
      </c>
      <c r="R168">
        <f t="shared" si="61"/>
        <v>39.74771948423566</v>
      </c>
      <c r="S168">
        <f t="shared" si="62"/>
        <v>54.02822949642615</v>
      </c>
      <c r="T168">
        <f>IFERROR(SUM($E$3:$E168),"")</f>
        <v>875053.8679999999</v>
      </c>
      <c r="U168">
        <f>IFERROR(SUM($F$3:$F168),"")</f>
        <v>1113889.56</v>
      </c>
      <c r="V168">
        <f>IFERROR(SUM($G$3:$G168),"")</f>
        <v>839393.32299999986</v>
      </c>
      <c r="W168">
        <f t="shared" si="63"/>
        <v>1953282.8829999999</v>
      </c>
      <c r="X168">
        <f t="shared" si="64"/>
        <v>44.799136654288695</v>
      </c>
      <c r="Y168">
        <f t="shared" si="65"/>
        <v>57.026535669488077</v>
      </c>
      <c r="Z168">
        <f>IFERROR(SUM($H$3:$H168),"")</f>
        <v>987861.34899999981</v>
      </c>
      <c r="AA168">
        <f>IFERROR(SUM($I$3:$I168),"")</f>
        <v>1342778.9179999998</v>
      </c>
      <c r="AB168">
        <f>IFERROR(SUM($J$3:$J168),"")</f>
        <v>1142065.6180000005</v>
      </c>
      <c r="AC168">
        <f t="shared" si="66"/>
        <v>2484844.5360000003</v>
      </c>
      <c r="AD168">
        <f t="shared" si="67"/>
        <v>39.755458930650775</v>
      </c>
      <c r="AE168">
        <f t="shared" si="68"/>
        <v>54.038749649970043</v>
      </c>
      <c r="AF168">
        <f>IFERROR(SUM($K$3:$K168),"")</f>
        <v>946709.75799999968</v>
      </c>
      <c r="AG168">
        <f>IFERROR(SUM($L$3:$L168),"")</f>
        <v>1222437.1889999998</v>
      </c>
      <c r="AH168">
        <f>IFERROR(SUM($M$3:$M168),"")</f>
        <v>988243.0819999997</v>
      </c>
      <c r="AI168">
        <f t="shared" si="69"/>
        <v>2210680.2709999997</v>
      </c>
      <c r="AJ168">
        <f t="shared" si="70"/>
        <v>42.824363632274881</v>
      </c>
      <c r="AK168">
        <f t="shared" si="71"/>
        <v>55.296878749771949</v>
      </c>
    </row>
    <row r="169" spans="1:37" x14ac:dyDescent="0.35">
      <c r="A169">
        <v>2016</v>
      </c>
      <c r="B169">
        <v>10646.071</v>
      </c>
      <c r="C169">
        <v>14075.423000000001</v>
      </c>
      <c r="D169">
        <v>26319.885999999999</v>
      </c>
      <c r="E169">
        <v>8916.9850000000006</v>
      </c>
      <c r="F169">
        <v>10660.815000000001</v>
      </c>
      <c r="G169">
        <v>20780.042000000001</v>
      </c>
      <c r="H169">
        <v>10646.071</v>
      </c>
      <c r="I169">
        <v>14075.423000000001</v>
      </c>
      <c r="J169">
        <v>26319.885999999999</v>
      </c>
      <c r="K169">
        <v>10377.181</v>
      </c>
      <c r="L169">
        <v>13565.915999999999</v>
      </c>
      <c r="M169">
        <v>25667.556</v>
      </c>
      <c r="N169">
        <f>IFERROR(SUM($B$3:$B169),"")</f>
        <v>998507.4149999998</v>
      </c>
      <c r="O169">
        <f>IFERROR(SUM($C$3:$C169),"")</f>
        <v>1356854.3319999992</v>
      </c>
      <c r="P169">
        <f>IFERROR(SUM($D$3:$D169),"")</f>
        <v>1168869.3349999997</v>
      </c>
      <c r="Q169">
        <f t="shared" si="60"/>
        <v>2525723.666999999</v>
      </c>
      <c r="R169">
        <f t="shared" si="61"/>
        <v>39.533517781302088</v>
      </c>
      <c r="S169">
        <f t="shared" si="62"/>
        <v>53.721408629457947</v>
      </c>
      <c r="T169">
        <f>IFERROR(SUM($E$3:$E169),"")</f>
        <v>883970.85299999989</v>
      </c>
      <c r="U169">
        <f>IFERROR(SUM($F$3:$F169),"")</f>
        <v>1124550.375</v>
      </c>
      <c r="V169">
        <f>IFERROR(SUM($G$3:$G169),"")</f>
        <v>860173.36499999987</v>
      </c>
      <c r="W169">
        <f t="shared" si="63"/>
        <v>1984723.7399999998</v>
      </c>
      <c r="X169">
        <f t="shared" si="64"/>
        <v>44.538735300258971</v>
      </c>
      <c r="Y169">
        <f t="shared" si="65"/>
        <v>56.660297467898488</v>
      </c>
      <c r="Z169">
        <f>IFERROR(SUM($H$3:$H169),"")</f>
        <v>998507.41999999981</v>
      </c>
      <c r="AA169">
        <f>IFERROR(SUM($I$3:$I169),"")</f>
        <v>1356854.3409999998</v>
      </c>
      <c r="AB169">
        <f>IFERROR(SUM($J$3:$J169),"")</f>
        <v>1168385.5040000004</v>
      </c>
      <c r="AC169">
        <f t="shared" si="66"/>
        <v>2525239.8450000002</v>
      </c>
      <c r="AD169">
        <f t="shared" si="67"/>
        <v>39.541092382850458</v>
      </c>
      <c r="AE169">
        <f t="shared" si="68"/>
        <v>53.731701710892324</v>
      </c>
      <c r="AF169">
        <f>IFERROR(SUM($K$3:$K169),"")</f>
        <v>957086.93899999966</v>
      </c>
      <c r="AG169">
        <f>IFERROR(SUM($L$3:$L169),"")</f>
        <v>1236003.1049999997</v>
      </c>
      <c r="AH169">
        <f>IFERROR(SUM($M$3:$M169),"")</f>
        <v>1013910.6379999997</v>
      </c>
      <c r="AI169">
        <f t="shared" si="69"/>
        <v>2249913.7429999993</v>
      </c>
      <c r="AJ169">
        <f t="shared" si="70"/>
        <v>42.538828076308164</v>
      </c>
      <c r="AK169">
        <f t="shared" si="71"/>
        <v>54.935577368043134</v>
      </c>
    </row>
    <row r="170" spans="1:37" x14ac:dyDescent="0.35">
      <c r="A170">
        <v>2017</v>
      </c>
      <c r="B170">
        <v>10681.156999999999</v>
      </c>
      <c r="C170">
        <v>14165.019</v>
      </c>
      <c r="D170">
        <v>26817.901000000002</v>
      </c>
      <c r="E170">
        <v>8901.8230000000003</v>
      </c>
      <c r="F170">
        <v>10600.625</v>
      </c>
      <c r="G170">
        <v>21070.098000000002</v>
      </c>
      <c r="H170">
        <v>10681.156999999999</v>
      </c>
      <c r="I170">
        <v>14165.019</v>
      </c>
      <c r="J170">
        <v>26817.901000000002</v>
      </c>
      <c r="K170">
        <v>10350.882</v>
      </c>
      <c r="L170">
        <v>13570.793</v>
      </c>
      <c r="M170">
        <v>26095.485000000001</v>
      </c>
      <c r="N170">
        <f>IFERROR(SUM($B$3:$B170),"")</f>
        <v>1009188.5719999998</v>
      </c>
      <c r="O170">
        <f>IFERROR(SUM($C$3:$C170),"")</f>
        <v>1371019.3509999993</v>
      </c>
      <c r="P170">
        <f>IFERROR(SUM($D$3:$D170),"")</f>
        <v>1195687.2359999998</v>
      </c>
      <c r="Q170">
        <f t="shared" si="60"/>
        <v>2566706.5869999994</v>
      </c>
      <c r="R170">
        <f t="shared" si="61"/>
        <v>39.318423738474635</v>
      </c>
      <c r="S170">
        <f t="shared" si="62"/>
        <v>53.415507559142739</v>
      </c>
      <c r="T170">
        <f>IFERROR(SUM($E$3:$E170),"")</f>
        <v>892872.67599999986</v>
      </c>
      <c r="U170">
        <f>IFERROR(SUM($F$3:$F170),"")</f>
        <v>1135151</v>
      </c>
      <c r="V170">
        <f>IFERROR(SUM($G$3:$G170),"")</f>
        <v>881243.46299999987</v>
      </c>
      <c r="W170">
        <f t="shared" si="63"/>
        <v>2016394.463</v>
      </c>
      <c r="X170">
        <f t="shared" si="64"/>
        <v>44.280655019830803</v>
      </c>
      <c r="Y170">
        <f t="shared" si="65"/>
        <v>56.296078015961101</v>
      </c>
      <c r="Z170">
        <f>IFERROR(SUM($H$3:$H170),"")</f>
        <v>1009188.5769999998</v>
      </c>
      <c r="AA170">
        <f>IFERROR(SUM($I$3:$I170),"")</f>
        <v>1371019.3599999999</v>
      </c>
      <c r="AB170">
        <f>IFERROR(SUM($J$3:$J170),"")</f>
        <v>1195203.4050000005</v>
      </c>
      <c r="AC170">
        <f t="shared" si="66"/>
        <v>2566222.7650000006</v>
      </c>
      <c r="AD170">
        <f t="shared" si="67"/>
        <v>39.32583681993794</v>
      </c>
      <c r="AE170">
        <f t="shared" si="68"/>
        <v>53.425578585731216</v>
      </c>
      <c r="AF170">
        <f>IFERROR(SUM($K$3:$K170),"")</f>
        <v>967437.82099999965</v>
      </c>
      <c r="AG170">
        <f>IFERROR(SUM($L$3:$L170),"")</f>
        <v>1249573.8979999998</v>
      </c>
      <c r="AH170">
        <f>IFERROR(SUM($M$3:$M170),"")</f>
        <v>1040006.1229999997</v>
      </c>
      <c r="AI170">
        <f t="shared" si="69"/>
        <v>2289580.0209999997</v>
      </c>
      <c r="AJ170">
        <f t="shared" si="70"/>
        <v>42.253942300625965</v>
      </c>
      <c r="AK170">
        <f t="shared" si="71"/>
        <v>54.57655493753979</v>
      </c>
    </row>
    <row r="171" spans="1:37" x14ac:dyDescent="0.35">
      <c r="A171">
        <v>2018</v>
      </c>
      <c r="B171">
        <v>10669.892</v>
      </c>
      <c r="C171">
        <v>14105.819</v>
      </c>
      <c r="D171">
        <v>27078.359</v>
      </c>
      <c r="E171">
        <v>9011.6280000000006</v>
      </c>
      <c r="F171">
        <v>10884.933000000001</v>
      </c>
      <c r="G171">
        <v>21227.289000000001</v>
      </c>
      <c r="H171">
        <v>10669.892</v>
      </c>
      <c r="I171">
        <v>14105.819</v>
      </c>
      <c r="J171">
        <v>27078.359</v>
      </c>
      <c r="K171">
        <v>10378.054</v>
      </c>
      <c r="L171">
        <v>13616.565000000001</v>
      </c>
      <c r="M171">
        <v>26636.58</v>
      </c>
      <c r="N171">
        <f>IFERROR(SUM($B$3:$B171),"")</f>
        <v>1019858.4639999998</v>
      </c>
      <c r="O171">
        <f>IFERROR(SUM($C$3:$C171),"")</f>
        <v>1385125.1699999992</v>
      </c>
      <c r="P171">
        <f>IFERROR(SUM($D$3:$D171),"")</f>
        <v>1222765.5949999997</v>
      </c>
      <c r="Q171">
        <f t="shared" si="60"/>
        <v>2607890.7649999987</v>
      </c>
      <c r="R171">
        <f t="shared" si="61"/>
        <v>39.106640419427244</v>
      </c>
      <c r="S171">
        <f t="shared" si="62"/>
        <v>53.112852293872812</v>
      </c>
      <c r="T171">
        <f>IFERROR(SUM($E$3:$E171),"")</f>
        <v>901884.30399999989</v>
      </c>
      <c r="U171">
        <f>IFERROR(SUM($F$3:$F171),"")</f>
        <v>1146035.933</v>
      </c>
      <c r="V171">
        <f>IFERROR(SUM($G$3:$G171),"")</f>
        <v>902470.75199999986</v>
      </c>
      <c r="W171">
        <f t="shared" si="63"/>
        <v>2048506.6849999998</v>
      </c>
      <c r="X171">
        <f t="shared" si="64"/>
        <v>44.026427182491716</v>
      </c>
      <c r="Y171">
        <f t="shared" si="65"/>
        <v>55.944944743980663</v>
      </c>
      <c r="Z171">
        <f>IFERROR(SUM($H$3:$H171),"")</f>
        <v>1019858.4689999998</v>
      </c>
      <c r="AA171">
        <f>IFERROR(SUM($I$3:$I171),"")</f>
        <v>1385125.1789999998</v>
      </c>
      <c r="AB171">
        <f>IFERROR(SUM($J$3:$J171),"")</f>
        <v>1222281.7640000004</v>
      </c>
      <c r="AC171">
        <f t="shared" si="66"/>
        <v>2607406.943</v>
      </c>
      <c r="AD171">
        <f t="shared" si="67"/>
        <v>39.113897112914138</v>
      </c>
      <c r="AE171">
        <f t="shared" si="68"/>
        <v>53.122708088148244</v>
      </c>
      <c r="AF171">
        <f>IFERROR(SUM($K$3:$K171),"")</f>
        <v>977815.87499999965</v>
      </c>
      <c r="AG171">
        <f>IFERROR(SUM($L$3:$L171),"")</f>
        <v>1263190.4629999998</v>
      </c>
      <c r="AH171">
        <f>IFERROR(SUM($M$3:$M171),"")</f>
        <v>1066642.7029999997</v>
      </c>
      <c r="AI171">
        <f t="shared" si="69"/>
        <v>2329833.1659999993</v>
      </c>
      <c r="AJ171">
        <f t="shared" si="70"/>
        <v>41.969351680179493</v>
      </c>
      <c r="AK171">
        <f t="shared" si="71"/>
        <v>54.218065114452926</v>
      </c>
    </row>
    <row r="172" spans="1:37" x14ac:dyDescent="0.35">
      <c r="A172">
        <v>2019</v>
      </c>
      <c r="B172">
        <v>10306.18</v>
      </c>
      <c r="C172">
        <v>13598.403</v>
      </c>
      <c r="D172">
        <v>27858.355</v>
      </c>
      <c r="E172">
        <v>8771.6260000000002</v>
      </c>
      <c r="F172">
        <v>10715.132</v>
      </c>
      <c r="G172">
        <v>22052.1</v>
      </c>
      <c r="H172">
        <v>10306.181</v>
      </c>
      <c r="I172">
        <v>13598.403</v>
      </c>
      <c r="J172">
        <v>27858.355</v>
      </c>
      <c r="K172">
        <v>10082.316000000001</v>
      </c>
      <c r="L172">
        <v>13233.555</v>
      </c>
      <c r="M172">
        <v>27370.986000000001</v>
      </c>
      <c r="N172">
        <f>IFERROR(SUM($B$3:$B172),"")</f>
        <v>1030164.6439999999</v>
      </c>
      <c r="O172">
        <f>IFERROR(SUM($C$3:$C172),"")</f>
        <v>1398723.5729999992</v>
      </c>
      <c r="P172">
        <f>IFERROR(SUM($D$3:$D172),"")</f>
        <v>1250623.9499999997</v>
      </c>
      <c r="Q172">
        <f t="shared" si="60"/>
        <v>2649347.5229999991</v>
      </c>
      <c r="R172">
        <f t="shared" si="61"/>
        <v>38.883711368808605</v>
      </c>
      <c r="S172">
        <f t="shared" si="62"/>
        <v>52.79502069310066</v>
      </c>
      <c r="T172">
        <f>IFERROR(SUM($E$3:$E172),"")</f>
        <v>910655.92999999993</v>
      </c>
      <c r="U172">
        <f>IFERROR(SUM($F$3:$F172),"")</f>
        <v>1156751.0649999999</v>
      </c>
      <c r="V172">
        <f>IFERROR(SUM($G$3:$G172),"")</f>
        <v>924522.85199999984</v>
      </c>
      <c r="W172">
        <f t="shared" si="63"/>
        <v>2081273.9169999999</v>
      </c>
      <c r="X172">
        <f t="shared" si="64"/>
        <v>43.754737065683408</v>
      </c>
      <c r="Y172">
        <f t="shared" si="65"/>
        <v>55.578992056334883</v>
      </c>
      <c r="Z172">
        <f>IFERROR(SUM($H$3:$H172),"")</f>
        <v>1030164.6499999998</v>
      </c>
      <c r="AA172">
        <f>IFERROR(SUM($I$3:$I172),"")</f>
        <v>1398723.5819999997</v>
      </c>
      <c r="AB172">
        <f>IFERROR(SUM($J$3:$J172),"")</f>
        <v>1250140.1190000004</v>
      </c>
      <c r="AC172">
        <f t="shared" si="66"/>
        <v>2648863.7010000004</v>
      </c>
      <c r="AD172">
        <f t="shared" si="67"/>
        <v>38.890813808618823</v>
      </c>
      <c r="AE172">
        <f t="shared" si="68"/>
        <v>52.804664183814097</v>
      </c>
      <c r="AF172">
        <f>IFERROR(SUM($K$3:$K172),"")</f>
        <v>987898.19099999964</v>
      </c>
      <c r="AG172">
        <f>IFERROR(SUM($L$3:$L172),"")</f>
        <v>1276424.0179999997</v>
      </c>
      <c r="AH172">
        <f>IFERROR(SUM($M$3:$M172),"")</f>
        <v>1094013.6889999998</v>
      </c>
      <c r="AI172">
        <f t="shared" si="69"/>
        <v>2370437.7069999995</v>
      </c>
      <c r="AJ172">
        <f t="shared" si="70"/>
        <v>41.675771022486515</v>
      </c>
      <c r="AK172">
        <f t="shared" si="71"/>
        <v>53.847608575862061</v>
      </c>
    </row>
    <row r="173" spans="1:37" x14ac:dyDescent="0.35">
      <c r="A173">
        <v>2020</v>
      </c>
      <c r="B173">
        <v>9381.0679999999993</v>
      </c>
      <c r="C173">
        <v>12510.993</v>
      </c>
      <c r="D173">
        <v>27043.932000000001</v>
      </c>
      <c r="E173">
        <v>7769.4179999999997</v>
      </c>
      <c r="F173">
        <v>9397.2540000000008</v>
      </c>
      <c r="G173">
        <v>21071.345000000001</v>
      </c>
      <c r="H173">
        <v>9381.0679999999993</v>
      </c>
      <c r="I173">
        <v>12510.993</v>
      </c>
      <c r="J173">
        <v>27043.932000000001</v>
      </c>
      <c r="K173">
        <v>9105.1409999999996</v>
      </c>
      <c r="L173">
        <v>12053.379000000001</v>
      </c>
      <c r="M173">
        <v>26550.113000000001</v>
      </c>
      <c r="N173">
        <f>IFERROR(SUM($B$3:$B173),"")</f>
        <v>1039545.7119999998</v>
      </c>
      <c r="O173">
        <f>IFERROR(SUM($C$3:$C173),"")</f>
        <v>1411234.5659999992</v>
      </c>
      <c r="P173">
        <f>IFERROR(SUM($D$3:$D173),"")</f>
        <v>1277667.8819999998</v>
      </c>
      <c r="Q173">
        <f t="shared" si="60"/>
        <v>2688902.4479999989</v>
      </c>
      <c r="R173">
        <f t="shared" si="61"/>
        <v>38.660595990502081</v>
      </c>
      <c r="S173">
        <f t="shared" si="62"/>
        <v>52.483665484022048</v>
      </c>
      <c r="T173">
        <f>IFERROR(SUM($E$3:$E173),"")</f>
        <v>918425.34799999988</v>
      </c>
      <c r="U173">
        <f>IFERROR(SUM($F$3:$F173),"")</f>
        <v>1166148.3189999999</v>
      </c>
      <c r="V173">
        <f>IFERROR(SUM($G$3:$G173),"")</f>
        <v>945594.19699999981</v>
      </c>
      <c r="W173">
        <f t="shared" si="63"/>
        <v>2111742.5159999998</v>
      </c>
      <c r="X173">
        <f t="shared" si="64"/>
        <v>43.491350912404506</v>
      </c>
      <c r="Y173">
        <f t="shared" si="65"/>
        <v>55.222088401614592</v>
      </c>
      <c r="Z173">
        <f>IFERROR(SUM($H$3:$H173),"")</f>
        <v>1039545.7179999998</v>
      </c>
      <c r="AA173">
        <f>IFERROR(SUM($I$3:$I173),"")</f>
        <v>1411234.5749999997</v>
      </c>
      <c r="AB173">
        <f>IFERROR(SUM($J$3:$J173),"")</f>
        <v>1277184.0510000004</v>
      </c>
      <c r="AC173">
        <f t="shared" si="66"/>
        <v>2688418.6260000002</v>
      </c>
      <c r="AD173">
        <f t="shared" si="67"/>
        <v>38.667553778508882</v>
      </c>
      <c r="AE173">
        <f t="shared" si="68"/>
        <v>52.493111056135035</v>
      </c>
      <c r="AF173">
        <f>IFERROR(SUM($K$3:$K173),"")</f>
        <v>997003.33199999959</v>
      </c>
      <c r="AG173">
        <f>IFERROR(SUM($L$3:$L173),"")</f>
        <v>1288477.3969999996</v>
      </c>
      <c r="AH173">
        <f>IFERROR(SUM($M$3:$M173),"")</f>
        <v>1120563.8019999997</v>
      </c>
      <c r="AI173">
        <f t="shared" si="69"/>
        <v>2409041.1989999991</v>
      </c>
      <c r="AJ173">
        <f t="shared" si="70"/>
        <v>41.385897942046775</v>
      </c>
      <c r="AK173">
        <f t="shared" si="71"/>
        <v>53.485071053780686</v>
      </c>
    </row>
    <row r="174" spans="1:37" x14ac:dyDescent="0.35">
      <c r="A174">
        <v>2021</v>
      </c>
      <c r="B174">
        <v>9900.2000000000007</v>
      </c>
      <c r="C174">
        <v>13198.23</v>
      </c>
      <c r="D174">
        <v>27983.697</v>
      </c>
      <c r="E174">
        <v>8223.4179999999997</v>
      </c>
      <c r="F174">
        <v>10327.371999999999</v>
      </c>
      <c r="G174">
        <v>22768.91</v>
      </c>
      <c r="H174">
        <v>9900.2000000000007</v>
      </c>
      <c r="I174">
        <v>13198.23</v>
      </c>
      <c r="J174">
        <v>27983.697</v>
      </c>
      <c r="K174">
        <v>9632.0069999999996</v>
      </c>
      <c r="L174">
        <v>12768.072</v>
      </c>
      <c r="M174">
        <v>27617.15</v>
      </c>
      <c r="N174">
        <f>IFERROR(SUM($B$3:$B174),"")</f>
        <v>1049445.9119999998</v>
      </c>
      <c r="O174">
        <f>IFERROR(SUM($C$3:$C174),"")</f>
        <v>1424432.7959999992</v>
      </c>
      <c r="P174">
        <f>IFERROR(SUM($D$3:$D174),"")</f>
        <v>1305651.5789999997</v>
      </c>
      <c r="Q174">
        <f t="shared" si="60"/>
        <v>2730084.3749999991</v>
      </c>
      <c r="R174">
        <f t="shared" si="61"/>
        <v>38.440054146678165</v>
      </c>
      <c r="S174">
        <f t="shared" si="62"/>
        <v>52.175412930232227</v>
      </c>
      <c r="T174">
        <f>IFERROR(SUM($E$3:$E174),"")</f>
        <v>926648.76599999983</v>
      </c>
      <c r="U174">
        <f>IFERROR(SUM($F$3:$F174),"")</f>
        <v>1176475.6909999999</v>
      </c>
      <c r="V174">
        <f>IFERROR(SUM($G$3:$G174),"")</f>
        <v>968363.10699999984</v>
      </c>
      <c r="W174">
        <f t="shared" si="63"/>
        <v>2144838.7979999995</v>
      </c>
      <c r="X174">
        <f t="shared" si="64"/>
        <v>43.203655531785103</v>
      </c>
      <c r="Y174">
        <f t="shared" si="65"/>
        <v>54.851473784278312</v>
      </c>
      <c r="Z174">
        <f>IFERROR(SUM($H$3:$H174),"")</f>
        <v>1049445.9179999998</v>
      </c>
      <c r="AA174">
        <f>IFERROR(SUM($I$3:$I174),"")</f>
        <v>1424432.8049999997</v>
      </c>
      <c r="AB174">
        <f>IFERROR(SUM($J$3:$J174),"")</f>
        <v>1305167.7480000004</v>
      </c>
      <c r="AC174">
        <f t="shared" si="66"/>
        <v>2729600.5530000003</v>
      </c>
      <c r="AD174">
        <f t="shared" si="67"/>
        <v>38.446867870340725</v>
      </c>
      <c r="AE174">
        <f t="shared" si="68"/>
        <v>52.184661357664943</v>
      </c>
      <c r="AF174">
        <f>IFERROR(SUM($K$3:$K174),"")</f>
        <v>1006635.3389999996</v>
      </c>
      <c r="AG174">
        <f>IFERROR(SUM($L$3:$L174),"")</f>
        <v>1301245.4689999996</v>
      </c>
      <c r="AH174">
        <f>IFERROR(SUM($M$3:$M174),"")</f>
        <v>1148180.9519999996</v>
      </c>
      <c r="AI174">
        <f t="shared" si="69"/>
        <v>2449426.4209999992</v>
      </c>
      <c r="AJ174">
        <f t="shared" si="70"/>
        <v>41.096778019934646</v>
      </c>
      <c r="AK174">
        <f t="shared" si="71"/>
        <v>53.124497141202355</v>
      </c>
    </row>
    <row r="175" spans="1:37" x14ac:dyDescent="0.35">
      <c r="A175">
        <v>2022</v>
      </c>
      <c r="B175">
        <v>9805.8889999999992</v>
      </c>
      <c r="C175">
        <v>13111.008</v>
      </c>
      <c r="D175">
        <v>28797.037</v>
      </c>
      <c r="E175">
        <v>8312.0490000000009</v>
      </c>
      <c r="F175">
        <v>9883.0130000000008</v>
      </c>
      <c r="G175">
        <v>24557.771000000001</v>
      </c>
      <c r="H175">
        <v>9805.8889999999992</v>
      </c>
      <c r="I175">
        <v>13111.008</v>
      </c>
      <c r="J175">
        <v>28797.037</v>
      </c>
      <c r="K175">
        <v>9533.2029999999995</v>
      </c>
      <c r="L175">
        <v>12638.22</v>
      </c>
      <c r="M175">
        <v>28374.845000000001</v>
      </c>
      <c r="N175">
        <f>IFERROR(SUM($B$3:$B175),"")</f>
        <v>1059251.8009999997</v>
      </c>
      <c r="O175">
        <f>IFERROR(SUM($C$3:$C175),"")</f>
        <v>1437543.8039999991</v>
      </c>
      <c r="P175">
        <f>IFERROR(SUM($D$3:$D175),"")</f>
        <v>1334448.6159999997</v>
      </c>
      <c r="Q175">
        <f t="shared" si="60"/>
        <v>2771992.419999999</v>
      </c>
      <c r="R175">
        <f t="shared" si="61"/>
        <v>38.212651425648566</v>
      </c>
      <c r="S175">
        <f t="shared" si="62"/>
        <v>51.859586398147492</v>
      </c>
      <c r="T175">
        <f>IFERROR(SUM($E$3:$E175),"")</f>
        <v>934960.81499999983</v>
      </c>
      <c r="U175">
        <f>IFERROR(SUM($F$3:$F175),"")</f>
        <v>1186358.7039999999</v>
      </c>
      <c r="V175">
        <f>IFERROR(SUM($G$3:$G175),"")</f>
        <v>992920.87799999979</v>
      </c>
      <c r="W175">
        <f t="shared" si="63"/>
        <v>2179279.5819999995</v>
      </c>
      <c r="X175">
        <f t="shared" si="64"/>
        <v>42.902288569232326</v>
      </c>
      <c r="Y175">
        <f t="shared" si="65"/>
        <v>54.438114035429905</v>
      </c>
      <c r="Z175">
        <f>IFERROR(SUM($H$3:$H175),"")</f>
        <v>1059251.8069999998</v>
      </c>
      <c r="AA175">
        <f>IFERROR(SUM($I$3:$I175),"")</f>
        <v>1437543.8129999996</v>
      </c>
      <c r="AB175">
        <f>IFERROR(SUM($J$3:$J175),"")</f>
        <v>1333964.7850000004</v>
      </c>
      <c r="AC175">
        <f t="shared" si="66"/>
        <v>2771508.5980000002</v>
      </c>
      <c r="AD175">
        <f t="shared" si="67"/>
        <v>38.219322421167526</v>
      </c>
      <c r="AE175">
        <f t="shared" si="68"/>
        <v>51.868639846088605</v>
      </c>
      <c r="AF175">
        <f>IFERROR(SUM($K$3:$K175),"")</f>
        <v>1016168.5419999996</v>
      </c>
      <c r="AG175">
        <f>IFERROR(SUM($L$3:$L175),"")</f>
        <v>1313883.6889999995</v>
      </c>
      <c r="AH175">
        <f>IFERROR(SUM($M$3:$M175),"")</f>
        <v>1176555.7969999996</v>
      </c>
      <c r="AI175">
        <f t="shared" si="69"/>
        <v>2490439.4859999991</v>
      </c>
      <c r="AJ175">
        <f t="shared" si="70"/>
        <v>40.802779899386799</v>
      </c>
      <c r="AK175">
        <f t="shared" si="71"/>
        <v>52.75710156323791</v>
      </c>
    </row>
    <row r="176" spans="1:37" x14ac:dyDescent="0.35">
      <c r="A176">
        <v>2023</v>
      </c>
      <c r="B176">
        <v>9434.8860000000004</v>
      </c>
      <c r="C176">
        <v>12768.114</v>
      </c>
      <c r="D176">
        <v>29531.821</v>
      </c>
      <c r="E176">
        <v>7840.3680000000004</v>
      </c>
      <c r="F176">
        <v>9384.2970000000005</v>
      </c>
      <c r="G176">
        <v>25061.780999999999</v>
      </c>
      <c r="H176">
        <v>9434.8860000000004</v>
      </c>
      <c r="I176">
        <v>12768.114</v>
      </c>
      <c r="J176">
        <v>29531.821</v>
      </c>
      <c r="K176">
        <v>9170.7929999999997</v>
      </c>
      <c r="L176">
        <v>12313.034</v>
      </c>
      <c r="M176">
        <v>29136.108</v>
      </c>
      <c r="N176">
        <f>IFERROR(SUM($B$3:$B176),"")</f>
        <v>1068686.6869999997</v>
      </c>
      <c r="O176">
        <f>IFERROR(SUM($C$3:$C176),"")</f>
        <v>1450311.9179999991</v>
      </c>
      <c r="P176">
        <f>IFERROR(SUM($D$3:$D176),"")</f>
        <v>1363980.4369999997</v>
      </c>
      <c r="Q176">
        <f t="shared" si="60"/>
        <v>2814292.3549999986</v>
      </c>
      <c r="R176">
        <f t="shared" si="61"/>
        <v>37.973549020282945</v>
      </c>
      <c r="S176">
        <f t="shared" si="62"/>
        <v>51.533804418837633</v>
      </c>
      <c r="T176">
        <f>IFERROR(SUM($E$3:$E176),"")</f>
        <v>942801.18299999984</v>
      </c>
      <c r="U176">
        <f>IFERROR(SUM($F$3:$F176),"")</f>
        <v>1195743.0009999999</v>
      </c>
      <c r="V176">
        <f>IFERROR(SUM($G$3:$G176),"")</f>
        <v>1017982.6589999998</v>
      </c>
      <c r="W176">
        <f t="shared" si="63"/>
        <v>2213725.6599999997</v>
      </c>
      <c r="X176">
        <f t="shared" si="64"/>
        <v>42.588889853677713</v>
      </c>
      <c r="Y176">
        <f t="shared" si="65"/>
        <v>54.014958700889792</v>
      </c>
      <c r="Z176">
        <f>IFERROR(SUM($H$3:$H176),"")</f>
        <v>1068686.6929999997</v>
      </c>
      <c r="AA176">
        <f>IFERROR(SUM($I$3:$I176),"")</f>
        <v>1450311.9269999997</v>
      </c>
      <c r="AB176">
        <f>IFERROR(SUM($J$3:$J176),"")</f>
        <v>1363496.6060000004</v>
      </c>
      <c r="AC176">
        <f t="shared" si="66"/>
        <v>2813808.5329999998</v>
      </c>
      <c r="AD176">
        <f t="shared" si="67"/>
        <v>37.98007861823482</v>
      </c>
      <c r="AE176">
        <f t="shared" si="68"/>
        <v>51.542665749674157</v>
      </c>
      <c r="AF176">
        <f>IFERROR(SUM($K$3:$K176),"")</f>
        <v>1025339.3349999995</v>
      </c>
      <c r="AG176">
        <f>IFERROR(SUM($L$3:$L176),"")</f>
        <v>1326196.7229999995</v>
      </c>
      <c r="AH176">
        <f>IFERROR(SUM($M$3:$M176),"")</f>
        <v>1205691.9049999996</v>
      </c>
      <c r="AI176">
        <f t="shared" si="69"/>
        <v>2531888.6279999991</v>
      </c>
      <c r="AJ176">
        <f t="shared" si="70"/>
        <v>40.49701569258756</v>
      </c>
      <c r="AK176">
        <f t="shared" si="71"/>
        <v>52.379741681117899</v>
      </c>
    </row>
    <row r="177" spans="1:37" x14ac:dyDescent="0.35">
      <c r="A177">
        <v>2024</v>
      </c>
      <c r="B177">
        <v>9328.73</v>
      </c>
      <c r="C177">
        <v>12711.999</v>
      </c>
      <c r="D177">
        <v>29835.874</v>
      </c>
      <c r="E177">
        <v>8641.1509999999998</v>
      </c>
      <c r="F177">
        <v>11449.105</v>
      </c>
      <c r="G177">
        <v>24074.684000000001</v>
      </c>
      <c r="H177">
        <v>9328.73</v>
      </c>
      <c r="I177">
        <v>12711.999</v>
      </c>
      <c r="J177">
        <v>29835.874</v>
      </c>
      <c r="K177">
        <v>9075.4009999999998</v>
      </c>
      <c r="L177">
        <v>12263.895</v>
      </c>
      <c r="M177">
        <v>29356.026000000002</v>
      </c>
      <c r="N177">
        <f>IFERROR(SUM($B$3:$B177),"")</f>
        <v>1078015.4169999997</v>
      </c>
      <c r="O177">
        <f>IFERROR(SUM($C$3:$C177),"")</f>
        <v>1463023.9169999992</v>
      </c>
      <c r="P177">
        <f>IFERROR(SUM($D$3:$D177),"")</f>
        <v>1393816.3109999998</v>
      </c>
      <c r="Q177">
        <f t="shared" si="60"/>
        <v>2856840.2279999992</v>
      </c>
      <c r="R177">
        <f t="shared" si="61"/>
        <v>37.734536444647119</v>
      </c>
      <c r="S177">
        <f t="shared" si="62"/>
        <v>51.211261402049942</v>
      </c>
      <c r="T177">
        <f>IFERROR(SUM($E$3:$E177),"")</f>
        <v>951442.3339999998</v>
      </c>
      <c r="U177">
        <f>IFERROR(SUM($F$3:$F177),"")</f>
        <v>1207192.1059999999</v>
      </c>
      <c r="V177">
        <f>IFERROR(SUM($G$3:$G177),"")</f>
        <v>1042057.3429999998</v>
      </c>
      <c r="W177">
        <f t="shared" si="63"/>
        <v>2249249.4489999996</v>
      </c>
      <c r="X177">
        <f t="shared" si="64"/>
        <v>42.30043645994909</v>
      </c>
      <c r="Y177">
        <f t="shared" si="65"/>
        <v>53.670885927601717</v>
      </c>
      <c r="Z177">
        <f>IFERROR(SUM($H$3:$H177),"")</f>
        <v>1078015.4229999997</v>
      </c>
      <c r="AA177">
        <f>IFERROR(SUM($I$3:$I177),"")</f>
        <v>1463023.9259999997</v>
      </c>
      <c r="AB177">
        <f>IFERROR(SUM($J$3:$J177),"")</f>
        <v>1393332.4800000004</v>
      </c>
      <c r="AC177">
        <f t="shared" si="66"/>
        <v>2856356.4060000004</v>
      </c>
      <c r="AD177">
        <f t="shared" si="67"/>
        <v>37.740928293666151</v>
      </c>
      <c r="AE177">
        <f t="shared" si="68"/>
        <v>51.219936102049566</v>
      </c>
      <c r="AF177">
        <f>IFERROR(SUM($K$3:$K177),"")</f>
        <v>1034414.7359999995</v>
      </c>
      <c r="AG177">
        <f>IFERROR(SUM($L$3:$L177),"")</f>
        <v>1338460.6179999996</v>
      </c>
      <c r="AH177">
        <f>IFERROR(SUM($M$3:$M177),"")</f>
        <v>1235047.9309999996</v>
      </c>
      <c r="AI177">
        <f t="shared" si="69"/>
        <v>2573508.5489999992</v>
      </c>
      <c r="AJ177">
        <f t="shared" si="70"/>
        <v>40.194727015845629</v>
      </c>
      <c r="AK177">
        <f t="shared" si="71"/>
        <v>52.00917706374404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F796-B655-4976-8A35-6531257423C3}">
  <sheetPr>
    <tabColor rgb="FF5DBDD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6264-5F5E-46CB-8EAE-C71BC001DE6C}">
  <sheetPr>
    <tabColor rgb="FF0B4C5B"/>
  </sheetPr>
  <dimension ref="A1:S177"/>
  <sheetViews>
    <sheetView workbookViewId="0">
      <selection sqref="A1:Q1"/>
    </sheetView>
  </sheetViews>
  <sheetFormatPr defaultRowHeight="14.5" x14ac:dyDescent="0.35"/>
  <cols>
    <col min="1" max="1" width="8.6328125" customWidth="1"/>
    <col min="2" max="8" width="11.6328125" customWidth="1"/>
    <col min="9" max="16" width="12.6328125" customWidth="1"/>
    <col min="17" max="17" width="11.6328125" customWidth="1"/>
  </cols>
  <sheetData>
    <row r="1" spans="1:19" ht="30" customHeight="1" x14ac:dyDescent="0.35">
      <c r="A1" s="10" t="s">
        <v>57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35">
      <c r="A2" s="1" t="s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1" t="s">
        <v>14</v>
      </c>
      <c r="J2" s="1" t="s">
        <v>20</v>
      </c>
      <c r="K2" s="1" t="s">
        <v>46</v>
      </c>
      <c r="L2" s="1" t="s">
        <v>52</v>
      </c>
      <c r="M2" s="1" t="s">
        <v>15</v>
      </c>
      <c r="N2" s="1" t="s">
        <v>21</v>
      </c>
      <c r="O2" s="1" t="s">
        <v>47</v>
      </c>
      <c r="P2" s="1" t="s">
        <v>53</v>
      </c>
      <c r="Q2" s="2" t="s">
        <v>35</v>
      </c>
      <c r="R2" t="s">
        <v>55</v>
      </c>
      <c r="S2" t="s">
        <v>56</v>
      </c>
    </row>
    <row r="3" spans="1:19" x14ac:dyDescent="0.35">
      <c r="A3" s="6">
        <f>vals_co2_incLUC!$A3</f>
        <v>1850</v>
      </c>
      <c r="B3" s="7">
        <f t="shared" ref="B3:B34" si="0">IFERROR(_xlfn.AGGREGATE(5,6,I3:L3),"")</f>
        <v>35.536122428699187</v>
      </c>
      <c r="C3" s="7">
        <f t="shared" ref="C3:C34" si="1">IFERROR(_xlfn.AGGREGATE(4,6,I3:L3),"")</f>
        <v>44.923010912651868</v>
      </c>
      <c r="D3" s="7">
        <f t="shared" ref="D3:D34" si="2">IFERROR(_xlfn.AGGREGATE(5,6,M3:P3),"")</f>
        <v>57.666672263906364</v>
      </c>
      <c r="E3" s="7">
        <f t="shared" ref="E3:E34" si="3">IFERROR(_xlfn.AGGREGATE(4,6,M3:P3),"")</f>
        <v>59.671170314311325</v>
      </c>
      <c r="F3" s="7">
        <f t="shared" ref="F3:F34" si="4">IFERROR(MIN(C3,D3)-B3,"")</f>
        <v>9.3868884839526814</v>
      </c>
      <c r="G3" s="7">
        <f t="shared" ref="G3:G34" si="5">IFERROR(MAX(0,C3-D3),"")</f>
        <v>0</v>
      </c>
      <c r="H3" s="7">
        <f t="shared" ref="H3:H34" si="6">IFERROR(MAX(0,D3-C3),"")</f>
        <v>12.743661351254495</v>
      </c>
      <c r="I3" s="8">
        <f>vals_co2_incLUC!$R3</f>
        <v>35.536122428699187</v>
      </c>
      <c r="J3" s="8">
        <f>vals_co2_incLUC!$X3</f>
        <v>43.831164044616941</v>
      </c>
      <c r="K3" s="8">
        <f>vals_co2_incLUC!$AD3</f>
        <v>35.536122428699187</v>
      </c>
      <c r="L3" s="8">
        <f>vals_co2_incLUC!$AJ3</f>
        <v>44.923010912651868</v>
      </c>
      <c r="M3" s="8">
        <f>vals_co2_incLUC!$S3</f>
        <v>57.666672263906364</v>
      </c>
      <c r="N3" s="8">
        <f>vals_co2_incLUC!$Y3</f>
        <v>59.535107488149421</v>
      </c>
      <c r="O3" s="8">
        <f>vals_co2_incLUC!$AE3</f>
        <v>57.666672263906364</v>
      </c>
      <c r="P3" s="8">
        <f>vals_co2_incLUC!$AK3</f>
        <v>59.671170314311325</v>
      </c>
      <c r="Q3" s="9">
        <f t="shared" ref="Q3:Q34" si="7">IFERROR(MAX(0,$E3-MAX($C3,$D3)),"")</f>
        <v>2.0044980504049619</v>
      </c>
      <c r="R3" s="9"/>
      <c r="S3" s="9"/>
    </row>
    <row r="4" spans="1:19" x14ac:dyDescent="0.35">
      <c r="A4" s="3">
        <f>vals_co2_incLUC!$A4</f>
        <v>1851</v>
      </c>
      <c r="B4" s="4">
        <f t="shared" si="0"/>
        <v>35.578173636135404</v>
      </c>
      <c r="C4" s="4">
        <f t="shared" si="1"/>
        <v>45.060611459506077</v>
      </c>
      <c r="D4" s="4">
        <f t="shared" si="2"/>
        <v>57.336730899342861</v>
      </c>
      <c r="E4" s="4">
        <f t="shared" si="3"/>
        <v>60.118921025636965</v>
      </c>
      <c r="F4" s="4">
        <f t="shared" si="4"/>
        <v>9.4824378233706739</v>
      </c>
      <c r="G4" s="4">
        <f t="shared" si="5"/>
        <v>0</v>
      </c>
      <c r="H4" s="4">
        <f t="shared" si="6"/>
        <v>12.276119439836783</v>
      </c>
      <c r="I4" s="5">
        <f>vals_co2_incLUC!$R4</f>
        <v>35.578173636135404</v>
      </c>
      <c r="J4" s="5">
        <f>vals_co2_incLUC!$X4</f>
        <v>44.302088289612563</v>
      </c>
      <c r="K4" s="5">
        <f>vals_co2_incLUC!$AD4</f>
        <v>35.578173636135404</v>
      </c>
      <c r="L4" s="5">
        <f>vals_co2_incLUC!$AJ4</f>
        <v>45.060611459506077</v>
      </c>
      <c r="M4" s="5">
        <f>vals_co2_incLUC!$S4</f>
        <v>57.336730899342861</v>
      </c>
      <c r="N4" s="5">
        <f>vals_co2_incLUC!$Y4</f>
        <v>60.118921025636965</v>
      </c>
      <c r="O4" s="5">
        <f>vals_co2_incLUC!$AE4</f>
        <v>57.336730899342861</v>
      </c>
      <c r="P4" s="5">
        <f>vals_co2_incLUC!$AK4</f>
        <v>59.437390200827977</v>
      </c>
      <c r="Q4" s="9">
        <f t="shared" si="7"/>
        <v>2.782190126294104</v>
      </c>
      <c r="R4" s="9">
        <v>39.363</v>
      </c>
      <c r="S4" s="9">
        <v>58.487000000000002</v>
      </c>
    </row>
    <row r="5" spans="1:19" x14ac:dyDescent="0.35">
      <c r="A5" s="6">
        <f>vals_co2_incLUC!$A5</f>
        <v>1852</v>
      </c>
      <c r="B5" s="7">
        <f t="shared" si="0"/>
        <v>35.469586519427857</v>
      </c>
      <c r="C5" s="7">
        <f t="shared" si="1"/>
        <v>46.878074367437314</v>
      </c>
      <c r="D5" s="7">
        <f t="shared" si="2"/>
        <v>57.215136651428608</v>
      </c>
      <c r="E5" s="7">
        <f t="shared" si="3"/>
        <v>62.220609067246599</v>
      </c>
      <c r="F5" s="7">
        <f t="shared" si="4"/>
        <v>11.408487848009457</v>
      </c>
      <c r="G5" s="7">
        <f t="shared" si="5"/>
        <v>0</v>
      </c>
      <c r="H5" s="7">
        <f t="shared" si="6"/>
        <v>10.337062283991294</v>
      </c>
      <c r="I5" s="8">
        <f>vals_co2_incLUC!$R5</f>
        <v>35.469586519427857</v>
      </c>
      <c r="J5" s="8">
        <f>vals_co2_incLUC!$X5</f>
        <v>46.878074367437314</v>
      </c>
      <c r="K5" s="8">
        <f>vals_co2_incLUC!$AD5</f>
        <v>35.469586519427857</v>
      </c>
      <c r="L5" s="8">
        <f>vals_co2_incLUC!$AJ5</f>
        <v>44.88660453377004</v>
      </c>
      <c r="M5" s="8">
        <f>vals_co2_incLUC!$S5</f>
        <v>57.215136651428608</v>
      </c>
      <c r="N5" s="8">
        <f>vals_co2_incLUC!$Y5</f>
        <v>62.220609067246599</v>
      </c>
      <c r="O5" s="8">
        <f>vals_co2_incLUC!$AE5</f>
        <v>57.215136651428608</v>
      </c>
      <c r="P5" s="8">
        <f>vals_co2_incLUC!$AK5</f>
        <v>59.434788211682978</v>
      </c>
      <c r="Q5" s="9">
        <f t="shared" si="7"/>
        <v>5.0054724158179908</v>
      </c>
      <c r="R5" s="9">
        <v>39.115000000000002</v>
      </c>
      <c r="S5" s="9">
        <v>58.518000000000001</v>
      </c>
    </row>
    <row r="6" spans="1:19" x14ac:dyDescent="0.35">
      <c r="A6" s="3">
        <f>vals_co2_incLUC!$A6</f>
        <v>1853</v>
      </c>
      <c r="B6" s="4">
        <f t="shared" si="0"/>
        <v>35.633305224691149</v>
      </c>
      <c r="C6" s="4">
        <f t="shared" si="1"/>
        <v>48.539578387052913</v>
      </c>
      <c r="D6" s="4">
        <f t="shared" si="2"/>
        <v>57.136671399079674</v>
      </c>
      <c r="E6" s="4">
        <f t="shared" si="3"/>
        <v>63.6650267533307</v>
      </c>
      <c r="F6" s="4">
        <f t="shared" si="4"/>
        <v>12.906273162361764</v>
      </c>
      <c r="G6" s="4">
        <f t="shared" si="5"/>
        <v>0</v>
      </c>
      <c r="H6" s="4">
        <f t="shared" si="6"/>
        <v>8.597093012026761</v>
      </c>
      <c r="I6" s="5">
        <f>vals_co2_incLUC!$R6</f>
        <v>35.633305224691149</v>
      </c>
      <c r="J6" s="5">
        <f>vals_co2_incLUC!$X6</f>
        <v>48.539578387052913</v>
      </c>
      <c r="K6" s="5">
        <f>vals_co2_incLUC!$AD6</f>
        <v>35.633305224691149</v>
      </c>
      <c r="L6" s="5">
        <f>vals_co2_incLUC!$AJ6</f>
        <v>45.186173546892256</v>
      </c>
      <c r="M6" s="5">
        <f>vals_co2_incLUC!$S6</f>
        <v>57.136671399079674</v>
      </c>
      <c r="N6" s="5">
        <f>vals_co2_incLUC!$Y6</f>
        <v>63.6650267533307</v>
      </c>
      <c r="O6" s="5">
        <f>vals_co2_incLUC!$AE6</f>
        <v>57.136671399079674</v>
      </c>
      <c r="P6" s="5">
        <f>vals_co2_incLUC!$AK6</f>
        <v>59.489614379039857</v>
      </c>
      <c r="Q6" s="9">
        <f t="shared" si="7"/>
        <v>6.5283553542510262</v>
      </c>
      <c r="R6" s="9">
        <v>39.42</v>
      </c>
      <c r="S6" s="9">
        <v>58.570999999999998</v>
      </c>
    </row>
    <row r="7" spans="1:19" x14ac:dyDescent="0.35">
      <c r="A7" s="6">
        <f>vals_co2_incLUC!$A7</f>
        <v>1854</v>
      </c>
      <c r="B7" s="7">
        <f t="shared" si="0"/>
        <v>35.907145970261958</v>
      </c>
      <c r="C7" s="7">
        <f t="shared" si="1"/>
        <v>49.98539819856552</v>
      </c>
      <c r="D7" s="7">
        <f t="shared" si="2"/>
        <v>57.309877809208089</v>
      </c>
      <c r="E7" s="7">
        <f t="shared" si="3"/>
        <v>64.955843966451937</v>
      </c>
      <c r="F7" s="7">
        <f t="shared" si="4"/>
        <v>14.078252228303562</v>
      </c>
      <c r="G7" s="7">
        <f t="shared" si="5"/>
        <v>0</v>
      </c>
      <c r="H7" s="7">
        <f t="shared" si="6"/>
        <v>7.3244796106425696</v>
      </c>
      <c r="I7" s="8">
        <f>vals_co2_incLUC!$R7</f>
        <v>35.907145970261958</v>
      </c>
      <c r="J7" s="8">
        <f>vals_co2_incLUC!$X7</f>
        <v>49.98539819856552</v>
      </c>
      <c r="K7" s="8">
        <f>vals_co2_incLUC!$AD7</f>
        <v>35.907145970261958</v>
      </c>
      <c r="L7" s="8">
        <f>vals_co2_incLUC!$AJ7</f>
        <v>45.520476964041841</v>
      </c>
      <c r="M7" s="8">
        <f>vals_co2_incLUC!$S7</f>
        <v>57.309877809208089</v>
      </c>
      <c r="N7" s="8">
        <f>vals_co2_incLUC!$Y7</f>
        <v>64.955843966451937</v>
      </c>
      <c r="O7" s="8">
        <f>vals_co2_incLUC!$AE7</f>
        <v>57.309877809208089</v>
      </c>
      <c r="P7" s="8">
        <f>vals_co2_incLUC!$AK7</f>
        <v>59.758770437792016</v>
      </c>
      <c r="Q7" s="9">
        <f t="shared" si="7"/>
        <v>7.6459661572438478</v>
      </c>
      <c r="R7" s="9">
        <v>39.814</v>
      </c>
      <c r="S7" s="9">
        <v>58.921999999999997</v>
      </c>
    </row>
    <row r="8" spans="1:19" x14ac:dyDescent="0.35">
      <c r="A8" s="3">
        <f>vals_co2_incLUC!$A8</f>
        <v>1855</v>
      </c>
      <c r="B8" s="4">
        <f t="shared" si="0"/>
        <v>36.057852872522126</v>
      </c>
      <c r="C8" s="4">
        <f t="shared" si="1"/>
        <v>51.188604759124424</v>
      </c>
      <c r="D8" s="4">
        <f t="shared" si="2"/>
        <v>57.350301043521334</v>
      </c>
      <c r="E8" s="4">
        <f t="shared" si="3"/>
        <v>66.079755553098636</v>
      </c>
      <c r="F8" s="4">
        <f t="shared" si="4"/>
        <v>15.130751886602297</v>
      </c>
      <c r="G8" s="4">
        <f t="shared" si="5"/>
        <v>0</v>
      </c>
      <c r="H8" s="4">
        <f t="shared" si="6"/>
        <v>6.1616962843969105</v>
      </c>
      <c r="I8" s="5">
        <f>vals_co2_incLUC!$R8</f>
        <v>36.057852872522126</v>
      </c>
      <c r="J8" s="5">
        <f>vals_co2_incLUC!$X8</f>
        <v>51.188604759124424</v>
      </c>
      <c r="K8" s="5">
        <f>vals_co2_incLUC!$AD8</f>
        <v>36.057852872522126</v>
      </c>
      <c r="L8" s="5">
        <f>vals_co2_incLUC!$AJ8</f>
        <v>45.736640563809338</v>
      </c>
      <c r="M8" s="5">
        <f>vals_co2_incLUC!$S8</f>
        <v>57.350301043521334</v>
      </c>
      <c r="N8" s="5">
        <f>vals_co2_incLUC!$Y8</f>
        <v>66.079755553098636</v>
      </c>
      <c r="O8" s="5">
        <f>vals_co2_incLUC!$AE8</f>
        <v>57.350301043521334</v>
      </c>
      <c r="P8" s="5">
        <f>vals_co2_incLUC!$AK8</f>
        <v>59.909754125197509</v>
      </c>
      <c r="Q8" s="9">
        <f t="shared" si="7"/>
        <v>8.7294545095773017</v>
      </c>
      <c r="R8" s="9">
        <v>40</v>
      </c>
      <c r="S8" s="9">
        <v>59.04</v>
      </c>
    </row>
    <row r="9" spans="1:19" x14ac:dyDescent="0.35">
      <c r="A9" s="6">
        <f>vals_co2_incLUC!$A9</f>
        <v>1856</v>
      </c>
      <c r="B9" s="7">
        <f t="shared" si="0"/>
        <v>36.210062838698974</v>
      </c>
      <c r="C9" s="7">
        <f t="shared" si="1"/>
        <v>52.185531545084409</v>
      </c>
      <c r="D9" s="7">
        <f t="shared" si="2"/>
        <v>57.414718495410952</v>
      </c>
      <c r="E9" s="7">
        <f t="shared" si="3"/>
        <v>66.996201690049233</v>
      </c>
      <c r="F9" s="7">
        <f t="shared" si="4"/>
        <v>15.975468706385435</v>
      </c>
      <c r="G9" s="7">
        <f t="shared" si="5"/>
        <v>0</v>
      </c>
      <c r="H9" s="7">
        <f t="shared" si="6"/>
        <v>5.2291869503265431</v>
      </c>
      <c r="I9" s="8">
        <f>vals_co2_incLUC!$R9</f>
        <v>36.210066453608711</v>
      </c>
      <c r="J9" s="8">
        <f>vals_co2_incLUC!$X9</f>
        <v>52.185531545084409</v>
      </c>
      <c r="K9" s="8">
        <f>vals_co2_incLUC!$AD9</f>
        <v>36.210062838698974</v>
      </c>
      <c r="L9" s="8">
        <f>vals_co2_incLUC!$AJ9</f>
        <v>45.914904681347387</v>
      </c>
      <c r="M9" s="8">
        <f>vals_co2_incLUC!$S9</f>
        <v>57.414718495410952</v>
      </c>
      <c r="N9" s="8">
        <f>vals_co2_incLUC!$Y9</f>
        <v>66.996201690049233</v>
      </c>
      <c r="O9" s="8">
        <f>vals_co2_incLUC!$AE9</f>
        <v>57.414718495410952</v>
      </c>
      <c r="P9" s="8">
        <f>vals_co2_incLUC!$AK9</f>
        <v>60.024244129975202</v>
      </c>
      <c r="Q9" s="9">
        <f t="shared" si="7"/>
        <v>9.581483194638281</v>
      </c>
      <c r="R9" s="9">
        <v>40.182000000000002</v>
      </c>
      <c r="S9" s="9">
        <v>59.171999999999997</v>
      </c>
    </row>
    <row r="10" spans="1:19" x14ac:dyDescent="0.35">
      <c r="A10" s="3">
        <f>vals_co2_incLUC!$A10</f>
        <v>1857</v>
      </c>
      <c r="B10" s="4">
        <f t="shared" si="0"/>
        <v>36.341745820230805</v>
      </c>
      <c r="C10" s="4">
        <f t="shared" si="1"/>
        <v>53.005140514219448</v>
      </c>
      <c r="D10" s="4">
        <f t="shared" si="2"/>
        <v>57.482084015313148</v>
      </c>
      <c r="E10" s="4">
        <f t="shared" si="3"/>
        <v>67.746359897529175</v>
      </c>
      <c r="F10" s="4">
        <f t="shared" si="4"/>
        <v>16.663394693988643</v>
      </c>
      <c r="G10" s="4">
        <f t="shared" si="5"/>
        <v>0</v>
      </c>
      <c r="H10" s="4">
        <f t="shared" si="6"/>
        <v>4.4769435010937002</v>
      </c>
      <c r="I10" s="5">
        <f>vals_co2_incLUC!$R10</f>
        <v>36.341748956370964</v>
      </c>
      <c r="J10" s="5">
        <f>vals_co2_incLUC!$X10</f>
        <v>53.005140514219448</v>
      </c>
      <c r="K10" s="5">
        <f>vals_co2_incLUC!$AD10</f>
        <v>36.341745820230805</v>
      </c>
      <c r="L10" s="5">
        <f>vals_co2_incLUC!$AJ10</f>
        <v>46.035955546551108</v>
      </c>
      <c r="M10" s="5">
        <f>vals_co2_incLUC!$S10</f>
        <v>57.482084015313148</v>
      </c>
      <c r="N10" s="5">
        <f>vals_co2_incLUC!$Y10</f>
        <v>67.746359897529175</v>
      </c>
      <c r="O10" s="5">
        <f>vals_co2_incLUC!$AE10</f>
        <v>57.482084015313148</v>
      </c>
      <c r="P10" s="5">
        <f>vals_co2_incLUC!$AK10</f>
        <v>60.102252826995318</v>
      </c>
      <c r="Q10" s="9">
        <f t="shared" si="7"/>
        <v>10.264275882216026</v>
      </c>
      <c r="R10" s="9">
        <v>40.317</v>
      </c>
      <c r="S10" s="9">
        <v>59.276000000000003</v>
      </c>
    </row>
    <row r="11" spans="1:19" x14ac:dyDescent="0.35">
      <c r="A11" s="6">
        <f>vals_co2_incLUC!$A11</f>
        <v>1858</v>
      </c>
      <c r="B11" s="7">
        <f t="shared" si="0"/>
        <v>36.49349506568025</v>
      </c>
      <c r="C11" s="7">
        <f t="shared" si="1"/>
        <v>53.701550483732909</v>
      </c>
      <c r="D11" s="7">
        <f t="shared" si="2"/>
        <v>57.571895186105095</v>
      </c>
      <c r="E11" s="7">
        <f t="shared" si="3"/>
        <v>68.382724803305223</v>
      </c>
      <c r="F11" s="7">
        <f t="shared" si="4"/>
        <v>17.208055418052659</v>
      </c>
      <c r="G11" s="7">
        <f t="shared" si="5"/>
        <v>0</v>
      </c>
      <c r="H11" s="7">
        <f t="shared" si="6"/>
        <v>3.8703447023721864</v>
      </c>
      <c r="I11" s="8">
        <f>vals_co2_incLUC!$R11</f>
        <v>36.493497832795406</v>
      </c>
      <c r="J11" s="8">
        <f>vals_co2_incLUC!$X11</f>
        <v>53.701550483732909</v>
      </c>
      <c r="K11" s="8">
        <f>vals_co2_incLUC!$AD11</f>
        <v>36.49349506568025</v>
      </c>
      <c r="L11" s="8">
        <f>vals_co2_incLUC!$AJ11</f>
        <v>46.214936818150605</v>
      </c>
      <c r="M11" s="8">
        <f>vals_co2_incLUC!$S11</f>
        <v>57.571895186105095</v>
      </c>
      <c r="N11" s="8">
        <f>vals_co2_incLUC!$Y11</f>
        <v>68.382724803305223</v>
      </c>
      <c r="O11" s="8">
        <f>vals_co2_incLUC!$AE11</f>
        <v>57.571895186105095</v>
      </c>
      <c r="P11" s="8">
        <f>vals_co2_incLUC!$AK11</f>
        <v>60.235437732932631</v>
      </c>
      <c r="Q11" s="9">
        <f t="shared" si="7"/>
        <v>10.810829617200127</v>
      </c>
      <c r="R11" s="9">
        <v>40.482999999999997</v>
      </c>
      <c r="S11" s="9">
        <v>59.408000000000001</v>
      </c>
    </row>
    <row r="12" spans="1:19" x14ac:dyDescent="0.35">
      <c r="A12" s="3">
        <f>vals_co2_incLUC!$A12</f>
        <v>1859</v>
      </c>
      <c r="B12" s="4">
        <f t="shared" si="0"/>
        <v>36.667462047469378</v>
      </c>
      <c r="C12" s="4">
        <f t="shared" si="1"/>
        <v>54.339990571764005</v>
      </c>
      <c r="D12" s="4">
        <f t="shared" si="2"/>
        <v>57.67842853847084</v>
      </c>
      <c r="E12" s="4">
        <f t="shared" si="3"/>
        <v>68.953962332813688</v>
      </c>
      <c r="F12" s="4">
        <f t="shared" si="4"/>
        <v>17.672528524294627</v>
      </c>
      <c r="G12" s="4">
        <f t="shared" si="5"/>
        <v>0</v>
      </c>
      <c r="H12" s="4">
        <f t="shared" si="6"/>
        <v>3.3384379667068345</v>
      </c>
      <c r="I12" s="5">
        <f>vals_co2_incLUC!$R12</f>
        <v>36.667464519387337</v>
      </c>
      <c r="J12" s="5">
        <f>vals_co2_incLUC!$X12</f>
        <v>54.339990571764005</v>
      </c>
      <c r="K12" s="5">
        <f>vals_co2_incLUC!$AD12</f>
        <v>36.667462047469378</v>
      </c>
      <c r="L12" s="5">
        <f>vals_co2_incLUC!$AJ12</f>
        <v>46.428018300500248</v>
      </c>
      <c r="M12" s="5">
        <f>vals_co2_incLUC!$S12</f>
        <v>57.67842853847084</v>
      </c>
      <c r="N12" s="5">
        <f>vals_co2_incLUC!$Y12</f>
        <v>68.953962332813688</v>
      </c>
      <c r="O12" s="5">
        <f>vals_co2_incLUC!$AE12</f>
        <v>57.67842853847084</v>
      </c>
      <c r="P12" s="5">
        <f>vals_co2_incLUC!$AK12</f>
        <v>60.397481123381844</v>
      </c>
      <c r="Q12" s="9">
        <f t="shared" si="7"/>
        <v>11.275533794342849</v>
      </c>
      <c r="R12" s="9">
        <v>40.677999999999997</v>
      </c>
      <c r="S12" s="9">
        <v>59.558999999999997</v>
      </c>
    </row>
    <row r="13" spans="1:19" x14ac:dyDescent="0.35">
      <c r="A13" s="6">
        <f>vals_co2_incLUC!$A13</f>
        <v>1860</v>
      </c>
      <c r="B13" s="7">
        <f t="shared" si="0"/>
        <v>36.996694444046291</v>
      </c>
      <c r="C13" s="7">
        <f t="shared" si="1"/>
        <v>54.954163616548293</v>
      </c>
      <c r="D13" s="7">
        <f t="shared" si="2"/>
        <v>58.04021986707415</v>
      </c>
      <c r="E13" s="7">
        <f t="shared" si="3"/>
        <v>69.494119339450762</v>
      </c>
      <c r="F13" s="7">
        <f t="shared" si="4"/>
        <v>17.957469172502002</v>
      </c>
      <c r="G13" s="7">
        <f t="shared" si="5"/>
        <v>0</v>
      </c>
      <c r="H13" s="7">
        <f t="shared" si="6"/>
        <v>3.0860562505258571</v>
      </c>
      <c r="I13" s="8">
        <f>vals_co2_incLUC!$R13</f>
        <v>36.996697531549358</v>
      </c>
      <c r="J13" s="8">
        <f>vals_co2_incLUC!$X13</f>
        <v>54.954163616548293</v>
      </c>
      <c r="K13" s="8">
        <f>vals_co2_incLUC!$AD13</f>
        <v>36.996694444046291</v>
      </c>
      <c r="L13" s="8">
        <f>vals_co2_incLUC!$AJ13</f>
        <v>46.746525412578038</v>
      </c>
      <c r="M13" s="8">
        <f>vals_co2_incLUC!$S13</f>
        <v>58.04021986707415</v>
      </c>
      <c r="N13" s="8">
        <f>vals_co2_incLUC!$Y13</f>
        <v>69.494119339450762</v>
      </c>
      <c r="O13" s="8">
        <f>vals_co2_incLUC!$AE13</f>
        <v>58.040220812724307</v>
      </c>
      <c r="P13" s="8">
        <f>vals_co2_incLUC!$AK13</f>
        <v>60.602900313496868</v>
      </c>
      <c r="Q13" s="9">
        <f t="shared" si="7"/>
        <v>11.453899472376612</v>
      </c>
      <c r="R13" s="9">
        <v>41.024999999999999</v>
      </c>
      <c r="S13" s="9">
        <v>59.904000000000003</v>
      </c>
    </row>
    <row r="14" spans="1:19" x14ac:dyDescent="0.35">
      <c r="A14" s="3">
        <f>vals_co2_incLUC!$A14</f>
        <v>1861</v>
      </c>
      <c r="B14" s="4">
        <f t="shared" si="0"/>
        <v>37.280384966178254</v>
      </c>
      <c r="C14" s="4">
        <f t="shared" si="1"/>
        <v>55.474470879914897</v>
      </c>
      <c r="D14" s="4">
        <f t="shared" si="2"/>
        <v>58.424397147260962</v>
      </c>
      <c r="E14" s="4">
        <f t="shared" si="3"/>
        <v>69.978881296723173</v>
      </c>
      <c r="F14" s="4">
        <f t="shared" si="4"/>
        <v>18.194085913736643</v>
      </c>
      <c r="G14" s="4">
        <f t="shared" si="5"/>
        <v>0</v>
      </c>
      <c r="H14" s="4">
        <f t="shared" si="6"/>
        <v>2.9499262673460649</v>
      </c>
      <c r="I14" s="5">
        <f>vals_co2_incLUC!$R14</f>
        <v>37.280387819216251</v>
      </c>
      <c r="J14" s="5">
        <f>vals_co2_incLUC!$X14</f>
        <v>55.474470879914897</v>
      </c>
      <c r="K14" s="5">
        <f>vals_co2_incLUC!$AD14</f>
        <v>37.280384966178254</v>
      </c>
      <c r="L14" s="5">
        <f>vals_co2_incLUC!$AJ14</f>
        <v>46.991831909542427</v>
      </c>
      <c r="M14" s="5">
        <f>vals_co2_incLUC!$S14</f>
        <v>58.424397147260962</v>
      </c>
      <c r="N14" s="5">
        <f>vals_co2_incLUC!$Y14</f>
        <v>69.978881296723173</v>
      </c>
      <c r="O14" s="5">
        <f>vals_co2_incLUC!$AE14</f>
        <v>58.424398011308455</v>
      </c>
      <c r="P14" s="5">
        <f>vals_co2_incLUC!$AK14</f>
        <v>60.801442389305492</v>
      </c>
      <c r="Q14" s="9">
        <f t="shared" si="7"/>
        <v>11.554484149462212</v>
      </c>
      <c r="R14" s="9">
        <v>41.298000000000002</v>
      </c>
      <c r="S14" s="9">
        <v>60.241</v>
      </c>
    </row>
    <row r="15" spans="1:19" x14ac:dyDescent="0.35">
      <c r="A15" s="6">
        <f>vals_co2_incLUC!$A15</f>
        <v>1862</v>
      </c>
      <c r="B15" s="7">
        <f t="shared" si="0"/>
        <v>37.607254409438937</v>
      </c>
      <c r="C15" s="7">
        <f t="shared" si="1"/>
        <v>55.682980772455373</v>
      </c>
      <c r="D15" s="7">
        <f t="shared" si="2"/>
        <v>58.864967563793655</v>
      </c>
      <c r="E15" s="7">
        <f t="shared" si="3"/>
        <v>70.177048827143821</v>
      </c>
      <c r="F15" s="7">
        <f t="shared" si="4"/>
        <v>18.075726363016436</v>
      </c>
      <c r="G15" s="7">
        <f t="shared" si="5"/>
        <v>0</v>
      </c>
      <c r="H15" s="7">
        <f t="shared" si="6"/>
        <v>3.1819867913382822</v>
      </c>
      <c r="I15" s="8">
        <f>vals_co2_incLUC!$R15</f>
        <v>37.607257068553821</v>
      </c>
      <c r="J15" s="8">
        <f>vals_co2_incLUC!$X15</f>
        <v>55.682980772455373</v>
      </c>
      <c r="K15" s="8">
        <f>vals_co2_incLUC!$AD15</f>
        <v>37.607254409438937</v>
      </c>
      <c r="L15" s="8">
        <f>vals_co2_incLUC!$AJ15</f>
        <v>47.263796257146005</v>
      </c>
      <c r="M15" s="8">
        <f>vals_co2_incLUC!$S15</f>
        <v>58.864967563793655</v>
      </c>
      <c r="N15" s="8">
        <f>vals_co2_incLUC!$Y15</f>
        <v>70.177048827143821</v>
      </c>
      <c r="O15" s="8">
        <f>vals_co2_incLUC!$AE15</f>
        <v>58.864968358684713</v>
      </c>
      <c r="P15" s="8">
        <f>vals_co2_incLUC!$AK15</f>
        <v>61.017970068120299</v>
      </c>
      <c r="Q15" s="9">
        <f t="shared" si="7"/>
        <v>11.312081263350166</v>
      </c>
      <c r="R15" s="9">
        <v>41.613999999999997</v>
      </c>
      <c r="S15" s="9">
        <v>60.624000000000002</v>
      </c>
    </row>
    <row r="16" spans="1:19" x14ac:dyDescent="0.35">
      <c r="A16" s="3">
        <f>vals_co2_incLUC!$A16</f>
        <v>1863</v>
      </c>
      <c r="B16" s="4">
        <f t="shared" si="0"/>
        <v>37.95183898895808</v>
      </c>
      <c r="C16" s="4">
        <f t="shared" si="1"/>
        <v>55.886086136883215</v>
      </c>
      <c r="D16" s="4">
        <f t="shared" si="2"/>
        <v>59.295496458099215</v>
      </c>
      <c r="E16" s="4">
        <f t="shared" si="3"/>
        <v>70.374443614734474</v>
      </c>
      <c r="F16" s="4">
        <f t="shared" si="4"/>
        <v>17.934247147925134</v>
      </c>
      <c r="G16" s="4">
        <f t="shared" si="5"/>
        <v>0</v>
      </c>
      <c r="H16" s="4">
        <f t="shared" si="6"/>
        <v>3.4094103212160007</v>
      </c>
      <c r="I16" s="5">
        <f>vals_co2_incLUC!$R16</f>
        <v>37.951841481436333</v>
      </c>
      <c r="J16" s="5">
        <f>vals_co2_incLUC!$X16</f>
        <v>55.886086136883215</v>
      </c>
      <c r="K16" s="5">
        <f>vals_co2_incLUC!$AD16</f>
        <v>37.95183898895808</v>
      </c>
      <c r="L16" s="5">
        <f>vals_co2_incLUC!$AJ16</f>
        <v>47.568862312345075</v>
      </c>
      <c r="M16" s="5">
        <f>vals_co2_incLUC!$S16</f>
        <v>59.295496458099215</v>
      </c>
      <c r="N16" s="5">
        <f>vals_co2_incLUC!$Y16</f>
        <v>70.374443614734474</v>
      </c>
      <c r="O16" s="5">
        <f>vals_co2_incLUC!$AE16</f>
        <v>59.29549719353767</v>
      </c>
      <c r="P16" s="5">
        <f>vals_co2_incLUC!$AK16</f>
        <v>61.234976183795197</v>
      </c>
      <c r="Q16" s="9">
        <f t="shared" si="7"/>
        <v>11.078947156635259</v>
      </c>
      <c r="R16" s="9">
        <v>41.948</v>
      </c>
      <c r="S16" s="9">
        <v>60.99</v>
      </c>
    </row>
    <row r="17" spans="1:19" x14ac:dyDescent="0.35">
      <c r="A17" s="6">
        <f>vals_co2_incLUC!$A17</f>
        <v>1864</v>
      </c>
      <c r="B17" s="7">
        <f t="shared" si="0"/>
        <v>38.239032026224372</v>
      </c>
      <c r="C17" s="7">
        <f t="shared" si="1"/>
        <v>56.090678680890548</v>
      </c>
      <c r="D17" s="7">
        <f t="shared" si="2"/>
        <v>59.70732256123199</v>
      </c>
      <c r="E17" s="7">
        <f t="shared" si="3"/>
        <v>70.570399334608709</v>
      </c>
      <c r="F17" s="7">
        <f t="shared" si="4"/>
        <v>17.851646654666176</v>
      </c>
      <c r="G17" s="7">
        <f t="shared" si="5"/>
        <v>0</v>
      </c>
      <c r="H17" s="7">
        <f t="shared" si="6"/>
        <v>3.6166438803414422</v>
      </c>
      <c r="I17" s="8">
        <f>vals_co2_incLUC!$R17</f>
        <v>38.239034369897929</v>
      </c>
      <c r="J17" s="8">
        <f>vals_co2_incLUC!$X17</f>
        <v>56.090678680890548</v>
      </c>
      <c r="K17" s="8">
        <f>vals_co2_incLUC!$AD17</f>
        <v>38.239032026224372</v>
      </c>
      <c r="L17" s="8">
        <f>vals_co2_incLUC!$AJ17</f>
        <v>47.80528957970148</v>
      </c>
      <c r="M17" s="8">
        <f>vals_co2_incLUC!$S17</f>
        <v>59.70732256123199</v>
      </c>
      <c r="N17" s="8">
        <f>vals_co2_incLUC!$Y17</f>
        <v>70.570399334608709</v>
      </c>
      <c r="O17" s="8">
        <f>vals_co2_incLUC!$AE17</f>
        <v>59.707323244344998</v>
      </c>
      <c r="P17" s="8">
        <f>vals_co2_incLUC!$AK17</f>
        <v>61.473765958593873</v>
      </c>
      <c r="Q17" s="9">
        <f t="shared" si="7"/>
        <v>10.863076773376719</v>
      </c>
      <c r="R17" s="9">
        <v>42.207000000000001</v>
      </c>
      <c r="S17" s="9">
        <v>61.34</v>
      </c>
    </row>
    <row r="18" spans="1:19" x14ac:dyDescent="0.35">
      <c r="A18" s="3">
        <f>vals_co2_incLUC!$A18</f>
        <v>1865</v>
      </c>
      <c r="B18" s="4">
        <f t="shared" si="0"/>
        <v>38.53259500988176</v>
      </c>
      <c r="C18" s="4">
        <f t="shared" si="1"/>
        <v>56.290172472775815</v>
      </c>
      <c r="D18" s="4">
        <f t="shared" si="2"/>
        <v>60.104735643030374</v>
      </c>
      <c r="E18" s="4">
        <f t="shared" si="3"/>
        <v>70.760207205256179</v>
      </c>
      <c r="F18" s="4">
        <f t="shared" si="4"/>
        <v>17.757577462894055</v>
      </c>
      <c r="G18" s="4">
        <f t="shared" si="5"/>
        <v>0</v>
      </c>
      <c r="H18" s="4">
        <f t="shared" si="6"/>
        <v>3.8145631702545586</v>
      </c>
      <c r="I18" s="5">
        <f>vals_co2_incLUC!$R18</f>
        <v>38.532597224663419</v>
      </c>
      <c r="J18" s="5">
        <f>vals_co2_incLUC!$X18</f>
        <v>56.290172472775815</v>
      </c>
      <c r="K18" s="5">
        <f>vals_co2_incLUC!$AD18</f>
        <v>38.53259500988176</v>
      </c>
      <c r="L18" s="5">
        <f>vals_co2_incLUC!$AJ18</f>
        <v>48.068687096586842</v>
      </c>
      <c r="M18" s="5">
        <f>vals_co2_incLUC!$S18</f>
        <v>60.104735643030374</v>
      </c>
      <c r="N18" s="5">
        <f>vals_co2_incLUC!$Y18</f>
        <v>70.760207205256179</v>
      </c>
      <c r="O18" s="5">
        <f>vals_co2_incLUC!$AE18</f>
        <v>60.104736280853544</v>
      </c>
      <c r="P18" s="5">
        <f>vals_co2_incLUC!$AK18</f>
        <v>61.706803058163651</v>
      </c>
      <c r="Q18" s="9">
        <f t="shared" si="7"/>
        <v>10.655471562225806</v>
      </c>
      <c r="R18" s="9">
        <v>42.478999999999999</v>
      </c>
      <c r="S18" s="9">
        <v>61.676000000000002</v>
      </c>
    </row>
    <row r="19" spans="1:19" x14ac:dyDescent="0.35">
      <c r="A19" s="6">
        <f>vals_co2_incLUC!$A19</f>
        <v>1866</v>
      </c>
      <c r="B19" s="7">
        <f t="shared" si="0"/>
        <v>38.782643910240509</v>
      </c>
      <c r="C19" s="7">
        <f t="shared" si="1"/>
        <v>56.47611749494196</v>
      </c>
      <c r="D19" s="7">
        <f t="shared" si="2"/>
        <v>60.498823514183009</v>
      </c>
      <c r="E19" s="7">
        <f t="shared" si="3"/>
        <v>70.940131756412853</v>
      </c>
      <c r="F19" s="7">
        <f t="shared" si="4"/>
        <v>17.693473584701451</v>
      </c>
      <c r="G19" s="7">
        <f t="shared" si="5"/>
        <v>0</v>
      </c>
      <c r="H19" s="7">
        <f t="shared" si="6"/>
        <v>4.0227060192410491</v>
      </c>
      <c r="I19" s="8">
        <f>vals_co2_incLUC!$R19</f>
        <v>38.782646008914831</v>
      </c>
      <c r="J19" s="8">
        <f>vals_co2_incLUC!$X19</f>
        <v>56.47611749494196</v>
      </c>
      <c r="K19" s="8">
        <f>vals_co2_incLUC!$AD19</f>
        <v>38.782643910240509</v>
      </c>
      <c r="L19" s="8">
        <f>vals_co2_incLUC!$AJ19</f>
        <v>48.276395586990688</v>
      </c>
      <c r="M19" s="8">
        <f>vals_co2_incLUC!$S19</f>
        <v>60.498823514183009</v>
      </c>
      <c r="N19" s="8">
        <f>vals_co2_incLUC!$Y19</f>
        <v>70.940131756412853</v>
      </c>
      <c r="O19" s="8">
        <f>vals_co2_incLUC!$AE19</f>
        <v>60.498824111520676</v>
      </c>
      <c r="P19" s="8">
        <f>vals_co2_incLUC!$AK19</f>
        <v>61.962201438066089</v>
      </c>
      <c r="Q19" s="9">
        <f t="shared" si="7"/>
        <v>10.441308242229844</v>
      </c>
      <c r="R19" s="9">
        <v>42.697000000000003</v>
      </c>
      <c r="S19" s="9">
        <v>62.015000000000001</v>
      </c>
    </row>
    <row r="20" spans="1:19" x14ac:dyDescent="0.35">
      <c r="A20" s="3">
        <f>vals_co2_incLUC!$A20</f>
        <v>1867</v>
      </c>
      <c r="B20" s="4">
        <f t="shared" si="0"/>
        <v>39.081099920355236</v>
      </c>
      <c r="C20" s="4">
        <f t="shared" si="1"/>
        <v>56.665201568377597</v>
      </c>
      <c r="D20" s="4">
        <f t="shared" si="2"/>
        <v>60.865614532390097</v>
      </c>
      <c r="E20" s="4">
        <f t="shared" si="3"/>
        <v>71.121568780528804</v>
      </c>
      <c r="F20" s="4">
        <f t="shared" si="4"/>
        <v>17.584101648022362</v>
      </c>
      <c r="G20" s="4">
        <f t="shared" si="5"/>
        <v>0</v>
      </c>
      <c r="H20" s="4">
        <f t="shared" si="6"/>
        <v>4.2004129640125001</v>
      </c>
      <c r="I20" s="5">
        <f>vals_co2_incLUC!$R20</f>
        <v>39.081101916297747</v>
      </c>
      <c r="J20" s="5">
        <f>vals_co2_incLUC!$X20</f>
        <v>56.665201568377597</v>
      </c>
      <c r="K20" s="5">
        <f>vals_co2_incLUC!$AD20</f>
        <v>39.081099920355236</v>
      </c>
      <c r="L20" s="5">
        <f>vals_co2_incLUC!$AJ20</f>
        <v>48.571816981819858</v>
      </c>
      <c r="M20" s="5">
        <f>vals_co2_incLUC!$S20</f>
        <v>60.865614532390097</v>
      </c>
      <c r="N20" s="5">
        <f>vals_co2_incLUC!$Y20</f>
        <v>71.121568780528804</v>
      </c>
      <c r="O20" s="5">
        <f>vals_co2_incLUC!$AE20</f>
        <v>60.865615094004731</v>
      </c>
      <c r="P20" s="5">
        <f>vals_co2_incLUC!$AK20</f>
        <v>62.200834798226822</v>
      </c>
      <c r="Q20" s="9">
        <f t="shared" si="7"/>
        <v>10.255954248138707</v>
      </c>
      <c r="R20" s="9">
        <v>42.984999999999999</v>
      </c>
      <c r="S20" s="9">
        <v>62.329000000000001</v>
      </c>
    </row>
    <row r="21" spans="1:19" x14ac:dyDescent="0.35">
      <c r="A21" s="6">
        <f>vals_co2_incLUC!$A21</f>
        <v>1868</v>
      </c>
      <c r="B21" s="7">
        <f t="shared" si="0"/>
        <v>39.35175528862726</v>
      </c>
      <c r="C21" s="7">
        <f t="shared" si="1"/>
        <v>56.839355893473154</v>
      </c>
      <c r="D21" s="7">
        <f t="shared" si="2"/>
        <v>61.222409456629158</v>
      </c>
      <c r="E21" s="7">
        <f t="shared" si="3"/>
        <v>71.292422661048377</v>
      </c>
      <c r="F21" s="7">
        <f t="shared" si="4"/>
        <v>17.487600604845895</v>
      </c>
      <c r="G21" s="7">
        <f t="shared" si="5"/>
        <v>0</v>
      </c>
      <c r="H21" s="7">
        <f t="shared" si="6"/>
        <v>4.3830535631560039</v>
      </c>
      <c r="I21" s="8">
        <f>vals_co2_incLUC!$R21</f>
        <v>39.351757191692208</v>
      </c>
      <c r="J21" s="8">
        <f>vals_co2_incLUC!$X21</f>
        <v>56.839355893473154</v>
      </c>
      <c r="K21" s="8">
        <f>vals_co2_incLUC!$AD21</f>
        <v>39.35175528862726</v>
      </c>
      <c r="L21" s="8">
        <f>vals_co2_incLUC!$AJ21</f>
        <v>48.841045983711567</v>
      </c>
      <c r="M21" s="8">
        <f>vals_co2_incLUC!$S21</f>
        <v>61.222409456629158</v>
      </c>
      <c r="N21" s="8">
        <f>vals_co2_incLUC!$Y21</f>
        <v>71.292422661048377</v>
      </c>
      <c r="O21" s="8">
        <f>vals_co2_incLUC!$AE21</f>
        <v>61.222409986197455</v>
      </c>
      <c r="P21" s="8">
        <f>vals_co2_incLUC!$AK21</f>
        <v>62.45073319013278</v>
      </c>
      <c r="Q21" s="9">
        <f t="shared" si="7"/>
        <v>10.070013204419219</v>
      </c>
      <c r="R21" s="9">
        <v>43.241</v>
      </c>
      <c r="S21" s="9">
        <v>62.637999999999998</v>
      </c>
    </row>
    <row r="22" spans="1:19" x14ac:dyDescent="0.35">
      <c r="A22" s="3">
        <f>vals_co2_incLUC!$A22</f>
        <v>1869</v>
      </c>
      <c r="B22" s="4">
        <f t="shared" si="0"/>
        <v>39.596567276293193</v>
      </c>
      <c r="C22" s="4">
        <f t="shared" si="1"/>
        <v>57.016984520124112</v>
      </c>
      <c r="D22" s="4">
        <f t="shared" si="2"/>
        <v>61.549218062046648</v>
      </c>
      <c r="E22" s="4">
        <f t="shared" si="3"/>
        <v>71.465584502797157</v>
      </c>
      <c r="F22" s="4">
        <f t="shared" si="4"/>
        <v>17.420417243830919</v>
      </c>
      <c r="G22" s="4">
        <f t="shared" si="5"/>
        <v>0</v>
      </c>
      <c r="H22" s="4">
        <f t="shared" si="6"/>
        <v>4.5322335419225368</v>
      </c>
      <c r="I22" s="5">
        <f>vals_co2_incLUC!$R22</f>
        <v>39.596569094348425</v>
      </c>
      <c r="J22" s="5">
        <f>vals_co2_incLUC!$X22</f>
        <v>57.016984520124112</v>
      </c>
      <c r="K22" s="5">
        <f>vals_co2_incLUC!$AD22</f>
        <v>39.596567276293193</v>
      </c>
      <c r="L22" s="5">
        <f>vals_co2_incLUC!$AJ22</f>
        <v>49.080305932176941</v>
      </c>
      <c r="M22" s="5">
        <f>vals_co2_incLUC!$S22</f>
        <v>61.549218062046648</v>
      </c>
      <c r="N22" s="5">
        <f>vals_co2_incLUC!$Y22</f>
        <v>71.465584502797157</v>
      </c>
      <c r="O22" s="5">
        <f>vals_co2_incLUC!$AE22</f>
        <v>61.549218562815732</v>
      </c>
      <c r="P22" s="5">
        <f>vals_co2_incLUC!$AK22</f>
        <v>62.678604066412746</v>
      </c>
      <c r="Q22" s="9">
        <f t="shared" si="7"/>
        <v>9.9163664407505081</v>
      </c>
      <c r="R22" s="9">
        <v>43.47</v>
      </c>
      <c r="S22" s="9">
        <v>62.92</v>
      </c>
    </row>
    <row r="23" spans="1:19" x14ac:dyDescent="0.35">
      <c r="A23" s="6">
        <f>vals_co2_incLUC!$A23</f>
        <v>1870</v>
      </c>
      <c r="B23" s="7">
        <f t="shared" si="0"/>
        <v>39.996445305145059</v>
      </c>
      <c r="C23" s="7">
        <f t="shared" si="1"/>
        <v>57.179973030076411</v>
      </c>
      <c r="D23" s="7">
        <f t="shared" si="2"/>
        <v>62.001842958883699</v>
      </c>
      <c r="E23" s="7">
        <f t="shared" si="3"/>
        <v>71.627767147435975</v>
      </c>
      <c r="F23" s="7">
        <f t="shared" si="4"/>
        <v>17.183527724931352</v>
      </c>
      <c r="G23" s="7">
        <f t="shared" si="5"/>
        <v>0</v>
      </c>
      <c r="H23" s="7">
        <f t="shared" si="6"/>
        <v>4.8218699288072884</v>
      </c>
      <c r="I23" s="8">
        <f>vals_co2_incLUC!$R23</f>
        <v>39.996447036926277</v>
      </c>
      <c r="J23" s="8">
        <f>vals_co2_incLUC!$X23</f>
        <v>57.179973030076411</v>
      </c>
      <c r="K23" s="8">
        <f>vals_co2_incLUC!$AD23</f>
        <v>39.996445305145059</v>
      </c>
      <c r="L23" s="8">
        <f>vals_co2_incLUC!$AJ23</f>
        <v>49.340071400558813</v>
      </c>
      <c r="M23" s="8">
        <f>vals_co2_incLUC!$S23</f>
        <v>62.001842958883699</v>
      </c>
      <c r="N23" s="8">
        <f>vals_co2_incLUC!$Y23</f>
        <v>71.627767147435975</v>
      </c>
      <c r="O23" s="8">
        <f>vals_co2_incLUC!$AE23</f>
        <v>62.001843428927742</v>
      </c>
      <c r="P23" s="8">
        <f>vals_co2_incLUC!$AK23</f>
        <v>62.963351823763645</v>
      </c>
      <c r="Q23" s="9">
        <f t="shared" si="7"/>
        <v>9.6259241885522755</v>
      </c>
      <c r="R23" s="9">
        <v>43.816000000000003</v>
      </c>
      <c r="S23" s="9">
        <v>63.31</v>
      </c>
    </row>
    <row r="24" spans="1:19" x14ac:dyDescent="0.35">
      <c r="A24" s="3">
        <f>vals_co2_incLUC!$A24</f>
        <v>1871</v>
      </c>
      <c r="B24" s="4">
        <f t="shared" si="0"/>
        <v>40.47852443942179</v>
      </c>
      <c r="C24" s="4">
        <f t="shared" si="1"/>
        <v>57.272007734858811</v>
      </c>
      <c r="D24" s="4">
        <f t="shared" si="2"/>
        <v>62.477366153635764</v>
      </c>
      <c r="E24" s="4">
        <f t="shared" si="3"/>
        <v>71.679660248028085</v>
      </c>
      <c r="F24" s="4">
        <f t="shared" si="4"/>
        <v>16.793483295437021</v>
      </c>
      <c r="G24" s="4">
        <f t="shared" si="5"/>
        <v>0</v>
      </c>
      <c r="H24" s="4">
        <f t="shared" si="6"/>
        <v>5.205358418776953</v>
      </c>
      <c r="I24" s="5">
        <f>vals_co2_incLUC!$R24</f>
        <v>40.478526091049602</v>
      </c>
      <c r="J24" s="5">
        <f>vals_co2_incLUC!$X24</f>
        <v>57.272007734858811</v>
      </c>
      <c r="K24" s="5">
        <f>vals_co2_incLUC!$AD24</f>
        <v>40.47852443942179</v>
      </c>
      <c r="L24" s="5">
        <f>vals_co2_incLUC!$AJ24</f>
        <v>49.700041949427977</v>
      </c>
      <c r="M24" s="5">
        <f>vals_co2_incLUC!$S24</f>
        <v>62.477366153635764</v>
      </c>
      <c r="N24" s="5">
        <f>vals_co2_incLUC!$Y24</f>
        <v>71.679660248028085</v>
      </c>
      <c r="O24" s="5">
        <f>vals_co2_incLUC!$AE24</f>
        <v>62.477366594795193</v>
      </c>
      <c r="P24" s="5">
        <f>vals_co2_incLUC!$AK24</f>
        <v>63.271680858179366</v>
      </c>
      <c r="Q24" s="9">
        <f t="shared" si="7"/>
        <v>9.2022940943923217</v>
      </c>
      <c r="R24" s="9">
        <v>44.256999999999998</v>
      </c>
      <c r="S24" s="9">
        <v>63.725999999999999</v>
      </c>
    </row>
    <row r="25" spans="1:19" x14ac:dyDescent="0.35">
      <c r="A25" s="6">
        <f>vals_co2_incLUC!$A25</f>
        <v>1872</v>
      </c>
      <c r="B25" s="7">
        <f t="shared" si="0"/>
        <v>40.951878246103469</v>
      </c>
      <c r="C25" s="7">
        <f t="shared" si="1"/>
        <v>57.616864770794287</v>
      </c>
      <c r="D25" s="7">
        <f t="shared" si="2"/>
        <v>62.940739998106601</v>
      </c>
      <c r="E25" s="7">
        <f t="shared" si="3"/>
        <v>71.891928499549735</v>
      </c>
      <c r="F25" s="7">
        <f t="shared" si="4"/>
        <v>16.664986524690818</v>
      </c>
      <c r="G25" s="7">
        <f t="shared" si="5"/>
        <v>0</v>
      </c>
      <c r="H25" s="7">
        <f t="shared" si="6"/>
        <v>5.323875227312314</v>
      </c>
      <c r="I25" s="8">
        <f>vals_co2_incLUC!$R25</f>
        <v>40.951879820612277</v>
      </c>
      <c r="J25" s="8">
        <f>vals_co2_incLUC!$X25</f>
        <v>57.616864770794287</v>
      </c>
      <c r="K25" s="8">
        <f>vals_co2_incLUC!$AD25</f>
        <v>40.951878246103469</v>
      </c>
      <c r="L25" s="8">
        <f>vals_co2_incLUC!$AJ25</f>
        <v>50.040908199425914</v>
      </c>
      <c r="M25" s="8">
        <f>vals_co2_incLUC!$S25</f>
        <v>62.940739998106601</v>
      </c>
      <c r="N25" s="8">
        <f>vals_co2_incLUC!$Y25</f>
        <v>71.891928499549735</v>
      </c>
      <c r="O25" s="8">
        <f>vals_co2_incLUC!$AE25</f>
        <v>62.940740412078597</v>
      </c>
      <c r="P25" s="8">
        <f>vals_co2_incLUC!$AK25</f>
        <v>63.589972220818211</v>
      </c>
      <c r="Q25" s="9">
        <f t="shared" si="7"/>
        <v>8.9511885014431343</v>
      </c>
      <c r="R25" s="9">
        <v>44.683</v>
      </c>
      <c r="S25" s="9">
        <v>64.135000000000005</v>
      </c>
    </row>
    <row r="26" spans="1:19" x14ac:dyDescent="0.35">
      <c r="A26" s="3">
        <f>vals_co2_incLUC!$A26</f>
        <v>1873</v>
      </c>
      <c r="B26" s="4">
        <f t="shared" si="0"/>
        <v>41.461620924315973</v>
      </c>
      <c r="C26" s="4">
        <f t="shared" si="1"/>
        <v>57.956376315677446</v>
      </c>
      <c r="D26" s="4">
        <f t="shared" si="2"/>
        <v>63.405691179404556</v>
      </c>
      <c r="E26" s="4">
        <f t="shared" si="3"/>
        <v>72.096331773437925</v>
      </c>
      <c r="F26" s="4">
        <f t="shared" si="4"/>
        <v>16.494755391361473</v>
      </c>
      <c r="G26" s="4">
        <f t="shared" si="5"/>
        <v>0</v>
      </c>
      <c r="H26" s="4">
        <f t="shared" si="6"/>
        <v>5.4493148637271105</v>
      </c>
      <c r="I26" s="5">
        <f>vals_co2_incLUC!$R26</f>
        <v>41.461622868215201</v>
      </c>
      <c r="J26" s="5">
        <f>vals_co2_incLUC!$X26</f>
        <v>57.956376315677446</v>
      </c>
      <c r="K26" s="5">
        <f>vals_co2_incLUC!$AD26</f>
        <v>41.461620924315973</v>
      </c>
      <c r="L26" s="5">
        <f>vals_co2_incLUC!$AJ26</f>
        <v>50.438518896004915</v>
      </c>
      <c r="M26" s="5">
        <f>vals_co2_incLUC!$S26</f>
        <v>63.405691464325287</v>
      </c>
      <c r="N26" s="5">
        <f>vals_co2_incLUC!$Y26</f>
        <v>72.096331773437925</v>
      </c>
      <c r="O26" s="5">
        <f>vals_co2_incLUC!$AE26</f>
        <v>63.405691179404556</v>
      </c>
      <c r="P26" s="5">
        <f>vals_co2_incLUC!$AK26</f>
        <v>63.92415471315028</v>
      </c>
      <c r="Q26" s="9">
        <f t="shared" si="7"/>
        <v>8.6906405940333684</v>
      </c>
      <c r="R26" s="9">
        <v>45.155999999999999</v>
      </c>
      <c r="S26" s="9">
        <v>64.552999999999997</v>
      </c>
    </row>
    <row r="27" spans="1:19" x14ac:dyDescent="0.35">
      <c r="A27" s="6">
        <f>vals_co2_incLUC!$A27</f>
        <v>1874</v>
      </c>
      <c r="B27" s="7">
        <f t="shared" si="0"/>
        <v>41.914510539755483</v>
      </c>
      <c r="C27" s="7">
        <f t="shared" si="1"/>
        <v>58.23534655673425</v>
      </c>
      <c r="D27" s="7">
        <f t="shared" si="2"/>
        <v>63.844461345349565</v>
      </c>
      <c r="E27" s="7">
        <f t="shared" si="3"/>
        <v>72.264298820757872</v>
      </c>
      <c r="F27" s="7">
        <f t="shared" si="4"/>
        <v>16.320836016978767</v>
      </c>
      <c r="G27" s="7">
        <f t="shared" si="5"/>
        <v>0</v>
      </c>
      <c r="H27" s="7">
        <f t="shared" si="6"/>
        <v>5.6091147886153152</v>
      </c>
      <c r="I27" s="8">
        <f>vals_co2_incLUC!$R27</f>
        <v>41.914512401176367</v>
      </c>
      <c r="J27" s="8">
        <f>vals_co2_incLUC!$X27</f>
        <v>58.23534655673425</v>
      </c>
      <c r="K27" s="8">
        <f>vals_co2_incLUC!$AD27</f>
        <v>41.914510539755483</v>
      </c>
      <c r="L27" s="8">
        <f>vals_co2_incLUC!$AJ27</f>
        <v>50.762857619934245</v>
      </c>
      <c r="M27" s="8">
        <f>vals_co2_incLUC!$S27</f>
        <v>63.844461625722815</v>
      </c>
      <c r="N27" s="8">
        <f>vals_co2_incLUC!$Y27</f>
        <v>72.264298820757872</v>
      </c>
      <c r="O27" s="8">
        <f>vals_co2_incLUC!$AE27</f>
        <v>63.844461345349565</v>
      </c>
      <c r="P27" s="8">
        <f>vals_co2_incLUC!$AK27</f>
        <v>64.232192559930184</v>
      </c>
      <c r="Q27" s="9">
        <f t="shared" si="7"/>
        <v>8.4198374754083076</v>
      </c>
      <c r="R27" s="9">
        <v>45.563000000000002</v>
      </c>
      <c r="S27" s="9">
        <v>64.944999999999993</v>
      </c>
    </row>
    <row r="28" spans="1:19" x14ac:dyDescent="0.35">
      <c r="A28" s="3">
        <f>vals_co2_incLUC!$A28</f>
        <v>1875</v>
      </c>
      <c r="B28" s="4">
        <f t="shared" si="0"/>
        <v>42.388638024228712</v>
      </c>
      <c r="C28" s="4">
        <f t="shared" si="1"/>
        <v>58.529983072919876</v>
      </c>
      <c r="D28" s="4">
        <f t="shared" si="2"/>
        <v>64.279005497636703</v>
      </c>
      <c r="E28" s="4">
        <f t="shared" si="3"/>
        <v>72.442063070090114</v>
      </c>
      <c r="F28" s="4">
        <f t="shared" si="4"/>
        <v>16.141345048691164</v>
      </c>
      <c r="G28" s="4">
        <f t="shared" si="5"/>
        <v>0</v>
      </c>
      <c r="H28" s="4">
        <f t="shared" si="6"/>
        <v>5.7490224247168271</v>
      </c>
      <c r="I28" s="5">
        <f>vals_co2_incLUC!$R28</f>
        <v>42.388639809596143</v>
      </c>
      <c r="J28" s="5">
        <f>vals_co2_incLUC!$X28</f>
        <v>58.529983072919876</v>
      </c>
      <c r="K28" s="5">
        <f>vals_co2_incLUC!$AD28</f>
        <v>42.388638024228712</v>
      </c>
      <c r="L28" s="5">
        <f>vals_co2_incLUC!$AJ28</f>
        <v>51.123667865096131</v>
      </c>
      <c r="M28" s="5">
        <f>vals_co2_incLUC!$S28</f>
        <v>64.279005773571839</v>
      </c>
      <c r="N28" s="5">
        <f>vals_co2_incLUC!$Y28</f>
        <v>72.442063070090114</v>
      </c>
      <c r="O28" s="5">
        <f>vals_co2_incLUC!$AE28</f>
        <v>64.279005497636703</v>
      </c>
      <c r="P28" s="5">
        <f>vals_co2_incLUC!$AK28</f>
        <v>64.543142596507735</v>
      </c>
      <c r="Q28" s="9">
        <f t="shared" si="7"/>
        <v>8.1630575724534111</v>
      </c>
      <c r="R28" s="9">
        <v>46</v>
      </c>
      <c r="S28" s="9">
        <v>65.335999999999999</v>
      </c>
    </row>
    <row r="29" spans="1:19" x14ac:dyDescent="0.35">
      <c r="A29" s="6">
        <f>vals_co2_incLUC!$A29</f>
        <v>1876</v>
      </c>
      <c r="B29" s="7">
        <f t="shared" si="0"/>
        <v>42.837699451806337</v>
      </c>
      <c r="C29" s="7">
        <f t="shared" si="1"/>
        <v>58.795644284917202</v>
      </c>
      <c r="D29" s="7">
        <f t="shared" si="2"/>
        <v>64.69944988580329</v>
      </c>
      <c r="E29" s="7">
        <f t="shared" si="3"/>
        <v>72.611196933627539</v>
      </c>
      <c r="F29" s="7">
        <f t="shared" si="4"/>
        <v>15.957944833110865</v>
      </c>
      <c r="G29" s="7">
        <f t="shared" si="5"/>
        <v>0</v>
      </c>
      <c r="H29" s="7">
        <f t="shared" si="6"/>
        <v>5.9038056008860877</v>
      </c>
      <c r="I29" s="8">
        <f>vals_co2_incLUC!$R29</f>
        <v>42.837701166219439</v>
      </c>
      <c r="J29" s="8">
        <f>vals_co2_incLUC!$X29</f>
        <v>58.795644284917202</v>
      </c>
      <c r="K29" s="8">
        <f>vals_co2_incLUC!$AD29</f>
        <v>42.837699451806337</v>
      </c>
      <c r="L29" s="8">
        <f>vals_co2_incLUC!$AJ29</f>
        <v>51.453172527079452</v>
      </c>
      <c r="M29" s="8">
        <f>vals_co2_incLUC!$S29</f>
        <v>64.699450157254773</v>
      </c>
      <c r="N29" s="8">
        <f>vals_co2_incLUC!$Y29</f>
        <v>72.611196933627539</v>
      </c>
      <c r="O29" s="8">
        <f>vals_co2_incLUC!$AE29</f>
        <v>64.69944988580329</v>
      </c>
      <c r="P29" s="8">
        <f>vals_co2_incLUC!$AK29</f>
        <v>64.83896567337905</v>
      </c>
      <c r="Q29" s="9">
        <f t="shared" si="7"/>
        <v>7.9117470478242495</v>
      </c>
      <c r="R29" s="9">
        <v>46.408999999999999</v>
      </c>
      <c r="S29" s="9">
        <v>65.713999999999999</v>
      </c>
    </row>
    <row r="30" spans="1:19" x14ac:dyDescent="0.35">
      <c r="A30" s="3">
        <f>vals_co2_incLUC!$A30</f>
        <v>1877</v>
      </c>
      <c r="B30" s="4">
        <f t="shared" si="0"/>
        <v>43.266364495480957</v>
      </c>
      <c r="C30" s="4">
        <f t="shared" si="1"/>
        <v>59.054864489683347</v>
      </c>
      <c r="D30" s="4">
        <f t="shared" si="2"/>
        <v>65.091632349546742</v>
      </c>
      <c r="E30" s="4">
        <f t="shared" si="3"/>
        <v>72.774137494659243</v>
      </c>
      <c r="F30" s="4">
        <f t="shared" si="4"/>
        <v>15.78849999420239</v>
      </c>
      <c r="G30" s="4">
        <f t="shared" si="5"/>
        <v>0</v>
      </c>
      <c r="H30" s="4">
        <f t="shared" si="6"/>
        <v>6.0367678598633958</v>
      </c>
      <c r="I30" s="5">
        <f>vals_co2_incLUC!$R30</f>
        <v>43.266366142977688</v>
      </c>
      <c r="J30" s="5">
        <f>vals_co2_incLUC!$X30</f>
        <v>59.054864489683347</v>
      </c>
      <c r="K30" s="5">
        <f>vals_co2_incLUC!$AD30</f>
        <v>43.266364495480957</v>
      </c>
      <c r="L30" s="5">
        <f>vals_co2_incLUC!$AJ30</f>
        <v>51.768932010736279</v>
      </c>
      <c r="M30" s="5">
        <f>vals_co2_incLUC!$S30</f>
        <v>65.091632616131761</v>
      </c>
      <c r="N30" s="5">
        <f>vals_co2_incLUC!$Y30</f>
        <v>72.774137494659243</v>
      </c>
      <c r="O30" s="5">
        <f>vals_co2_incLUC!$AE30</f>
        <v>65.091632349546742</v>
      </c>
      <c r="P30" s="5">
        <f>vals_co2_incLUC!$AK30</f>
        <v>65.118966380813788</v>
      </c>
      <c r="Q30" s="9">
        <f t="shared" si="7"/>
        <v>7.6825051451125006</v>
      </c>
      <c r="R30" s="9">
        <v>46.798999999999999</v>
      </c>
      <c r="S30" s="9">
        <v>66.066000000000003</v>
      </c>
    </row>
    <row r="31" spans="1:19" x14ac:dyDescent="0.35">
      <c r="A31" s="6">
        <f>vals_co2_incLUC!$A31</f>
        <v>1878</v>
      </c>
      <c r="B31" s="7">
        <f t="shared" si="0"/>
        <v>43.675416950406742</v>
      </c>
      <c r="C31" s="7">
        <f t="shared" si="1"/>
        <v>59.294255951919709</v>
      </c>
      <c r="D31" s="7">
        <f t="shared" si="2"/>
        <v>65.393065077197903</v>
      </c>
      <c r="E31" s="7">
        <f t="shared" si="3"/>
        <v>72.926010010199704</v>
      </c>
      <c r="F31" s="7">
        <f t="shared" si="4"/>
        <v>15.618839001512967</v>
      </c>
      <c r="G31" s="7">
        <f t="shared" si="5"/>
        <v>0</v>
      </c>
      <c r="H31" s="7">
        <f t="shared" si="6"/>
        <v>6.0988091252781942</v>
      </c>
      <c r="I31" s="8">
        <f>vals_co2_incLUC!$R31</f>
        <v>43.675418535328681</v>
      </c>
      <c r="J31" s="8">
        <f>vals_co2_incLUC!$X31</f>
        <v>59.294255951919709</v>
      </c>
      <c r="K31" s="8">
        <f>vals_co2_incLUC!$AD31</f>
        <v>43.675416950406742</v>
      </c>
      <c r="L31" s="8">
        <f>vals_co2_incLUC!$AJ31</f>
        <v>52.065423384012647</v>
      </c>
      <c r="M31" s="8">
        <f>vals_co2_incLUC!$S31</f>
        <v>65.472814200830555</v>
      </c>
      <c r="N31" s="8">
        <f>vals_co2_incLUC!$Y31</f>
        <v>72.926010010199704</v>
      </c>
      <c r="O31" s="8">
        <f>vals_co2_incLUC!$AE31</f>
        <v>65.472813939041458</v>
      </c>
      <c r="P31" s="8">
        <f>vals_co2_incLUC!$AK31</f>
        <v>65.393065077197903</v>
      </c>
      <c r="Q31" s="9">
        <f t="shared" si="7"/>
        <v>7.5329449330018008</v>
      </c>
      <c r="R31" s="9">
        <v>47.170999999999999</v>
      </c>
      <c r="S31" s="9">
        <v>66.412000000000006</v>
      </c>
    </row>
    <row r="32" spans="1:19" x14ac:dyDescent="0.35">
      <c r="A32" s="3">
        <f>vals_co2_incLUC!$A32</f>
        <v>1879</v>
      </c>
      <c r="B32" s="4">
        <f t="shared" si="0"/>
        <v>44.092425704211308</v>
      </c>
      <c r="C32" s="4">
        <f t="shared" si="1"/>
        <v>59.543822870188649</v>
      </c>
      <c r="D32" s="4">
        <f t="shared" si="2"/>
        <v>65.679931324041902</v>
      </c>
      <c r="E32" s="4">
        <f t="shared" si="3"/>
        <v>73.085979279876568</v>
      </c>
      <c r="F32" s="4">
        <f t="shared" si="4"/>
        <v>15.45139716597734</v>
      </c>
      <c r="G32" s="4">
        <f t="shared" si="5"/>
        <v>0</v>
      </c>
      <c r="H32" s="4">
        <f t="shared" si="6"/>
        <v>6.1361084538532538</v>
      </c>
      <c r="I32" s="5">
        <f>vals_co2_incLUC!$R32</f>
        <v>44.092427230463741</v>
      </c>
      <c r="J32" s="5">
        <f>vals_co2_incLUC!$X32</f>
        <v>59.543822870188649</v>
      </c>
      <c r="K32" s="5">
        <f>vals_co2_incLUC!$AD32</f>
        <v>44.092425704211308</v>
      </c>
      <c r="L32" s="5">
        <f>vals_co2_incLUC!$AJ32</f>
        <v>52.375487276241806</v>
      </c>
      <c r="M32" s="5">
        <f>vals_co2_incLUC!$S32</f>
        <v>65.858512050765327</v>
      </c>
      <c r="N32" s="5">
        <f>vals_co2_incLUC!$Y32</f>
        <v>73.085979279876568</v>
      </c>
      <c r="O32" s="5">
        <f>vals_co2_incLUC!$AE32</f>
        <v>65.858511793527924</v>
      </c>
      <c r="P32" s="5">
        <f>vals_co2_incLUC!$AK32</f>
        <v>65.679931324041902</v>
      </c>
      <c r="Q32" s="9">
        <f t="shared" si="7"/>
        <v>7.4060479558346657</v>
      </c>
      <c r="R32" s="9">
        <v>47.554000000000002</v>
      </c>
      <c r="S32" s="9">
        <v>66.763999999999996</v>
      </c>
    </row>
    <row r="33" spans="1:19" x14ac:dyDescent="0.35">
      <c r="A33" s="6">
        <f>vals_co2_incLUC!$A33</f>
        <v>1880</v>
      </c>
      <c r="B33" s="7">
        <f t="shared" si="0"/>
        <v>44.394836049534824</v>
      </c>
      <c r="C33" s="7">
        <f t="shared" si="1"/>
        <v>59.828612149408364</v>
      </c>
      <c r="D33" s="7">
        <f t="shared" si="2"/>
        <v>65.943058790336934</v>
      </c>
      <c r="E33" s="7">
        <f t="shared" si="3"/>
        <v>73.270558540427629</v>
      </c>
      <c r="F33" s="7">
        <f t="shared" si="4"/>
        <v>15.43377609987354</v>
      </c>
      <c r="G33" s="7">
        <f t="shared" si="5"/>
        <v>0</v>
      </c>
      <c r="H33" s="7">
        <f t="shared" si="6"/>
        <v>6.1144466409285698</v>
      </c>
      <c r="I33" s="8">
        <f>vals_co2_incLUC!$R33</f>
        <v>44.394837518554091</v>
      </c>
      <c r="J33" s="8">
        <f>vals_co2_incLUC!$X33</f>
        <v>59.828612149408364</v>
      </c>
      <c r="K33" s="8">
        <f>vals_co2_incLUC!$AD33</f>
        <v>44.394836049534824</v>
      </c>
      <c r="L33" s="8">
        <f>vals_co2_incLUC!$AJ33</f>
        <v>52.66931542353548</v>
      </c>
      <c r="M33" s="8">
        <f>vals_co2_incLUC!$S33</f>
        <v>66.136481736255391</v>
      </c>
      <c r="N33" s="8">
        <f>vals_co2_incLUC!$Y33</f>
        <v>73.270558540427629</v>
      </c>
      <c r="O33" s="8">
        <f>vals_co2_incLUC!$AE33</f>
        <v>66.136481485131469</v>
      </c>
      <c r="P33" s="8">
        <f>vals_co2_incLUC!$AK33</f>
        <v>65.943058790336934</v>
      </c>
      <c r="Q33" s="9">
        <f t="shared" si="7"/>
        <v>7.3274997500906949</v>
      </c>
      <c r="R33" s="9">
        <v>47.848999999999997</v>
      </c>
      <c r="S33" s="9">
        <v>67.031000000000006</v>
      </c>
    </row>
    <row r="34" spans="1:19" x14ac:dyDescent="0.35">
      <c r="A34" s="3">
        <f>vals_co2_incLUC!$A34</f>
        <v>1881</v>
      </c>
      <c r="B34" s="4">
        <f t="shared" si="0"/>
        <v>44.62200940115833</v>
      </c>
      <c r="C34" s="4">
        <f t="shared" si="1"/>
        <v>60.022837313440171</v>
      </c>
      <c r="D34" s="4">
        <f t="shared" si="2"/>
        <v>66.130727871820298</v>
      </c>
      <c r="E34" s="4">
        <f t="shared" si="3"/>
        <v>73.349606017246444</v>
      </c>
      <c r="F34" s="4">
        <f t="shared" si="4"/>
        <v>15.400827912281841</v>
      </c>
      <c r="G34" s="4">
        <f t="shared" si="5"/>
        <v>0</v>
      </c>
      <c r="H34" s="4">
        <f t="shared" si="6"/>
        <v>6.1078905583801273</v>
      </c>
      <c r="I34" s="5">
        <f>vals_co2_incLUC!$R34</f>
        <v>44.622010816178246</v>
      </c>
      <c r="J34" s="5">
        <f>vals_co2_incLUC!$X34</f>
        <v>60.022837313440171</v>
      </c>
      <c r="K34" s="5">
        <f>vals_co2_incLUC!$AD34</f>
        <v>44.62200940115833</v>
      </c>
      <c r="L34" s="5">
        <f>vals_co2_incLUC!$AJ34</f>
        <v>52.889627851632767</v>
      </c>
      <c r="M34" s="5">
        <f>vals_co2_incLUC!$S34</f>
        <v>66.347478184731941</v>
      </c>
      <c r="N34" s="5">
        <f>vals_co2_incLUC!$Y34</f>
        <v>73.349606017246444</v>
      </c>
      <c r="O34" s="5">
        <f>vals_co2_incLUC!$AE34</f>
        <v>66.347477940264412</v>
      </c>
      <c r="P34" s="5">
        <f>vals_co2_incLUC!$AK34</f>
        <v>66.130727871820298</v>
      </c>
      <c r="Q34" s="9">
        <f t="shared" si="7"/>
        <v>7.2188781454261459</v>
      </c>
      <c r="R34" s="9">
        <v>48.069000000000003</v>
      </c>
      <c r="S34" s="9">
        <v>67.227999999999994</v>
      </c>
    </row>
    <row r="35" spans="1:19" x14ac:dyDescent="0.35">
      <c r="A35" s="6">
        <f>vals_co2_incLUC!$A35</f>
        <v>1882</v>
      </c>
      <c r="B35" s="7">
        <f t="shared" ref="B35:B66" si="8">IFERROR(_xlfn.AGGREGATE(5,6,I35:L35),"")</f>
        <v>44.826681760053759</v>
      </c>
      <c r="C35" s="7">
        <f t="shared" ref="C35:C66" si="9">IFERROR(_xlfn.AGGREGATE(4,6,I35:L35),"")</f>
        <v>60.106446516371584</v>
      </c>
      <c r="D35" s="7">
        <f t="shared" ref="D35:D66" si="10">IFERROR(_xlfn.AGGREGATE(5,6,M35:P35),"")</f>
        <v>66.308038079849268</v>
      </c>
      <c r="E35" s="7">
        <f t="shared" ref="E35:E66" si="11">IFERROR(_xlfn.AGGREGATE(4,6,M35:P35),"")</f>
        <v>73.34818400406472</v>
      </c>
      <c r="F35" s="7">
        <f t="shared" ref="F35:F66" si="12">IFERROR(MIN(C35,D35)-B35,"")</f>
        <v>15.279764756317824</v>
      </c>
      <c r="G35" s="7">
        <f t="shared" ref="G35:G66" si="13">IFERROR(MAX(0,C35-D35),"")</f>
        <v>0</v>
      </c>
      <c r="H35" s="7">
        <f t="shared" ref="H35:H66" si="14">IFERROR(MAX(0,D35-C35),"")</f>
        <v>6.2015915634776846</v>
      </c>
      <c r="I35" s="8">
        <f>vals_co2_incLUC!$R35</f>
        <v>44.826683123466196</v>
      </c>
      <c r="J35" s="8">
        <f>vals_co2_incLUC!$X35</f>
        <v>60.106446516371584</v>
      </c>
      <c r="K35" s="8">
        <f>vals_co2_incLUC!$AD35</f>
        <v>44.826681760053759</v>
      </c>
      <c r="L35" s="8">
        <f>vals_co2_incLUC!$AJ35</f>
        <v>53.101719350006228</v>
      </c>
      <c r="M35" s="8">
        <f>vals_co2_incLUC!$S35</f>
        <v>66.531369762856571</v>
      </c>
      <c r="N35" s="8">
        <f>vals_co2_incLUC!$Y35</f>
        <v>73.34818400406472</v>
      </c>
      <c r="O35" s="8">
        <f>vals_co2_incLUC!$AE35</f>
        <v>66.531369525169509</v>
      </c>
      <c r="P35" s="8">
        <f>vals_co2_incLUC!$AK35</f>
        <v>66.308038079849268</v>
      </c>
      <c r="Q35" s="9">
        <f t="shared" ref="Q35:Q66" si="15">IFERROR(MAX(0,$E35-MAX($C35,$D35)),"")</f>
        <v>7.0401459242154516</v>
      </c>
      <c r="R35" s="9">
        <v>48.273000000000003</v>
      </c>
      <c r="S35" s="9">
        <v>67.403000000000006</v>
      </c>
    </row>
    <row r="36" spans="1:19" x14ac:dyDescent="0.35">
      <c r="A36" s="3">
        <f>vals_co2_incLUC!$A36</f>
        <v>1883</v>
      </c>
      <c r="B36" s="4">
        <f t="shared" si="8"/>
        <v>45.026694402449763</v>
      </c>
      <c r="C36" s="4">
        <f t="shared" si="9"/>
        <v>60.182768043996674</v>
      </c>
      <c r="D36" s="4">
        <f t="shared" si="10"/>
        <v>66.485728988679568</v>
      </c>
      <c r="E36" s="4">
        <f t="shared" si="11"/>
        <v>73.341765769723381</v>
      </c>
      <c r="F36" s="4">
        <f t="shared" si="12"/>
        <v>15.156073641546911</v>
      </c>
      <c r="G36" s="4">
        <f t="shared" si="13"/>
        <v>0</v>
      </c>
      <c r="H36" s="4">
        <f t="shared" si="14"/>
        <v>6.3029609446828943</v>
      </c>
      <c r="I36" s="5">
        <f>vals_co2_incLUC!$R36</f>
        <v>45.026695716965861</v>
      </c>
      <c r="J36" s="5">
        <f>vals_co2_incLUC!$X36</f>
        <v>60.182768043996674</v>
      </c>
      <c r="K36" s="5">
        <f>vals_co2_incLUC!$AD36</f>
        <v>45.026694402449763</v>
      </c>
      <c r="L36" s="5">
        <f>vals_co2_incLUC!$AJ36</f>
        <v>53.316823349482554</v>
      </c>
      <c r="M36" s="5">
        <f>vals_co2_incLUC!$S36</f>
        <v>66.708235666863402</v>
      </c>
      <c r="N36" s="5">
        <f>vals_co2_incLUC!$Y36</f>
        <v>73.341765769723381</v>
      </c>
      <c r="O36" s="5">
        <f>vals_co2_incLUC!$AE36</f>
        <v>66.708235435736299</v>
      </c>
      <c r="P36" s="5">
        <f>vals_co2_incLUC!$AK36</f>
        <v>66.485728988679568</v>
      </c>
      <c r="Q36" s="9">
        <f t="shared" si="15"/>
        <v>6.8560367810438123</v>
      </c>
      <c r="R36" s="9">
        <v>48.478000000000002</v>
      </c>
      <c r="S36" s="9">
        <v>67.576999999999998</v>
      </c>
    </row>
    <row r="37" spans="1:19" x14ac:dyDescent="0.35">
      <c r="A37" s="6">
        <f>vals_co2_incLUC!$A37</f>
        <v>1884</v>
      </c>
      <c r="B37" s="7">
        <f t="shared" si="8"/>
        <v>45.19574444332433</v>
      </c>
      <c r="C37" s="7">
        <f t="shared" si="9"/>
        <v>60.238205565147837</v>
      </c>
      <c r="D37" s="7">
        <f t="shared" si="10"/>
        <v>66.654989627553789</v>
      </c>
      <c r="E37" s="7">
        <f t="shared" si="11"/>
        <v>73.319465390582067</v>
      </c>
      <c r="F37" s="7">
        <f t="shared" si="12"/>
        <v>15.042461121823507</v>
      </c>
      <c r="G37" s="7">
        <f t="shared" si="13"/>
        <v>0</v>
      </c>
      <c r="H37" s="7">
        <f t="shared" si="14"/>
        <v>6.4167840624059522</v>
      </c>
      <c r="I37" s="8">
        <f>vals_co2_incLUC!$R37</f>
        <v>45.195746378300946</v>
      </c>
      <c r="J37" s="8">
        <f>vals_co2_incLUC!$X37</f>
        <v>60.238205565147837</v>
      </c>
      <c r="K37" s="8">
        <f>vals_co2_incLUC!$AD37</f>
        <v>45.19574444332433</v>
      </c>
      <c r="L37" s="8">
        <f>vals_co2_incLUC!$AJ37</f>
        <v>53.504949040131436</v>
      </c>
      <c r="M37" s="8">
        <f>vals_co2_incLUC!$S37</f>
        <v>66.871365961277945</v>
      </c>
      <c r="N37" s="8">
        <f>vals_co2_incLUC!$Y37</f>
        <v>73.319465390582067</v>
      </c>
      <c r="O37" s="8">
        <f>vals_co2_incLUC!$AE37</f>
        <v>66.871365736438719</v>
      </c>
      <c r="P37" s="8">
        <f>vals_co2_incLUC!$AK37</f>
        <v>66.654989627553789</v>
      </c>
      <c r="Q37" s="9">
        <f t="shared" si="15"/>
        <v>6.6644757630282783</v>
      </c>
      <c r="R37" s="9">
        <v>48.655000000000001</v>
      </c>
      <c r="S37" s="9">
        <v>67.742000000000004</v>
      </c>
    </row>
    <row r="38" spans="1:19" x14ac:dyDescent="0.35">
      <c r="A38" s="3">
        <f>vals_co2_incLUC!$A38</f>
        <v>1885</v>
      </c>
      <c r="B38" s="4">
        <f t="shared" si="8"/>
        <v>45.335556344743033</v>
      </c>
      <c r="C38" s="4">
        <f t="shared" si="9"/>
        <v>60.274793064412854</v>
      </c>
      <c r="D38" s="4">
        <f t="shared" si="10"/>
        <v>66.809437640477086</v>
      </c>
      <c r="E38" s="4">
        <f t="shared" si="11"/>
        <v>73.285284444914183</v>
      </c>
      <c r="F38" s="4">
        <f t="shared" si="12"/>
        <v>14.939236719669822</v>
      </c>
      <c r="G38" s="4">
        <f t="shared" si="13"/>
        <v>0</v>
      </c>
      <c r="H38" s="4">
        <f t="shared" si="14"/>
        <v>6.5346445760642311</v>
      </c>
      <c r="I38" s="5">
        <f>vals_co2_incLUC!$R38</f>
        <v>45.335558213042901</v>
      </c>
      <c r="J38" s="5">
        <f>vals_co2_incLUC!$X38</f>
        <v>60.274793064412854</v>
      </c>
      <c r="K38" s="5">
        <f>vals_co2_incLUC!$AD38</f>
        <v>45.335556344743033</v>
      </c>
      <c r="L38" s="5">
        <f>vals_co2_incLUC!$AJ38</f>
        <v>53.666308540779383</v>
      </c>
      <c r="M38" s="5">
        <f>vals_co2_incLUC!$S38</f>
        <v>67.016909042085501</v>
      </c>
      <c r="N38" s="5">
        <f>vals_co2_incLUC!$Y38</f>
        <v>73.285284444914183</v>
      </c>
      <c r="O38" s="5">
        <f>vals_co2_incLUC!$AE38</f>
        <v>67.016908823331818</v>
      </c>
      <c r="P38" s="5">
        <f>vals_co2_incLUC!$AK38</f>
        <v>66.809437640477086</v>
      </c>
      <c r="Q38" s="9">
        <f t="shared" si="15"/>
        <v>6.4758468044370971</v>
      </c>
      <c r="R38" s="9">
        <v>48.8</v>
      </c>
      <c r="S38" s="9">
        <v>67.887</v>
      </c>
    </row>
    <row r="39" spans="1:19" x14ac:dyDescent="0.35">
      <c r="A39" s="6">
        <f>vals_co2_incLUC!$A39</f>
        <v>1886</v>
      </c>
      <c r="B39" s="7">
        <f t="shared" si="8"/>
        <v>45.468177048469819</v>
      </c>
      <c r="C39" s="7">
        <f t="shared" si="9"/>
        <v>60.302822594866015</v>
      </c>
      <c r="D39" s="7">
        <f t="shared" si="10"/>
        <v>66.941744562250662</v>
      </c>
      <c r="E39" s="7">
        <f t="shared" si="11"/>
        <v>73.247778052103683</v>
      </c>
      <c r="F39" s="7">
        <f t="shared" si="12"/>
        <v>14.834645546396196</v>
      </c>
      <c r="G39" s="7">
        <f t="shared" si="13"/>
        <v>0</v>
      </c>
      <c r="H39" s="7">
        <f t="shared" si="14"/>
        <v>6.6389219673846469</v>
      </c>
      <c r="I39" s="8">
        <f>vals_co2_incLUC!$R39</f>
        <v>45.468178854439721</v>
      </c>
      <c r="J39" s="8">
        <f>vals_co2_incLUC!$X39</f>
        <v>60.302822594866015</v>
      </c>
      <c r="K39" s="8">
        <f>vals_co2_incLUC!$AD39</f>
        <v>45.468177048469819</v>
      </c>
      <c r="L39" s="8">
        <f>vals_co2_incLUC!$AJ39</f>
        <v>53.823239034654712</v>
      </c>
      <c r="M39" s="8">
        <f>vals_co2_incLUC!$S39</f>
        <v>67.146154969366194</v>
      </c>
      <c r="N39" s="8">
        <f>vals_co2_incLUC!$Y39</f>
        <v>73.247778052103683</v>
      </c>
      <c r="O39" s="8">
        <f>vals_co2_incLUC!$AE39</f>
        <v>67.146154756498746</v>
      </c>
      <c r="P39" s="8">
        <f>vals_co2_incLUC!$AK39</f>
        <v>66.941744562250662</v>
      </c>
      <c r="Q39" s="9">
        <f t="shared" si="15"/>
        <v>6.3060334898530215</v>
      </c>
      <c r="R39" s="9">
        <v>48.941000000000003</v>
      </c>
      <c r="S39" s="9">
        <v>68.016000000000005</v>
      </c>
    </row>
    <row r="40" spans="1:19" x14ac:dyDescent="0.35">
      <c r="A40" s="3">
        <f>vals_co2_incLUC!$A40</f>
        <v>1887</v>
      </c>
      <c r="B40" s="4">
        <f t="shared" si="8"/>
        <v>45.608739360196907</v>
      </c>
      <c r="C40" s="4">
        <f t="shared" si="9"/>
        <v>60.334771675732426</v>
      </c>
      <c r="D40" s="4">
        <f t="shared" si="10"/>
        <v>67.065350227039005</v>
      </c>
      <c r="E40" s="4">
        <f t="shared" si="11"/>
        <v>73.216272290027433</v>
      </c>
      <c r="F40" s="4">
        <f t="shared" si="12"/>
        <v>14.72603231553552</v>
      </c>
      <c r="G40" s="4">
        <f t="shared" si="13"/>
        <v>0</v>
      </c>
      <c r="H40" s="4">
        <f t="shared" si="14"/>
        <v>6.7305785513065786</v>
      </c>
      <c r="I40" s="5">
        <f>vals_co2_incLUC!$R40</f>
        <v>45.608741106922388</v>
      </c>
      <c r="J40" s="5">
        <f>vals_co2_incLUC!$X40</f>
        <v>60.334771675732426</v>
      </c>
      <c r="K40" s="5">
        <f>vals_co2_incLUC!$AD40</f>
        <v>45.608739360196907</v>
      </c>
      <c r="L40" s="5">
        <f>vals_co2_incLUC!$AJ40</f>
        <v>53.993801938962662</v>
      </c>
      <c r="M40" s="5">
        <f>vals_co2_incLUC!$S40</f>
        <v>67.264001727043137</v>
      </c>
      <c r="N40" s="5">
        <f>vals_co2_incLUC!$Y40</f>
        <v>73.216272290027433</v>
      </c>
      <c r="O40" s="5">
        <f>vals_co2_incLUC!$AE40</f>
        <v>67.264001519943804</v>
      </c>
      <c r="P40" s="5">
        <f>vals_co2_incLUC!$AK40</f>
        <v>67.065350227039005</v>
      </c>
      <c r="Q40" s="9">
        <f t="shared" si="15"/>
        <v>6.1509220629884283</v>
      </c>
      <c r="R40" s="9">
        <v>49.091999999999999</v>
      </c>
      <c r="S40" s="9">
        <v>68.132000000000005</v>
      </c>
    </row>
    <row r="41" spans="1:19" x14ac:dyDescent="0.35">
      <c r="A41" s="6">
        <f>vals_co2_incLUC!$A41</f>
        <v>1888</v>
      </c>
      <c r="B41" s="7">
        <f t="shared" si="8"/>
        <v>45.767144468930688</v>
      </c>
      <c r="C41" s="7">
        <f t="shared" si="9"/>
        <v>60.393448328806528</v>
      </c>
      <c r="D41" s="7">
        <f t="shared" si="10"/>
        <v>67.206553774170928</v>
      </c>
      <c r="E41" s="7">
        <f t="shared" si="11"/>
        <v>73.209790743758091</v>
      </c>
      <c r="F41" s="7">
        <f t="shared" si="12"/>
        <v>14.62630385987584</v>
      </c>
      <c r="G41" s="7">
        <f t="shared" si="13"/>
        <v>0</v>
      </c>
      <c r="H41" s="7">
        <f t="shared" si="14"/>
        <v>6.8131054453643998</v>
      </c>
      <c r="I41" s="8">
        <f>vals_co2_incLUC!$R41</f>
        <v>45.767146159491681</v>
      </c>
      <c r="J41" s="8">
        <f>vals_co2_incLUC!$X41</f>
        <v>60.393448328806528</v>
      </c>
      <c r="K41" s="8">
        <f>vals_co2_incLUC!$AD41</f>
        <v>45.767144468930688</v>
      </c>
      <c r="L41" s="8">
        <f>vals_co2_incLUC!$AJ41</f>
        <v>54.178874164015468</v>
      </c>
      <c r="M41" s="8">
        <f>vals_co2_incLUC!$S41</f>
        <v>67.400433450607352</v>
      </c>
      <c r="N41" s="8">
        <f>vals_co2_incLUC!$Y41</f>
        <v>73.209790743758091</v>
      </c>
      <c r="O41" s="8">
        <f>vals_co2_incLUC!$AE41</f>
        <v>67.400433248802656</v>
      </c>
      <c r="P41" s="8">
        <f>vals_co2_incLUC!$AK41</f>
        <v>67.206553774170928</v>
      </c>
      <c r="Q41" s="9">
        <f t="shared" si="15"/>
        <v>6.0032369695871637</v>
      </c>
      <c r="R41" s="9">
        <v>49.262</v>
      </c>
      <c r="S41" s="9">
        <v>68.269000000000005</v>
      </c>
    </row>
    <row r="42" spans="1:19" x14ac:dyDescent="0.35">
      <c r="A42" s="3">
        <f>vals_co2_incLUC!$A42</f>
        <v>1889</v>
      </c>
      <c r="B42" s="4">
        <f t="shared" si="8"/>
        <v>45.887833131069279</v>
      </c>
      <c r="C42" s="4">
        <f t="shared" si="9"/>
        <v>60.433028925342271</v>
      </c>
      <c r="D42" s="4">
        <f t="shared" si="10"/>
        <v>67.315740198431754</v>
      </c>
      <c r="E42" s="4">
        <f t="shared" si="11"/>
        <v>73.196344205463092</v>
      </c>
      <c r="F42" s="4">
        <f t="shared" si="12"/>
        <v>14.545195794272992</v>
      </c>
      <c r="G42" s="4">
        <f t="shared" si="13"/>
        <v>0</v>
      </c>
      <c r="H42" s="4">
        <f t="shared" si="14"/>
        <v>6.8827112730894839</v>
      </c>
      <c r="I42" s="5">
        <f>vals_co2_incLUC!$R42</f>
        <v>45.887834768303073</v>
      </c>
      <c r="J42" s="5">
        <f>vals_co2_incLUC!$X42</f>
        <v>60.433028925342271</v>
      </c>
      <c r="K42" s="5">
        <f>vals_co2_incLUC!$AD42</f>
        <v>45.887833131069279</v>
      </c>
      <c r="L42" s="5">
        <f>vals_co2_incLUC!$AJ42</f>
        <v>54.318369203372519</v>
      </c>
      <c r="M42" s="5">
        <f>vals_co2_incLUC!$S42</f>
        <v>67.507633832326533</v>
      </c>
      <c r="N42" s="5">
        <f>vals_co2_incLUC!$Y42</f>
        <v>73.196344205463092</v>
      </c>
      <c r="O42" s="5">
        <f>vals_co2_incLUC!$AE42</f>
        <v>67.507633635846204</v>
      </c>
      <c r="P42" s="5">
        <f>vals_co2_incLUC!$AK42</f>
        <v>67.315740198431754</v>
      </c>
      <c r="Q42" s="9">
        <f t="shared" si="15"/>
        <v>5.8806040070313372</v>
      </c>
      <c r="R42" s="9">
        <v>49.387999999999998</v>
      </c>
      <c r="S42" s="9">
        <v>68.372</v>
      </c>
    </row>
    <row r="43" spans="1:19" x14ac:dyDescent="0.35">
      <c r="A43" s="6">
        <f>vals_co2_incLUC!$A43</f>
        <v>1890</v>
      </c>
      <c r="B43" s="7">
        <f t="shared" si="8"/>
        <v>46.004251688044235</v>
      </c>
      <c r="C43" s="7">
        <f t="shared" si="9"/>
        <v>60.493756857341452</v>
      </c>
      <c r="D43" s="7">
        <f t="shared" si="10"/>
        <v>67.439678511936435</v>
      </c>
      <c r="E43" s="7">
        <f t="shared" si="11"/>
        <v>73.203138009537426</v>
      </c>
      <c r="F43" s="7">
        <f t="shared" si="12"/>
        <v>14.489505169297217</v>
      </c>
      <c r="G43" s="7">
        <f t="shared" si="13"/>
        <v>0</v>
      </c>
      <c r="H43" s="7">
        <f t="shared" si="14"/>
        <v>6.9459216545949829</v>
      </c>
      <c r="I43" s="8">
        <f>vals_co2_incLUC!$R43</f>
        <v>46.004253271708038</v>
      </c>
      <c r="J43" s="8">
        <f>vals_co2_incLUC!$X43</f>
        <v>60.493756857341452</v>
      </c>
      <c r="K43" s="8">
        <f>vals_co2_incLUC!$AD43</f>
        <v>46.004251688044235</v>
      </c>
      <c r="L43" s="8">
        <f>vals_co2_incLUC!$AJ43</f>
        <v>54.435214584694421</v>
      </c>
      <c r="M43" s="8">
        <f>vals_co2_incLUC!$S43</f>
        <v>67.637810993905688</v>
      </c>
      <c r="N43" s="8">
        <f>vals_co2_incLUC!$Y43</f>
        <v>73.203138009537426</v>
      </c>
      <c r="O43" s="8">
        <f>vals_co2_incLUC!$AE43</f>
        <v>67.637810802593705</v>
      </c>
      <c r="P43" s="8">
        <f>vals_co2_incLUC!$AK43</f>
        <v>67.439678511936435</v>
      </c>
      <c r="Q43" s="9">
        <f t="shared" si="15"/>
        <v>5.7634594976009907</v>
      </c>
      <c r="R43" s="9">
        <v>49.502000000000002</v>
      </c>
      <c r="S43" s="9">
        <v>68.491</v>
      </c>
    </row>
    <row r="44" spans="1:19" x14ac:dyDescent="0.35">
      <c r="A44" s="3">
        <f>vals_co2_incLUC!$A44</f>
        <v>1891</v>
      </c>
      <c r="B44" s="4">
        <f t="shared" si="8"/>
        <v>46.119197631033238</v>
      </c>
      <c r="C44" s="4">
        <f t="shared" si="9"/>
        <v>60.560736448425281</v>
      </c>
      <c r="D44" s="4">
        <f t="shared" si="10"/>
        <v>67.566974381515095</v>
      </c>
      <c r="E44" s="4">
        <f t="shared" si="11"/>
        <v>73.222196010436065</v>
      </c>
      <c r="F44" s="4">
        <f t="shared" si="12"/>
        <v>14.441538817392043</v>
      </c>
      <c r="G44" s="4">
        <f t="shared" si="13"/>
        <v>0</v>
      </c>
      <c r="H44" s="4">
        <f t="shared" si="14"/>
        <v>7.0062379330898139</v>
      </c>
      <c r="I44" s="5">
        <f>vals_co2_incLUC!$R44</f>
        <v>46.119199163401305</v>
      </c>
      <c r="J44" s="5">
        <f>vals_co2_incLUC!$X44</f>
        <v>60.560736448425281</v>
      </c>
      <c r="K44" s="5">
        <f>vals_co2_incLUC!$AD44</f>
        <v>46.119197631033238</v>
      </c>
      <c r="L44" s="5">
        <f>vals_co2_incLUC!$AJ44</f>
        <v>54.556167711112813</v>
      </c>
      <c r="M44" s="5">
        <f>vals_co2_incLUC!$S44</f>
        <v>67.764613046756267</v>
      </c>
      <c r="N44" s="5">
        <f>vals_co2_incLUC!$Y44</f>
        <v>73.222196010436065</v>
      </c>
      <c r="O44" s="5">
        <f>vals_co2_incLUC!$AE44</f>
        <v>67.764612860456836</v>
      </c>
      <c r="P44" s="5">
        <f>vals_co2_incLUC!$AK44</f>
        <v>67.566974381515095</v>
      </c>
      <c r="Q44" s="9">
        <f t="shared" si="15"/>
        <v>5.6552216289209696</v>
      </c>
      <c r="R44" s="9">
        <v>49.613</v>
      </c>
      <c r="S44" s="9">
        <v>68.605000000000004</v>
      </c>
    </row>
    <row r="45" spans="1:19" x14ac:dyDescent="0.35">
      <c r="A45" s="6">
        <f>vals_co2_incLUC!$A45</f>
        <v>1892</v>
      </c>
      <c r="B45" s="7">
        <f t="shared" si="8"/>
        <v>46.231757519699222</v>
      </c>
      <c r="C45" s="7">
        <f t="shared" si="9"/>
        <v>60.63907393627197</v>
      </c>
      <c r="D45" s="7">
        <f t="shared" si="10"/>
        <v>67.701143725318275</v>
      </c>
      <c r="E45" s="7">
        <f t="shared" si="11"/>
        <v>73.250378863556946</v>
      </c>
      <c r="F45" s="7">
        <f t="shared" si="12"/>
        <v>14.407316416572748</v>
      </c>
      <c r="G45" s="7">
        <f t="shared" si="13"/>
        <v>0</v>
      </c>
      <c r="H45" s="7">
        <f t="shared" si="14"/>
        <v>7.0620697890463049</v>
      </c>
      <c r="I45" s="8">
        <f>vals_co2_incLUC!$R45</f>
        <v>46.231759004168872</v>
      </c>
      <c r="J45" s="8">
        <f>vals_co2_incLUC!$X45</f>
        <v>60.63907393627197</v>
      </c>
      <c r="K45" s="8">
        <f>vals_co2_incLUC!$AD45</f>
        <v>46.231757519699222</v>
      </c>
      <c r="L45" s="8">
        <f>vals_co2_incLUC!$AJ45</f>
        <v>54.676568720361438</v>
      </c>
      <c r="M45" s="8">
        <f>vals_co2_incLUC!$S45</f>
        <v>67.897713180330584</v>
      </c>
      <c r="N45" s="8">
        <f>vals_co2_incLUC!$Y45</f>
        <v>73.250378863556946</v>
      </c>
      <c r="O45" s="8">
        <f>vals_co2_incLUC!$AE45</f>
        <v>67.897712998642191</v>
      </c>
      <c r="P45" s="8">
        <f>vals_co2_incLUC!$AK45</f>
        <v>67.701143725318275</v>
      </c>
      <c r="Q45" s="9">
        <f t="shared" si="15"/>
        <v>5.5492351382386715</v>
      </c>
      <c r="R45" s="9">
        <v>49.722000000000001</v>
      </c>
      <c r="S45" s="9">
        <v>68.727000000000004</v>
      </c>
    </row>
    <row r="46" spans="1:19" x14ac:dyDescent="0.35">
      <c r="A46" s="3">
        <f>vals_co2_incLUC!$A46</f>
        <v>1893</v>
      </c>
      <c r="B46" s="4">
        <f t="shared" si="8"/>
        <v>46.339460097746603</v>
      </c>
      <c r="C46" s="4">
        <f t="shared" si="9"/>
        <v>60.698695735584906</v>
      </c>
      <c r="D46" s="4">
        <f t="shared" si="10"/>
        <v>67.814600623814897</v>
      </c>
      <c r="E46" s="4">
        <f t="shared" si="11"/>
        <v>73.271746020301634</v>
      </c>
      <c r="F46" s="4">
        <f t="shared" si="12"/>
        <v>14.359235637838303</v>
      </c>
      <c r="G46" s="4">
        <f t="shared" si="13"/>
        <v>0</v>
      </c>
      <c r="H46" s="4">
        <f t="shared" si="14"/>
        <v>7.1159048882299913</v>
      </c>
      <c r="I46" s="5">
        <f>vals_co2_incLUC!$R46</f>
        <v>46.339461537141254</v>
      </c>
      <c r="J46" s="5">
        <f>vals_co2_incLUC!$X46</f>
        <v>60.698695735584906</v>
      </c>
      <c r="K46" s="5">
        <f>vals_co2_incLUC!$AD46</f>
        <v>46.339460097746603</v>
      </c>
      <c r="L46" s="5">
        <f>vals_co2_incLUC!$AJ46</f>
        <v>54.781035869568527</v>
      </c>
      <c r="M46" s="5">
        <f>vals_co2_incLUC!$S46</f>
        <v>68.025178482790409</v>
      </c>
      <c r="N46" s="5">
        <f>vals_co2_incLUC!$Y46</f>
        <v>73.271746020301634</v>
      </c>
      <c r="O46" s="5">
        <f>vals_co2_incLUC!$AE46</f>
        <v>68.025178305494805</v>
      </c>
      <c r="P46" s="5">
        <f>vals_co2_incLUC!$AK46</f>
        <v>67.814600623814897</v>
      </c>
      <c r="Q46" s="9">
        <f t="shared" si="15"/>
        <v>5.4571453964867374</v>
      </c>
      <c r="R46" s="9">
        <v>49.822000000000003</v>
      </c>
      <c r="S46" s="9">
        <v>68.838999999999999</v>
      </c>
    </row>
    <row r="47" spans="1:19" x14ac:dyDescent="0.35">
      <c r="A47" s="6">
        <f>vals_co2_incLUC!$A47</f>
        <v>1894</v>
      </c>
      <c r="B47" s="7">
        <f t="shared" si="8"/>
        <v>46.437107192550187</v>
      </c>
      <c r="C47" s="7">
        <f t="shared" si="9"/>
        <v>60.74219844098954</v>
      </c>
      <c r="D47" s="7">
        <f t="shared" si="10"/>
        <v>67.934276368513068</v>
      </c>
      <c r="E47" s="7">
        <f t="shared" si="11"/>
        <v>73.271236913230524</v>
      </c>
      <c r="F47" s="7">
        <f t="shared" si="12"/>
        <v>14.305091248439354</v>
      </c>
      <c r="G47" s="7">
        <f t="shared" si="13"/>
        <v>0</v>
      </c>
      <c r="H47" s="7">
        <f t="shared" si="14"/>
        <v>7.1920779275235276</v>
      </c>
      <c r="I47" s="8">
        <f>vals_co2_incLUC!$R47</f>
        <v>46.43710858859933</v>
      </c>
      <c r="J47" s="8">
        <f>vals_co2_incLUC!$X47</f>
        <v>60.74219844098954</v>
      </c>
      <c r="K47" s="8">
        <f>vals_co2_incLUC!$AD47</f>
        <v>46.437107192550187</v>
      </c>
      <c r="L47" s="8">
        <f>vals_co2_incLUC!$AJ47</f>
        <v>54.870452108568117</v>
      </c>
      <c r="M47" s="8">
        <f>vals_co2_incLUC!$S47</f>
        <v>68.152951320385498</v>
      </c>
      <c r="N47" s="8">
        <f>vals_co2_incLUC!$Y47</f>
        <v>73.271236913230524</v>
      </c>
      <c r="O47" s="8">
        <f>vals_co2_incLUC!$AE47</f>
        <v>68.152951147325453</v>
      </c>
      <c r="P47" s="8">
        <f>vals_co2_incLUC!$AK47</f>
        <v>67.934276368513068</v>
      </c>
      <c r="Q47" s="9">
        <f t="shared" si="15"/>
        <v>5.3369605447174564</v>
      </c>
      <c r="R47" s="9">
        <v>49.908000000000001</v>
      </c>
      <c r="S47" s="9">
        <v>68.951999999999998</v>
      </c>
    </row>
    <row r="48" spans="1:19" x14ac:dyDescent="0.35">
      <c r="A48" s="3">
        <f>vals_co2_incLUC!$A48</f>
        <v>1895</v>
      </c>
      <c r="B48" s="4">
        <f t="shared" si="8"/>
        <v>46.547072046908227</v>
      </c>
      <c r="C48" s="4">
        <f t="shared" si="9"/>
        <v>60.795915992873496</v>
      </c>
      <c r="D48" s="4">
        <f t="shared" si="10"/>
        <v>68.050343254230924</v>
      </c>
      <c r="E48" s="4">
        <f t="shared" si="11"/>
        <v>73.282295170707201</v>
      </c>
      <c r="F48" s="4">
        <f t="shared" si="12"/>
        <v>14.24884394596527</v>
      </c>
      <c r="G48" s="4">
        <f t="shared" si="13"/>
        <v>0</v>
      </c>
      <c r="H48" s="4">
        <f t="shared" si="14"/>
        <v>7.2544272613574279</v>
      </c>
      <c r="I48" s="5">
        <f>vals_co2_incLUC!$R48</f>
        <v>46.547073401867962</v>
      </c>
      <c r="J48" s="5">
        <f>vals_co2_incLUC!$X48</f>
        <v>60.795915992873496</v>
      </c>
      <c r="K48" s="5">
        <f>vals_co2_incLUC!$AD48</f>
        <v>46.547072046908227</v>
      </c>
      <c r="L48" s="5">
        <f>vals_co2_incLUC!$AJ48</f>
        <v>54.974611980044152</v>
      </c>
      <c r="M48" s="5">
        <f>vals_co2_incLUC!$S48</f>
        <v>68.278566239969862</v>
      </c>
      <c r="N48" s="5">
        <f>vals_co2_incLUC!$Y48</f>
        <v>73.282295170707201</v>
      </c>
      <c r="O48" s="5">
        <f>vals_co2_incLUC!$AE48</f>
        <v>68.278566070968054</v>
      </c>
      <c r="P48" s="5">
        <f>vals_co2_incLUC!$AK48</f>
        <v>68.050343254230924</v>
      </c>
      <c r="Q48" s="9">
        <f t="shared" si="15"/>
        <v>5.2319519164762767</v>
      </c>
      <c r="R48" s="9">
        <v>50.008000000000003</v>
      </c>
      <c r="S48" s="9">
        <v>69.063000000000002</v>
      </c>
    </row>
    <row r="49" spans="1:19" x14ac:dyDescent="0.35">
      <c r="A49" s="6">
        <f>vals_co2_incLUC!$A49</f>
        <v>1896</v>
      </c>
      <c r="B49" s="7">
        <f t="shared" si="8"/>
        <v>46.664332471437405</v>
      </c>
      <c r="C49" s="7">
        <f t="shared" si="9"/>
        <v>60.851357434539665</v>
      </c>
      <c r="D49" s="7">
        <f t="shared" si="10"/>
        <v>68.165828208357155</v>
      </c>
      <c r="E49" s="7">
        <f t="shared" si="11"/>
        <v>73.297646798993426</v>
      </c>
      <c r="F49" s="7">
        <f t="shared" si="12"/>
        <v>14.18702496310226</v>
      </c>
      <c r="G49" s="7">
        <f t="shared" si="13"/>
        <v>0</v>
      </c>
      <c r="H49" s="7">
        <f t="shared" si="14"/>
        <v>7.3144707738174901</v>
      </c>
      <c r="I49" s="8">
        <f>vals_co2_incLUC!$R49</f>
        <v>46.664333129443811</v>
      </c>
      <c r="J49" s="8">
        <f>vals_co2_incLUC!$X49</f>
        <v>60.851357434539665</v>
      </c>
      <c r="K49" s="8">
        <f>vals_co2_incLUC!$AD49</f>
        <v>46.664332471437405</v>
      </c>
      <c r="L49" s="8">
        <f>vals_co2_incLUC!$AJ49</f>
        <v>55.082832181519429</v>
      </c>
      <c r="M49" s="8">
        <f>vals_co2_incLUC!$S49</f>
        <v>68.408184607760077</v>
      </c>
      <c r="N49" s="8">
        <f>vals_co2_incLUC!$Y49</f>
        <v>73.297646798993426</v>
      </c>
      <c r="O49" s="8">
        <f>vals_co2_incLUC!$AE49</f>
        <v>68.408184749496087</v>
      </c>
      <c r="P49" s="8">
        <f>vals_co2_incLUC!$AK49</f>
        <v>68.165828208357155</v>
      </c>
      <c r="Q49" s="9">
        <f t="shared" si="15"/>
        <v>5.1318185906362714</v>
      </c>
      <c r="R49" s="9">
        <v>50.113999999999997</v>
      </c>
      <c r="S49" s="9">
        <v>69.177000000000007</v>
      </c>
    </row>
    <row r="50" spans="1:19" x14ac:dyDescent="0.35">
      <c r="A50" s="3">
        <f>vals_co2_incLUC!$A50</f>
        <v>1897</v>
      </c>
      <c r="B50" s="4">
        <f t="shared" si="8"/>
        <v>46.779001502492278</v>
      </c>
      <c r="C50" s="4">
        <f t="shared" si="9"/>
        <v>60.912359293874296</v>
      </c>
      <c r="D50" s="4">
        <f t="shared" si="10"/>
        <v>68.279973274084526</v>
      </c>
      <c r="E50" s="4">
        <f t="shared" si="11"/>
        <v>73.321722739146509</v>
      </c>
      <c r="F50" s="4">
        <f t="shared" si="12"/>
        <v>14.133357791382018</v>
      </c>
      <c r="G50" s="4">
        <f t="shared" si="13"/>
        <v>0</v>
      </c>
      <c r="H50" s="4">
        <f t="shared" si="14"/>
        <v>7.3676139802102298</v>
      </c>
      <c r="I50" s="5">
        <f>vals_co2_incLUC!$R50</f>
        <v>46.779002141724035</v>
      </c>
      <c r="J50" s="5">
        <f>vals_co2_incLUC!$X50</f>
        <v>60.912359293874296</v>
      </c>
      <c r="K50" s="5">
        <f>vals_co2_incLUC!$AD50</f>
        <v>46.779001502492278</v>
      </c>
      <c r="L50" s="5">
        <f>vals_co2_incLUC!$AJ50</f>
        <v>55.184739896249766</v>
      </c>
      <c r="M50" s="5">
        <f>vals_co2_incLUC!$S50</f>
        <v>68.533981539707852</v>
      </c>
      <c r="N50" s="5">
        <f>vals_co2_incLUC!$Y50</f>
        <v>73.321722739146509</v>
      </c>
      <c r="O50" s="5">
        <f>vals_co2_incLUC!$AE50</f>
        <v>68.533981676744347</v>
      </c>
      <c r="P50" s="5">
        <f>vals_co2_incLUC!$AK50</f>
        <v>68.279973274084526</v>
      </c>
      <c r="Q50" s="9">
        <f t="shared" si="15"/>
        <v>5.041749465061983</v>
      </c>
      <c r="R50" s="9">
        <v>50.216000000000001</v>
      </c>
      <c r="S50" s="9">
        <v>69.287000000000006</v>
      </c>
    </row>
    <row r="51" spans="1:19" x14ac:dyDescent="0.35">
      <c r="A51" s="6">
        <f>vals_co2_incLUC!$A51</f>
        <v>1898</v>
      </c>
      <c r="B51" s="7">
        <f t="shared" si="8"/>
        <v>46.905715093095992</v>
      </c>
      <c r="C51" s="7">
        <f t="shared" si="9"/>
        <v>60.977985917557994</v>
      </c>
      <c r="D51" s="7">
        <f t="shared" si="10"/>
        <v>68.406377094041702</v>
      </c>
      <c r="E51" s="7">
        <f t="shared" si="11"/>
        <v>73.353968731316101</v>
      </c>
      <c r="F51" s="7">
        <f t="shared" si="12"/>
        <v>14.072270824462002</v>
      </c>
      <c r="G51" s="7">
        <f t="shared" si="13"/>
        <v>0</v>
      </c>
      <c r="H51" s="7">
        <f t="shared" si="14"/>
        <v>7.4283911764837072</v>
      </c>
      <c r="I51" s="8">
        <f>vals_co2_incLUC!$R51</f>
        <v>46.905715714410761</v>
      </c>
      <c r="J51" s="8">
        <f>vals_co2_incLUC!$X51</f>
        <v>60.977985917557994</v>
      </c>
      <c r="K51" s="8">
        <f>vals_co2_incLUC!$AD51</f>
        <v>46.905715093095992</v>
      </c>
      <c r="L51" s="8">
        <f>vals_co2_incLUC!$AJ51</f>
        <v>55.293387728232112</v>
      </c>
      <c r="M51" s="8">
        <f>vals_co2_incLUC!$S51</f>
        <v>68.674599471846321</v>
      </c>
      <c r="N51" s="8">
        <f>vals_co2_incLUC!$Y51</f>
        <v>73.353968731316101</v>
      </c>
      <c r="O51" s="8">
        <f>vals_co2_incLUC!$AE51</f>
        <v>68.674599604332201</v>
      </c>
      <c r="P51" s="8">
        <f>vals_co2_incLUC!$AK51</f>
        <v>68.406377094041702</v>
      </c>
      <c r="Q51" s="9">
        <f t="shared" si="15"/>
        <v>4.9475916372743995</v>
      </c>
      <c r="R51" s="9">
        <v>50.33</v>
      </c>
      <c r="S51" s="9">
        <v>69.412999999999997</v>
      </c>
    </row>
    <row r="52" spans="1:19" x14ac:dyDescent="0.35">
      <c r="A52" s="3">
        <f>vals_co2_incLUC!$A52</f>
        <v>1899</v>
      </c>
      <c r="B52" s="4">
        <f t="shared" si="8"/>
        <v>47.056465176406256</v>
      </c>
      <c r="C52" s="4">
        <f t="shared" si="9"/>
        <v>61.069251690713898</v>
      </c>
      <c r="D52" s="4">
        <f t="shared" si="10"/>
        <v>68.545574996891546</v>
      </c>
      <c r="E52" s="4">
        <f t="shared" si="11"/>
        <v>73.408140469719001</v>
      </c>
      <c r="F52" s="4">
        <f t="shared" si="12"/>
        <v>14.012786514307642</v>
      </c>
      <c r="G52" s="4">
        <f t="shared" si="13"/>
        <v>0</v>
      </c>
      <c r="H52" s="4">
        <f t="shared" si="14"/>
        <v>7.4763233061776475</v>
      </c>
      <c r="I52" s="5">
        <f>vals_co2_incLUC!$R52</f>
        <v>47.056465973723654</v>
      </c>
      <c r="J52" s="5">
        <f>vals_co2_incLUC!$X52</f>
        <v>61.069251690713898</v>
      </c>
      <c r="K52" s="5">
        <f>vals_co2_incLUC!$AD52</f>
        <v>47.056465176406256</v>
      </c>
      <c r="L52" s="5">
        <f>vals_co2_incLUC!$AJ52</f>
        <v>55.426402560240447</v>
      </c>
      <c r="M52" s="5">
        <f>vals_co2_incLUC!$S52</f>
        <v>68.825511293778405</v>
      </c>
      <c r="N52" s="5">
        <f>vals_co2_incLUC!$Y52</f>
        <v>73.408140469719001</v>
      </c>
      <c r="O52" s="5">
        <f>vals_co2_incLUC!$AE52</f>
        <v>68.825511549876367</v>
      </c>
      <c r="P52" s="5">
        <f>vals_co2_incLUC!$AK52</f>
        <v>68.545574996891546</v>
      </c>
      <c r="Q52" s="9">
        <f t="shared" si="15"/>
        <v>4.8625654728274554</v>
      </c>
      <c r="R52" s="9">
        <v>50.469000000000001</v>
      </c>
      <c r="S52" s="9">
        <v>69.55</v>
      </c>
    </row>
    <row r="53" spans="1:19" x14ac:dyDescent="0.35">
      <c r="A53" s="6">
        <f>vals_co2_incLUC!$A53</f>
        <v>1900</v>
      </c>
      <c r="B53" s="7">
        <f t="shared" si="8"/>
        <v>47.192873760258593</v>
      </c>
      <c r="C53" s="7">
        <f t="shared" si="9"/>
        <v>61.171912824788663</v>
      </c>
      <c r="D53" s="7">
        <f t="shared" si="10"/>
        <v>68.688804341234217</v>
      </c>
      <c r="E53" s="7">
        <f t="shared" si="11"/>
        <v>73.474380270004374</v>
      </c>
      <c r="F53" s="7">
        <f t="shared" si="12"/>
        <v>13.97903906453007</v>
      </c>
      <c r="G53" s="7">
        <f t="shared" si="13"/>
        <v>0</v>
      </c>
      <c r="H53" s="7">
        <f t="shared" si="14"/>
        <v>7.5168915164455541</v>
      </c>
      <c r="I53" s="8">
        <f>vals_co2_incLUC!$R53</f>
        <v>47.19287453570707</v>
      </c>
      <c r="J53" s="8">
        <f>vals_co2_incLUC!$X53</f>
        <v>61.171912824788663</v>
      </c>
      <c r="K53" s="8">
        <f>vals_co2_incLUC!$AD53</f>
        <v>47.192873760258593</v>
      </c>
      <c r="L53" s="8">
        <f>vals_co2_incLUC!$AJ53</f>
        <v>55.578136677211845</v>
      </c>
      <c r="M53" s="8">
        <f>vals_co2_incLUC!$S53</f>
        <v>68.979364529067311</v>
      </c>
      <c r="N53" s="8">
        <f>vals_co2_incLUC!$Y53</f>
        <v>73.474380270004374</v>
      </c>
      <c r="O53" s="8">
        <f>vals_co2_incLUC!$AE53</f>
        <v>68.979364776563912</v>
      </c>
      <c r="P53" s="8">
        <f>vals_co2_incLUC!$AK53</f>
        <v>68.688804341234217</v>
      </c>
      <c r="Q53" s="9">
        <f t="shared" si="15"/>
        <v>4.7855759287701574</v>
      </c>
      <c r="R53" s="9">
        <v>50.604999999999997</v>
      </c>
      <c r="S53" s="9">
        <v>69.694000000000003</v>
      </c>
    </row>
    <row r="54" spans="1:19" x14ac:dyDescent="0.35">
      <c r="A54" s="3">
        <f>vals_co2_incLUC!$A54</f>
        <v>1901</v>
      </c>
      <c r="B54" s="4">
        <f t="shared" si="8"/>
        <v>47.289011977423726</v>
      </c>
      <c r="C54" s="4">
        <f t="shared" si="9"/>
        <v>61.182925897139796</v>
      </c>
      <c r="D54" s="4">
        <f t="shared" si="10"/>
        <v>68.807456856011655</v>
      </c>
      <c r="E54" s="4">
        <f t="shared" si="11"/>
        <v>73.437322363885656</v>
      </c>
      <c r="F54" s="4">
        <f t="shared" si="12"/>
        <v>13.89391391971607</v>
      </c>
      <c r="G54" s="4">
        <f t="shared" si="13"/>
        <v>0</v>
      </c>
      <c r="H54" s="4">
        <f t="shared" si="14"/>
        <v>7.6245309588718584</v>
      </c>
      <c r="I54" s="5">
        <f>vals_co2_incLUC!$R54</f>
        <v>47.289012548010277</v>
      </c>
      <c r="J54" s="5">
        <f>vals_co2_incLUC!$X54</f>
        <v>61.182925897139796</v>
      </c>
      <c r="K54" s="5">
        <f>vals_co2_incLUC!$AD54</f>
        <v>47.289011977423726</v>
      </c>
      <c r="L54" s="5">
        <f>vals_co2_incLUC!$AJ54</f>
        <v>55.692875337053025</v>
      </c>
      <c r="M54" s="5">
        <f>vals_co2_incLUC!$S54</f>
        <v>69.107887622634166</v>
      </c>
      <c r="N54" s="5">
        <f>vals_co2_incLUC!$Y54</f>
        <v>73.437322363885656</v>
      </c>
      <c r="O54" s="5">
        <f>vals_co2_incLUC!$AE54</f>
        <v>69.107887742307895</v>
      </c>
      <c r="P54" s="5">
        <f>vals_co2_incLUC!$AK54</f>
        <v>68.807456856011655</v>
      </c>
      <c r="Q54" s="9">
        <f t="shared" si="15"/>
        <v>4.6298655078740012</v>
      </c>
      <c r="R54" s="9">
        <v>50.698</v>
      </c>
      <c r="S54" s="9">
        <v>69.81</v>
      </c>
    </row>
    <row r="55" spans="1:19" x14ac:dyDescent="0.35">
      <c r="A55" s="6">
        <f>vals_co2_incLUC!$A55</f>
        <v>1902</v>
      </c>
      <c r="B55" s="7">
        <f t="shared" si="8"/>
        <v>47.380935946291878</v>
      </c>
      <c r="C55" s="7">
        <f t="shared" si="9"/>
        <v>61.130225802838254</v>
      </c>
      <c r="D55" s="7">
        <f t="shared" si="10"/>
        <v>68.921096862063109</v>
      </c>
      <c r="E55" s="7">
        <f t="shared" si="11"/>
        <v>73.333523192088322</v>
      </c>
      <c r="F55" s="7">
        <f t="shared" si="12"/>
        <v>13.749289856546376</v>
      </c>
      <c r="G55" s="7">
        <f t="shared" si="13"/>
        <v>0</v>
      </c>
      <c r="H55" s="7">
        <f t="shared" si="14"/>
        <v>7.7908710592248553</v>
      </c>
      <c r="I55" s="8">
        <f>vals_co2_incLUC!$R55</f>
        <v>47.380936322617124</v>
      </c>
      <c r="J55" s="8">
        <f>vals_co2_incLUC!$X55</f>
        <v>61.130225802838254</v>
      </c>
      <c r="K55" s="8">
        <f>vals_co2_incLUC!$AD55</f>
        <v>47.380935946291878</v>
      </c>
      <c r="L55" s="8">
        <f>vals_co2_incLUC!$AJ55</f>
        <v>55.810578540293896</v>
      </c>
      <c r="M55" s="8">
        <f>vals_co2_incLUC!$S55</f>
        <v>69.228905233998304</v>
      </c>
      <c r="N55" s="8">
        <f>vals_co2_incLUC!$Y55</f>
        <v>73.333523192088322</v>
      </c>
      <c r="O55" s="8">
        <f>vals_co2_incLUC!$AE55</f>
        <v>69.228905233998304</v>
      </c>
      <c r="P55" s="8">
        <f>vals_co2_incLUC!$AK55</f>
        <v>68.921096862063109</v>
      </c>
      <c r="Q55" s="9">
        <f t="shared" si="15"/>
        <v>4.4124263300252125</v>
      </c>
      <c r="R55" s="9">
        <v>50.79</v>
      </c>
      <c r="S55" s="9">
        <v>69.921999999999997</v>
      </c>
    </row>
    <row r="56" spans="1:19" x14ac:dyDescent="0.35">
      <c r="A56" s="3">
        <f>vals_co2_incLUC!$A56</f>
        <v>1903</v>
      </c>
      <c r="B56" s="4">
        <f t="shared" si="8"/>
        <v>47.487775255270151</v>
      </c>
      <c r="C56" s="4">
        <f t="shared" si="9"/>
        <v>61.070623160208157</v>
      </c>
      <c r="D56" s="4">
        <f t="shared" si="10"/>
        <v>69.044976616778172</v>
      </c>
      <c r="E56" s="4">
        <f t="shared" si="11"/>
        <v>73.207618536372649</v>
      </c>
      <c r="F56" s="4">
        <f t="shared" si="12"/>
        <v>13.582847904938006</v>
      </c>
      <c r="G56" s="4">
        <f t="shared" si="13"/>
        <v>0</v>
      </c>
      <c r="H56" s="4">
        <f t="shared" si="14"/>
        <v>7.9743534565700145</v>
      </c>
      <c r="I56" s="5">
        <f>vals_co2_incLUC!$R56</f>
        <v>47.487775620815064</v>
      </c>
      <c r="J56" s="5">
        <f>vals_co2_incLUC!$X56</f>
        <v>61.070623160208157</v>
      </c>
      <c r="K56" s="5">
        <f>vals_co2_incLUC!$AD56</f>
        <v>47.487775255270151</v>
      </c>
      <c r="L56" s="5">
        <f>vals_co2_incLUC!$AJ56</f>
        <v>55.944320989937069</v>
      </c>
      <c r="M56" s="5">
        <f>vals_co2_incLUC!$S56</f>
        <v>69.365784592303314</v>
      </c>
      <c r="N56" s="5">
        <f>vals_co2_incLUC!$Y56</f>
        <v>73.207618536372649</v>
      </c>
      <c r="O56" s="5">
        <f>vals_co2_incLUC!$AE56</f>
        <v>69.365784592303328</v>
      </c>
      <c r="P56" s="5">
        <f>vals_co2_incLUC!$AK56</f>
        <v>69.044976616778172</v>
      </c>
      <c r="Q56" s="9">
        <f t="shared" si="15"/>
        <v>4.1626419195944777</v>
      </c>
      <c r="R56" s="9">
        <v>50.9</v>
      </c>
      <c r="S56" s="9">
        <v>70.05</v>
      </c>
    </row>
    <row r="57" spans="1:19" x14ac:dyDescent="0.35">
      <c r="A57" s="6">
        <f>vals_co2_incLUC!$A57</f>
        <v>1904</v>
      </c>
      <c r="B57" s="7">
        <f t="shared" si="8"/>
        <v>47.581528974856028</v>
      </c>
      <c r="C57" s="7">
        <f t="shared" si="9"/>
        <v>60.965114144303556</v>
      </c>
      <c r="D57" s="7">
        <f t="shared" si="10"/>
        <v>69.140635737673207</v>
      </c>
      <c r="E57" s="7">
        <f t="shared" si="11"/>
        <v>73.037831469449671</v>
      </c>
      <c r="F57" s="7">
        <f t="shared" si="12"/>
        <v>13.383585169447528</v>
      </c>
      <c r="G57" s="7">
        <f t="shared" si="13"/>
        <v>0</v>
      </c>
      <c r="H57" s="7">
        <f t="shared" si="14"/>
        <v>8.1755215933696519</v>
      </c>
      <c r="I57" s="8">
        <f>vals_co2_incLUC!$R57</f>
        <v>47.581529330040517</v>
      </c>
      <c r="J57" s="8">
        <f>vals_co2_incLUC!$X57</f>
        <v>60.965114144303556</v>
      </c>
      <c r="K57" s="8">
        <f>vals_co2_incLUC!$AD57</f>
        <v>47.581528974856028</v>
      </c>
      <c r="L57" s="8">
        <f>vals_co2_incLUC!$AJ57</f>
        <v>56.050025070424923</v>
      </c>
      <c r="M57" s="8">
        <f>vals_co2_incLUC!$S57</f>
        <v>69.494318738973476</v>
      </c>
      <c r="N57" s="8">
        <f>vals_co2_incLUC!$Y57</f>
        <v>73.037831469449671</v>
      </c>
      <c r="O57" s="8">
        <f>vals_co2_incLUC!$AE57</f>
        <v>69.494318738973476</v>
      </c>
      <c r="P57" s="8">
        <f>vals_co2_incLUC!$AK57</f>
        <v>69.140635737673207</v>
      </c>
      <c r="Q57" s="9">
        <f t="shared" si="15"/>
        <v>3.8971957317764634</v>
      </c>
      <c r="R57" s="9">
        <v>50.994</v>
      </c>
      <c r="S57" s="9">
        <v>70.164000000000001</v>
      </c>
    </row>
    <row r="58" spans="1:19" x14ac:dyDescent="0.35">
      <c r="A58" s="3">
        <f>vals_co2_incLUC!$A58</f>
        <v>1905</v>
      </c>
      <c r="B58" s="4">
        <f t="shared" si="8"/>
        <v>47.687663880889509</v>
      </c>
      <c r="C58" s="4">
        <f t="shared" si="9"/>
        <v>60.853995124503811</v>
      </c>
      <c r="D58" s="4">
        <f t="shared" si="10"/>
        <v>69.263027856239276</v>
      </c>
      <c r="E58" s="4">
        <f t="shared" si="11"/>
        <v>72.850780867111425</v>
      </c>
      <c r="F58" s="4">
        <f t="shared" si="12"/>
        <v>13.166331243614302</v>
      </c>
      <c r="G58" s="4">
        <f t="shared" si="13"/>
        <v>0</v>
      </c>
      <c r="H58" s="4">
        <f t="shared" si="14"/>
        <v>8.4090327317354649</v>
      </c>
      <c r="I58" s="5">
        <f>vals_co2_incLUC!$R58</f>
        <v>47.687664226056789</v>
      </c>
      <c r="J58" s="5">
        <f>vals_co2_incLUC!$X58</f>
        <v>60.853995124503811</v>
      </c>
      <c r="K58" s="5">
        <f>vals_co2_incLUC!$AD58</f>
        <v>47.687663880889509</v>
      </c>
      <c r="L58" s="5">
        <f>vals_co2_incLUC!$AJ58</f>
        <v>56.177010970797994</v>
      </c>
      <c r="M58" s="5">
        <f>vals_co2_incLUC!$S58</f>
        <v>69.638656845493472</v>
      </c>
      <c r="N58" s="5">
        <f>vals_co2_incLUC!$Y58</f>
        <v>72.850780867111425</v>
      </c>
      <c r="O58" s="5">
        <f>vals_co2_incLUC!$AE58</f>
        <v>69.638656845493458</v>
      </c>
      <c r="P58" s="5">
        <f>vals_co2_incLUC!$AK58</f>
        <v>69.263027856239276</v>
      </c>
      <c r="Q58" s="9">
        <f t="shared" si="15"/>
        <v>3.5877530108721487</v>
      </c>
      <c r="R58" s="9">
        <v>51.103000000000002</v>
      </c>
      <c r="S58" s="9">
        <v>70.298000000000002</v>
      </c>
    </row>
    <row r="59" spans="1:19" x14ac:dyDescent="0.35">
      <c r="A59" s="6">
        <f>vals_co2_incLUC!$A59</f>
        <v>1906</v>
      </c>
      <c r="B59" s="7">
        <f t="shared" si="8"/>
        <v>47.784733796533587</v>
      </c>
      <c r="C59" s="7">
        <f t="shared" si="9"/>
        <v>60.709648881385711</v>
      </c>
      <c r="D59" s="7">
        <f t="shared" si="10"/>
        <v>69.371076035591258</v>
      </c>
      <c r="E59" s="7">
        <f t="shared" si="11"/>
        <v>72.629707272205181</v>
      </c>
      <c r="F59" s="7">
        <f t="shared" si="12"/>
        <v>12.924915084852124</v>
      </c>
      <c r="G59" s="7">
        <f t="shared" si="13"/>
        <v>0</v>
      </c>
      <c r="H59" s="7">
        <f t="shared" si="14"/>
        <v>8.6614271542055477</v>
      </c>
      <c r="I59" s="8">
        <f>vals_co2_incLUC!$R59</f>
        <v>47.784734132026948</v>
      </c>
      <c r="J59" s="8">
        <f>vals_co2_incLUC!$X59</f>
        <v>60.709648881385711</v>
      </c>
      <c r="K59" s="8">
        <f>vals_co2_incLUC!$AD59</f>
        <v>47.784733796533587</v>
      </c>
      <c r="L59" s="8">
        <f>vals_co2_incLUC!$AJ59</f>
        <v>56.290544562340209</v>
      </c>
      <c r="M59" s="8">
        <f>vals_co2_incLUC!$S59</f>
        <v>69.773745858791528</v>
      </c>
      <c r="N59" s="8">
        <f>vals_co2_incLUC!$Y59</f>
        <v>72.629707272205181</v>
      </c>
      <c r="O59" s="8">
        <f>vals_co2_incLUC!$AE59</f>
        <v>69.773745858791543</v>
      </c>
      <c r="P59" s="8">
        <f>vals_co2_incLUC!$AK59</f>
        <v>69.371076035591258</v>
      </c>
      <c r="Q59" s="9">
        <f t="shared" si="15"/>
        <v>3.2586312366139225</v>
      </c>
      <c r="R59" s="9">
        <v>51.2</v>
      </c>
      <c r="S59" s="9">
        <v>70.42</v>
      </c>
    </row>
    <row r="60" spans="1:19" x14ac:dyDescent="0.35">
      <c r="A60" s="3">
        <f>vals_co2_incLUC!$A60</f>
        <v>1907</v>
      </c>
      <c r="B60" s="4">
        <f t="shared" si="8"/>
        <v>47.922811190775008</v>
      </c>
      <c r="C60" s="4">
        <f t="shared" si="9"/>
        <v>60.611823495228421</v>
      </c>
      <c r="D60" s="4">
        <f t="shared" si="10"/>
        <v>69.519683567074381</v>
      </c>
      <c r="E60" s="4">
        <f t="shared" si="11"/>
        <v>72.448343010535439</v>
      </c>
      <c r="F60" s="4">
        <f t="shared" si="12"/>
        <v>12.689012304453414</v>
      </c>
      <c r="G60" s="4">
        <f t="shared" si="13"/>
        <v>0</v>
      </c>
      <c r="H60" s="4">
        <f t="shared" si="14"/>
        <v>8.9078600718459597</v>
      </c>
      <c r="I60" s="5">
        <f>vals_co2_incLUC!$R60</f>
        <v>47.922811516731841</v>
      </c>
      <c r="J60" s="5">
        <f>vals_co2_incLUC!$X60</f>
        <v>60.611823495228421</v>
      </c>
      <c r="K60" s="5">
        <f>vals_co2_incLUC!$AD60</f>
        <v>47.922811190775008</v>
      </c>
      <c r="L60" s="5">
        <f>vals_co2_incLUC!$AJ60</f>
        <v>56.44567865705887</v>
      </c>
      <c r="M60" s="5">
        <f>vals_co2_incLUC!$S60</f>
        <v>69.941193767967292</v>
      </c>
      <c r="N60" s="5">
        <f>vals_co2_incLUC!$Y60</f>
        <v>72.448343010535439</v>
      </c>
      <c r="O60" s="5">
        <f>vals_co2_incLUC!$AE60</f>
        <v>69.941193767967306</v>
      </c>
      <c r="P60" s="5">
        <f>vals_co2_incLUC!$AK60</f>
        <v>69.519683567074381</v>
      </c>
      <c r="Q60" s="9">
        <f t="shared" si="15"/>
        <v>2.9286594434610578</v>
      </c>
      <c r="R60" s="9">
        <v>51.341999999999999</v>
      </c>
      <c r="S60" s="9">
        <v>70.578999999999994</v>
      </c>
    </row>
    <row r="61" spans="1:19" x14ac:dyDescent="0.35">
      <c r="A61" s="6">
        <f>vals_co2_incLUC!$A61</f>
        <v>1908</v>
      </c>
      <c r="B61" s="7">
        <f t="shared" si="8"/>
        <v>48.026100913961734</v>
      </c>
      <c r="C61" s="7">
        <f t="shared" si="9"/>
        <v>60.474223208118936</v>
      </c>
      <c r="D61" s="7">
        <f t="shared" si="10"/>
        <v>69.633023366204071</v>
      </c>
      <c r="E61" s="7">
        <f t="shared" si="11"/>
        <v>72.241070648089291</v>
      </c>
      <c r="F61" s="7">
        <f t="shared" si="12"/>
        <v>12.448122294157201</v>
      </c>
      <c r="G61" s="7">
        <f t="shared" si="13"/>
        <v>0</v>
      </c>
      <c r="H61" s="7">
        <f t="shared" si="14"/>
        <v>9.1588001580851355</v>
      </c>
      <c r="I61" s="8">
        <f>vals_co2_incLUC!$R61</f>
        <v>48.026101230979563</v>
      </c>
      <c r="J61" s="8">
        <f>vals_co2_incLUC!$X61</f>
        <v>60.474223208118936</v>
      </c>
      <c r="K61" s="8">
        <f>vals_co2_incLUC!$AD61</f>
        <v>48.026100913961734</v>
      </c>
      <c r="L61" s="8">
        <f>vals_co2_incLUC!$AJ61</f>
        <v>56.552498771907402</v>
      </c>
      <c r="M61" s="8">
        <f>vals_co2_incLUC!$S61</f>
        <v>70.090483099079464</v>
      </c>
      <c r="N61" s="8">
        <f>vals_co2_incLUC!$Y61</f>
        <v>72.241070648089291</v>
      </c>
      <c r="O61" s="8">
        <f>vals_co2_incLUC!$AE61</f>
        <v>70.090483099079464</v>
      </c>
      <c r="P61" s="8">
        <f>vals_co2_incLUC!$AK61</f>
        <v>69.633023366204071</v>
      </c>
      <c r="Q61" s="9">
        <f t="shared" si="15"/>
        <v>2.6080472818852201</v>
      </c>
      <c r="R61" s="9">
        <v>51.442999999999998</v>
      </c>
      <c r="S61" s="9">
        <v>70.713999999999999</v>
      </c>
    </row>
    <row r="62" spans="1:19" x14ac:dyDescent="0.35">
      <c r="A62" s="3">
        <f>vals_co2_incLUC!$A62</f>
        <v>1909</v>
      </c>
      <c r="B62" s="4">
        <f t="shared" si="8"/>
        <v>48.132541871372467</v>
      </c>
      <c r="C62" s="4">
        <f t="shared" si="9"/>
        <v>60.349959271479825</v>
      </c>
      <c r="D62" s="4">
        <f t="shared" si="10"/>
        <v>69.7411729805021</v>
      </c>
      <c r="E62" s="4">
        <f t="shared" si="11"/>
        <v>72.048316366752687</v>
      </c>
      <c r="F62" s="4">
        <f t="shared" si="12"/>
        <v>12.217417400107358</v>
      </c>
      <c r="G62" s="4">
        <f t="shared" si="13"/>
        <v>0</v>
      </c>
      <c r="H62" s="4">
        <f t="shared" si="14"/>
        <v>9.3912137090222743</v>
      </c>
      <c r="I62" s="5">
        <f>vals_co2_incLUC!$R62</f>
        <v>48.132542179741158</v>
      </c>
      <c r="J62" s="5">
        <f>vals_co2_incLUC!$X62</f>
        <v>60.349959271479825</v>
      </c>
      <c r="K62" s="5">
        <f>vals_co2_incLUC!$AD62</f>
        <v>48.132541871372467</v>
      </c>
      <c r="L62" s="5">
        <f>vals_co2_incLUC!$AJ62</f>
        <v>56.652871984660855</v>
      </c>
      <c r="M62" s="5">
        <f>vals_co2_incLUC!$S62</f>
        <v>70.242428702930638</v>
      </c>
      <c r="N62" s="5">
        <f>vals_co2_incLUC!$Y62</f>
        <v>72.048316366752687</v>
      </c>
      <c r="O62" s="5">
        <f>vals_co2_incLUC!$AE62</f>
        <v>70.242428702930653</v>
      </c>
      <c r="P62" s="5">
        <f>vals_co2_incLUC!$AK62</f>
        <v>69.7411729805021</v>
      </c>
      <c r="Q62" s="9">
        <f t="shared" si="15"/>
        <v>2.307143386250587</v>
      </c>
      <c r="R62" s="9">
        <v>51.545000000000002</v>
      </c>
      <c r="S62" s="9">
        <v>70.849999999999994</v>
      </c>
    </row>
    <row r="63" spans="1:19" x14ac:dyDescent="0.35">
      <c r="A63" s="6">
        <f>vals_co2_incLUC!$A63</f>
        <v>1910</v>
      </c>
      <c r="B63" s="7">
        <f t="shared" si="8"/>
        <v>48.278254456710535</v>
      </c>
      <c r="C63" s="7">
        <f t="shared" si="9"/>
        <v>60.250196124774881</v>
      </c>
      <c r="D63" s="7">
        <f t="shared" si="10"/>
        <v>69.81280082402958</v>
      </c>
      <c r="E63" s="7">
        <f t="shared" si="11"/>
        <v>71.873663279072616</v>
      </c>
      <c r="F63" s="7">
        <f t="shared" si="12"/>
        <v>11.971941668064346</v>
      </c>
      <c r="G63" s="7">
        <f t="shared" si="13"/>
        <v>0</v>
      </c>
      <c r="H63" s="7">
        <f t="shared" si="14"/>
        <v>9.5626046992546989</v>
      </c>
      <c r="I63" s="8">
        <f>vals_co2_incLUC!$R63</f>
        <v>48.278254757060083</v>
      </c>
      <c r="J63" s="8">
        <f>vals_co2_incLUC!$X63</f>
        <v>60.250196124774881</v>
      </c>
      <c r="K63" s="8">
        <f>vals_co2_incLUC!$AD63</f>
        <v>48.278254456710535</v>
      </c>
      <c r="L63" s="8">
        <f>vals_co2_incLUC!$AJ63</f>
        <v>56.780342885912447</v>
      </c>
      <c r="M63" s="8">
        <f>vals_co2_incLUC!$S63</f>
        <v>70.315223912317506</v>
      </c>
      <c r="N63" s="8">
        <f>vals_co2_incLUC!$Y63</f>
        <v>71.873663279072616</v>
      </c>
      <c r="O63" s="8">
        <f>vals_co2_incLUC!$AE63</f>
        <v>70.315223912317521</v>
      </c>
      <c r="P63" s="8">
        <f>vals_co2_incLUC!$AK63</f>
        <v>69.81280082402958</v>
      </c>
      <c r="Q63" s="9">
        <f t="shared" si="15"/>
        <v>2.0608624550430363</v>
      </c>
      <c r="R63" s="9">
        <v>51.685000000000002</v>
      </c>
      <c r="S63" s="9">
        <v>70.918999999999997</v>
      </c>
    </row>
    <row r="64" spans="1:19" x14ac:dyDescent="0.35">
      <c r="A64" s="3">
        <f>vals_co2_incLUC!$A64</f>
        <v>1911</v>
      </c>
      <c r="B64" s="4">
        <f t="shared" si="8"/>
        <v>48.423927504450653</v>
      </c>
      <c r="C64" s="4">
        <f t="shared" si="9"/>
        <v>60.208140414607847</v>
      </c>
      <c r="D64" s="4">
        <f t="shared" si="10"/>
        <v>69.858215973479773</v>
      </c>
      <c r="E64" s="4">
        <f t="shared" si="11"/>
        <v>71.774588053984928</v>
      </c>
      <c r="F64" s="4">
        <f t="shared" si="12"/>
        <v>11.784212910157194</v>
      </c>
      <c r="G64" s="4">
        <f t="shared" si="13"/>
        <v>0</v>
      </c>
      <c r="H64" s="4">
        <f t="shared" si="14"/>
        <v>9.6500755588719258</v>
      </c>
      <c r="I64" s="5">
        <f>vals_co2_incLUC!$R64</f>
        <v>48.423927655447052</v>
      </c>
      <c r="J64" s="5">
        <f>vals_co2_incLUC!$X64</f>
        <v>60.208140414607847</v>
      </c>
      <c r="K64" s="5">
        <f>vals_co2_incLUC!$AD64</f>
        <v>48.423927504450653</v>
      </c>
      <c r="L64" s="5">
        <f>vals_co2_incLUC!$AJ64</f>
        <v>56.889964353122856</v>
      </c>
      <c r="M64" s="5">
        <f>vals_co2_incLUC!$S64</f>
        <v>70.356698780535083</v>
      </c>
      <c r="N64" s="5">
        <f>vals_co2_incLUC!$Y64</f>
        <v>71.774588053984928</v>
      </c>
      <c r="O64" s="5">
        <f>vals_co2_incLUC!$AE64</f>
        <v>70.356698986514502</v>
      </c>
      <c r="P64" s="5">
        <f>vals_co2_incLUC!$AK64</f>
        <v>69.858215973479773</v>
      </c>
      <c r="Q64" s="9">
        <f t="shared" si="15"/>
        <v>1.9163720805051554</v>
      </c>
      <c r="R64" s="9">
        <v>51.82</v>
      </c>
      <c r="S64" s="9">
        <v>70.959000000000003</v>
      </c>
    </row>
    <row r="65" spans="1:19" x14ac:dyDescent="0.35">
      <c r="A65" s="6">
        <f>vals_co2_incLUC!$A65</f>
        <v>1912</v>
      </c>
      <c r="B65" s="7">
        <f t="shared" si="8"/>
        <v>48.577721883743827</v>
      </c>
      <c r="C65" s="7">
        <f t="shared" si="9"/>
        <v>60.187991169617185</v>
      </c>
      <c r="D65" s="7">
        <f t="shared" si="10"/>
        <v>69.915140182866892</v>
      </c>
      <c r="E65" s="7">
        <f t="shared" si="11"/>
        <v>71.711740295784438</v>
      </c>
      <c r="F65" s="7">
        <f t="shared" si="12"/>
        <v>11.610269285873358</v>
      </c>
      <c r="G65" s="7">
        <f t="shared" si="13"/>
        <v>0</v>
      </c>
      <c r="H65" s="7">
        <f t="shared" si="14"/>
        <v>9.7271490132497078</v>
      </c>
      <c r="I65" s="8">
        <f>vals_co2_incLUC!$R65</f>
        <v>48.577722030573725</v>
      </c>
      <c r="J65" s="8">
        <f>vals_co2_incLUC!$X65</f>
        <v>60.187991169617185</v>
      </c>
      <c r="K65" s="8">
        <f>vals_co2_incLUC!$AD65</f>
        <v>48.577721883743827</v>
      </c>
      <c r="L65" s="8">
        <f>vals_co2_incLUC!$AJ65</f>
        <v>56.995263929160309</v>
      </c>
      <c r="M65" s="8">
        <f>vals_co2_incLUC!$S65</f>
        <v>70.396474306004393</v>
      </c>
      <c r="N65" s="8">
        <f>vals_co2_incLUC!$Y65</f>
        <v>71.711740295784438</v>
      </c>
      <c r="O65" s="8">
        <f>vals_co2_incLUC!$AE65</f>
        <v>70.396474507012755</v>
      </c>
      <c r="P65" s="8">
        <f>vals_co2_incLUC!$AK65</f>
        <v>69.915140182866892</v>
      </c>
      <c r="Q65" s="9">
        <f t="shared" si="15"/>
        <v>1.7966001129175453</v>
      </c>
      <c r="R65" s="9">
        <v>51.960999999999999</v>
      </c>
      <c r="S65" s="9">
        <v>71.003</v>
      </c>
    </row>
    <row r="66" spans="1:19" x14ac:dyDescent="0.35">
      <c r="A66" s="3">
        <f>vals_co2_incLUC!$A66</f>
        <v>1913</v>
      </c>
      <c r="B66" s="4">
        <f t="shared" si="8"/>
        <v>48.760207742884035</v>
      </c>
      <c r="C66" s="4">
        <f t="shared" si="9"/>
        <v>60.224204439945481</v>
      </c>
      <c r="D66" s="4">
        <f t="shared" si="10"/>
        <v>69.968741788949671</v>
      </c>
      <c r="E66" s="4">
        <f t="shared" si="11"/>
        <v>71.71548887445789</v>
      </c>
      <c r="F66" s="4">
        <f t="shared" si="12"/>
        <v>11.463996697061447</v>
      </c>
      <c r="G66" s="4">
        <f t="shared" si="13"/>
        <v>0</v>
      </c>
      <c r="H66" s="4">
        <f t="shared" si="14"/>
        <v>9.7445373490041902</v>
      </c>
      <c r="I66" s="5">
        <f>vals_co2_incLUC!$R66</f>
        <v>48.76020788559071</v>
      </c>
      <c r="J66" s="5">
        <f>vals_co2_incLUC!$X66</f>
        <v>60.224204439945481</v>
      </c>
      <c r="K66" s="5">
        <f>vals_co2_incLUC!$AD66</f>
        <v>48.760207742884035</v>
      </c>
      <c r="L66" s="5">
        <f>vals_co2_incLUC!$AJ66</f>
        <v>57.118131382194633</v>
      </c>
      <c r="M66" s="5">
        <f>vals_co2_incLUC!$S66</f>
        <v>70.432583009557192</v>
      </c>
      <c r="N66" s="5">
        <f>vals_co2_incLUC!$Y66</f>
        <v>71.71548887445789</v>
      </c>
      <c r="O66" s="5">
        <f>vals_co2_incLUC!$AE66</f>
        <v>70.432583205717236</v>
      </c>
      <c r="P66" s="5">
        <f>vals_co2_incLUC!$AK66</f>
        <v>69.968741788949671</v>
      </c>
      <c r="Q66" s="9">
        <f t="shared" si="15"/>
        <v>1.7467470855082183</v>
      </c>
      <c r="R66" s="9">
        <v>52.128999999999998</v>
      </c>
      <c r="S66" s="9">
        <v>71.045000000000002</v>
      </c>
    </row>
    <row r="67" spans="1:19" x14ac:dyDescent="0.35">
      <c r="A67" s="6">
        <f>vals_co2_incLUC!$A67</f>
        <v>1914</v>
      </c>
      <c r="B67" s="7">
        <f t="shared" ref="B67:B98" si="16">IFERROR(_xlfn.AGGREGATE(5,6,I67:L67),"")</f>
        <v>48.905352187430481</v>
      </c>
      <c r="C67" s="7">
        <f t="shared" ref="C67:C98" si="17">IFERROR(_xlfn.AGGREGATE(4,6,I67:L67),"")</f>
        <v>60.227151676585613</v>
      </c>
      <c r="D67" s="7">
        <f t="shared" ref="D67:D98" si="18">IFERROR(_xlfn.AGGREGATE(5,6,M67:P67),"")</f>
        <v>69.975656967251197</v>
      </c>
      <c r="E67" s="7">
        <f t="shared" ref="E67:E98" si="19">IFERROR(_xlfn.AGGREGATE(4,6,M67:P67),"")</f>
        <v>71.691926943463869</v>
      </c>
      <c r="F67" s="7">
        <f t="shared" ref="F67:F98" si="20">IFERROR(MIN(C67,D67)-B67,"")</f>
        <v>11.321799489155133</v>
      </c>
      <c r="G67" s="7">
        <f t="shared" ref="G67:G98" si="21">IFERROR(MAX(0,C67-D67),"")</f>
        <v>0</v>
      </c>
      <c r="H67" s="7">
        <f t="shared" ref="H67:H98" si="22">IFERROR(MAX(0,D67-C67),"")</f>
        <v>9.7485052906655838</v>
      </c>
      <c r="I67" s="8">
        <f>vals_co2_incLUC!$R67</f>
        <v>48.905352187430481</v>
      </c>
      <c r="J67" s="8">
        <f>vals_co2_incLUC!$X67</f>
        <v>60.227151676585613</v>
      </c>
      <c r="K67" s="8">
        <f>vals_co2_incLUC!$AD67</f>
        <v>48.905352320485115</v>
      </c>
      <c r="L67" s="8">
        <f>vals_co2_incLUC!$AJ67</f>
        <v>57.196600431835918</v>
      </c>
      <c r="M67" s="8">
        <f>vals_co2_incLUC!$S67</f>
        <v>70.425128061333879</v>
      </c>
      <c r="N67" s="8">
        <f>vals_co2_incLUC!$Y67</f>
        <v>71.691926943463869</v>
      </c>
      <c r="O67" s="8">
        <f>vals_co2_incLUC!$AE67</f>
        <v>70.425128252936403</v>
      </c>
      <c r="P67" s="8">
        <f>vals_co2_incLUC!$AK67</f>
        <v>69.975656967251197</v>
      </c>
      <c r="Q67" s="9">
        <f t="shared" ref="Q67:Q98" si="23">IFERROR(MAX(0,$E67-MAX($C67,$D67)),"")</f>
        <v>1.7162699762126721</v>
      </c>
      <c r="R67" s="9">
        <v>52.256</v>
      </c>
      <c r="S67" s="9">
        <v>71.042000000000002</v>
      </c>
    </row>
    <row r="68" spans="1:19" x14ac:dyDescent="0.35">
      <c r="A68" s="3">
        <f>vals_co2_incLUC!$A68</f>
        <v>1915</v>
      </c>
      <c r="B68" s="4">
        <f t="shared" si="16"/>
        <v>49.043331403171671</v>
      </c>
      <c r="C68" s="4">
        <f t="shared" si="17"/>
        <v>60.233100046666124</v>
      </c>
      <c r="D68" s="4">
        <f t="shared" si="18"/>
        <v>69.961911026868293</v>
      </c>
      <c r="E68" s="4">
        <f t="shared" si="19"/>
        <v>71.674202966010697</v>
      </c>
      <c r="F68" s="4">
        <f t="shared" si="20"/>
        <v>11.189768643494453</v>
      </c>
      <c r="G68" s="4">
        <f t="shared" si="21"/>
        <v>0</v>
      </c>
      <c r="H68" s="4">
        <f t="shared" si="22"/>
        <v>9.7288109802021694</v>
      </c>
      <c r="I68" s="5">
        <f>vals_co2_incLUC!$R68</f>
        <v>49.043331403171671</v>
      </c>
      <c r="J68" s="5">
        <f>vals_co2_incLUC!$X68</f>
        <v>60.233100046666124</v>
      </c>
      <c r="K68" s="5">
        <f>vals_co2_incLUC!$AD68</f>
        <v>49.043331664098254</v>
      </c>
      <c r="L68" s="5">
        <f>vals_co2_incLUC!$AJ68</f>
        <v>57.25575040295562</v>
      </c>
      <c r="M68" s="5">
        <f>vals_co2_incLUC!$S68</f>
        <v>70.401082848413395</v>
      </c>
      <c r="N68" s="5">
        <f>vals_co2_incLUC!$Y68</f>
        <v>71.674202966010697</v>
      </c>
      <c r="O68" s="5">
        <f>vals_co2_incLUC!$AE68</f>
        <v>70.401083222970229</v>
      </c>
      <c r="P68" s="5">
        <f>vals_co2_incLUC!$AK68</f>
        <v>69.961911026868293</v>
      </c>
      <c r="Q68" s="9">
        <f t="shared" si="23"/>
        <v>1.7122919391424034</v>
      </c>
      <c r="R68" s="9">
        <v>52.374000000000002</v>
      </c>
      <c r="S68" s="9">
        <v>71.021000000000001</v>
      </c>
    </row>
    <row r="69" spans="1:19" x14ac:dyDescent="0.35">
      <c r="A69" s="6">
        <f>vals_co2_incLUC!$A69</f>
        <v>1916</v>
      </c>
      <c r="B69" s="7">
        <f t="shared" si="16"/>
        <v>49.200891906889403</v>
      </c>
      <c r="C69" s="7">
        <f t="shared" si="17"/>
        <v>60.259923229382061</v>
      </c>
      <c r="D69" s="7">
        <f t="shared" si="18"/>
        <v>69.965587790847877</v>
      </c>
      <c r="E69" s="7">
        <f t="shared" si="19"/>
        <v>71.67770867834794</v>
      </c>
      <c r="F69" s="7">
        <f t="shared" si="20"/>
        <v>11.059031322492658</v>
      </c>
      <c r="G69" s="7">
        <f t="shared" si="21"/>
        <v>0</v>
      </c>
      <c r="H69" s="7">
        <f t="shared" si="22"/>
        <v>9.7056645614658166</v>
      </c>
      <c r="I69" s="8">
        <f>vals_co2_incLUC!$R69</f>
        <v>49.200891906889403</v>
      </c>
      <c r="J69" s="8">
        <f>vals_co2_incLUC!$X69</f>
        <v>60.259923229382061</v>
      </c>
      <c r="K69" s="8">
        <f>vals_co2_incLUC!$AD69</f>
        <v>49.20089216281216</v>
      </c>
      <c r="L69" s="8">
        <f>vals_co2_incLUC!$AJ69</f>
        <v>57.319338607958706</v>
      </c>
      <c r="M69" s="8">
        <f>vals_co2_incLUC!$S69</f>
        <v>70.393988256630209</v>
      </c>
      <c r="N69" s="8">
        <f>vals_co2_incLUC!$Y69</f>
        <v>71.67770867834794</v>
      </c>
      <c r="O69" s="8">
        <f>vals_co2_incLUC!$AE69</f>
        <v>70.393988622790715</v>
      </c>
      <c r="P69" s="8">
        <f>vals_co2_incLUC!$AK69</f>
        <v>69.965587790847877</v>
      </c>
      <c r="Q69" s="9">
        <f t="shared" si="23"/>
        <v>1.7121208875000633</v>
      </c>
      <c r="R69" s="9">
        <v>52.508000000000003</v>
      </c>
      <c r="S69" s="9">
        <v>71.018000000000001</v>
      </c>
    </row>
    <row r="70" spans="1:19" x14ac:dyDescent="0.35">
      <c r="A70" s="3">
        <f>vals_co2_incLUC!$A70</f>
        <v>1917</v>
      </c>
      <c r="B70" s="4">
        <f t="shared" si="16"/>
        <v>49.377195648175423</v>
      </c>
      <c r="C70" s="4">
        <f t="shared" si="17"/>
        <v>60.295478713205576</v>
      </c>
      <c r="D70" s="4">
        <f t="shared" si="18"/>
        <v>69.956428912263007</v>
      </c>
      <c r="E70" s="4">
        <f t="shared" si="19"/>
        <v>71.686814632556988</v>
      </c>
      <c r="F70" s="4">
        <f t="shared" si="20"/>
        <v>10.918283065030153</v>
      </c>
      <c r="G70" s="4">
        <f t="shared" si="21"/>
        <v>0</v>
      </c>
      <c r="H70" s="4">
        <f t="shared" si="22"/>
        <v>9.6609501990574316</v>
      </c>
      <c r="I70" s="5">
        <f>vals_co2_incLUC!$R70</f>
        <v>49.377195648175423</v>
      </c>
      <c r="J70" s="5">
        <f>vals_co2_incLUC!$X70</f>
        <v>60.295478713205576</v>
      </c>
      <c r="K70" s="5">
        <f>vals_co2_incLUC!$AD70</f>
        <v>49.377195899377988</v>
      </c>
      <c r="L70" s="5">
        <f>vals_co2_incLUC!$AJ70</f>
        <v>57.390196838164123</v>
      </c>
      <c r="M70" s="5">
        <f>vals_co2_incLUC!$S70</f>
        <v>70.384782345941417</v>
      </c>
      <c r="N70" s="5">
        <f>vals_co2_incLUC!$Y70</f>
        <v>71.686814632556988</v>
      </c>
      <c r="O70" s="5">
        <f>vals_co2_incLUC!$AE70</f>
        <v>70.384782704018434</v>
      </c>
      <c r="P70" s="5">
        <f>vals_co2_incLUC!$AK70</f>
        <v>69.956428912263007</v>
      </c>
      <c r="Q70" s="9">
        <f t="shared" si="23"/>
        <v>1.730385720293981</v>
      </c>
      <c r="R70" s="9">
        <v>52.658000000000001</v>
      </c>
      <c r="S70" s="9">
        <v>71.010000000000005</v>
      </c>
    </row>
    <row r="71" spans="1:19" x14ac:dyDescent="0.35">
      <c r="A71" s="6">
        <f>vals_co2_incLUC!$A71</f>
        <v>1918</v>
      </c>
      <c r="B71" s="7">
        <f t="shared" si="16"/>
        <v>49.571007347705738</v>
      </c>
      <c r="C71" s="7">
        <f t="shared" si="17"/>
        <v>60.346409497725794</v>
      </c>
      <c r="D71" s="7">
        <f t="shared" si="18"/>
        <v>69.941260177498705</v>
      </c>
      <c r="E71" s="7">
        <f t="shared" si="19"/>
        <v>71.684600055606566</v>
      </c>
      <c r="F71" s="7">
        <f t="shared" si="20"/>
        <v>10.775402150020057</v>
      </c>
      <c r="G71" s="7">
        <f t="shared" si="21"/>
        <v>0</v>
      </c>
      <c r="H71" s="7">
        <f t="shared" si="22"/>
        <v>9.594850679772911</v>
      </c>
      <c r="I71" s="8">
        <f>vals_co2_incLUC!$R71</f>
        <v>49.571007347705738</v>
      </c>
      <c r="J71" s="8">
        <f>vals_co2_incLUC!$X71</f>
        <v>60.346409497725794</v>
      </c>
      <c r="K71" s="8">
        <f>vals_co2_incLUC!$AD71</f>
        <v>49.571007594539566</v>
      </c>
      <c r="L71" s="8">
        <f>vals_co2_incLUC!$AJ71</f>
        <v>57.48795553170585</v>
      </c>
      <c r="M71" s="8">
        <f>vals_co2_incLUC!$S71</f>
        <v>70.36373000983545</v>
      </c>
      <c r="N71" s="8">
        <f>vals_co2_incLUC!$Y71</f>
        <v>71.684600055606566</v>
      </c>
      <c r="O71" s="8">
        <f>vals_co2_incLUC!$AE71</f>
        <v>70.363730360204528</v>
      </c>
      <c r="P71" s="8">
        <f>vals_co2_incLUC!$AK71</f>
        <v>69.941260177498705</v>
      </c>
      <c r="Q71" s="9">
        <f t="shared" si="23"/>
        <v>1.7433398781078608</v>
      </c>
      <c r="R71" s="9">
        <v>52.831000000000003</v>
      </c>
      <c r="S71" s="9">
        <v>70.992000000000004</v>
      </c>
    </row>
    <row r="72" spans="1:19" x14ac:dyDescent="0.35">
      <c r="A72" s="3">
        <f>vals_co2_incLUC!$A72</f>
        <v>1919</v>
      </c>
      <c r="B72" s="4">
        <f t="shared" si="16"/>
        <v>49.719813765551017</v>
      </c>
      <c r="C72" s="4">
        <f t="shared" si="17"/>
        <v>60.352221507367311</v>
      </c>
      <c r="D72" s="4">
        <f t="shared" si="18"/>
        <v>69.865946377665836</v>
      </c>
      <c r="E72" s="4">
        <f t="shared" si="19"/>
        <v>71.619725125813886</v>
      </c>
      <c r="F72" s="4">
        <f t="shared" si="20"/>
        <v>10.632407741816294</v>
      </c>
      <c r="G72" s="4">
        <f t="shared" si="21"/>
        <v>0</v>
      </c>
      <c r="H72" s="4">
        <f t="shared" si="22"/>
        <v>9.5137248702985246</v>
      </c>
      <c r="I72" s="5">
        <f>vals_co2_incLUC!$R72</f>
        <v>49.719813765551017</v>
      </c>
      <c r="J72" s="5">
        <f>vals_co2_incLUC!$X72</f>
        <v>60.352221507367311</v>
      </c>
      <c r="K72" s="5">
        <f>vals_co2_incLUC!$AD72</f>
        <v>49.719814008285347</v>
      </c>
      <c r="L72" s="5">
        <f>vals_co2_incLUC!$AJ72</f>
        <v>57.534092653234005</v>
      </c>
      <c r="M72" s="5">
        <f>vals_co2_incLUC!$S72</f>
        <v>70.296109411114259</v>
      </c>
      <c r="N72" s="5">
        <f>vals_co2_incLUC!$Y72</f>
        <v>71.619725125813886</v>
      </c>
      <c r="O72" s="5">
        <f>vals_co2_incLUC!$AE72</f>
        <v>70.296109754302961</v>
      </c>
      <c r="P72" s="5">
        <f>vals_co2_incLUC!$AK72</f>
        <v>69.865946377665836</v>
      </c>
      <c r="Q72" s="9">
        <f t="shared" si="23"/>
        <v>1.7537787481480507</v>
      </c>
      <c r="R72" s="9">
        <v>52.954999999999998</v>
      </c>
      <c r="S72" s="9">
        <v>70.921999999999997</v>
      </c>
    </row>
    <row r="73" spans="1:19" x14ac:dyDescent="0.35">
      <c r="A73" s="6">
        <f>vals_co2_incLUC!$A73</f>
        <v>1920</v>
      </c>
      <c r="B73" s="7">
        <f t="shared" si="16"/>
        <v>49.830096445821653</v>
      </c>
      <c r="C73" s="7">
        <f t="shared" si="17"/>
        <v>60.383792008138769</v>
      </c>
      <c r="D73" s="7">
        <f t="shared" si="18"/>
        <v>69.816847965538358</v>
      </c>
      <c r="E73" s="7">
        <f t="shared" si="19"/>
        <v>71.591236039634637</v>
      </c>
      <c r="F73" s="7">
        <f t="shared" si="20"/>
        <v>10.553695562317117</v>
      </c>
      <c r="G73" s="7">
        <f t="shared" si="21"/>
        <v>0</v>
      </c>
      <c r="H73" s="7">
        <f t="shared" si="22"/>
        <v>9.4330559573995885</v>
      </c>
      <c r="I73" s="8">
        <f>vals_co2_incLUC!$R73</f>
        <v>49.830096445821653</v>
      </c>
      <c r="J73" s="8">
        <f>vals_co2_incLUC!$X73</f>
        <v>60.383792008138769</v>
      </c>
      <c r="K73" s="8">
        <f>vals_co2_incLUC!$AD73</f>
        <v>49.830096803575159</v>
      </c>
      <c r="L73" s="8">
        <f>vals_co2_incLUC!$AJ73</f>
        <v>57.58206735141075</v>
      </c>
      <c r="M73" s="8">
        <f>vals_co2_incLUC!$S73</f>
        <v>70.206246921771026</v>
      </c>
      <c r="N73" s="8">
        <f>vals_co2_incLUC!$Y73</f>
        <v>71.591236039634637</v>
      </c>
      <c r="O73" s="8">
        <f>vals_co2_incLUC!$AE73</f>
        <v>70.206247328177241</v>
      </c>
      <c r="P73" s="8">
        <f>vals_co2_incLUC!$AK73</f>
        <v>69.816847965538358</v>
      </c>
      <c r="Q73" s="9">
        <f t="shared" si="23"/>
        <v>1.7743880740962794</v>
      </c>
      <c r="R73" s="9">
        <v>53.054000000000002</v>
      </c>
      <c r="S73" s="9">
        <v>70.849999999999994</v>
      </c>
    </row>
    <row r="74" spans="1:19" x14ac:dyDescent="0.35">
      <c r="A74" s="3">
        <f>vals_co2_incLUC!$A74</f>
        <v>1921</v>
      </c>
      <c r="B74" s="4">
        <f t="shared" si="16"/>
        <v>49.855679532468301</v>
      </c>
      <c r="C74" s="4">
        <f t="shared" si="17"/>
        <v>60.301541103951052</v>
      </c>
      <c r="D74" s="4">
        <f t="shared" si="18"/>
        <v>69.712328887642457</v>
      </c>
      <c r="E74" s="4">
        <f t="shared" si="19"/>
        <v>71.465128567249877</v>
      </c>
      <c r="F74" s="4">
        <f t="shared" si="20"/>
        <v>10.445861571482752</v>
      </c>
      <c r="G74" s="4">
        <f t="shared" si="21"/>
        <v>0</v>
      </c>
      <c r="H74" s="4">
        <f t="shared" si="22"/>
        <v>9.4107877836914042</v>
      </c>
      <c r="I74" s="5">
        <f>vals_co2_incLUC!$R74</f>
        <v>49.855679532468301</v>
      </c>
      <c r="J74" s="5">
        <f>vals_co2_incLUC!$X74</f>
        <v>60.301541103951052</v>
      </c>
      <c r="K74" s="5">
        <f>vals_co2_incLUC!$AD74</f>
        <v>49.855679766221812</v>
      </c>
      <c r="L74" s="5">
        <f>vals_co2_incLUC!$AJ74</f>
        <v>57.549864847829156</v>
      </c>
      <c r="M74" s="5">
        <f>vals_co2_incLUC!$S74</f>
        <v>70.064214449469802</v>
      </c>
      <c r="N74" s="5">
        <f>vals_co2_incLUC!$Y74</f>
        <v>71.465128567249877</v>
      </c>
      <c r="O74" s="5">
        <f>vals_co2_incLUC!$AE74</f>
        <v>70.064214916976823</v>
      </c>
      <c r="P74" s="5">
        <f>vals_co2_incLUC!$AK74</f>
        <v>69.712328887642457</v>
      </c>
      <c r="Q74" s="9">
        <f t="shared" si="23"/>
        <v>1.7527996796074206</v>
      </c>
      <c r="R74" s="9">
        <v>53.069000000000003</v>
      </c>
      <c r="S74" s="9">
        <v>70.727999999999994</v>
      </c>
    </row>
    <row r="75" spans="1:19" x14ac:dyDescent="0.35">
      <c r="A75" s="6">
        <f>vals_co2_incLUC!$A75</f>
        <v>1922</v>
      </c>
      <c r="B75" s="7">
        <f t="shared" si="16"/>
        <v>49.88461779044917</v>
      </c>
      <c r="C75" s="7">
        <f t="shared" si="17"/>
        <v>60.217494389713245</v>
      </c>
      <c r="D75" s="7">
        <f t="shared" si="18"/>
        <v>69.62338788901738</v>
      </c>
      <c r="E75" s="7">
        <f t="shared" si="19"/>
        <v>71.336338208714395</v>
      </c>
      <c r="F75" s="7">
        <f t="shared" si="20"/>
        <v>10.332876599264075</v>
      </c>
      <c r="G75" s="7">
        <f t="shared" si="21"/>
        <v>0</v>
      </c>
      <c r="H75" s="7">
        <f t="shared" si="22"/>
        <v>9.4058934993041348</v>
      </c>
      <c r="I75" s="8">
        <f>vals_co2_incLUC!$R75</f>
        <v>49.88461779044917</v>
      </c>
      <c r="J75" s="8">
        <f>vals_co2_incLUC!$X75</f>
        <v>60.217494389713245</v>
      </c>
      <c r="K75" s="8">
        <f>vals_co2_incLUC!$AD75</f>
        <v>49.884618019249338</v>
      </c>
      <c r="L75" s="8">
        <f>vals_co2_incLUC!$AJ75</f>
        <v>57.535613775196595</v>
      </c>
      <c r="M75" s="8">
        <f>vals_co2_incLUC!$S75</f>
        <v>69.92515120482291</v>
      </c>
      <c r="N75" s="8">
        <f>vals_co2_incLUC!$Y75</f>
        <v>71.336338208714395</v>
      </c>
      <c r="O75" s="8">
        <f>vals_co2_incLUC!$AE75</f>
        <v>69.925151662423232</v>
      </c>
      <c r="P75" s="8">
        <f>vals_co2_incLUC!$AK75</f>
        <v>69.62338788901738</v>
      </c>
      <c r="Q75" s="9">
        <f t="shared" si="23"/>
        <v>1.7129503196970148</v>
      </c>
      <c r="R75" s="9">
        <v>53.094999999999999</v>
      </c>
      <c r="S75" s="9">
        <v>70.614999999999995</v>
      </c>
    </row>
    <row r="76" spans="1:19" x14ac:dyDescent="0.35">
      <c r="A76" s="3">
        <f>vals_co2_incLUC!$A76</f>
        <v>1923</v>
      </c>
      <c r="B76" s="4">
        <f t="shared" si="16"/>
        <v>49.934812212870241</v>
      </c>
      <c r="C76" s="4">
        <f t="shared" si="17"/>
        <v>60.181565396773664</v>
      </c>
      <c r="D76" s="4">
        <f t="shared" si="18"/>
        <v>69.557698397905128</v>
      </c>
      <c r="E76" s="4">
        <f t="shared" si="19"/>
        <v>71.238111538095055</v>
      </c>
      <c r="F76" s="4">
        <f t="shared" si="20"/>
        <v>10.246753183903422</v>
      </c>
      <c r="G76" s="4">
        <f t="shared" si="21"/>
        <v>0</v>
      </c>
      <c r="H76" s="4">
        <f t="shared" si="22"/>
        <v>9.3761330011314641</v>
      </c>
      <c r="I76" s="5">
        <f>vals_co2_incLUC!$R76</f>
        <v>49.934812212870241</v>
      </c>
      <c r="J76" s="5">
        <f>vals_co2_incLUC!$X76</f>
        <v>60.181565396773664</v>
      </c>
      <c r="K76" s="5">
        <f>vals_co2_incLUC!$AD76</f>
        <v>49.934812436620284</v>
      </c>
      <c r="L76" s="5">
        <f>vals_co2_incLUC!$AJ76</f>
        <v>57.552608178151587</v>
      </c>
      <c r="M76" s="5">
        <f>vals_co2_incLUC!$S76</f>
        <v>69.800272694926207</v>
      </c>
      <c r="N76" s="5">
        <f>vals_co2_incLUC!$Y76</f>
        <v>71.238111538095055</v>
      </c>
      <c r="O76" s="5">
        <f>vals_co2_incLUC!$AE76</f>
        <v>69.800273142426278</v>
      </c>
      <c r="P76" s="5">
        <f>vals_co2_incLUC!$AK76</f>
        <v>69.557698397905128</v>
      </c>
      <c r="Q76" s="9">
        <f t="shared" si="23"/>
        <v>1.6804131401899269</v>
      </c>
      <c r="R76" s="9">
        <v>53.146999999999998</v>
      </c>
      <c r="S76" s="9">
        <v>70.522000000000006</v>
      </c>
    </row>
    <row r="77" spans="1:19" x14ac:dyDescent="0.35">
      <c r="A77" s="6">
        <f>vals_co2_incLUC!$A77</f>
        <v>1924</v>
      </c>
      <c r="B77" s="7">
        <f t="shared" si="16"/>
        <v>49.976774235027762</v>
      </c>
      <c r="C77" s="7">
        <f t="shared" si="17"/>
        <v>60.126225098933006</v>
      </c>
      <c r="D77" s="7">
        <f t="shared" si="18"/>
        <v>69.479441140563537</v>
      </c>
      <c r="E77" s="7">
        <f t="shared" si="19"/>
        <v>71.12852477377875</v>
      </c>
      <c r="F77" s="7">
        <f t="shared" si="20"/>
        <v>10.149450863905244</v>
      </c>
      <c r="G77" s="7">
        <f t="shared" si="21"/>
        <v>0</v>
      </c>
      <c r="H77" s="7">
        <f t="shared" si="22"/>
        <v>9.3532160416305317</v>
      </c>
      <c r="I77" s="8">
        <f>vals_co2_incLUC!$R77</f>
        <v>49.976774235027762</v>
      </c>
      <c r="J77" s="8">
        <f>vals_co2_incLUC!$X77</f>
        <v>60.126225098933006</v>
      </c>
      <c r="K77" s="8">
        <f>vals_co2_incLUC!$AD77</f>
        <v>49.97677445394978</v>
      </c>
      <c r="L77" s="8">
        <f>vals_co2_incLUC!$AJ77</f>
        <v>57.57022056659833</v>
      </c>
      <c r="M77" s="8">
        <f>vals_co2_incLUC!$S77</f>
        <v>69.66534549638655</v>
      </c>
      <c r="N77" s="8">
        <f>vals_co2_incLUC!$Y77</f>
        <v>71.12852477377875</v>
      </c>
      <c r="O77" s="8">
        <f>vals_co2_incLUC!$AE77</f>
        <v>69.665345934230572</v>
      </c>
      <c r="P77" s="8">
        <f>vals_co2_incLUC!$AK77</f>
        <v>69.479441140563537</v>
      </c>
      <c r="Q77" s="9">
        <f t="shared" si="23"/>
        <v>1.6490836332152128</v>
      </c>
      <c r="R77" s="9">
        <v>53.195999999999998</v>
      </c>
      <c r="S77" s="9">
        <v>70.418999999999997</v>
      </c>
    </row>
    <row r="78" spans="1:19" x14ac:dyDescent="0.35">
      <c r="A78" s="3">
        <f>vals_co2_incLUC!$A78</f>
        <v>1925</v>
      </c>
      <c r="B78" s="4">
        <f t="shared" si="16"/>
        <v>50.006884671252315</v>
      </c>
      <c r="C78" s="4">
        <f t="shared" si="17"/>
        <v>60.068722247401354</v>
      </c>
      <c r="D78" s="4">
        <f t="shared" si="18"/>
        <v>69.405570505193268</v>
      </c>
      <c r="E78" s="4">
        <f t="shared" si="19"/>
        <v>71.017802594699091</v>
      </c>
      <c r="F78" s="4">
        <f t="shared" si="20"/>
        <v>10.061837576149038</v>
      </c>
      <c r="G78" s="4">
        <f t="shared" si="21"/>
        <v>0</v>
      </c>
      <c r="H78" s="4">
        <f t="shared" si="22"/>
        <v>9.3368482577919139</v>
      </c>
      <c r="I78" s="5">
        <f>vals_co2_incLUC!$R78</f>
        <v>50.006884671252315</v>
      </c>
      <c r="J78" s="5">
        <f>vals_co2_incLUC!$X78</f>
        <v>60.068722247401354</v>
      </c>
      <c r="K78" s="5">
        <f>vals_co2_incLUC!$AD78</f>
        <v>50.006884885471123</v>
      </c>
      <c r="L78" s="5">
        <f>vals_co2_incLUC!$AJ78</f>
        <v>57.576442600729727</v>
      </c>
      <c r="M78" s="5">
        <f>vals_co2_incLUC!$S78</f>
        <v>69.536976729879711</v>
      </c>
      <c r="N78" s="5">
        <f>vals_co2_incLUC!$Y78</f>
        <v>71.017802594699091</v>
      </c>
      <c r="O78" s="5">
        <f>vals_co2_incLUC!$AE78</f>
        <v>69.536977158317328</v>
      </c>
      <c r="P78" s="5">
        <f>vals_co2_incLUC!$AK78</f>
        <v>69.405570505193268</v>
      </c>
      <c r="Q78" s="9">
        <f t="shared" si="23"/>
        <v>1.6122320895058238</v>
      </c>
      <c r="R78" s="9">
        <v>53.231999999999999</v>
      </c>
      <c r="S78" s="9">
        <v>70.323999999999998</v>
      </c>
    </row>
    <row r="79" spans="1:19" x14ac:dyDescent="0.35">
      <c r="A79" s="6">
        <f>vals_co2_incLUC!$A79</f>
        <v>1926</v>
      </c>
      <c r="B79" s="7">
        <f t="shared" si="16"/>
        <v>50.014449146726669</v>
      </c>
      <c r="C79" s="7">
        <f t="shared" si="17"/>
        <v>59.986507142719745</v>
      </c>
      <c r="D79" s="7">
        <f t="shared" si="18"/>
        <v>69.328654070599327</v>
      </c>
      <c r="E79" s="7">
        <f t="shared" si="19"/>
        <v>70.902683600903757</v>
      </c>
      <c r="F79" s="7">
        <f t="shared" si="20"/>
        <v>9.972057995993076</v>
      </c>
      <c r="G79" s="7">
        <f t="shared" si="21"/>
        <v>0</v>
      </c>
      <c r="H79" s="7">
        <f t="shared" si="22"/>
        <v>9.3421469278795826</v>
      </c>
      <c r="I79" s="8">
        <f>vals_co2_incLUC!$R79</f>
        <v>50.014449146726669</v>
      </c>
      <c r="J79" s="8">
        <f>vals_co2_incLUC!$X79</f>
        <v>59.986507142719745</v>
      </c>
      <c r="K79" s="8">
        <f>vals_co2_incLUC!$AD79</f>
        <v>50.014449356452232</v>
      </c>
      <c r="L79" s="8">
        <f>vals_co2_incLUC!$AJ79</f>
        <v>57.56551220383956</v>
      </c>
      <c r="M79" s="8">
        <f>vals_co2_incLUC!$S79</f>
        <v>69.403901448512087</v>
      </c>
      <c r="N79" s="8">
        <f>vals_co2_incLUC!$Y79</f>
        <v>70.902683600903757</v>
      </c>
      <c r="O79" s="8">
        <f>vals_co2_incLUC!$AE79</f>
        <v>69.403901867963185</v>
      </c>
      <c r="P79" s="8">
        <f>vals_co2_incLUC!$AK79</f>
        <v>69.328654070599327</v>
      </c>
      <c r="Q79" s="9">
        <f t="shared" si="23"/>
        <v>1.5740295303044292</v>
      </c>
      <c r="R79" s="9">
        <v>53.247</v>
      </c>
      <c r="S79" s="9">
        <v>70.224999999999994</v>
      </c>
    </row>
    <row r="80" spans="1:19" x14ac:dyDescent="0.35">
      <c r="A80" s="3">
        <f>vals_co2_incLUC!$A80</f>
        <v>1927</v>
      </c>
      <c r="B80" s="4">
        <f t="shared" si="16"/>
        <v>50.037980358974096</v>
      </c>
      <c r="C80" s="4">
        <f t="shared" si="17"/>
        <v>59.949839651618255</v>
      </c>
      <c r="D80" s="4">
        <f t="shared" si="18"/>
        <v>69.272872678074918</v>
      </c>
      <c r="E80" s="4">
        <f t="shared" si="19"/>
        <v>70.832341130562554</v>
      </c>
      <c r="F80" s="4">
        <f t="shared" si="20"/>
        <v>9.9118592926441593</v>
      </c>
      <c r="G80" s="4">
        <f t="shared" si="21"/>
        <v>0</v>
      </c>
      <c r="H80" s="4">
        <f t="shared" si="22"/>
        <v>9.3230330264566632</v>
      </c>
      <c r="I80" s="5">
        <f>vals_co2_incLUC!$R80</f>
        <v>50.037980358974096</v>
      </c>
      <c r="J80" s="5">
        <f>vals_co2_incLUC!$X80</f>
        <v>59.949839651618255</v>
      </c>
      <c r="K80" s="5">
        <f>vals_co2_incLUC!$AD80</f>
        <v>50.037980564245046</v>
      </c>
      <c r="L80" s="5">
        <f>vals_co2_incLUC!$AJ80</f>
        <v>57.574065846834301</v>
      </c>
      <c r="M80" s="5">
        <f>vals_co2_incLUC!$S80</f>
        <v>69.288930510446491</v>
      </c>
      <c r="N80" s="5">
        <f>vals_co2_incLUC!$Y80</f>
        <v>70.832341130562554</v>
      </c>
      <c r="O80" s="5">
        <f>vals_co2_incLUC!$AE80</f>
        <v>69.288930920988363</v>
      </c>
      <c r="P80" s="5">
        <f>vals_co2_incLUC!$AK80</f>
        <v>69.272872678074918</v>
      </c>
      <c r="Q80" s="9">
        <f t="shared" si="23"/>
        <v>1.5594684524876357</v>
      </c>
      <c r="R80" s="9">
        <v>53.28</v>
      </c>
      <c r="S80" s="9">
        <v>70.146000000000001</v>
      </c>
    </row>
    <row r="81" spans="1:19" x14ac:dyDescent="0.35">
      <c r="A81" s="6">
        <f>vals_co2_incLUC!$A81</f>
        <v>1928</v>
      </c>
      <c r="B81" s="7">
        <f t="shared" si="16"/>
        <v>50.044396849236108</v>
      </c>
      <c r="C81" s="7">
        <f t="shared" si="17"/>
        <v>59.897601008441924</v>
      </c>
      <c r="D81" s="7">
        <f t="shared" si="18"/>
        <v>69.165962175614098</v>
      </c>
      <c r="E81" s="7">
        <f t="shared" si="19"/>
        <v>70.754434438859576</v>
      </c>
      <c r="F81" s="7">
        <f t="shared" si="20"/>
        <v>9.8532041592058164</v>
      </c>
      <c r="G81" s="7">
        <f t="shared" si="21"/>
        <v>0</v>
      </c>
      <c r="H81" s="7">
        <f t="shared" si="22"/>
        <v>9.2683611671721735</v>
      </c>
      <c r="I81" s="8">
        <f>vals_co2_incLUC!$R81</f>
        <v>50.044396849236108</v>
      </c>
      <c r="J81" s="8">
        <f>vals_co2_incLUC!$X81</f>
        <v>59.897601008441924</v>
      </c>
      <c r="K81" s="8">
        <f>vals_co2_incLUC!$AD81</f>
        <v>50.044397050217313</v>
      </c>
      <c r="L81" s="8">
        <f>vals_co2_incLUC!$AJ81</f>
        <v>57.56702869662481</v>
      </c>
      <c r="M81" s="8">
        <f>vals_co2_incLUC!$S81</f>
        <v>69.165962175614098</v>
      </c>
      <c r="N81" s="8">
        <f>vals_co2_incLUC!$Y81</f>
        <v>70.754434438859576</v>
      </c>
      <c r="O81" s="8">
        <f>vals_co2_incLUC!$AE81</f>
        <v>69.165962577576494</v>
      </c>
      <c r="P81" s="8">
        <f>vals_co2_incLUC!$AK81</f>
        <v>69.206527774052589</v>
      </c>
      <c r="Q81" s="9">
        <f t="shared" si="23"/>
        <v>1.5884722632454782</v>
      </c>
      <c r="R81" s="9">
        <v>53.295999999999999</v>
      </c>
      <c r="S81" s="9">
        <v>70.058000000000007</v>
      </c>
    </row>
    <row r="82" spans="1:19" x14ac:dyDescent="0.35">
      <c r="A82" s="3">
        <f>vals_co2_incLUC!$A82</f>
        <v>1929</v>
      </c>
      <c r="B82" s="4">
        <f t="shared" si="16"/>
        <v>50.060489223187986</v>
      </c>
      <c r="C82" s="4">
        <f t="shared" si="17"/>
        <v>59.877160652468241</v>
      </c>
      <c r="D82" s="4">
        <f t="shared" si="18"/>
        <v>69.063237928168547</v>
      </c>
      <c r="E82" s="4">
        <f t="shared" si="19"/>
        <v>70.70515829133771</v>
      </c>
      <c r="F82" s="4">
        <f t="shared" si="20"/>
        <v>9.8166714292802553</v>
      </c>
      <c r="G82" s="4">
        <f t="shared" si="21"/>
        <v>0</v>
      </c>
      <c r="H82" s="4">
        <f t="shared" si="22"/>
        <v>9.1860772757003062</v>
      </c>
      <c r="I82" s="5">
        <f>vals_co2_incLUC!$R82</f>
        <v>50.060489223187986</v>
      </c>
      <c r="J82" s="5">
        <f>vals_co2_incLUC!$X82</f>
        <v>59.877160652468241</v>
      </c>
      <c r="K82" s="5">
        <f>vals_co2_incLUC!$AD82</f>
        <v>50.060489419918497</v>
      </c>
      <c r="L82" s="5">
        <f>vals_co2_incLUC!$AJ82</f>
        <v>57.569087627602819</v>
      </c>
      <c r="M82" s="5">
        <f>vals_co2_incLUC!$S82</f>
        <v>69.063237928168547</v>
      </c>
      <c r="N82" s="5">
        <f>vals_co2_incLUC!$Y82</f>
        <v>70.70515829133771</v>
      </c>
      <c r="O82" s="5">
        <f>vals_co2_incLUC!$AE82</f>
        <v>69.063238321629569</v>
      </c>
      <c r="P82" s="5">
        <f>vals_co2_incLUC!$AK82</f>
        <v>69.163165213760166</v>
      </c>
      <c r="Q82" s="9">
        <f t="shared" si="23"/>
        <v>1.641920363169163</v>
      </c>
      <c r="R82" s="9">
        <v>53.320999999999998</v>
      </c>
      <c r="S82" s="9">
        <v>69.992999999999995</v>
      </c>
    </row>
    <row r="83" spans="1:19" x14ac:dyDescent="0.35">
      <c r="A83" s="6">
        <f>vals_co2_incLUC!$A83</f>
        <v>1930</v>
      </c>
      <c r="B83" s="7">
        <f t="shared" si="16"/>
        <v>50.003019204546561</v>
      </c>
      <c r="C83" s="7">
        <f t="shared" si="17"/>
        <v>59.839232701780418</v>
      </c>
      <c r="D83" s="7">
        <f t="shared" si="18"/>
        <v>68.947972584581805</v>
      </c>
      <c r="E83" s="7">
        <f t="shared" si="19"/>
        <v>70.646066469209202</v>
      </c>
      <c r="F83" s="7">
        <f t="shared" si="20"/>
        <v>9.8362134972338566</v>
      </c>
      <c r="G83" s="7">
        <f t="shared" si="21"/>
        <v>0</v>
      </c>
      <c r="H83" s="7">
        <f t="shared" si="22"/>
        <v>9.1087398828013875</v>
      </c>
      <c r="I83" s="8">
        <f>vals_co2_incLUC!$R83</f>
        <v>50.003019204546561</v>
      </c>
      <c r="J83" s="8">
        <f>vals_co2_incLUC!$X83</f>
        <v>59.839232701780418</v>
      </c>
      <c r="K83" s="8">
        <f>vals_co2_incLUC!$AD83</f>
        <v>50.003019397306872</v>
      </c>
      <c r="L83" s="8">
        <f>vals_co2_incLUC!$AJ83</f>
        <v>57.523208332393473</v>
      </c>
      <c r="M83" s="8">
        <f>vals_co2_incLUC!$S83</f>
        <v>68.947972584581805</v>
      </c>
      <c r="N83" s="8">
        <f>vals_co2_incLUC!$Y83</f>
        <v>70.646066469209202</v>
      </c>
      <c r="O83" s="8">
        <f>vals_co2_incLUC!$AE83</f>
        <v>68.947972970102413</v>
      </c>
      <c r="P83" s="8">
        <f>vals_co2_incLUC!$AK83</f>
        <v>69.098733599245165</v>
      </c>
      <c r="Q83" s="9">
        <f t="shared" si="23"/>
        <v>1.6980938846273972</v>
      </c>
      <c r="R83" s="9">
        <v>53.28</v>
      </c>
      <c r="S83" s="9">
        <v>69.912999999999997</v>
      </c>
    </row>
    <row r="84" spans="1:19" x14ac:dyDescent="0.35">
      <c r="A84" s="3">
        <f>vals_co2_incLUC!$A84</f>
        <v>1931</v>
      </c>
      <c r="B84" s="4">
        <f t="shared" si="16"/>
        <v>49.886255627195922</v>
      </c>
      <c r="C84" s="4">
        <f t="shared" si="17"/>
        <v>59.7398415442862</v>
      </c>
      <c r="D84" s="4">
        <f t="shared" si="18"/>
        <v>68.809699058279122</v>
      </c>
      <c r="E84" s="4">
        <f t="shared" si="19"/>
        <v>70.545945252685357</v>
      </c>
      <c r="F84" s="4">
        <f t="shared" si="20"/>
        <v>9.8535859170902782</v>
      </c>
      <c r="G84" s="4">
        <f t="shared" si="21"/>
        <v>0</v>
      </c>
      <c r="H84" s="4">
        <f t="shared" si="22"/>
        <v>9.0698575139929218</v>
      </c>
      <c r="I84" s="5">
        <f>vals_co2_incLUC!$R84</f>
        <v>49.886255627195922</v>
      </c>
      <c r="J84" s="5">
        <f>vals_co2_incLUC!$X84</f>
        <v>59.7398415442862</v>
      </c>
      <c r="K84" s="5">
        <f>vals_co2_incLUC!$AD84</f>
        <v>49.886255816266171</v>
      </c>
      <c r="L84" s="5">
        <f>vals_co2_incLUC!$AJ84</f>
        <v>57.42763083808341</v>
      </c>
      <c r="M84" s="5">
        <f>vals_co2_incLUC!$S84</f>
        <v>68.809699058279122</v>
      </c>
      <c r="N84" s="5">
        <f>vals_co2_incLUC!$Y84</f>
        <v>70.545945252685357</v>
      </c>
      <c r="O84" s="5">
        <f>vals_co2_incLUC!$AE84</f>
        <v>68.809699436419621</v>
      </c>
      <c r="P84" s="5">
        <f>vals_co2_incLUC!$AK84</f>
        <v>69.008365160693344</v>
      </c>
      <c r="Q84" s="9">
        <f t="shared" si="23"/>
        <v>1.7362461944062346</v>
      </c>
      <c r="R84" s="9">
        <v>53.182000000000002</v>
      </c>
      <c r="S84" s="9">
        <v>69.808000000000007</v>
      </c>
    </row>
    <row r="85" spans="1:19" x14ac:dyDescent="0.35">
      <c r="A85" s="6">
        <f>vals_co2_incLUC!$A85</f>
        <v>1932</v>
      </c>
      <c r="B85" s="7">
        <f t="shared" si="16"/>
        <v>49.723103052999242</v>
      </c>
      <c r="C85" s="7">
        <f t="shared" si="17"/>
        <v>59.558687952965364</v>
      </c>
      <c r="D85" s="7">
        <f t="shared" si="18"/>
        <v>68.649832103755941</v>
      </c>
      <c r="E85" s="7">
        <f t="shared" si="19"/>
        <v>70.386461598454773</v>
      </c>
      <c r="F85" s="7">
        <f t="shared" si="20"/>
        <v>9.835584899966122</v>
      </c>
      <c r="G85" s="7">
        <f t="shared" si="21"/>
        <v>0</v>
      </c>
      <c r="H85" s="7">
        <f t="shared" si="22"/>
        <v>9.0911441507905764</v>
      </c>
      <c r="I85" s="8">
        <f>vals_co2_incLUC!$R85</f>
        <v>49.723103052999242</v>
      </c>
      <c r="J85" s="8">
        <f>vals_co2_incLUC!$X85</f>
        <v>59.558687952965364</v>
      </c>
      <c r="K85" s="8">
        <f>vals_co2_incLUC!$AD85</f>
        <v>49.723103238626507</v>
      </c>
      <c r="L85" s="8">
        <f>vals_co2_incLUC!$AJ85</f>
        <v>57.285420741762685</v>
      </c>
      <c r="M85" s="8">
        <f>vals_co2_incLUC!$S85</f>
        <v>68.649832103755941</v>
      </c>
      <c r="N85" s="8">
        <f>vals_co2_incLUC!$Y85</f>
        <v>70.386461598454773</v>
      </c>
      <c r="O85" s="8">
        <f>vals_co2_incLUC!$AE85</f>
        <v>68.64983247501047</v>
      </c>
      <c r="P85" s="8">
        <f>vals_co2_incLUC!$AK85</f>
        <v>68.881236544046658</v>
      </c>
      <c r="Q85" s="9">
        <f t="shared" si="23"/>
        <v>1.7366294946988319</v>
      </c>
      <c r="R85" s="9">
        <v>53.036000000000001</v>
      </c>
      <c r="S85" s="9">
        <v>69.677999999999997</v>
      </c>
    </row>
    <row r="86" spans="1:19" x14ac:dyDescent="0.35">
      <c r="A86" s="3">
        <f>vals_co2_incLUC!$A86</f>
        <v>1933</v>
      </c>
      <c r="B86" s="4">
        <f t="shared" si="16"/>
        <v>49.569377461235582</v>
      </c>
      <c r="C86" s="4">
        <f t="shared" si="17"/>
        <v>59.385553196526843</v>
      </c>
      <c r="D86" s="4">
        <f t="shared" si="18"/>
        <v>68.499472057021919</v>
      </c>
      <c r="E86" s="4">
        <f t="shared" si="19"/>
        <v>70.235041312244093</v>
      </c>
      <c r="F86" s="4">
        <f t="shared" si="20"/>
        <v>9.8161757352912602</v>
      </c>
      <c r="G86" s="4">
        <f t="shared" si="21"/>
        <v>0</v>
      </c>
      <c r="H86" s="4">
        <f t="shared" si="22"/>
        <v>9.113918860495076</v>
      </c>
      <c r="I86" s="5">
        <f>vals_co2_incLUC!$R86</f>
        <v>49.569377461235582</v>
      </c>
      <c r="J86" s="5">
        <f>vals_co2_incLUC!$X86</f>
        <v>59.385553196526843</v>
      </c>
      <c r="K86" s="5">
        <f>vals_co2_incLUC!$AD86</f>
        <v>49.569377643506115</v>
      </c>
      <c r="L86" s="5">
        <f>vals_co2_incLUC!$AJ86</f>
        <v>57.159894916684038</v>
      </c>
      <c r="M86" s="5">
        <f>vals_co2_incLUC!$S86</f>
        <v>68.499472057021919</v>
      </c>
      <c r="N86" s="5">
        <f>vals_co2_incLUC!$Y86</f>
        <v>70.235041312244093</v>
      </c>
      <c r="O86" s="5">
        <f>vals_co2_incLUC!$AE86</f>
        <v>68.499472421562999</v>
      </c>
      <c r="P86" s="5">
        <f>vals_co2_incLUC!$AK86</f>
        <v>68.765996156009294</v>
      </c>
      <c r="Q86" s="9">
        <f t="shared" si="23"/>
        <v>1.735569255222174</v>
      </c>
      <c r="R86" s="9">
        <v>52.902000000000001</v>
      </c>
      <c r="S86" s="9">
        <v>69.557000000000002</v>
      </c>
    </row>
    <row r="87" spans="1:19" x14ac:dyDescent="0.35">
      <c r="A87" s="6">
        <f>vals_co2_incLUC!$A87</f>
        <v>1934</v>
      </c>
      <c r="B87" s="7">
        <f t="shared" si="16"/>
        <v>49.422290420838124</v>
      </c>
      <c r="C87" s="7">
        <f t="shared" si="17"/>
        <v>59.224975983845482</v>
      </c>
      <c r="D87" s="7">
        <f t="shared" si="18"/>
        <v>68.359395823418438</v>
      </c>
      <c r="E87" s="7">
        <f t="shared" si="19"/>
        <v>70.10009750539264</v>
      </c>
      <c r="F87" s="7">
        <f t="shared" si="20"/>
        <v>9.8026855630073584</v>
      </c>
      <c r="G87" s="7">
        <f t="shared" si="21"/>
        <v>0</v>
      </c>
      <c r="H87" s="7">
        <f t="shared" si="22"/>
        <v>9.1344198395729563</v>
      </c>
      <c r="I87" s="8">
        <f>vals_co2_incLUC!$R87</f>
        <v>49.422290420838124</v>
      </c>
      <c r="J87" s="8">
        <f>vals_co2_incLUC!$X87</f>
        <v>59.224975983845482</v>
      </c>
      <c r="K87" s="8">
        <f>vals_co2_incLUC!$AD87</f>
        <v>49.422290599759897</v>
      </c>
      <c r="L87" s="8">
        <f>vals_co2_incLUC!$AJ87</f>
        <v>57.043899696579395</v>
      </c>
      <c r="M87" s="8">
        <f>vals_co2_incLUC!$S87</f>
        <v>68.359395823418438</v>
      </c>
      <c r="N87" s="8">
        <f>vals_co2_incLUC!$Y87</f>
        <v>70.10009750539264</v>
      </c>
      <c r="O87" s="8">
        <f>vals_co2_incLUC!$AE87</f>
        <v>68.359396181261999</v>
      </c>
      <c r="P87" s="8">
        <f>vals_co2_incLUC!$AK87</f>
        <v>68.656390459990476</v>
      </c>
      <c r="Q87" s="9">
        <f t="shared" si="23"/>
        <v>1.7407016819742012</v>
      </c>
      <c r="R87" s="9">
        <v>52.776000000000003</v>
      </c>
      <c r="S87" s="9">
        <v>69.444999999999993</v>
      </c>
    </row>
    <row r="88" spans="1:19" x14ac:dyDescent="0.35">
      <c r="A88" s="3">
        <f>vals_co2_incLUC!$A88</f>
        <v>1935</v>
      </c>
      <c r="B88" s="4">
        <f t="shared" si="16"/>
        <v>49.279200419834289</v>
      </c>
      <c r="C88" s="4">
        <f t="shared" si="17"/>
        <v>59.067800376761127</v>
      </c>
      <c r="D88" s="4">
        <f t="shared" si="18"/>
        <v>68.23469478659122</v>
      </c>
      <c r="E88" s="4">
        <f t="shared" si="19"/>
        <v>69.96999571209021</v>
      </c>
      <c r="F88" s="4">
        <f t="shared" si="20"/>
        <v>9.7885999569268378</v>
      </c>
      <c r="G88" s="4">
        <f t="shared" si="21"/>
        <v>0</v>
      </c>
      <c r="H88" s="4">
        <f t="shared" si="22"/>
        <v>9.1668944098300926</v>
      </c>
      <c r="I88" s="5">
        <f>vals_co2_incLUC!$R88</f>
        <v>49.279200419834289</v>
      </c>
      <c r="J88" s="5">
        <f>vals_co2_incLUC!$X88</f>
        <v>59.067800376761127</v>
      </c>
      <c r="K88" s="5">
        <f>vals_co2_incLUC!$AD88</f>
        <v>49.279200595494224</v>
      </c>
      <c r="L88" s="5">
        <f>vals_co2_incLUC!$AJ88</f>
        <v>56.935763511420255</v>
      </c>
      <c r="M88" s="5">
        <f>vals_co2_incLUC!$S88</f>
        <v>68.23469478659122</v>
      </c>
      <c r="N88" s="5">
        <f>vals_co2_incLUC!$Y88</f>
        <v>69.96999571209021</v>
      </c>
      <c r="O88" s="5">
        <f>vals_co2_incLUC!$AE88</f>
        <v>68.234695137911089</v>
      </c>
      <c r="P88" s="5">
        <f>vals_co2_incLUC!$AK88</f>
        <v>68.565113730226074</v>
      </c>
      <c r="Q88" s="9">
        <f t="shared" si="23"/>
        <v>1.73530092549899</v>
      </c>
      <c r="R88" s="9">
        <v>52.654000000000003</v>
      </c>
      <c r="S88" s="9">
        <v>69.349000000000004</v>
      </c>
    </row>
    <row r="89" spans="1:19" x14ac:dyDescent="0.35">
      <c r="A89" s="6">
        <f>vals_co2_incLUC!$A89</f>
        <v>1936</v>
      </c>
      <c r="B89" s="7">
        <f t="shared" si="16"/>
        <v>49.146002797107982</v>
      </c>
      <c r="C89" s="7">
        <f t="shared" si="17"/>
        <v>58.922712479654507</v>
      </c>
      <c r="D89" s="7">
        <f t="shared" si="18"/>
        <v>68.1247698599134</v>
      </c>
      <c r="E89" s="7">
        <f t="shared" si="19"/>
        <v>69.850794006356281</v>
      </c>
      <c r="F89" s="7">
        <f t="shared" si="20"/>
        <v>9.7767096825465245</v>
      </c>
      <c r="G89" s="7">
        <f t="shared" si="21"/>
        <v>0</v>
      </c>
      <c r="H89" s="7">
        <f t="shared" si="22"/>
        <v>9.2020573802588927</v>
      </c>
      <c r="I89" s="8">
        <f>vals_co2_incLUC!$R89</f>
        <v>49.146002797107982</v>
      </c>
      <c r="J89" s="8">
        <f>vals_co2_incLUC!$X89</f>
        <v>58.922712479654507</v>
      </c>
      <c r="K89" s="8">
        <f>vals_co2_incLUC!$AD89</f>
        <v>49.146002797107982</v>
      </c>
      <c r="L89" s="8">
        <f>vals_co2_incLUC!$AJ89</f>
        <v>56.83614361065321</v>
      </c>
      <c r="M89" s="8">
        <f>vals_co2_incLUC!$S89</f>
        <v>68.1247698599134</v>
      </c>
      <c r="N89" s="8">
        <f>vals_co2_incLUC!$Y89</f>
        <v>69.850794006356281</v>
      </c>
      <c r="O89" s="8">
        <f>vals_co2_incLUC!$AE89</f>
        <v>68.12477020464253</v>
      </c>
      <c r="P89" s="8">
        <f>vals_co2_incLUC!$AK89</f>
        <v>68.489192461717863</v>
      </c>
      <c r="Q89" s="9">
        <f t="shared" si="23"/>
        <v>1.7260241464428816</v>
      </c>
      <c r="R89" s="9">
        <v>52.542000000000002</v>
      </c>
      <c r="S89" s="9">
        <v>69.266999999999996</v>
      </c>
    </row>
    <row r="90" spans="1:19" x14ac:dyDescent="0.35">
      <c r="A90" s="3">
        <f>vals_co2_incLUC!$A90</f>
        <v>1937</v>
      </c>
      <c r="B90" s="4">
        <f t="shared" si="16"/>
        <v>49.025663962107622</v>
      </c>
      <c r="C90" s="4">
        <f t="shared" si="17"/>
        <v>58.786507931102719</v>
      </c>
      <c r="D90" s="4">
        <f t="shared" si="18"/>
        <v>68.023772821315092</v>
      </c>
      <c r="E90" s="4">
        <f t="shared" si="19"/>
        <v>69.736103631231316</v>
      </c>
      <c r="F90" s="4">
        <f t="shared" si="20"/>
        <v>9.760843968995097</v>
      </c>
      <c r="G90" s="4">
        <f t="shared" si="21"/>
        <v>0</v>
      </c>
      <c r="H90" s="4">
        <f t="shared" si="22"/>
        <v>9.2372648902123728</v>
      </c>
      <c r="I90" s="5">
        <f>vals_co2_incLUC!$R90</f>
        <v>49.025663962107622</v>
      </c>
      <c r="J90" s="5">
        <f>vals_co2_incLUC!$X90</f>
        <v>58.786507931102719</v>
      </c>
      <c r="K90" s="5">
        <f>vals_co2_incLUC!$AD90</f>
        <v>49.025663962107622</v>
      </c>
      <c r="L90" s="5">
        <f>vals_co2_incLUC!$AJ90</f>
        <v>56.752785177627338</v>
      </c>
      <c r="M90" s="5">
        <f>vals_co2_incLUC!$S90</f>
        <v>68.023772821315092</v>
      </c>
      <c r="N90" s="5">
        <f>vals_co2_incLUC!$Y90</f>
        <v>69.736103631231316</v>
      </c>
      <c r="O90" s="5">
        <f>vals_co2_incLUC!$AE90</f>
        <v>68.023773159539431</v>
      </c>
      <c r="P90" s="5">
        <f>vals_co2_incLUC!$AK90</f>
        <v>68.422968270571644</v>
      </c>
      <c r="Q90" s="9">
        <f t="shared" si="23"/>
        <v>1.7123308099162244</v>
      </c>
      <c r="R90" s="9">
        <v>52.442999999999998</v>
      </c>
      <c r="S90" s="9">
        <v>69.194000000000003</v>
      </c>
    </row>
    <row r="91" spans="1:19" x14ac:dyDescent="0.35">
      <c r="A91" s="6">
        <f>vals_co2_incLUC!$A91</f>
        <v>1938</v>
      </c>
      <c r="B91" s="7">
        <f t="shared" si="16"/>
        <v>48.876064281382099</v>
      </c>
      <c r="C91" s="7">
        <f t="shared" si="17"/>
        <v>58.615039327470178</v>
      </c>
      <c r="D91" s="7">
        <f t="shared" si="18"/>
        <v>67.911621381122828</v>
      </c>
      <c r="E91" s="7">
        <f t="shared" si="19"/>
        <v>69.597879384425681</v>
      </c>
      <c r="F91" s="7">
        <f t="shared" si="20"/>
        <v>9.7389750460880791</v>
      </c>
      <c r="G91" s="7">
        <f t="shared" si="21"/>
        <v>0</v>
      </c>
      <c r="H91" s="7">
        <f t="shared" si="22"/>
        <v>9.2965820536526493</v>
      </c>
      <c r="I91" s="8">
        <f>vals_co2_incLUC!$R91</f>
        <v>48.876064281382099</v>
      </c>
      <c r="J91" s="8">
        <f>vals_co2_incLUC!$X91</f>
        <v>58.615039327470178</v>
      </c>
      <c r="K91" s="8">
        <f>vals_co2_incLUC!$AD91</f>
        <v>48.876064281382099</v>
      </c>
      <c r="L91" s="8">
        <f>vals_co2_incLUC!$AJ91</f>
        <v>56.636426365641491</v>
      </c>
      <c r="M91" s="8">
        <f>vals_co2_incLUC!$S91</f>
        <v>67.911621381122828</v>
      </c>
      <c r="N91" s="8">
        <f>vals_co2_incLUC!$Y91</f>
        <v>69.597879384425681</v>
      </c>
      <c r="O91" s="8">
        <f>vals_co2_incLUC!$AE91</f>
        <v>67.911621713213606</v>
      </c>
      <c r="P91" s="8">
        <f>vals_co2_incLUC!$AK91</f>
        <v>68.335880881851295</v>
      </c>
      <c r="Q91" s="9">
        <f t="shared" si="23"/>
        <v>1.6862580033028536</v>
      </c>
      <c r="R91" s="9">
        <v>52.311999999999998</v>
      </c>
      <c r="S91" s="9">
        <v>69.105999999999995</v>
      </c>
    </row>
    <row r="92" spans="1:19" x14ac:dyDescent="0.35">
      <c r="A92" s="3">
        <f>vals_co2_incLUC!$A92</f>
        <v>1939</v>
      </c>
      <c r="B92" s="4">
        <f t="shared" si="16"/>
        <v>48.743338795216758</v>
      </c>
      <c r="C92" s="4">
        <f t="shared" si="17"/>
        <v>58.463603696010715</v>
      </c>
      <c r="D92" s="4">
        <f t="shared" si="18"/>
        <v>67.80992721306626</v>
      </c>
      <c r="E92" s="4">
        <f t="shared" si="19"/>
        <v>69.469639059694344</v>
      </c>
      <c r="F92" s="4">
        <f t="shared" si="20"/>
        <v>9.720264900793957</v>
      </c>
      <c r="G92" s="4">
        <f t="shared" si="21"/>
        <v>0</v>
      </c>
      <c r="H92" s="4">
        <f t="shared" si="22"/>
        <v>9.346323517055545</v>
      </c>
      <c r="I92" s="5">
        <f>vals_co2_incLUC!$R92</f>
        <v>48.743338795216758</v>
      </c>
      <c r="J92" s="5">
        <f>vals_co2_incLUC!$X92</f>
        <v>58.463603696010715</v>
      </c>
      <c r="K92" s="5">
        <f>vals_co2_incLUC!$AD92</f>
        <v>48.743338795216765</v>
      </c>
      <c r="L92" s="5">
        <f>vals_co2_incLUC!$AJ92</f>
        <v>56.539880859362299</v>
      </c>
      <c r="M92" s="5">
        <f>vals_co2_incLUC!$S92</f>
        <v>67.80992721306626</v>
      </c>
      <c r="N92" s="5">
        <f>vals_co2_incLUC!$Y92</f>
        <v>69.469639059694344</v>
      </c>
      <c r="O92" s="5">
        <f>vals_co2_incLUC!$AE92</f>
        <v>67.809927539131976</v>
      </c>
      <c r="P92" s="5">
        <f>vals_co2_incLUC!$AK92</f>
        <v>68.258510954456455</v>
      </c>
      <c r="Q92" s="9">
        <f t="shared" si="23"/>
        <v>1.6597118466280847</v>
      </c>
      <c r="R92" s="9">
        <v>52.198999999999998</v>
      </c>
      <c r="S92" s="9">
        <v>69.028000000000006</v>
      </c>
    </row>
    <row r="93" spans="1:19" x14ac:dyDescent="0.35">
      <c r="A93" s="6">
        <f>vals_co2_incLUC!$A93</f>
        <v>1940</v>
      </c>
      <c r="B93" s="7">
        <f t="shared" si="16"/>
        <v>48.601982168927414</v>
      </c>
      <c r="C93" s="7">
        <f t="shared" si="17"/>
        <v>58.296481371553668</v>
      </c>
      <c r="D93" s="7">
        <f t="shared" si="18"/>
        <v>67.642147158247866</v>
      </c>
      <c r="E93" s="7">
        <f t="shared" si="19"/>
        <v>69.360303665283425</v>
      </c>
      <c r="F93" s="7">
        <f t="shared" si="20"/>
        <v>9.694499202626254</v>
      </c>
      <c r="G93" s="7">
        <f t="shared" si="21"/>
        <v>0</v>
      </c>
      <c r="H93" s="7">
        <f t="shared" si="22"/>
        <v>9.3456657866941981</v>
      </c>
      <c r="I93" s="8">
        <f>vals_co2_incLUC!$R93</f>
        <v>48.601982328904711</v>
      </c>
      <c r="J93" s="8">
        <f>vals_co2_incLUC!$X93</f>
        <v>58.296481371553668</v>
      </c>
      <c r="K93" s="8">
        <f>vals_co2_incLUC!$AD93</f>
        <v>48.601982168927414</v>
      </c>
      <c r="L93" s="8">
        <f>vals_co2_incLUC!$AJ93</f>
        <v>56.431991538157902</v>
      </c>
      <c r="M93" s="8">
        <f>vals_co2_incLUC!$S93</f>
        <v>67.642147158247866</v>
      </c>
      <c r="N93" s="8">
        <f>vals_co2_incLUC!$Y93</f>
        <v>69.360303665283425</v>
      </c>
      <c r="O93" s="8">
        <f>vals_co2_incLUC!$AE93</f>
        <v>67.64214747820246</v>
      </c>
      <c r="P93" s="8">
        <f>vals_co2_incLUC!$AK93</f>
        <v>68.175371995810352</v>
      </c>
      <c r="Q93" s="9">
        <f t="shared" si="23"/>
        <v>1.7181565070355589</v>
      </c>
      <c r="R93" s="9">
        <v>52.076999999999998</v>
      </c>
      <c r="S93" s="9">
        <v>68.902000000000001</v>
      </c>
    </row>
    <row r="94" spans="1:19" x14ac:dyDescent="0.35">
      <c r="A94" s="3">
        <f>vals_co2_incLUC!$A94</f>
        <v>1941</v>
      </c>
      <c r="B94" s="4">
        <f t="shared" si="16"/>
        <v>48.472984067043498</v>
      </c>
      <c r="C94" s="4">
        <f t="shared" si="17"/>
        <v>58.162854532590316</v>
      </c>
      <c r="D94" s="4">
        <f t="shared" si="18"/>
        <v>67.440469794779659</v>
      </c>
      <c r="E94" s="4">
        <f t="shared" si="19"/>
        <v>69.254945459498344</v>
      </c>
      <c r="F94" s="4">
        <f t="shared" si="20"/>
        <v>9.689870465546818</v>
      </c>
      <c r="G94" s="4">
        <f t="shared" si="21"/>
        <v>0</v>
      </c>
      <c r="H94" s="4">
        <f t="shared" si="22"/>
        <v>9.2776152621893431</v>
      </c>
      <c r="I94" s="5">
        <f>vals_co2_incLUC!$R94</f>
        <v>48.472984224011448</v>
      </c>
      <c r="J94" s="5">
        <f>vals_co2_incLUC!$X94</f>
        <v>58.162854532590316</v>
      </c>
      <c r="K94" s="5">
        <f>vals_co2_incLUC!$AD94</f>
        <v>48.472984067043498</v>
      </c>
      <c r="L94" s="5">
        <f>vals_co2_incLUC!$AJ94</f>
        <v>56.331053222736131</v>
      </c>
      <c r="M94" s="5">
        <f>vals_co2_incLUC!$S94</f>
        <v>67.440469794779659</v>
      </c>
      <c r="N94" s="5">
        <f>vals_co2_incLUC!$Y94</f>
        <v>69.254945459498344</v>
      </c>
      <c r="O94" s="5">
        <f>vals_co2_incLUC!$AE94</f>
        <v>67.440470108715573</v>
      </c>
      <c r="P94" s="5">
        <f>vals_co2_incLUC!$AK94</f>
        <v>68.073364757037808</v>
      </c>
      <c r="Q94" s="9">
        <f t="shared" si="23"/>
        <v>1.8144756647186853</v>
      </c>
      <c r="R94" s="9">
        <v>51.966000000000001</v>
      </c>
      <c r="S94" s="9">
        <v>68.747</v>
      </c>
    </row>
    <row r="95" spans="1:19" x14ac:dyDescent="0.35">
      <c r="A95" s="6">
        <f>vals_co2_incLUC!$A95</f>
        <v>1942</v>
      </c>
      <c r="B95" s="7">
        <f t="shared" si="16"/>
        <v>48.374591721033575</v>
      </c>
      <c r="C95" s="7">
        <f t="shared" si="17"/>
        <v>58.067671814496201</v>
      </c>
      <c r="D95" s="7">
        <f t="shared" si="18"/>
        <v>67.222743479814</v>
      </c>
      <c r="E95" s="7">
        <f t="shared" si="19"/>
        <v>69.158085845416721</v>
      </c>
      <c r="F95" s="7">
        <f t="shared" si="20"/>
        <v>9.6930800934626262</v>
      </c>
      <c r="G95" s="7">
        <f t="shared" si="21"/>
        <v>0</v>
      </c>
      <c r="H95" s="7">
        <f t="shared" si="22"/>
        <v>9.1550716653177986</v>
      </c>
      <c r="I95" s="8">
        <f>vals_co2_incLUC!$R95</f>
        <v>48.374591875103647</v>
      </c>
      <c r="J95" s="8">
        <f>vals_co2_incLUC!$X95</f>
        <v>58.067671814496201</v>
      </c>
      <c r="K95" s="8">
        <f>vals_co2_incLUC!$AD95</f>
        <v>48.374591721033575</v>
      </c>
      <c r="L95" s="8">
        <f>vals_co2_incLUC!$AJ95</f>
        <v>56.263738942073061</v>
      </c>
      <c r="M95" s="8">
        <f>vals_co2_incLUC!$S95</f>
        <v>67.222743479814</v>
      </c>
      <c r="N95" s="8">
        <f>vals_co2_incLUC!$Y95</f>
        <v>69.158085845416721</v>
      </c>
      <c r="O95" s="8">
        <f>vals_co2_incLUC!$AE95</f>
        <v>67.222743787954158</v>
      </c>
      <c r="P95" s="8">
        <f>vals_co2_incLUC!$AK95</f>
        <v>67.965023861705959</v>
      </c>
      <c r="Q95" s="9">
        <f t="shared" si="23"/>
        <v>1.9353423656027218</v>
      </c>
      <c r="R95" s="9">
        <v>51.886000000000003</v>
      </c>
      <c r="S95" s="9">
        <v>68.58</v>
      </c>
    </row>
    <row r="96" spans="1:19" x14ac:dyDescent="0.35">
      <c r="A96" s="3">
        <f>vals_co2_incLUC!$A96</f>
        <v>1943</v>
      </c>
      <c r="B96" s="4">
        <f t="shared" si="16"/>
        <v>48.282200502476854</v>
      </c>
      <c r="C96" s="4">
        <f t="shared" si="17"/>
        <v>57.955318750115751</v>
      </c>
      <c r="D96" s="4">
        <f t="shared" si="18"/>
        <v>66.998047419112822</v>
      </c>
      <c r="E96" s="4">
        <f t="shared" si="19"/>
        <v>69.056800151079173</v>
      </c>
      <c r="F96" s="4">
        <f t="shared" si="20"/>
        <v>9.6731182476388966</v>
      </c>
      <c r="G96" s="4">
        <f t="shared" si="21"/>
        <v>0</v>
      </c>
      <c r="H96" s="4">
        <f t="shared" si="22"/>
        <v>9.0427286689970714</v>
      </c>
      <c r="I96" s="5">
        <f>vals_co2_incLUC!$R96</f>
        <v>48.282200653730079</v>
      </c>
      <c r="J96" s="5">
        <f>vals_co2_incLUC!$X96</f>
        <v>57.955318750115751</v>
      </c>
      <c r="K96" s="5">
        <f>vals_co2_incLUC!$AD96</f>
        <v>48.282200502476854</v>
      </c>
      <c r="L96" s="5">
        <f>vals_co2_incLUC!$AJ96</f>
        <v>56.19653450760287</v>
      </c>
      <c r="M96" s="5">
        <f>vals_co2_incLUC!$S96</f>
        <v>66.998047419112822</v>
      </c>
      <c r="N96" s="5">
        <f>vals_co2_incLUC!$Y96</f>
        <v>69.056800151079173</v>
      </c>
      <c r="O96" s="5">
        <f>vals_co2_incLUC!$AE96</f>
        <v>66.998047721619287</v>
      </c>
      <c r="P96" s="5">
        <f>vals_co2_incLUC!$AK96</f>
        <v>67.856743342781925</v>
      </c>
      <c r="Q96" s="9">
        <f t="shared" si="23"/>
        <v>2.0587527319663508</v>
      </c>
      <c r="R96" s="9">
        <v>51.811999999999998</v>
      </c>
      <c r="S96" s="9">
        <v>68.408000000000001</v>
      </c>
    </row>
    <row r="97" spans="1:19" x14ac:dyDescent="0.35">
      <c r="A97" s="6">
        <f>vals_co2_incLUC!$A97</f>
        <v>1944</v>
      </c>
      <c r="B97" s="7">
        <f t="shared" si="16"/>
        <v>48.19162874780514</v>
      </c>
      <c r="C97" s="7">
        <f t="shared" si="17"/>
        <v>57.838781296306728</v>
      </c>
      <c r="D97" s="7">
        <f t="shared" si="18"/>
        <v>66.766939485590498</v>
      </c>
      <c r="E97" s="7">
        <f t="shared" si="19"/>
        <v>68.936727107782517</v>
      </c>
      <c r="F97" s="7">
        <f t="shared" si="20"/>
        <v>9.6471525485015874</v>
      </c>
      <c r="G97" s="7">
        <f t="shared" si="21"/>
        <v>0</v>
      </c>
      <c r="H97" s="7">
        <f t="shared" si="22"/>
        <v>8.9281581892837707</v>
      </c>
      <c r="I97" s="8">
        <f>vals_co2_incLUC!$R97</f>
        <v>48.191628896340887</v>
      </c>
      <c r="J97" s="8">
        <f>vals_co2_incLUC!$X97</f>
        <v>57.838781296306728</v>
      </c>
      <c r="K97" s="8">
        <f>vals_co2_incLUC!$AD97</f>
        <v>48.19162874780514</v>
      </c>
      <c r="L97" s="8">
        <f>vals_co2_incLUC!$AJ97</f>
        <v>56.120428868232416</v>
      </c>
      <c r="M97" s="8">
        <f>vals_co2_incLUC!$S97</f>
        <v>66.766939485590498</v>
      </c>
      <c r="N97" s="8">
        <f>vals_co2_incLUC!$Y97</f>
        <v>68.936727107782517</v>
      </c>
      <c r="O97" s="8">
        <f>vals_co2_incLUC!$AE97</f>
        <v>66.766939782661993</v>
      </c>
      <c r="P97" s="8">
        <f>vals_co2_incLUC!$AK97</f>
        <v>67.744015573053332</v>
      </c>
      <c r="Q97" s="9">
        <f t="shared" si="23"/>
        <v>2.1697876221920183</v>
      </c>
      <c r="R97" s="9">
        <v>51.737000000000002</v>
      </c>
      <c r="S97" s="9">
        <v>68.231999999999999</v>
      </c>
    </row>
    <row r="98" spans="1:19" x14ac:dyDescent="0.35">
      <c r="A98" s="3">
        <f>vals_co2_incLUC!$A98</f>
        <v>1945</v>
      </c>
      <c r="B98" s="4">
        <f t="shared" si="16"/>
        <v>48.06561073374516</v>
      </c>
      <c r="C98" s="4">
        <f t="shared" si="17"/>
        <v>57.675975910898373</v>
      </c>
      <c r="D98" s="4">
        <f t="shared" si="18"/>
        <v>66.495367070343363</v>
      </c>
      <c r="E98" s="4">
        <f t="shared" si="19"/>
        <v>68.752181867506749</v>
      </c>
      <c r="F98" s="4">
        <f t="shared" si="20"/>
        <v>9.6103651771532128</v>
      </c>
      <c r="G98" s="4">
        <f t="shared" si="21"/>
        <v>0</v>
      </c>
      <c r="H98" s="4">
        <f t="shared" si="22"/>
        <v>8.8193911594449901</v>
      </c>
      <c r="I98" s="5">
        <f>vals_co2_incLUC!$R98</f>
        <v>48.065610879841564</v>
      </c>
      <c r="J98" s="5">
        <f>vals_co2_incLUC!$X98</f>
        <v>57.675975910898373</v>
      </c>
      <c r="K98" s="5">
        <f>vals_co2_incLUC!$AD98</f>
        <v>48.06561073374516</v>
      </c>
      <c r="L98" s="5">
        <f>vals_co2_incLUC!$AJ98</f>
        <v>56.001941382265805</v>
      </c>
      <c r="M98" s="5">
        <f>vals_co2_incLUC!$S98</f>
        <v>66.495367070343363</v>
      </c>
      <c r="N98" s="5">
        <f>vals_co2_incLUC!$Y98</f>
        <v>68.752181867506749</v>
      </c>
      <c r="O98" s="5">
        <f>vals_co2_incLUC!$AE98</f>
        <v>66.495367362536186</v>
      </c>
      <c r="P98" s="5">
        <f>vals_co2_incLUC!$AK98</f>
        <v>67.585265031955231</v>
      </c>
      <c r="Q98" s="9">
        <f t="shared" si="23"/>
        <v>2.2568147971633863</v>
      </c>
      <c r="R98" s="9">
        <v>51.622999999999998</v>
      </c>
      <c r="S98" s="9">
        <v>68.013000000000005</v>
      </c>
    </row>
    <row r="99" spans="1:19" x14ac:dyDescent="0.35">
      <c r="A99" s="6">
        <f>vals_co2_incLUC!$A99</f>
        <v>1946</v>
      </c>
      <c r="B99" s="7">
        <f t="shared" ref="B99:B130" si="24">IFERROR(_xlfn.AGGREGATE(5,6,I99:L99),"")</f>
        <v>47.953286535953865</v>
      </c>
      <c r="C99" s="7">
        <f t="shared" ref="C99:C130" si="25">IFERROR(_xlfn.AGGREGATE(4,6,I99:L99),"")</f>
        <v>57.477021088018212</v>
      </c>
      <c r="D99" s="7">
        <f t="shared" ref="D99:D130" si="26">IFERROR(_xlfn.AGGREGATE(5,6,M99:P99),"")</f>
        <v>66.233241247770508</v>
      </c>
      <c r="E99" s="7">
        <f t="shared" ref="E99:E130" si="27">IFERROR(_xlfn.AGGREGATE(4,6,M99:P99),"")</f>
        <v>68.533708055690212</v>
      </c>
      <c r="F99" s="7">
        <f t="shared" ref="F99:F130" si="28">IFERROR(MIN(C99,D99)-B99,"")</f>
        <v>9.5237345520643473</v>
      </c>
      <c r="G99" s="7">
        <f t="shared" ref="G99:G130" si="29">IFERROR(MAX(0,C99-D99),"")</f>
        <v>0</v>
      </c>
      <c r="H99" s="7">
        <f t="shared" ref="H99:H130" si="30">IFERROR(MAX(0,D99-C99),"")</f>
        <v>8.7562201597522957</v>
      </c>
      <c r="I99" s="8">
        <f>vals_co2_incLUC!$R99</f>
        <v>47.953286679634829</v>
      </c>
      <c r="J99" s="8">
        <f>vals_co2_incLUC!$X99</f>
        <v>57.477021088018212</v>
      </c>
      <c r="K99" s="8">
        <f>vals_co2_incLUC!$AD99</f>
        <v>47.953286535953865</v>
      </c>
      <c r="L99" s="8">
        <f>vals_co2_incLUC!$AJ99</f>
        <v>55.889088515026522</v>
      </c>
      <c r="M99" s="8">
        <f>vals_co2_incLUC!$S99</f>
        <v>66.233241247770508</v>
      </c>
      <c r="N99" s="8">
        <f>vals_co2_incLUC!$Y99</f>
        <v>68.533708055690212</v>
      </c>
      <c r="O99" s="8">
        <f>vals_co2_incLUC!$AE99</f>
        <v>66.23324153513245</v>
      </c>
      <c r="P99" s="8">
        <f>vals_co2_incLUC!$AK99</f>
        <v>67.441191350803891</v>
      </c>
      <c r="Q99" s="9">
        <f t="shared" ref="Q99:Q130" si="31">IFERROR(MAX(0,$E99-MAX($C99,$D99)),"")</f>
        <v>2.3004668079197046</v>
      </c>
      <c r="R99" s="9">
        <v>51.521000000000001</v>
      </c>
      <c r="S99" s="9">
        <v>67.804000000000002</v>
      </c>
    </row>
    <row r="100" spans="1:19" x14ac:dyDescent="0.35">
      <c r="A100" s="3">
        <f>vals_co2_incLUC!$A100</f>
        <v>1947</v>
      </c>
      <c r="B100" s="4">
        <f t="shared" si="24"/>
        <v>47.870798578018977</v>
      </c>
      <c r="C100" s="4">
        <f t="shared" si="25"/>
        <v>57.307713315643419</v>
      </c>
      <c r="D100" s="4">
        <f t="shared" si="26"/>
        <v>65.988243184349244</v>
      </c>
      <c r="E100" s="4">
        <f t="shared" si="27"/>
        <v>68.343694272061825</v>
      </c>
      <c r="F100" s="4">
        <f t="shared" si="28"/>
        <v>9.4369147376244413</v>
      </c>
      <c r="G100" s="4">
        <f t="shared" si="29"/>
        <v>0</v>
      </c>
      <c r="H100" s="4">
        <f t="shared" si="30"/>
        <v>8.6805298687058254</v>
      </c>
      <c r="I100" s="5">
        <f>vals_co2_incLUC!$R100</f>
        <v>47.870798719267604</v>
      </c>
      <c r="J100" s="5">
        <f>vals_co2_incLUC!$X100</f>
        <v>57.307713315643419</v>
      </c>
      <c r="K100" s="5">
        <f>vals_co2_incLUC!$AD100</f>
        <v>47.870798578018977</v>
      </c>
      <c r="L100" s="5">
        <f>vals_co2_incLUC!$AJ100</f>
        <v>55.798892585244076</v>
      </c>
      <c r="M100" s="5">
        <f>vals_co2_incLUC!$S100</f>
        <v>65.988243184349244</v>
      </c>
      <c r="N100" s="5">
        <f>vals_co2_incLUC!$Y100</f>
        <v>68.343694272061825</v>
      </c>
      <c r="O100" s="5">
        <f>vals_co2_incLUC!$AE100</f>
        <v>65.988243466846512</v>
      </c>
      <c r="P100" s="5">
        <f>vals_co2_incLUC!$AK100</f>
        <v>67.316974147618879</v>
      </c>
      <c r="Q100" s="9">
        <f t="shared" si="31"/>
        <v>2.3554510877125807</v>
      </c>
      <c r="R100" s="9">
        <v>51.447000000000003</v>
      </c>
      <c r="S100" s="9">
        <v>67.611999999999995</v>
      </c>
    </row>
    <row r="101" spans="1:19" x14ac:dyDescent="0.35">
      <c r="A101" s="6">
        <f>vals_co2_incLUC!$A101</f>
        <v>1948</v>
      </c>
      <c r="B101" s="7">
        <f t="shared" si="24"/>
        <v>47.809340669769298</v>
      </c>
      <c r="C101" s="7">
        <f t="shared" si="25"/>
        <v>57.151021638271857</v>
      </c>
      <c r="D101" s="7">
        <f t="shared" si="26"/>
        <v>65.756669340450173</v>
      </c>
      <c r="E101" s="7">
        <f t="shared" si="27"/>
        <v>68.166726949384966</v>
      </c>
      <c r="F101" s="7">
        <f t="shared" si="28"/>
        <v>9.3416809685025584</v>
      </c>
      <c r="G101" s="7">
        <f t="shared" si="29"/>
        <v>0</v>
      </c>
      <c r="H101" s="7">
        <f t="shared" si="30"/>
        <v>8.6056477021783166</v>
      </c>
      <c r="I101" s="8">
        <f>vals_co2_incLUC!$R101</f>
        <v>47.809340875010022</v>
      </c>
      <c r="J101" s="8">
        <f>vals_co2_incLUC!$X101</f>
        <v>57.151021638271857</v>
      </c>
      <c r="K101" s="8">
        <f>vals_co2_incLUC!$AD101</f>
        <v>47.809340669769298</v>
      </c>
      <c r="L101" s="8">
        <f>vals_co2_incLUC!$AJ101</f>
        <v>55.726329404476338</v>
      </c>
      <c r="M101" s="8">
        <f>vals_co2_incLUC!$S101</f>
        <v>65.756669340450173</v>
      </c>
      <c r="N101" s="8">
        <f>vals_co2_incLUC!$Y101</f>
        <v>68.166726949384966</v>
      </c>
      <c r="O101" s="8">
        <f>vals_co2_incLUC!$AE101</f>
        <v>65.756669526853813</v>
      </c>
      <c r="P101" s="8">
        <f>vals_co2_incLUC!$AK101</f>
        <v>67.20815913431008</v>
      </c>
      <c r="Q101" s="9">
        <f t="shared" si="31"/>
        <v>2.4100576089347925</v>
      </c>
      <c r="R101" s="9">
        <v>51.393000000000001</v>
      </c>
      <c r="S101" s="9">
        <v>67.433999999999997</v>
      </c>
    </row>
    <row r="102" spans="1:19" x14ac:dyDescent="0.35">
      <c r="A102" s="3">
        <f>vals_co2_incLUC!$A102</f>
        <v>1949</v>
      </c>
      <c r="B102" s="4">
        <f t="shared" si="24"/>
        <v>47.720090894323356</v>
      </c>
      <c r="C102" s="4">
        <f t="shared" si="25"/>
        <v>56.94813893395596</v>
      </c>
      <c r="D102" s="4">
        <f t="shared" si="26"/>
        <v>65.508205799386303</v>
      </c>
      <c r="E102" s="4">
        <f t="shared" si="27"/>
        <v>67.964802402075989</v>
      </c>
      <c r="F102" s="4">
        <f t="shared" si="28"/>
        <v>9.2280480396326041</v>
      </c>
      <c r="G102" s="4">
        <f t="shared" si="29"/>
        <v>0</v>
      </c>
      <c r="H102" s="4">
        <f t="shared" si="30"/>
        <v>8.5600668654303433</v>
      </c>
      <c r="I102" s="5">
        <f>vals_co2_incLUC!$R102</f>
        <v>47.720090959510578</v>
      </c>
      <c r="J102" s="5">
        <f>vals_co2_incLUC!$X102</f>
        <v>56.94813893395596</v>
      </c>
      <c r="K102" s="5">
        <f>vals_co2_incLUC!$AD102</f>
        <v>47.720090894323356</v>
      </c>
      <c r="L102" s="5">
        <f>vals_co2_incLUC!$AJ102</f>
        <v>55.619403453069708</v>
      </c>
      <c r="M102" s="5">
        <f>vals_co2_incLUC!$S102</f>
        <v>65.508205799386303</v>
      </c>
      <c r="N102" s="5">
        <f>vals_co2_incLUC!$Y102</f>
        <v>67.964802402075989</v>
      </c>
      <c r="O102" s="5">
        <f>vals_co2_incLUC!$AE102</f>
        <v>65.508205983106578</v>
      </c>
      <c r="P102" s="5">
        <f>vals_co2_incLUC!$AK102</f>
        <v>67.08049975194912</v>
      </c>
      <c r="Q102" s="9">
        <f t="shared" si="31"/>
        <v>2.4565966026896859</v>
      </c>
      <c r="R102" s="9">
        <v>51.308</v>
      </c>
      <c r="S102" s="9">
        <v>67.238</v>
      </c>
    </row>
    <row r="103" spans="1:19" x14ac:dyDescent="0.35">
      <c r="A103" s="6">
        <f>vals_co2_incLUC!$A103</f>
        <v>1950</v>
      </c>
      <c r="B103" s="7">
        <f t="shared" si="24"/>
        <v>47.575735947934703</v>
      </c>
      <c r="C103" s="7">
        <f t="shared" si="25"/>
        <v>56.789106990116956</v>
      </c>
      <c r="D103" s="7">
        <f t="shared" si="26"/>
        <v>65.21153184204212</v>
      </c>
      <c r="E103" s="7">
        <f t="shared" si="27"/>
        <v>67.810397364676362</v>
      </c>
      <c r="F103" s="7">
        <f t="shared" si="28"/>
        <v>9.2133710421822528</v>
      </c>
      <c r="G103" s="7">
        <f t="shared" si="29"/>
        <v>0</v>
      </c>
      <c r="H103" s="7">
        <f t="shared" si="30"/>
        <v>8.4224248519251645</v>
      </c>
      <c r="I103" s="8">
        <f>vals_co2_incLUC!$R103</f>
        <v>47.575736011725169</v>
      </c>
      <c r="J103" s="8">
        <f>vals_co2_incLUC!$X103</f>
        <v>56.789106990116956</v>
      </c>
      <c r="K103" s="8">
        <f>vals_co2_incLUC!$AD103</f>
        <v>47.575735947934703</v>
      </c>
      <c r="L103" s="8">
        <f>vals_co2_incLUC!$AJ103</f>
        <v>55.484555104811484</v>
      </c>
      <c r="M103" s="8">
        <f>vals_co2_incLUC!$S103</f>
        <v>65.21153184204212</v>
      </c>
      <c r="N103" s="8">
        <f>vals_co2_incLUC!$Y103</f>
        <v>67.810397364676362</v>
      </c>
      <c r="O103" s="8">
        <f>vals_co2_incLUC!$AE103</f>
        <v>65.211532022769106</v>
      </c>
      <c r="P103" s="8">
        <f>vals_co2_incLUC!$AK103</f>
        <v>66.934397682806036</v>
      </c>
      <c r="Q103" s="9">
        <f t="shared" si="31"/>
        <v>2.5988655226342416</v>
      </c>
      <c r="R103" s="9">
        <v>51.173999999999999</v>
      </c>
      <c r="S103" s="9">
        <v>67.001999999999995</v>
      </c>
    </row>
    <row r="104" spans="1:19" x14ac:dyDescent="0.35">
      <c r="A104" s="3">
        <f>vals_co2_incLUC!$A104</f>
        <v>1951</v>
      </c>
      <c r="B104" s="4">
        <f t="shared" si="24"/>
        <v>47.39881704231437</v>
      </c>
      <c r="C104" s="4">
        <f t="shared" si="25"/>
        <v>56.587494453272335</v>
      </c>
      <c r="D104" s="4">
        <f t="shared" si="26"/>
        <v>64.892200075575033</v>
      </c>
      <c r="E104" s="4">
        <f t="shared" si="27"/>
        <v>67.670220554540421</v>
      </c>
      <c r="F104" s="4">
        <f t="shared" si="28"/>
        <v>9.1886774109579648</v>
      </c>
      <c r="G104" s="4">
        <f t="shared" si="29"/>
        <v>0</v>
      </c>
      <c r="H104" s="4">
        <f t="shared" si="30"/>
        <v>8.3047056223026985</v>
      </c>
      <c r="I104" s="5">
        <f>vals_co2_incLUC!$R104</f>
        <v>47.39881710462442</v>
      </c>
      <c r="J104" s="5">
        <f>vals_co2_incLUC!$X104</f>
        <v>56.587494453272335</v>
      </c>
      <c r="K104" s="5">
        <f>vals_co2_incLUC!$AD104</f>
        <v>47.39881704231437</v>
      </c>
      <c r="L104" s="5">
        <f>vals_co2_incLUC!$AJ104</f>
        <v>55.318135831520301</v>
      </c>
      <c r="M104" s="5">
        <f>vals_co2_incLUC!$S104</f>
        <v>64.892200075575033</v>
      </c>
      <c r="N104" s="5">
        <f>vals_co2_incLUC!$Y104</f>
        <v>67.670220554540421</v>
      </c>
      <c r="O104" s="5">
        <f>vals_co2_incLUC!$AE104</f>
        <v>64.892200253186516</v>
      </c>
      <c r="P104" s="5">
        <f>vals_co2_incLUC!$AK104</f>
        <v>66.764093370479941</v>
      </c>
      <c r="Q104" s="9">
        <f t="shared" si="31"/>
        <v>2.778020478965388</v>
      </c>
      <c r="R104" s="9">
        <v>51.008000000000003</v>
      </c>
      <c r="S104" s="9">
        <v>66.742999999999995</v>
      </c>
    </row>
    <row r="105" spans="1:19" x14ac:dyDescent="0.35">
      <c r="A105" s="6">
        <f>vals_co2_incLUC!$A105</f>
        <v>1952</v>
      </c>
      <c r="B105" s="7">
        <f t="shared" si="24"/>
        <v>47.215741058119647</v>
      </c>
      <c r="C105" s="7">
        <f t="shared" si="25"/>
        <v>56.341053772893133</v>
      </c>
      <c r="D105" s="7">
        <f t="shared" si="26"/>
        <v>64.587110696321773</v>
      </c>
      <c r="E105" s="7">
        <f t="shared" si="27"/>
        <v>67.506124730980275</v>
      </c>
      <c r="F105" s="7">
        <f t="shared" si="28"/>
        <v>9.1253127147734858</v>
      </c>
      <c r="G105" s="7">
        <f t="shared" si="29"/>
        <v>0</v>
      </c>
      <c r="H105" s="7">
        <f t="shared" si="30"/>
        <v>8.2460569234286396</v>
      </c>
      <c r="I105" s="8">
        <f>vals_co2_incLUC!$R105</f>
        <v>47.215741118984106</v>
      </c>
      <c r="J105" s="8">
        <f>vals_co2_incLUC!$X105</f>
        <v>56.341053772893133</v>
      </c>
      <c r="K105" s="8">
        <f>vals_co2_incLUC!$AD105</f>
        <v>47.215741058119647</v>
      </c>
      <c r="L105" s="8">
        <f>vals_co2_incLUC!$AJ105</f>
        <v>55.138310705243207</v>
      </c>
      <c r="M105" s="8">
        <f>vals_co2_incLUC!$S105</f>
        <v>64.587110696321773</v>
      </c>
      <c r="N105" s="8">
        <f>vals_co2_incLUC!$Y105</f>
        <v>67.506124730980275</v>
      </c>
      <c r="O105" s="8">
        <f>vals_co2_incLUC!$AE105</f>
        <v>64.587110870878632</v>
      </c>
      <c r="P105" s="8">
        <f>vals_co2_incLUC!$AK105</f>
        <v>66.592194728499038</v>
      </c>
      <c r="Q105" s="9">
        <f t="shared" si="31"/>
        <v>2.9190140346585025</v>
      </c>
      <c r="R105" s="9">
        <v>50.832999999999998</v>
      </c>
      <c r="S105" s="9">
        <v>66.495000000000005</v>
      </c>
    </row>
    <row r="106" spans="1:19" x14ac:dyDescent="0.35">
      <c r="A106" s="3">
        <f>vals_co2_incLUC!$A106</f>
        <v>1953</v>
      </c>
      <c r="B106" s="4">
        <f t="shared" si="24"/>
        <v>47.028168751061109</v>
      </c>
      <c r="C106" s="4">
        <f t="shared" si="25"/>
        <v>56.091505493742268</v>
      </c>
      <c r="D106" s="4">
        <f t="shared" si="26"/>
        <v>64.294427249628399</v>
      </c>
      <c r="E106" s="4">
        <f t="shared" si="27"/>
        <v>67.357735815235486</v>
      </c>
      <c r="F106" s="4">
        <f t="shared" si="28"/>
        <v>9.0633367426811589</v>
      </c>
      <c r="G106" s="4">
        <f t="shared" si="29"/>
        <v>0</v>
      </c>
      <c r="H106" s="4">
        <f t="shared" si="30"/>
        <v>8.2029217558861305</v>
      </c>
      <c r="I106" s="5">
        <f>vals_co2_incLUC!$R106</f>
        <v>47.028168810501732</v>
      </c>
      <c r="J106" s="5">
        <f>vals_co2_incLUC!$X106</f>
        <v>56.091505493742268</v>
      </c>
      <c r="K106" s="5">
        <f>vals_co2_incLUC!$AD106</f>
        <v>47.028168751061109</v>
      </c>
      <c r="L106" s="5">
        <f>vals_co2_incLUC!$AJ106</f>
        <v>54.957643639694943</v>
      </c>
      <c r="M106" s="5">
        <f>vals_co2_incLUC!$S106</f>
        <v>64.294427249628399</v>
      </c>
      <c r="N106" s="5">
        <f>vals_co2_incLUC!$Y106</f>
        <v>67.357735815235486</v>
      </c>
      <c r="O106" s="5">
        <f>vals_co2_incLUC!$AE106</f>
        <v>64.29442742115161</v>
      </c>
      <c r="P106" s="5">
        <f>vals_co2_incLUC!$AK106</f>
        <v>66.425715562709158</v>
      </c>
      <c r="Q106" s="9">
        <f t="shared" si="31"/>
        <v>3.0633085656070875</v>
      </c>
      <c r="R106" s="9">
        <v>50.652999999999999</v>
      </c>
      <c r="S106" s="9">
        <v>66.254000000000005</v>
      </c>
    </row>
    <row r="107" spans="1:19" x14ac:dyDescent="0.35">
      <c r="A107" s="6">
        <f>vals_co2_incLUC!$A107</f>
        <v>1954</v>
      </c>
      <c r="B107" s="7">
        <f t="shared" si="24"/>
        <v>46.801057179944557</v>
      </c>
      <c r="C107" s="7">
        <f t="shared" si="25"/>
        <v>55.814260672973106</v>
      </c>
      <c r="D107" s="7">
        <f t="shared" si="26"/>
        <v>63.97272997539244</v>
      </c>
      <c r="E107" s="7">
        <f t="shared" si="27"/>
        <v>67.1995389391288</v>
      </c>
      <c r="F107" s="7">
        <f t="shared" si="28"/>
        <v>9.0132034930285485</v>
      </c>
      <c r="G107" s="7">
        <f t="shared" si="29"/>
        <v>0</v>
      </c>
      <c r="H107" s="7">
        <f t="shared" si="30"/>
        <v>8.1584693024193342</v>
      </c>
      <c r="I107" s="8">
        <f>vals_co2_incLUC!$R107</f>
        <v>46.801057237913682</v>
      </c>
      <c r="J107" s="8">
        <f>vals_co2_incLUC!$X107</f>
        <v>55.814260672973106</v>
      </c>
      <c r="K107" s="8">
        <f>vals_co2_incLUC!$AD107</f>
        <v>46.801057179944557</v>
      </c>
      <c r="L107" s="8">
        <f>vals_co2_incLUC!$AJ107</f>
        <v>54.747590072258888</v>
      </c>
      <c r="M107" s="8">
        <f>vals_co2_incLUC!$S107</f>
        <v>63.97272997539244</v>
      </c>
      <c r="N107" s="8">
        <f>vals_co2_incLUC!$Y107</f>
        <v>67.1995389391288</v>
      </c>
      <c r="O107" s="8">
        <f>vals_co2_incLUC!$AE107</f>
        <v>63.972730143879716</v>
      </c>
      <c r="P107" s="8">
        <f>vals_co2_incLUC!$AK107</f>
        <v>66.243626736150233</v>
      </c>
      <c r="Q107" s="9">
        <f t="shared" si="31"/>
        <v>3.2268089637363602</v>
      </c>
      <c r="R107" s="9">
        <v>50.433999999999997</v>
      </c>
      <c r="S107" s="9">
        <v>65.988</v>
      </c>
    </row>
    <row r="108" spans="1:19" x14ac:dyDescent="0.35">
      <c r="A108" s="3">
        <f>vals_co2_incLUC!$A108</f>
        <v>1955</v>
      </c>
      <c r="B108" s="4">
        <f t="shared" si="24"/>
        <v>46.583054966781553</v>
      </c>
      <c r="C108" s="4">
        <f t="shared" si="25"/>
        <v>55.534279679541264</v>
      </c>
      <c r="D108" s="4">
        <f t="shared" si="26"/>
        <v>63.670500266734699</v>
      </c>
      <c r="E108" s="4">
        <f t="shared" si="27"/>
        <v>67.052728017271434</v>
      </c>
      <c r="F108" s="4">
        <f t="shared" si="28"/>
        <v>8.9512247127597107</v>
      </c>
      <c r="G108" s="4">
        <f t="shared" si="29"/>
        <v>0</v>
      </c>
      <c r="H108" s="4">
        <f t="shared" si="30"/>
        <v>8.136220587193435</v>
      </c>
      <c r="I108" s="5">
        <f>vals_co2_incLUC!$R108</f>
        <v>46.583054966781553</v>
      </c>
      <c r="J108" s="5">
        <f>vals_co2_incLUC!$X108</f>
        <v>55.534279679541264</v>
      </c>
      <c r="K108" s="5">
        <f>vals_co2_incLUC!$AD108</f>
        <v>46.583055531867949</v>
      </c>
      <c r="L108" s="5">
        <f>vals_co2_incLUC!$AJ108</f>
        <v>54.535458784667853</v>
      </c>
      <c r="M108" s="5">
        <f>vals_co2_incLUC!$S108</f>
        <v>63.670500266734699</v>
      </c>
      <c r="N108" s="5">
        <f>vals_co2_incLUC!$Y108</f>
        <v>67.052728017271434</v>
      </c>
      <c r="O108" s="5">
        <f>vals_co2_incLUC!$AE108</f>
        <v>63.670501281718828</v>
      </c>
      <c r="P108" s="5">
        <f>vals_co2_incLUC!$AK108</f>
        <v>66.066384213096271</v>
      </c>
      <c r="Q108" s="9">
        <f t="shared" si="31"/>
        <v>3.3822277505367353</v>
      </c>
      <c r="R108" s="9">
        <v>50.220999999999997</v>
      </c>
      <c r="S108" s="9">
        <v>65.736000000000004</v>
      </c>
    </row>
    <row r="109" spans="1:19" x14ac:dyDescent="0.35">
      <c r="A109" s="6">
        <f>vals_co2_incLUC!$A109</f>
        <v>1956</v>
      </c>
      <c r="B109" s="7">
        <f t="shared" si="24"/>
        <v>46.374554521205695</v>
      </c>
      <c r="C109" s="7">
        <f t="shared" si="25"/>
        <v>55.253442327583905</v>
      </c>
      <c r="D109" s="7">
        <f t="shared" si="26"/>
        <v>63.389142578156488</v>
      </c>
      <c r="E109" s="7">
        <f t="shared" si="27"/>
        <v>66.918665843664243</v>
      </c>
      <c r="F109" s="7">
        <f t="shared" si="28"/>
        <v>8.8788878063782093</v>
      </c>
      <c r="G109" s="7">
        <f t="shared" si="29"/>
        <v>0</v>
      </c>
      <c r="H109" s="7">
        <f t="shared" si="30"/>
        <v>8.1357002505725831</v>
      </c>
      <c r="I109" s="8">
        <f>vals_co2_incLUC!$R109</f>
        <v>46.374554521205695</v>
      </c>
      <c r="J109" s="8">
        <f>vals_co2_incLUC!$X109</f>
        <v>55.253442327583905</v>
      </c>
      <c r="K109" s="8">
        <f>vals_co2_incLUC!$AD109</f>
        <v>46.374555677949211</v>
      </c>
      <c r="L109" s="8">
        <f>vals_co2_incLUC!$AJ109</f>
        <v>54.325483201189485</v>
      </c>
      <c r="M109" s="8">
        <f>vals_co2_incLUC!$S109</f>
        <v>63.389142578156488</v>
      </c>
      <c r="N109" s="8">
        <f>vals_co2_incLUC!$Y109</f>
        <v>66.918665843664243</v>
      </c>
      <c r="O109" s="8">
        <f>vals_co2_incLUC!$AE109</f>
        <v>63.389144396860395</v>
      </c>
      <c r="P109" s="8">
        <f>vals_co2_incLUC!$AK109</f>
        <v>65.89790643067623</v>
      </c>
      <c r="Q109" s="9">
        <f t="shared" si="31"/>
        <v>3.5295232655077555</v>
      </c>
      <c r="R109" s="9">
        <v>50.012999999999998</v>
      </c>
      <c r="S109" s="9">
        <v>65.5</v>
      </c>
    </row>
    <row r="110" spans="1:19" x14ac:dyDescent="0.35">
      <c r="A110" s="3">
        <f>vals_co2_incLUC!$A110</f>
        <v>1957</v>
      </c>
      <c r="B110" s="4">
        <f t="shared" si="24"/>
        <v>46.150994390723469</v>
      </c>
      <c r="C110" s="4">
        <f t="shared" si="25"/>
        <v>54.952107389711799</v>
      </c>
      <c r="D110" s="4">
        <f t="shared" si="26"/>
        <v>63.105433131928415</v>
      </c>
      <c r="E110" s="4">
        <f t="shared" si="27"/>
        <v>66.785206359979497</v>
      </c>
      <c r="F110" s="4">
        <f t="shared" si="28"/>
        <v>8.8011129989883301</v>
      </c>
      <c r="G110" s="4">
        <f t="shared" si="29"/>
        <v>0</v>
      </c>
      <c r="H110" s="4">
        <f t="shared" si="30"/>
        <v>8.1533257422166159</v>
      </c>
      <c r="I110" s="5">
        <f>vals_co2_incLUC!$R110</f>
        <v>46.150994390723469</v>
      </c>
      <c r="J110" s="5">
        <f>vals_co2_incLUC!$X110</f>
        <v>54.952107389711799</v>
      </c>
      <c r="K110" s="5">
        <f>vals_co2_incLUC!$AD110</f>
        <v>46.150996322674828</v>
      </c>
      <c r="L110" s="5">
        <f>vals_co2_incLUC!$AJ110</f>
        <v>54.0975816199429</v>
      </c>
      <c r="M110" s="5">
        <f>vals_co2_incLUC!$S110</f>
        <v>63.105433131928415</v>
      </c>
      <c r="N110" s="5">
        <f>vals_co2_incLUC!$Y110</f>
        <v>66.785206359979497</v>
      </c>
      <c r="O110" s="5">
        <f>vals_co2_incLUC!$AE110</f>
        <v>63.105436006182622</v>
      </c>
      <c r="P110" s="5">
        <f>vals_co2_incLUC!$AK110</f>
        <v>65.721141411877667</v>
      </c>
      <c r="Q110" s="9">
        <f t="shared" si="31"/>
        <v>3.6797732280510829</v>
      </c>
      <c r="R110" s="9">
        <v>49.786999999999999</v>
      </c>
      <c r="S110" s="9">
        <v>65.257000000000005</v>
      </c>
    </row>
    <row r="111" spans="1:19" x14ac:dyDescent="0.35">
      <c r="A111" s="6">
        <f>vals_co2_incLUC!$A111</f>
        <v>1958</v>
      </c>
      <c r="B111" s="7">
        <f t="shared" si="24"/>
        <v>45.908887333059589</v>
      </c>
      <c r="C111" s="7">
        <f t="shared" si="25"/>
        <v>54.619292531262111</v>
      </c>
      <c r="D111" s="7">
        <f t="shared" si="26"/>
        <v>62.816704511411992</v>
      </c>
      <c r="E111" s="7">
        <f t="shared" si="27"/>
        <v>66.631263996614408</v>
      </c>
      <c r="F111" s="7">
        <f t="shared" si="28"/>
        <v>8.7104051982025226</v>
      </c>
      <c r="G111" s="7">
        <f t="shared" si="29"/>
        <v>0</v>
      </c>
      <c r="H111" s="7">
        <f t="shared" si="30"/>
        <v>8.1974119801498802</v>
      </c>
      <c r="I111" s="8">
        <f>vals_co2_incLUC!$R111</f>
        <v>45.908887333059589</v>
      </c>
      <c r="J111" s="8">
        <f>vals_co2_incLUC!$X111</f>
        <v>54.619292531262111</v>
      </c>
      <c r="K111" s="8">
        <f>vals_co2_incLUC!$AD111</f>
        <v>45.908889946879199</v>
      </c>
      <c r="L111" s="8">
        <f>vals_co2_incLUC!$AJ111</f>
        <v>53.831046583164756</v>
      </c>
      <c r="M111" s="8">
        <f>vals_co2_incLUC!$S111</f>
        <v>62.816704511411992</v>
      </c>
      <c r="N111" s="8">
        <f>vals_co2_incLUC!$Y111</f>
        <v>66.631263996614408</v>
      </c>
      <c r="O111" s="8">
        <f>vals_co2_incLUC!$AE111</f>
        <v>62.81670831561685</v>
      </c>
      <c r="P111" s="8">
        <f>vals_co2_incLUC!$AK111</f>
        <v>65.516281950342247</v>
      </c>
      <c r="Q111" s="9">
        <f t="shared" si="31"/>
        <v>3.8145594852024161</v>
      </c>
      <c r="R111" s="9">
        <v>49.534999999999997</v>
      </c>
      <c r="S111" s="9">
        <v>65.001999999999995</v>
      </c>
    </row>
    <row r="112" spans="1:19" x14ac:dyDescent="0.35">
      <c r="A112" s="3">
        <f>vals_co2_incLUC!$A112</f>
        <v>1959</v>
      </c>
      <c r="B112" s="4">
        <f t="shared" si="24"/>
        <v>45.62550682468062</v>
      </c>
      <c r="C112" s="4">
        <f t="shared" si="25"/>
        <v>54.295077544717905</v>
      </c>
      <c r="D112" s="4">
        <f t="shared" si="26"/>
        <v>62.533264968467272</v>
      </c>
      <c r="E112" s="4">
        <f t="shared" si="27"/>
        <v>66.453793673231203</v>
      </c>
      <c r="F112" s="4">
        <f t="shared" si="28"/>
        <v>8.6695707200372851</v>
      </c>
      <c r="G112" s="4">
        <f t="shared" si="29"/>
        <v>0</v>
      </c>
      <c r="H112" s="4">
        <f t="shared" si="30"/>
        <v>8.2381874237493662</v>
      </c>
      <c r="I112" s="5">
        <f>vals_co2_incLUC!$R112</f>
        <v>45.62550682468062</v>
      </c>
      <c r="J112" s="5">
        <f>vals_co2_incLUC!$X112</f>
        <v>54.295077544717905</v>
      </c>
      <c r="K112" s="5">
        <f>vals_co2_incLUC!$AD112</f>
        <v>45.625510078262558</v>
      </c>
      <c r="L112" s="5">
        <f>vals_co2_incLUC!$AJ112</f>
        <v>53.536505874815923</v>
      </c>
      <c r="M112" s="5">
        <f>vals_co2_incLUC!$S112</f>
        <v>62.533264968467272</v>
      </c>
      <c r="N112" s="5">
        <f>vals_co2_incLUC!$Y112</f>
        <v>66.453793673231203</v>
      </c>
      <c r="O112" s="5">
        <f>vals_co2_incLUC!$AE112</f>
        <v>62.53326965059707</v>
      </c>
      <c r="P112" s="5">
        <f>vals_co2_incLUC!$AK112</f>
        <v>65.289058337851984</v>
      </c>
      <c r="Q112" s="9">
        <f t="shared" si="31"/>
        <v>3.9205287047639317</v>
      </c>
      <c r="R112" s="9">
        <v>49.243000000000002</v>
      </c>
      <c r="S112" s="9">
        <v>64.736000000000004</v>
      </c>
    </row>
    <row r="113" spans="1:19" x14ac:dyDescent="0.35">
      <c r="A113" s="6">
        <f>vals_co2_incLUC!$A113</f>
        <v>1960</v>
      </c>
      <c r="B113" s="7">
        <f t="shared" si="24"/>
        <v>45.433597880546671</v>
      </c>
      <c r="C113" s="7">
        <f t="shared" si="25"/>
        <v>53.987251545353054</v>
      </c>
      <c r="D113" s="7">
        <f t="shared" si="26"/>
        <v>62.320575660398156</v>
      </c>
      <c r="E113" s="7">
        <f t="shared" si="27"/>
        <v>66.291682081907368</v>
      </c>
      <c r="F113" s="7">
        <f t="shared" si="28"/>
        <v>8.553653664806383</v>
      </c>
      <c r="G113" s="7">
        <f t="shared" si="29"/>
        <v>0</v>
      </c>
      <c r="H113" s="7">
        <f t="shared" si="30"/>
        <v>8.3333241150451016</v>
      </c>
      <c r="I113" s="8">
        <f>vals_co2_incLUC!$R113</f>
        <v>45.433597880546671</v>
      </c>
      <c r="J113" s="8">
        <f>vals_co2_incLUC!$X113</f>
        <v>53.987251545353054</v>
      </c>
      <c r="K113" s="8">
        <f>vals_co2_incLUC!$AD113</f>
        <v>45.433601800714172</v>
      </c>
      <c r="L113" s="8">
        <f>vals_co2_incLUC!$AJ113</f>
        <v>53.267850316554643</v>
      </c>
      <c r="M113" s="8">
        <f>vals_co2_incLUC!$S113</f>
        <v>62.320575660398156</v>
      </c>
      <c r="N113" s="8">
        <f>vals_co2_incLUC!$Y113</f>
        <v>66.291682081907368</v>
      </c>
      <c r="O113" s="8">
        <f>vals_co2_incLUC!$AE113</f>
        <v>62.320581256071442</v>
      </c>
      <c r="P113" s="8">
        <f>vals_co2_incLUC!$AK113</f>
        <v>65.093325832346736</v>
      </c>
      <c r="Q113" s="9">
        <f t="shared" si="31"/>
        <v>3.9711064215092122</v>
      </c>
      <c r="R113" s="9">
        <v>49.023000000000003</v>
      </c>
      <c r="S113" s="9">
        <v>64.531999999999996</v>
      </c>
    </row>
    <row r="114" spans="1:19" x14ac:dyDescent="0.35">
      <c r="A114" s="3">
        <f>vals_co2_incLUC!$A114</f>
        <v>1961</v>
      </c>
      <c r="B114" s="4">
        <f t="shared" si="24"/>
        <v>45.243381966893473</v>
      </c>
      <c r="C114" s="4">
        <f t="shared" si="25"/>
        <v>53.678556681652644</v>
      </c>
      <c r="D114" s="4">
        <f t="shared" si="26"/>
        <v>62.118445412504009</v>
      </c>
      <c r="E114" s="4">
        <f t="shared" si="27"/>
        <v>66.124116092945272</v>
      </c>
      <c r="F114" s="4">
        <f t="shared" si="28"/>
        <v>8.4351747147591709</v>
      </c>
      <c r="G114" s="4">
        <f t="shared" si="29"/>
        <v>0</v>
      </c>
      <c r="H114" s="4">
        <f t="shared" si="30"/>
        <v>8.439888730851365</v>
      </c>
      <c r="I114" s="5">
        <f>vals_co2_incLUC!$R114</f>
        <v>45.243381966893473</v>
      </c>
      <c r="J114" s="5">
        <f>vals_co2_incLUC!$X114</f>
        <v>53.678556681652644</v>
      </c>
      <c r="K114" s="5">
        <f>vals_co2_incLUC!$AD114</f>
        <v>45.24338826555617</v>
      </c>
      <c r="L114" s="5">
        <f>vals_co2_incLUC!$AJ114</f>
        <v>53.02387422512075</v>
      </c>
      <c r="M114" s="5">
        <f>vals_co2_incLUC!$S114</f>
        <v>62.118445412504009</v>
      </c>
      <c r="N114" s="5">
        <f>vals_co2_incLUC!$Y114</f>
        <v>66.124116092945272</v>
      </c>
      <c r="O114" s="5">
        <f>vals_co2_incLUC!$AE114</f>
        <v>62.118454274648428</v>
      </c>
      <c r="P114" s="5">
        <f>vals_co2_incLUC!$AK114</f>
        <v>64.925100611170294</v>
      </c>
      <c r="Q114" s="9">
        <f t="shared" si="31"/>
        <v>4.0056706804412627</v>
      </c>
      <c r="R114" s="9">
        <v>48.814</v>
      </c>
      <c r="S114" s="9">
        <v>64.344999999999999</v>
      </c>
    </row>
    <row r="115" spans="1:19" x14ac:dyDescent="0.35">
      <c r="A115" s="6">
        <f>vals_co2_incLUC!$A115</f>
        <v>1962</v>
      </c>
      <c r="B115" s="7">
        <f t="shared" si="24"/>
        <v>45.104732516349529</v>
      </c>
      <c r="C115" s="7">
        <f t="shared" si="25"/>
        <v>53.399523026924498</v>
      </c>
      <c r="D115" s="7">
        <f t="shared" si="26"/>
        <v>61.947068217961053</v>
      </c>
      <c r="E115" s="7">
        <f t="shared" si="27"/>
        <v>65.987876252065632</v>
      </c>
      <c r="F115" s="7">
        <f t="shared" si="28"/>
        <v>8.2947905105749697</v>
      </c>
      <c r="G115" s="7">
        <f t="shared" si="29"/>
        <v>0</v>
      </c>
      <c r="H115" s="7">
        <f t="shared" si="30"/>
        <v>8.547545191036555</v>
      </c>
      <c r="I115" s="8">
        <f>vals_co2_incLUC!$R115</f>
        <v>45.104732516349529</v>
      </c>
      <c r="J115" s="8">
        <f>vals_co2_incLUC!$X115</f>
        <v>53.399523026924498</v>
      </c>
      <c r="K115" s="8">
        <f>vals_co2_incLUC!$AD115</f>
        <v>45.104741094592235</v>
      </c>
      <c r="L115" s="8">
        <f>vals_co2_incLUC!$AJ115</f>
        <v>52.823546654886243</v>
      </c>
      <c r="M115" s="8">
        <f>vals_co2_incLUC!$S115</f>
        <v>61.947068217961053</v>
      </c>
      <c r="N115" s="8">
        <f>vals_co2_incLUC!$Y115</f>
        <v>65.987876252065632</v>
      </c>
      <c r="O115" s="8">
        <f>vals_co2_incLUC!$AE115</f>
        <v>61.947080209512194</v>
      </c>
      <c r="P115" s="8">
        <f>vals_co2_incLUC!$AK115</f>
        <v>64.78232384507659</v>
      </c>
      <c r="Q115" s="9">
        <f t="shared" si="31"/>
        <v>4.0408080341045789</v>
      </c>
      <c r="R115" s="9">
        <v>48.655999999999999</v>
      </c>
      <c r="S115" s="9">
        <v>64.188999999999993</v>
      </c>
    </row>
    <row r="116" spans="1:19" x14ac:dyDescent="0.35">
      <c r="A116" s="3">
        <f>vals_co2_incLUC!$A116</f>
        <v>1963</v>
      </c>
      <c r="B116" s="4">
        <f t="shared" si="24"/>
        <v>44.980460786752957</v>
      </c>
      <c r="C116" s="4">
        <f t="shared" si="25"/>
        <v>53.132790997990817</v>
      </c>
      <c r="D116" s="4">
        <f t="shared" si="26"/>
        <v>61.794279777834227</v>
      </c>
      <c r="E116" s="4">
        <f t="shared" si="27"/>
        <v>65.865917225963727</v>
      </c>
      <c r="F116" s="4">
        <f t="shared" si="28"/>
        <v>8.1523302112378602</v>
      </c>
      <c r="G116" s="4">
        <f t="shared" si="29"/>
        <v>0</v>
      </c>
      <c r="H116" s="4">
        <f t="shared" si="30"/>
        <v>8.6614887798434097</v>
      </c>
      <c r="I116" s="5">
        <f>vals_co2_incLUC!$R116</f>
        <v>44.980460786752957</v>
      </c>
      <c r="J116" s="5">
        <f>vals_co2_incLUC!$X116</f>
        <v>53.132790997990817</v>
      </c>
      <c r="K116" s="5">
        <f>vals_co2_incLUC!$AD116</f>
        <v>44.980471731830846</v>
      </c>
      <c r="L116" s="5">
        <f>vals_co2_incLUC!$AJ116</f>
        <v>52.631013211961353</v>
      </c>
      <c r="M116" s="5">
        <f>vals_co2_incLUC!$S116</f>
        <v>61.794279777834227</v>
      </c>
      <c r="N116" s="5">
        <f>vals_co2_incLUC!$Y116</f>
        <v>65.865917225963727</v>
      </c>
      <c r="O116" s="5">
        <f>vals_co2_incLUC!$AE116</f>
        <v>61.794295020423625</v>
      </c>
      <c r="P116" s="5">
        <f>vals_co2_incLUC!$AK116</f>
        <v>64.658501198609059</v>
      </c>
      <c r="Q116" s="9">
        <f t="shared" si="31"/>
        <v>4.0716374481295006</v>
      </c>
      <c r="R116" s="9">
        <v>48.511000000000003</v>
      </c>
      <c r="S116" s="9">
        <v>64.052999999999997</v>
      </c>
    </row>
    <row r="117" spans="1:19" x14ac:dyDescent="0.35">
      <c r="A117" s="6">
        <f>vals_co2_incLUC!$A117</f>
        <v>1964</v>
      </c>
      <c r="B117" s="7">
        <f t="shared" si="24"/>
        <v>44.887558269425718</v>
      </c>
      <c r="C117" s="7">
        <f t="shared" si="25"/>
        <v>52.876092238761807</v>
      </c>
      <c r="D117" s="7">
        <f t="shared" si="26"/>
        <v>61.677120430706424</v>
      </c>
      <c r="E117" s="7">
        <f t="shared" si="27"/>
        <v>65.756220132195395</v>
      </c>
      <c r="F117" s="7">
        <f t="shared" si="28"/>
        <v>7.9885339693360891</v>
      </c>
      <c r="G117" s="7">
        <f t="shared" si="29"/>
        <v>0</v>
      </c>
      <c r="H117" s="7">
        <f t="shared" si="30"/>
        <v>8.8010281919446172</v>
      </c>
      <c r="I117" s="8">
        <f>vals_co2_incLUC!$R117</f>
        <v>44.887558269425718</v>
      </c>
      <c r="J117" s="8">
        <f>vals_co2_incLUC!$X117</f>
        <v>52.876092238761807</v>
      </c>
      <c r="K117" s="8">
        <f>vals_co2_incLUC!$AD117</f>
        <v>44.887571624861891</v>
      </c>
      <c r="L117" s="8">
        <f>vals_co2_incLUC!$AJ117</f>
        <v>52.454139090228082</v>
      </c>
      <c r="M117" s="8">
        <f>vals_co2_incLUC!$S117</f>
        <v>61.677120430706424</v>
      </c>
      <c r="N117" s="8">
        <f>vals_co2_incLUC!$Y117</f>
        <v>65.756220132195395</v>
      </c>
      <c r="O117" s="8">
        <f>vals_co2_incLUC!$AE117</f>
        <v>61.677138983958315</v>
      </c>
      <c r="P117" s="8">
        <f>vals_co2_incLUC!$AK117</f>
        <v>64.552940012441653</v>
      </c>
      <c r="Q117" s="9">
        <f t="shared" si="31"/>
        <v>4.0790997014889712</v>
      </c>
      <c r="R117" s="9">
        <v>48.39</v>
      </c>
      <c r="S117" s="9">
        <v>63.944000000000003</v>
      </c>
    </row>
    <row r="118" spans="1:19" x14ac:dyDescent="0.35">
      <c r="A118" s="3">
        <f>vals_co2_incLUC!$A118</f>
        <v>1965</v>
      </c>
      <c r="B118" s="4">
        <f t="shared" si="24"/>
        <v>44.813518860831387</v>
      </c>
      <c r="C118" s="4">
        <f t="shared" si="25"/>
        <v>52.621745297099011</v>
      </c>
      <c r="D118" s="4">
        <f t="shared" si="26"/>
        <v>61.581621794806274</v>
      </c>
      <c r="E118" s="4">
        <f t="shared" si="27"/>
        <v>65.646456273482386</v>
      </c>
      <c r="F118" s="4">
        <f t="shared" si="28"/>
        <v>7.8082264362676241</v>
      </c>
      <c r="G118" s="4">
        <f t="shared" si="29"/>
        <v>0</v>
      </c>
      <c r="H118" s="4">
        <f t="shared" si="30"/>
        <v>8.9598764977072634</v>
      </c>
      <c r="I118" s="5">
        <f>vals_co2_incLUC!$R118</f>
        <v>44.813518860831387</v>
      </c>
      <c r="J118" s="5">
        <f>vals_co2_incLUC!$X118</f>
        <v>52.621745297099011</v>
      </c>
      <c r="K118" s="5">
        <f>vals_co2_incLUC!$AD118</f>
        <v>44.813534888929269</v>
      </c>
      <c r="L118" s="5">
        <f>vals_co2_incLUC!$AJ118</f>
        <v>52.294779837225803</v>
      </c>
      <c r="M118" s="5">
        <f>vals_co2_incLUC!$S118</f>
        <v>61.581621794806274</v>
      </c>
      <c r="N118" s="5">
        <f>vals_co2_incLUC!$Y118</f>
        <v>65.646456273482386</v>
      </c>
      <c r="O118" s="5">
        <f>vals_co2_incLUC!$AE118</f>
        <v>61.581644018920457</v>
      </c>
      <c r="P118" s="5">
        <f>vals_co2_incLUC!$AK118</f>
        <v>64.469870530981567</v>
      </c>
      <c r="Q118" s="9">
        <f t="shared" si="31"/>
        <v>4.0648344786761115</v>
      </c>
      <c r="R118" s="9">
        <v>48.286999999999999</v>
      </c>
      <c r="S118" s="9">
        <v>63.856999999999999</v>
      </c>
    </row>
    <row r="119" spans="1:19" x14ac:dyDescent="0.35">
      <c r="A119" s="6">
        <f>vals_co2_incLUC!$A119</f>
        <v>1966</v>
      </c>
      <c r="B119" s="7">
        <f t="shared" si="24"/>
        <v>44.761083071495328</v>
      </c>
      <c r="C119" s="7">
        <f t="shared" si="25"/>
        <v>52.382642152649098</v>
      </c>
      <c r="D119" s="7">
        <f t="shared" si="26"/>
        <v>61.512348841048372</v>
      </c>
      <c r="E119" s="7">
        <f t="shared" si="27"/>
        <v>65.545148725979658</v>
      </c>
      <c r="F119" s="7">
        <f t="shared" si="28"/>
        <v>7.6215590811537695</v>
      </c>
      <c r="G119" s="7">
        <f t="shared" si="29"/>
        <v>0</v>
      </c>
      <c r="H119" s="7">
        <f t="shared" si="30"/>
        <v>9.1297066883992741</v>
      </c>
      <c r="I119" s="8">
        <f>vals_co2_incLUC!$R119</f>
        <v>44.761083071495328</v>
      </c>
      <c r="J119" s="8">
        <f>vals_co2_incLUC!$X119</f>
        <v>52.382642152649098</v>
      </c>
      <c r="K119" s="8">
        <f>vals_co2_incLUC!$AD119</f>
        <v>44.761101633312691</v>
      </c>
      <c r="L119" s="8">
        <f>vals_co2_incLUC!$AJ119</f>
        <v>52.153636134808757</v>
      </c>
      <c r="M119" s="8">
        <f>vals_co2_incLUC!$S119</f>
        <v>61.512348841048372</v>
      </c>
      <c r="N119" s="8">
        <f>vals_co2_incLUC!$Y119</f>
        <v>65.545148725979658</v>
      </c>
      <c r="O119" s="8">
        <f>vals_co2_incLUC!$AE119</f>
        <v>61.512374642109577</v>
      </c>
      <c r="P119" s="8">
        <f>vals_co2_incLUC!$AK119</f>
        <v>64.405406566210587</v>
      </c>
      <c r="Q119" s="9">
        <f t="shared" si="31"/>
        <v>4.0327998849312863</v>
      </c>
      <c r="R119" s="9">
        <v>48.207000000000001</v>
      </c>
      <c r="S119" s="9">
        <v>63.795000000000002</v>
      </c>
    </row>
    <row r="120" spans="1:19" x14ac:dyDescent="0.35">
      <c r="A120" s="3">
        <f>vals_co2_incLUC!$A120</f>
        <v>1967</v>
      </c>
      <c r="B120" s="4">
        <f t="shared" si="24"/>
        <v>44.761697256791535</v>
      </c>
      <c r="C120" s="4">
        <f t="shared" si="25"/>
        <v>52.165771665123451</v>
      </c>
      <c r="D120" s="4">
        <f t="shared" si="26"/>
        <v>61.496603087987722</v>
      </c>
      <c r="E120" s="4">
        <f t="shared" si="27"/>
        <v>65.462536478402512</v>
      </c>
      <c r="F120" s="4">
        <f t="shared" si="28"/>
        <v>7.4040744083319154</v>
      </c>
      <c r="G120" s="4">
        <f t="shared" si="29"/>
        <v>0</v>
      </c>
      <c r="H120" s="4">
        <f t="shared" si="30"/>
        <v>9.3308314228642715</v>
      </c>
      <c r="I120" s="5">
        <f>vals_co2_incLUC!$R120</f>
        <v>44.761697256791535</v>
      </c>
      <c r="J120" s="5">
        <f>vals_co2_incLUC!$X120</f>
        <v>52.165771665123451</v>
      </c>
      <c r="K120" s="5">
        <f>vals_co2_incLUC!$AD120</f>
        <v>44.761718650496377</v>
      </c>
      <c r="L120" s="5">
        <f>vals_co2_incLUC!$AJ120</f>
        <v>52.040627037676281</v>
      </c>
      <c r="M120" s="5">
        <f>vals_co2_incLUC!$S120</f>
        <v>61.496603087987722</v>
      </c>
      <c r="N120" s="5">
        <f>vals_co2_incLUC!$Y120</f>
        <v>65.462536478402512</v>
      </c>
      <c r="O120" s="5">
        <f>vals_co2_incLUC!$AE120</f>
        <v>61.496632767428025</v>
      </c>
      <c r="P120" s="5">
        <f>vals_co2_incLUC!$AK120</f>
        <v>64.372222676633584</v>
      </c>
      <c r="Q120" s="9">
        <f t="shared" si="31"/>
        <v>3.96593339041479</v>
      </c>
      <c r="R120" s="9">
        <v>48.171999999999997</v>
      </c>
      <c r="S120" s="9">
        <v>63.777999999999999</v>
      </c>
    </row>
    <row r="121" spans="1:19" x14ac:dyDescent="0.35">
      <c r="A121" s="6">
        <f>vals_co2_incLUC!$A121</f>
        <v>1968</v>
      </c>
      <c r="B121" s="7">
        <f t="shared" si="24"/>
        <v>44.781992545581041</v>
      </c>
      <c r="C121" s="7">
        <f t="shared" si="25"/>
        <v>51.980771341267307</v>
      </c>
      <c r="D121" s="7">
        <f t="shared" si="26"/>
        <v>61.509916698175779</v>
      </c>
      <c r="E121" s="7">
        <f t="shared" si="27"/>
        <v>65.405742300962345</v>
      </c>
      <c r="F121" s="7">
        <f t="shared" si="28"/>
        <v>7.1987787956862661</v>
      </c>
      <c r="G121" s="7">
        <f t="shared" si="29"/>
        <v>0</v>
      </c>
      <c r="H121" s="7">
        <f t="shared" si="30"/>
        <v>9.5291453569084723</v>
      </c>
      <c r="I121" s="8">
        <f>vals_co2_incLUC!$R121</f>
        <v>44.781992545581041</v>
      </c>
      <c r="J121" s="8">
        <f>vals_co2_incLUC!$X121</f>
        <v>51.980771341267307</v>
      </c>
      <c r="K121" s="8">
        <f>vals_co2_incLUC!$AD121</f>
        <v>44.782016790671442</v>
      </c>
      <c r="L121" s="8">
        <f>vals_co2_incLUC!$AJ121</f>
        <v>51.940029670662909</v>
      </c>
      <c r="M121" s="8">
        <f>vals_co2_incLUC!$S121</f>
        <v>61.509916698175779</v>
      </c>
      <c r="N121" s="8">
        <f>vals_co2_incLUC!$Y121</f>
        <v>65.405742300962345</v>
      </c>
      <c r="O121" s="8">
        <f>vals_co2_incLUC!$AE121</f>
        <v>61.509950281789571</v>
      </c>
      <c r="P121" s="8">
        <f>vals_co2_incLUC!$AK121</f>
        <v>64.354008854759286</v>
      </c>
      <c r="Q121" s="9">
        <f t="shared" si="31"/>
        <v>3.8958256027865659</v>
      </c>
      <c r="R121" s="9">
        <v>48.152999999999999</v>
      </c>
      <c r="S121" s="9">
        <v>63.783000000000001</v>
      </c>
    </row>
    <row r="122" spans="1:19" x14ac:dyDescent="0.35">
      <c r="A122" s="3">
        <f>vals_co2_incLUC!$A122</f>
        <v>1969</v>
      </c>
      <c r="B122" s="4">
        <f t="shared" si="24"/>
        <v>44.734120620711273</v>
      </c>
      <c r="C122" s="4">
        <f t="shared" si="25"/>
        <v>51.821657669833478</v>
      </c>
      <c r="D122" s="4">
        <f t="shared" si="26"/>
        <v>61.434291512039138</v>
      </c>
      <c r="E122" s="4">
        <f t="shared" si="27"/>
        <v>65.357635676338731</v>
      </c>
      <c r="F122" s="4">
        <f t="shared" si="28"/>
        <v>7.0875370491222043</v>
      </c>
      <c r="G122" s="4">
        <f t="shared" si="29"/>
        <v>0</v>
      </c>
      <c r="H122" s="4">
        <f t="shared" si="30"/>
        <v>9.6126338422056605</v>
      </c>
      <c r="I122" s="5">
        <f>vals_co2_incLUC!$R122</f>
        <v>44.734120620711273</v>
      </c>
      <c r="J122" s="5">
        <f>vals_co2_incLUC!$X122</f>
        <v>51.812720803444122</v>
      </c>
      <c r="K122" s="5">
        <f>vals_co2_incLUC!$AD122</f>
        <v>44.734149802553816</v>
      </c>
      <c r="L122" s="5">
        <f>vals_co2_incLUC!$AJ122</f>
        <v>51.821657669833478</v>
      </c>
      <c r="M122" s="5">
        <f>vals_co2_incLUC!$S122</f>
        <v>61.434291512039138</v>
      </c>
      <c r="N122" s="5">
        <f>vals_co2_incLUC!$Y122</f>
        <v>65.357635676338731</v>
      </c>
      <c r="O122" s="5">
        <f>vals_co2_incLUC!$AE122</f>
        <v>61.434331864481173</v>
      </c>
      <c r="P122" s="5">
        <f>vals_co2_incLUC!$AK122</f>
        <v>64.314636942304531</v>
      </c>
      <c r="Q122" s="9">
        <f t="shared" si="31"/>
        <v>3.9233441642995928</v>
      </c>
      <c r="R122" s="9">
        <v>48.078000000000003</v>
      </c>
      <c r="S122" s="9">
        <v>63.716000000000001</v>
      </c>
    </row>
    <row r="123" spans="1:19" x14ac:dyDescent="0.35">
      <c r="A123" s="6">
        <f>vals_co2_incLUC!$A123</f>
        <v>1970</v>
      </c>
      <c r="B123" s="7">
        <f t="shared" si="24"/>
        <v>44.694729212131804</v>
      </c>
      <c r="C123" s="7">
        <f t="shared" si="25"/>
        <v>51.683630300637041</v>
      </c>
      <c r="D123" s="7">
        <f t="shared" si="26"/>
        <v>61.385197124275123</v>
      </c>
      <c r="E123" s="7">
        <f t="shared" si="27"/>
        <v>65.306825560442348</v>
      </c>
      <c r="F123" s="7">
        <f t="shared" si="28"/>
        <v>6.9889010885052372</v>
      </c>
      <c r="G123" s="7">
        <f t="shared" si="29"/>
        <v>0</v>
      </c>
      <c r="H123" s="7">
        <f t="shared" si="30"/>
        <v>9.7015668236380819</v>
      </c>
      <c r="I123" s="8">
        <f>vals_co2_incLUC!$R123</f>
        <v>44.694729212131804</v>
      </c>
      <c r="J123" s="8">
        <f>vals_co2_incLUC!$X123</f>
        <v>51.658774196993264</v>
      </c>
      <c r="K123" s="8">
        <f>vals_co2_incLUC!$AD123</f>
        <v>44.6947660612677</v>
      </c>
      <c r="L123" s="8">
        <f>vals_co2_incLUC!$AJ123</f>
        <v>51.683630300637041</v>
      </c>
      <c r="M123" s="8">
        <f>vals_co2_incLUC!$S123</f>
        <v>61.385197124275123</v>
      </c>
      <c r="N123" s="8">
        <f>vals_co2_incLUC!$Y123</f>
        <v>65.306825560442348</v>
      </c>
      <c r="O123" s="8">
        <f>vals_co2_incLUC!$AE123</f>
        <v>61.385248004986579</v>
      </c>
      <c r="P123" s="8">
        <f>vals_co2_incLUC!$AK123</f>
        <v>64.258026980267303</v>
      </c>
      <c r="Q123" s="9">
        <f t="shared" si="31"/>
        <v>3.9216284361672251</v>
      </c>
      <c r="R123" s="9">
        <v>48.003999999999998</v>
      </c>
      <c r="S123" s="9">
        <v>63.661999999999999</v>
      </c>
    </row>
    <row r="124" spans="1:19" x14ac:dyDescent="0.35">
      <c r="A124" s="3">
        <f>vals_co2_incLUC!$A124</f>
        <v>1971</v>
      </c>
      <c r="B124" s="4">
        <f t="shared" si="24"/>
        <v>44.6643934597003</v>
      </c>
      <c r="C124" s="4">
        <f t="shared" si="25"/>
        <v>51.560541127826319</v>
      </c>
      <c r="D124" s="4">
        <f t="shared" si="26"/>
        <v>61.344007572044731</v>
      </c>
      <c r="E124" s="4">
        <f t="shared" si="27"/>
        <v>65.253236542691695</v>
      </c>
      <c r="F124" s="4">
        <f t="shared" si="28"/>
        <v>6.8961476681260194</v>
      </c>
      <c r="G124" s="4">
        <f t="shared" si="29"/>
        <v>0</v>
      </c>
      <c r="H124" s="4">
        <f t="shared" si="30"/>
        <v>9.7834664442184121</v>
      </c>
      <c r="I124" s="5">
        <f>vals_co2_incLUC!$R124</f>
        <v>44.6643934597003</v>
      </c>
      <c r="J124" s="5">
        <f>vals_co2_incLUC!$X124</f>
        <v>51.498364704237552</v>
      </c>
      <c r="K124" s="5">
        <f>vals_co2_incLUC!$AD124</f>
        <v>44.66443949896243</v>
      </c>
      <c r="L124" s="5">
        <f>vals_co2_incLUC!$AJ124</f>
        <v>51.560541127826319</v>
      </c>
      <c r="M124" s="5">
        <f>vals_co2_incLUC!$S124</f>
        <v>61.344007572044731</v>
      </c>
      <c r="N124" s="5">
        <f>vals_co2_incLUC!$Y124</f>
        <v>65.253236542691695</v>
      </c>
      <c r="O124" s="5">
        <f>vals_co2_incLUC!$AE124</f>
        <v>61.344070948366792</v>
      </c>
      <c r="P124" s="5">
        <f>vals_co2_incLUC!$AK124</f>
        <v>64.210186514336002</v>
      </c>
      <c r="Q124" s="9">
        <f t="shared" si="31"/>
        <v>3.9092289706469643</v>
      </c>
      <c r="R124" s="9">
        <v>47.945999999999998</v>
      </c>
      <c r="S124" s="9">
        <v>63.622</v>
      </c>
    </row>
    <row r="125" spans="1:19" x14ac:dyDescent="0.35">
      <c r="A125" s="6">
        <f>vals_co2_incLUC!$A125</f>
        <v>1972</v>
      </c>
      <c r="B125" s="7">
        <f t="shared" si="24"/>
        <v>44.604085759864077</v>
      </c>
      <c r="C125" s="7">
        <f t="shared" si="25"/>
        <v>51.440832848791032</v>
      </c>
      <c r="D125" s="7">
        <f t="shared" si="26"/>
        <v>61.262775996086418</v>
      </c>
      <c r="E125" s="7">
        <f t="shared" si="27"/>
        <v>65.214498040169332</v>
      </c>
      <c r="F125" s="7">
        <f t="shared" si="28"/>
        <v>6.8367470889269555</v>
      </c>
      <c r="G125" s="7">
        <f t="shared" si="29"/>
        <v>0</v>
      </c>
      <c r="H125" s="7">
        <f t="shared" si="30"/>
        <v>9.8219431472953858</v>
      </c>
      <c r="I125" s="8">
        <f>vals_co2_incLUC!$R125</f>
        <v>44.604085759864077</v>
      </c>
      <c r="J125" s="8">
        <f>vals_co2_incLUC!$X125</f>
        <v>51.354609381456982</v>
      </c>
      <c r="K125" s="8">
        <f>vals_co2_incLUC!$AD125</f>
        <v>44.604140670961776</v>
      </c>
      <c r="L125" s="8">
        <f>vals_co2_incLUC!$AJ125</f>
        <v>51.440832848791032</v>
      </c>
      <c r="M125" s="8">
        <f>vals_co2_incLUC!$S125</f>
        <v>61.262775996086418</v>
      </c>
      <c r="N125" s="8">
        <f>vals_co2_incLUC!$Y125</f>
        <v>65.214498040169332</v>
      </c>
      <c r="O125" s="8">
        <f>vals_co2_incLUC!$AE125</f>
        <v>61.262851643156544</v>
      </c>
      <c r="P125" s="8">
        <f>vals_co2_incLUC!$AK125</f>
        <v>64.16875376661919</v>
      </c>
      <c r="Q125" s="9">
        <f t="shared" si="31"/>
        <v>3.9517220440829135</v>
      </c>
      <c r="R125" s="9">
        <v>47.869</v>
      </c>
      <c r="S125" s="9">
        <v>63.558</v>
      </c>
    </row>
    <row r="126" spans="1:19" x14ac:dyDescent="0.35">
      <c r="A126" s="3">
        <f>vals_co2_incLUC!$A126</f>
        <v>1973</v>
      </c>
      <c r="B126" s="4">
        <f t="shared" si="24"/>
        <v>44.561987978215441</v>
      </c>
      <c r="C126" s="4">
        <f t="shared" si="25"/>
        <v>51.323293441179771</v>
      </c>
      <c r="D126" s="4">
        <f t="shared" si="26"/>
        <v>61.208173832988543</v>
      </c>
      <c r="E126" s="4">
        <f t="shared" si="27"/>
        <v>65.172659465453748</v>
      </c>
      <c r="F126" s="4">
        <f t="shared" si="28"/>
        <v>6.7613054629643301</v>
      </c>
      <c r="G126" s="4">
        <f t="shared" si="29"/>
        <v>0</v>
      </c>
      <c r="H126" s="4">
        <f t="shared" si="30"/>
        <v>9.8848803918087711</v>
      </c>
      <c r="I126" s="5">
        <f>vals_co2_incLUC!$R126</f>
        <v>44.561987978215441</v>
      </c>
      <c r="J126" s="5">
        <f>vals_co2_incLUC!$X126</f>
        <v>51.214888418427954</v>
      </c>
      <c r="K126" s="5">
        <f>vals_co2_incLUC!$AD126</f>
        <v>44.562051003921546</v>
      </c>
      <c r="L126" s="5">
        <f>vals_co2_incLUC!$AJ126</f>
        <v>51.323293441179771</v>
      </c>
      <c r="M126" s="5">
        <f>vals_co2_incLUC!$S126</f>
        <v>61.208173832988543</v>
      </c>
      <c r="N126" s="5">
        <f>vals_co2_incLUC!$Y126</f>
        <v>65.172659465453748</v>
      </c>
      <c r="O126" s="5">
        <f>vals_co2_incLUC!$AE126</f>
        <v>61.208260625230892</v>
      </c>
      <c r="P126" s="5">
        <f>vals_co2_incLUC!$AK126</f>
        <v>64.129574616225753</v>
      </c>
      <c r="Q126" s="9">
        <f t="shared" si="31"/>
        <v>3.9644856324652054</v>
      </c>
      <c r="R126" s="9">
        <v>47.805999999999997</v>
      </c>
      <c r="S126" s="9">
        <v>63.514000000000003</v>
      </c>
    </row>
    <row r="127" spans="1:19" x14ac:dyDescent="0.35">
      <c r="A127" s="6">
        <f>vals_co2_incLUC!$A127</f>
        <v>1974</v>
      </c>
      <c r="B127" s="7">
        <f t="shared" si="24"/>
        <v>44.503458877680671</v>
      </c>
      <c r="C127" s="7">
        <f t="shared" si="25"/>
        <v>51.18318579902845</v>
      </c>
      <c r="D127" s="7">
        <f t="shared" si="26"/>
        <v>61.145917674589064</v>
      </c>
      <c r="E127" s="7">
        <f t="shared" si="27"/>
        <v>65.111981279834438</v>
      </c>
      <c r="F127" s="7">
        <f t="shared" si="28"/>
        <v>6.679726921347779</v>
      </c>
      <c r="G127" s="7">
        <f t="shared" si="29"/>
        <v>0</v>
      </c>
      <c r="H127" s="7">
        <f t="shared" si="30"/>
        <v>9.962731875560614</v>
      </c>
      <c r="I127" s="8">
        <f>vals_co2_incLUC!$R127</f>
        <v>44.503458877680671</v>
      </c>
      <c r="J127" s="8">
        <f>vals_co2_incLUC!$X127</f>
        <v>51.053003423786038</v>
      </c>
      <c r="K127" s="8">
        <f>vals_co2_incLUC!$AD127</f>
        <v>44.503532399891462</v>
      </c>
      <c r="L127" s="8">
        <f>vals_co2_incLUC!$AJ127</f>
        <v>51.18318579902845</v>
      </c>
      <c r="M127" s="8">
        <f>vals_co2_incLUC!$S127</f>
        <v>61.145917674589064</v>
      </c>
      <c r="N127" s="8">
        <f>vals_co2_incLUC!$Y127</f>
        <v>65.111981279834438</v>
      </c>
      <c r="O127" s="8">
        <f>vals_co2_incLUC!$AE127</f>
        <v>61.146018909826196</v>
      </c>
      <c r="P127" s="8">
        <f>vals_co2_incLUC!$AK127</f>
        <v>64.077362505134445</v>
      </c>
      <c r="Q127" s="9">
        <f t="shared" si="31"/>
        <v>3.9660636052453739</v>
      </c>
      <c r="R127" s="9">
        <v>47.722000000000001</v>
      </c>
      <c r="S127" s="9">
        <v>63.457999999999998</v>
      </c>
    </row>
    <row r="128" spans="1:19" x14ac:dyDescent="0.35">
      <c r="A128" s="3">
        <f>vals_co2_incLUC!$A128</f>
        <v>1975</v>
      </c>
      <c r="B128" s="4">
        <f t="shared" si="24"/>
        <v>44.429314265172927</v>
      </c>
      <c r="C128" s="4">
        <f t="shared" si="25"/>
        <v>51.014381377433452</v>
      </c>
      <c r="D128" s="4">
        <f t="shared" si="26"/>
        <v>61.084422071098231</v>
      </c>
      <c r="E128" s="4">
        <f t="shared" si="27"/>
        <v>65.030839763723165</v>
      </c>
      <c r="F128" s="4">
        <f t="shared" si="28"/>
        <v>6.5850671122605249</v>
      </c>
      <c r="G128" s="4">
        <f t="shared" si="29"/>
        <v>0</v>
      </c>
      <c r="H128" s="4">
        <f t="shared" si="30"/>
        <v>10.070040693664779</v>
      </c>
      <c r="I128" s="5">
        <f>vals_co2_incLUC!$R128</f>
        <v>44.429314265172927</v>
      </c>
      <c r="J128" s="5">
        <f>vals_co2_incLUC!$X128</f>
        <v>50.858344604669313</v>
      </c>
      <c r="K128" s="5">
        <f>vals_co2_incLUC!$AD128</f>
        <v>44.429398232546156</v>
      </c>
      <c r="L128" s="5">
        <f>vals_co2_incLUC!$AJ128</f>
        <v>51.014381377433452</v>
      </c>
      <c r="M128" s="5">
        <f>vals_co2_incLUC!$S128</f>
        <v>61.084422071098231</v>
      </c>
      <c r="N128" s="5">
        <f>vals_co2_incLUC!$Y128</f>
        <v>65.030839763723165</v>
      </c>
      <c r="O128" s="5">
        <f>vals_co2_incLUC!$AE128</f>
        <v>61.084537729585662</v>
      </c>
      <c r="P128" s="5">
        <f>vals_co2_incLUC!$AK128</f>
        <v>64.004331807110006</v>
      </c>
      <c r="Q128" s="9">
        <f t="shared" si="31"/>
        <v>3.9464176926249337</v>
      </c>
      <c r="R128" s="9">
        <v>47.616999999999997</v>
      </c>
      <c r="S128" s="9">
        <v>63.393999999999998</v>
      </c>
    </row>
    <row r="129" spans="1:19" x14ac:dyDescent="0.35">
      <c r="A129" s="6">
        <f>vals_co2_incLUC!$A129</f>
        <v>1976</v>
      </c>
      <c r="B129" s="7">
        <f t="shared" si="24"/>
        <v>44.371054721484448</v>
      </c>
      <c r="C129" s="7">
        <f t="shared" si="25"/>
        <v>50.851529139022389</v>
      </c>
      <c r="D129" s="7">
        <f t="shared" si="26"/>
        <v>61.043067418727112</v>
      </c>
      <c r="E129" s="7">
        <f t="shared" si="27"/>
        <v>64.949715798961165</v>
      </c>
      <c r="F129" s="7">
        <f t="shared" si="28"/>
        <v>6.4804744175379412</v>
      </c>
      <c r="G129" s="7">
        <f t="shared" si="29"/>
        <v>0</v>
      </c>
      <c r="H129" s="7">
        <f t="shared" si="30"/>
        <v>10.191538279704723</v>
      </c>
      <c r="I129" s="8">
        <f>vals_co2_incLUC!$R129</f>
        <v>44.371054721484448</v>
      </c>
      <c r="J129" s="8">
        <f>vals_co2_incLUC!$X129</f>
        <v>50.670407830007157</v>
      </c>
      <c r="K129" s="8">
        <f>vals_co2_incLUC!$AD129</f>
        <v>44.371145410758679</v>
      </c>
      <c r="L129" s="8">
        <f>vals_co2_incLUC!$AJ129</f>
        <v>50.851529139022389</v>
      </c>
      <c r="M129" s="8">
        <f>vals_co2_incLUC!$S129</f>
        <v>61.043067418727112</v>
      </c>
      <c r="N129" s="8">
        <f>vals_co2_incLUC!$Y129</f>
        <v>64.949715798961165</v>
      </c>
      <c r="O129" s="8">
        <f>vals_co2_incLUC!$AE129</f>
        <v>61.043192393892923</v>
      </c>
      <c r="P129" s="8">
        <f>vals_co2_incLUC!$AK129</f>
        <v>63.941207398590926</v>
      </c>
      <c r="Q129" s="9">
        <f t="shared" si="31"/>
        <v>3.9066483802340528</v>
      </c>
      <c r="R129" s="9">
        <v>47.523000000000003</v>
      </c>
      <c r="S129" s="9">
        <v>63.344999999999999</v>
      </c>
    </row>
    <row r="130" spans="1:19" x14ac:dyDescent="0.35">
      <c r="A130" s="3">
        <f>vals_co2_incLUC!$A130</f>
        <v>1977</v>
      </c>
      <c r="B130" s="4">
        <f t="shared" si="24"/>
        <v>44.294855751160625</v>
      </c>
      <c r="C130" s="4">
        <f t="shared" si="25"/>
        <v>50.678834776522699</v>
      </c>
      <c r="D130" s="4">
        <f t="shared" si="26"/>
        <v>60.972544415243533</v>
      </c>
      <c r="E130" s="4">
        <f t="shared" si="27"/>
        <v>64.861696216951884</v>
      </c>
      <c r="F130" s="4">
        <f t="shared" si="28"/>
        <v>6.3839790253620734</v>
      </c>
      <c r="G130" s="4">
        <f t="shared" si="29"/>
        <v>0</v>
      </c>
      <c r="H130" s="4">
        <f t="shared" si="30"/>
        <v>10.293709638720834</v>
      </c>
      <c r="I130" s="5">
        <f>vals_co2_incLUC!$R130</f>
        <v>44.294855751160625</v>
      </c>
      <c r="J130" s="5">
        <f>vals_co2_incLUC!$X130</f>
        <v>50.477130921130865</v>
      </c>
      <c r="K130" s="5">
        <f>vals_co2_incLUC!$AD130</f>
        <v>44.294954022464083</v>
      </c>
      <c r="L130" s="5">
        <f>vals_co2_incLUC!$AJ130</f>
        <v>50.678834776522699</v>
      </c>
      <c r="M130" s="5">
        <f>vals_co2_incLUC!$S130</f>
        <v>60.972544415243533</v>
      </c>
      <c r="N130" s="5">
        <f>vals_co2_incLUC!$Y130</f>
        <v>64.861696216951884</v>
      </c>
      <c r="O130" s="5">
        <f>vals_co2_incLUC!$AE130</f>
        <v>60.972679893131101</v>
      </c>
      <c r="P130" s="5">
        <f>vals_co2_incLUC!$AK130</f>
        <v>63.868267111952015</v>
      </c>
      <c r="Q130" s="9">
        <f t="shared" si="31"/>
        <v>3.8891518017083513</v>
      </c>
      <c r="R130" s="9">
        <v>47.411999999999999</v>
      </c>
      <c r="S130" s="9">
        <v>63.274000000000001</v>
      </c>
    </row>
    <row r="131" spans="1:19" x14ac:dyDescent="0.35">
      <c r="A131" s="6">
        <f>vals_co2_incLUC!$A131</f>
        <v>1978</v>
      </c>
      <c r="B131" s="7">
        <f t="shared" ref="B131:B162" si="32">IFERROR(_xlfn.AGGREGATE(5,6,I131:L131),"")</f>
        <v>44.208906761969871</v>
      </c>
      <c r="C131" s="7">
        <f t="shared" ref="C131:C162" si="33">IFERROR(_xlfn.AGGREGATE(4,6,I131:L131),"")</f>
        <v>50.498396511272588</v>
      </c>
      <c r="D131" s="7">
        <f t="shared" ref="D131:D162" si="34">IFERROR(_xlfn.AGGREGATE(5,6,M131:P131),"")</f>
        <v>60.897392066305464</v>
      </c>
      <c r="E131" s="7">
        <f t="shared" ref="E131:E162" si="35">IFERROR(_xlfn.AGGREGATE(4,6,M131:P131),"")</f>
        <v>64.772123353377026</v>
      </c>
      <c r="F131" s="7">
        <f t="shared" ref="F131:F162" si="36">IFERROR(MIN(C131,D131)-B131,"")</f>
        <v>6.2894897493027173</v>
      </c>
      <c r="G131" s="7">
        <f t="shared" ref="G131:G162" si="37">IFERROR(MAX(0,C131-D131),"")</f>
        <v>0</v>
      </c>
      <c r="H131" s="7">
        <f t="shared" ref="H131:H162" si="38">IFERROR(MAX(0,D131-C131),"")</f>
        <v>10.398995555032876</v>
      </c>
      <c r="I131" s="8">
        <f>vals_co2_incLUC!$R131</f>
        <v>44.208906761969871</v>
      </c>
      <c r="J131" s="8">
        <f>vals_co2_incLUC!$X131</f>
        <v>50.28544089870762</v>
      </c>
      <c r="K131" s="8">
        <f>vals_co2_incLUC!$AD131</f>
        <v>44.209009809812628</v>
      </c>
      <c r="L131" s="8">
        <f>vals_co2_incLUC!$AJ131</f>
        <v>50.498396511272588</v>
      </c>
      <c r="M131" s="8">
        <f>vals_co2_incLUC!$S131</f>
        <v>60.897392066305464</v>
      </c>
      <c r="N131" s="8">
        <f>vals_co2_incLUC!$Y131</f>
        <v>64.772123353377026</v>
      </c>
      <c r="O131" s="8">
        <f>vals_co2_incLUC!$AE131</f>
        <v>60.897534109590666</v>
      </c>
      <c r="P131" s="8">
        <f>vals_co2_incLUC!$AK131</f>
        <v>63.785914505107456</v>
      </c>
      <c r="Q131" s="9">
        <f t="shared" ref="Q131:Q162" si="39">IFERROR(MAX(0,$E131-MAX($C131,$D131)),"")</f>
        <v>3.8747312870715618</v>
      </c>
      <c r="R131" s="9">
        <v>47.290999999999997</v>
      </c>
      <c r="S131" s="9">
        <v>63.194000000000003</v>
      </c>
    </row>
    <row r="132" spans="1:19" x14ac:dyDescent="0.35">
      <c r="A132" s="3">
        <f>vals_co2_incLUC!$A132</f>
        <v>1979</v>
      </c>
      <c r="B132" s="4">
        <f t="shared" si="32"/>
        <v>44.161049540100308</v>
      </c>
      <c r="C132" s="4">
        <f t="shared" si="33"/>
        <v>50.338847663517129</v>
      </c>
      <c r="D132" s="4">
        <f t="shared" si="34"/>
        <v>60.863007386738502</v>
      </c>
      <c r="E132" s="4">
        <f t="shared" si="35"/>
        <v>64.686985566725141</v>
      </c>
      <c r="F132" s="4">
        <f t="shared" si="36"/>
        <v>6.1777981234168209</v>
      </c>
      <c r="G132" s="4">
        <f t="shared" si="37"/>
        <v>0</v>
      </c>
      <c r="H132" s="4">
        <f t="shared" si="38"/>
        <v>10.524159723221373</v>
      </c>
      <c r="I132" s="5">
        <f>vals_co2_incLUC!$R132</f>
        <v>44.161049540100308</v>
      </c>
      <c r="J132" s="5">
        <f>vals_co2_incLUC!$X132</f>
        <v>50.107675095343531</v>
      </c>
      <c r="K132" s="5">
        <f>vals_co2_incLUC!$AD132</f>
        <v>44.161157943164874</v>
      </c>
      <c r="L132" s="5">
        <f>vals_co2_incLUC!$AJ132</f>
        <v>50.338847663517129</v>
      </c>
      <c r="M132" s="5">
        <f>vals_co2_incLUC!$S132</f>
        <v>60.863007386738502</v>
      </c>
      <c r="N132" s="5">
        <f>vals_co2_incLUC!$Y132</f>
        <v>64.686985566725141</v>
      </c>
      <c r="O132" s="5">
        <f>vals_co2_incLUC!$AE132</f>
        <v>60.8631568822505</v>
      </c>
      <c r="P132" s="5">
        <f>vals_co2_incLUC!$AK132</f>
        <v>63.717600298898923</v>
      </c>
      <c r="Q132" s="9">
        <f t="shared" si="39"/>
        <v>3.8239781799866392</v>
      </c>
      <c r="R132" s="9">
        <v>47.201999999999998</v>
      </c>
      <c r="S132" s="9">
        <v>63.146999999999998</v>
      </c>
    </row>
    <row r="133" spans="1:19" x14ac:dyDescent="0.35">
      <c r="A133" s="6">
        <f>vals_co2_incLUC!$A133</f>
        <v>1980</v>
      </c>
      <c r="B133" s="7">
        <f t="shared" si="32"/>
        <v>44.092329216428041</v>
      </c>
      <c r="C133" s="7">
        <f t="shared" si="33"/>
        <v>50.166221157318347</v>
      </c>
      <c r="D133" s="7">
        <f t="shared" si="34"/>
        <v>60.82688076453698</v>
      </c>
      <c r="E133" s="7">
        <f t="shared" si="35"/>
        <v>64.601391626419272</v>
      </c>
      <c r="F133" s="7">
        <f t="shared" si="36"/>
        <v>6.0738919408903058</v>
      </c>
      <c r="G133" s="7">
        <f t="shared" si="37"/>
        <v>0</v>
      </c>
      <c r="H133" s="7">
        <f t="shared" si="38"/>
        <v>10.660659607218633</v>
      </c>
      <c r="I133" s="8">
        <f>vals_co2_incLUC!$R133</f>
        <v>44.092329216428041</v>
      </c>
      <c r="J133" s="8">
        <f>vals_co2_incLUC!$X133</f>
        <v>49.918655152319786</v>
      </c>
      <c r="K133" s="8">
        <f>vals_co2_incLUC!$AD133</f>
        <v>44.09244376766884</v>
      </c>
      <c r="L133" s="8">
        <f>vals_co2_incLUC!$AJ133</f>
        <v>50.166221157318347</v>
      </c>
      <c r="M133" s="8">
        <f>vals_co2_incLUC!$S133</f>
        <v>60.82688076453698</v>
      </c>
      <c r="N133" s="8">
        <f>vals_co2_incLUC!$Y133</f>
        <v>64.601391626419272</v>
      </c>
      <c r="O133" s="8">
        <f>vals_co2_incLUC!$AE133</f>
        <v>60.827038883712866</v>
      </c>
      <c r="P133" s="8">
        <f>vals_co2_incLUC!$AK133</f>
        <v>63.653781467671386</v>
      </c>
      <c r="Q133" s="9">
        <f t="shared" si="39"/>
        <v>3.7745108618822911</v>
      </c>
      <c r="R133" s="9">
        <v>47.094000000000001</v>
      </c>
      <c r="S133" s="9">
        <v>63.097999999999999</v>
      </c>
    </row>
    <row r="134" spans="1:19" x14ac:dyDescent="0.35">
      <c r="A134" s="3">
        <f>vals_co2_incLUC!$A134</f>
        <v>1981</v>
      </c>
      <c r="B134" s="4">
        <f t="shared" si="32"/>
        <v>44.019243868241794</v>
      </c>
      <c r="C134" s="4">
        <f t="shared" si="33"/>
        <v>49.992715992668593</v>
      </c>
      <c r="D134" s="4">
        <f t="shared" si="34"/>
        <v>60.773080192232811</v>
      </c>
      <c r="E134" s="4">
        <f t="shared" si="35"/>
        <v>64.496203796909583</v>
      </c>
      <c r="F134" s="4">
        <f t="shared" si="36"/>
        <v>5.9734721244267988</v>
      </c>
      <c r="G134" s="4">
        <f t="shared" si="37"/>
        <v>0</v>
      </c>
      <c r="H134" s="4">
        <f t="shared" si="38"/>
        <v>10.780364199564218</v>
      </c>
      <c r="I134" s="5">
        <f>vals_co2_incLUC!$R134</f>
        <v>44.019243868241794</v>
      </c>
      <c r="J134" s="5">
        <f>vals_co2_incLUC!$X134</f>
        <v>49.722008945912862</v>
      </c>
      <c r="K134" s="5">
        <f>vals_co2_incLUC!$AD134</f>
        <v>44.019364380176434</v>
      </c>
      <c r="L134" s="5">
        <f>vals_co2_incLUC!$AJ134</f>
        <v>49.992715992668593</v>
      </c>
      <c r="M134" s="5">
        <f>vals_co2_incLUC!$S134</f>
        <v>60.773080192232811</v>
      </c>
      <c r="N134" s="5">
        <f>vals_co2_incLUC!$Y134</f>
        <v>64.496203796909583</v>
      </c>
      <c r="O134" s="5">
        <f>vals_co2_incLUC!$AE134</f>
        <v>60.773246761569666</v>
      </c>
      <c r="P134" s="5">
        <f>vals_co2_incLUC!$AK134</f>
        <v>63.572969899524189</v>
      </c>
      <c r="Q134" s="9">
        <f t="shared" si="39"/>
        <v>3.7231236046767719</v>
      </c>
      <c r="R134" s="9">
        <v>46.981999999999999</v>
      </c>
      <c r="S134" s="9">
        <v>63.031999999999996</v>
      </c>
    </row>
    <row r="135" spans="1:19" x14ac:dyDescent="0.35">
      <c r="A135" s="6">
        <f>vals_co2_incLUC!$A135</f>
        <v>1982</v>
      </c>
      <c r="B135" s="7">
        <f t="shared" si="32"/>
        <v>43.932231430758641</v>
      </c>
      <c r="C135" s="7">
        <f t="shared" si="33"/>
        <v>49.79788767838604</v>
      </c>
      <c r="D135" s="7">
        <f t="shared" si="34"/>
        <v>60.718009435110417</v>
      </c>
      <c r="E135" s="7">
        <f t="shared" si="35"/>
        <v>64.331903932606039</v>
      </c>
      <c r="F135" s="7">
        <f t="shared" si="36"/>
        <v>5.865656247627399</v>
      </c>
      <c r="G135" s="7">
        <f t="shared" si="37"/>
        <v>0</v>
      </c>
      <c r="H135" s="7">
        <f t="shared" si="38"/>
        <v>10.920121756724377</v>
      </c>
      <c r="I135" s="8">
        <f>vals_co2_incLUC!$R135</f>
        <v>43.932231430758641</v>
      </c>
      <c r="J135" s="8">
        <f>vals_co2_incLUC!$X135</f>
        <v>49.471302901553635</v>
      </c>
      <c r="K135" s="8">
        <f>vals_co2_incLUC!$AD135</f>
        <v>43.932356837467587</v>
      </c>
      <c r="L135" s="8">
        <f>vals_co2_incLUC!$AJ135</f>
        <v>49.79788767838604</v>
      </c>
      <c r="M135" s="8">
        <f>vals_co2_incLUC!$S135</f>
        <v>60.718009435110417</v>
      </c>
      <c r="N135" s="8">
        <f>vals_co2_incLUC!$Y135</f>
        <v>64.331903932606039</v>
      </c>
      <c r="O135" s="8">
        <f>vals_co2_incLUC!$AE135</f>
        <v>60.71818294445719</v>
      </c>
      <c r="P135" s="8">
        <f>vals_co2_incLUC!$AK135</f>
        <v>63.477696563762478</v>
      </c>
      <c r="Q135" s="9">
        <f t="shared" si="39"/>
        <v>3.6138944974956217</v>
      </c>
      <c r="R135" s="9">
        <v>46.853000000000002</v>
      </c>
      <c r="S135" s="9">
        <v>62.96</v>
      </c>
    </row>
    <row r="136" spans="1:19" x14ac:dyDescent="0.35">
      <c r="A136" s="3">
        <f>vals_co2_incLUC!$A136</f>
        <v>1983</v>
      </c>
      <c r="B136" s="4">
        <f t="shared" si="32"/>
        <v>43.835509197282207</v>
      </c>
      <c r="C136" s="4">
        <f t="shared" si="33"/>
        <v>49.591938396428631</v>
      </c>
      <c r="D136" s="4">
        <f t="shared" si="34"/>
        <v>60.650061655741069</v>
      </c>
      <c r="E136" s="4">
        <f t="shared" si="35"/>
        <v>64.153540196694763</v>
      </c>
      <c r="F136" s="4">
        <f t="shared" si="36"/>
        <v>5.7564291991464245</v>
      </c>
      <c r="G136" s="4">
        <f t="shared" si="37"/>
        <v>0</v>
      </c>
      <c r="H136" s="4">
        <f t="shared" si="38"/>
        <v>11.058123259312438</v>
      </c>
      <c r="I136" s="5">
        <f>vals_co2_incLUC!$R136</f>
        <v>43.835509197282207</v>
      </c>
      <c r="J136" s="5">
        <f>vals_co2_incLUC!$X136</f>
        <v>49.211250730509839</v>
      </c>
      <c r="K136" s="5">
        <f>vals_co2_incLUC!$AD136</f>
        <v>43.835639353429798</v>
      </c>
      <c r="L136" s="5">
        <f>vals_co2_incLUC!$AJ136</f>
        <v>49.591938396428631</v>
      </c>
      <c r="M136" s="5">
        <f>vals_co2_incLUC!$S136</f>
        <v>60.650061655741069</v>
      </c>
      <c r="N136" s="5">
        <f>vals_co2_incLUC!$Y136</f>
        <v>64.153540196694763</v>
      </c>
      <c r="O136" s="5">
        <f>vals_co2_incLUC!$AE136</f>
        <v>60.650242017940535</v>
      </c>
      <c r="P136" s="5">
        <f>vals_co2_incLUC!$AK136</f>
        <v>63.365031503869453</v>
      </c>
      <c r="Q136" s="9">
        <f t="shared" si="39"/>
        <v>3.5034785409536937</v>
      </c>
      <c r="R136" s="9">
        <v>46.712000000000003</v>
      </c>
      <c r="S136" s="9">
        <v>62.872</v>
      </c>
    </row>
    <row r="137" spans="1:19" x14ac:dyDescent="0.35">
      <c r="A137" s="6">
        <f>vals_co2_incLUC!$A137</f>
        <v>1984</v>
      </c>
      <c r="B137" s="7">
        <f t="shared" si="32"/>
        <v>43.71413216981243</v>
      </c>
      <c r="C137" s="7">
        <f t="shared" si="33"/>
        <v>49.379655624216781</v>
      </c>
      <c r="D137" s="7">
        <f t="shared" si="34"/>
        <v>60.545258421815248</v>
      </c>
      <c r="E137" s="7">
        <f t="shared" si="35"/>
        <v>63.963229987946754</v>
      </c>
      <c r="F137" s="7">
        <f t="shared" si="36"/>
        <v>5.6655234544043509</v>
      </c>
      <c r="G137" s="7">
        <f t="shared" si="37"/>
        <v>0</v>
      </c>
      <c r="H137" s="7">
        <f t="shared" si="38"/>
        <v>11.165602797598467</v>
      </c>
      <c r="I137" s="8">
        <f>vals_co2_incLUC!$R137</f>
        <v>43.71413216981243</v>
      </c>
      <c r="J137" s="8">
        <f>vals_co2_incLUC!$X137</f>
        <v>48.949018887945819</v>
      </c>
      <c r="K137" s="8">
        <f>vals_co2_incLUC!$AD137</f>
        <v>43.714264347388095</v>
      </c>
      <c r="L137" s="8">
        <f>vals_co2_incLUC!$AJ137</f>
        <v>49.379655624216781</v>
      </c>
      <c r="M137" s="8">
        <f>vals_co2_incLUC!$S137</f>
        <v>60.545258421815248</v>
      </c>
      <c r="N137" s="8">
        <f>vals_co2_incLUC!$Y137</f>
        <v>63.963229987946754</v>
      </c>
      <c r="O137" s="8">
        <f>vals_co2_incLUC!$AE137</f>
        <v>60.545441766597129</v>
      </c>
      <c r="P137" s="8">
        <f>vals_co2_incLUC!$AK137</f>
        <v>63.237626545056379</v>
      </c>
      <c r="Q137" s="9">
        <f t="shared" si="39"/>
        <v>3.4179715661315058</v>
      </c>
      <c r="R137" s="9">
        <v>46.552</v>
      </c>
      <c r="S137" s="9">
        <v>62.753999999999998</v>
      </c>
    </row>
    <row r="138" spans="1:19" x14ac:dyDescent="0.35">
      <c r="A138" s="3">
        <f>vals_co2_incLUC!$A138</f>
        <v>1985</v>
      </c>
      <c r="B138" s="4">
        <f t="shared" si="32"/>
        <v>43.567403642560251</v>
      </c>
      <c r="C138" s="4">
        <f t="shared" si="33"/>
        <v>49.138115755324527</v>
      </c>
      <c r="D138" s="4">
        <f t="shared" si="34"/>
        <v>60.423043409569033</v>
      </c>
      <c r="E138" s="4">
        <f t="shared" si="35"/>
        <v>63.76675267146733</v>
      </c>
      <c r="F138" s="4">
        <f t="shared" si="36"/>
        <v>5.5707121127642765</v>
      </c>
      <c r="G138" s="4">
        <f t="shared" si="37"/>
        <v>0</v>
      </c>
      <c r="H138" s="4">
        <f t="shared" si="38"/>
        <v>11.284927654244505</v>
      </c>
      <c r="I138" s="5">
        <f>vals_co2_incLUC!$R138</f>
        <v>43.567403642560251</v>
      </c>
      <c r="J138" s="5">
        <f>vals_co2_incLUC!$X138</f>
        <v>48.672198233885645</v>
      </c>
      <c r="K138" s="5">
        <f>vals_co2_incLUC!$AD138</f>
        <v>43.567537702688959</v>
      </c>
      <c r="L138" s="5">
        <f>vals_co2_incLUC!$AJ138</f>
        <v>49.138115755324527</v>
      </c>
      <c r="M138" s="5">
        <f>vals_co2_incLUC!$S138</f>
        <v>60.423043409569033</v>
      </c>
      <c r="N138" s="5">
        <f>vals_co2_incLUC!$Y138</f>
        <v>63.76675267146733</v>
      </c>
      <c r="O138" s="5">
        <f>vals_co2_incLUC!$AE138</f>
        <v>60.423229579760104</v>
      </c>
      <c r="P138" s="5">
        <f>vals_co2_incLUC!$AK138</f>
        <v>63.09084793501485</v>
      </c>
      <c r="Q138" s="9">
        <f t="shared" si="39"/>
        <v>3.3437092618982973</v>
      </c>
      <c r="R138" s="9">
        <v>46.363</v>
      </c>
      <c r="S138" s="9">
        <v>62.615000000000002</v>
      </c>
    </row>
    <row r="139" spans="1:19" x14ac:dyDescent="0.35">
      <c r="A139" s="6">
        <f>vals_co2_incLUC!$A139</f>
        <v>1986</v>
      </c>
      <c r="B139" s="7">
        <f t="shared" si="32"/>
        <v>43.403846724643799</v>
      </c>
      <c r="C139" s="7">
        <f t="shared" si="33"/>
        <v>48.887467048749485</v>
      </c>
      <c r="D139" s="7">
        <f t="shared" si="34"/>
        <v>60.28046311225215</v>
      </c>
      <c r="E139" s="7">
        <f t="shared" si="35"/>
        <v>63.563296742696529</v>
      </c>
      <c r="F139" s="7">
        <f t="shared" si="36"/>
        <v>5.4836203241056864</v>
      </c>
      <c r="G139" s="7">
        <f t="shared" si="37"/>
        <v>0</v>
      </c>
      <c r="H139" s="7">
        <f t="shared" si="38"/>
        <v>11.392996063502665</v>
      </c>
      <c r="I139" s="8">
        <f>vals_co2_incLUC!$R139</f>
        <v>43.403846724643799</v>
      </c>
      <c r="J139" s="8">
        <f>vals_co2_incLUC!$X139</f>
        <v>48.392646685900282</v>
      </c>
      <c r="K139" s="8">
        <f>vals_co2_incLUC!$AD139</f>
        <v>43.403982429618637</v>
      </c>
      <c r="L139" s="8">
        <f>vals_co2_incLUC!$AJ139</f>
        <v>48.887467048749485</v>
      </c>
      <c r="M139" s="8">
        <f>vals_co2_incLUC!$S139</f>
        <v>60.28046311225215</v>
      </c>
      <c r="N139" s="8">
        <f>vals_co2_incLUC!$Y139</f>
        <v>63.563296742696529</v>
      </c>
      <c r="O139" s="8">
        <f>vals_co2_incLUC!$AE139</f>
        <v>60.280651822419188</v>
      </c>
      <c r="P139" s="8">
        <f>vals_co2_incLUC!$AK139</f>
        <v>62.925409452746763</v>
      </c>
      <c r="Q139" s="9">
        <f t="shared" si="39"/>
        <v>3.2828336304443795</v>
      </c>
      <c r="R139" s="9">
        <v>46.161000000000001</v>
      </c>
      <c r="S139" s="9">
        <v>62.457999999999998</v>
      </c>
    </row>
    <row r="140" spans="1:19" x14ac:dyDescent="0.35">
      <c r="A140" s="3">
        <f>vals_co2_incLUC!$A140</f>
        <v>1987</v>
      </c>
      <c r="B140" s="4">
        <f t="shared" si="32"/>
        <v>43.265091505383268</v>
      </c>
      <c r="C140" s="4">
        <f t="shared" si="33"/>
        <v>48.650754065192459</v>
      </c>
      <c r="D140" s="4">
        <f t="shared" si="34"/>
        <v>60.160166130258155</v>
      </c>
      <c r="E140" s="4">
        <f t="shared" si="35"/>
        <v>63.360752349549998</v>
      </c>
      <c r="F140" s="4">
        <f t="shared" si="36"/>
        <v>5.385662559809191</v>
      </c>
      <c r="G140" s="4">
        <f t="shared" si="37"/>
        <v>0</v>
      </c>
      <c r="H140" s="4">
        <f t="shared" si="38"/>
        <v>11.509412065065696</v>
      </c>
      <c r="I140" s="5">
        <f>vals_co2_incLUC!$R140</f>
        <v>43.265091505383268</v>
      </c>
      <c r="J140" s="5">
        <f>vals_co2_incLUC!$X140</f>
        <v>48.123339998412149</v>
      </c>
      <c r="K140" s="5">
        <f>vals_co2_incLUC!$AD140</f>
        <v>43.265228963211285</v>
      </c>
      <c r="L140" s="5">
        <f>vals_co2_incLUC!$AJ140</f>
        <v>48.650754065192459</v>
      </c>
      <c r="M140" s="5">
        <f>vals_co2_incLUC!$S140</f>
        <v>60.160166130258155</v>
      </c>
      <c r="N140" s="5">
        <f>vals_co2_incLUC!$Y140</f>
        <v>63.360752349549998</v>
      </c>
      <c r="O140" s="5">
        <f>vals_co2_incLUC!$AE140</f>
        <v>60.160357500431097</v>
      </c>
      <c r="P140" s="5">
        <f>vals_co2_incLUC!$AK140</f>
        <v>62.768085990438614</v>
      </c>
      <c r="Q140" s="9">
        <f t="shared" si="39"/>
        <v>3.2005862192918428</v>
      </c>
      <c r="R140" s="9">
        <v>45.981000000000002</v>
      </c>
      <c r="S140" s="9">
        <v>62.317999999999998</v>
      </c>
    </row>
    <row r="141" spans="1:19" x14ac:dyDescent="0.35">
      <c r="A141" s="6">
        <f>vals_co2_incLUC!$A141</f>
        <v>1988</v>
      </c>
      <c r="B141" s="7">
        <f t="shared" si="32"/>
        <v>43.140848729575787</v>
      </c>
      <c r="C141" s="7">
        <f t="shared" si="33"/>
        <v>48.421749047083381</v>
      </c>
      <c r="D141" s="7">
        <f t="shared" si="34"/>
        <v>60.052324573787516</v>
      </c>
      <c r="E141" s="7">
        <f t="shared" si="35"/>
        <v>63.153276298606286</v>
      </c>
      <c r="F141" s="7">
        <f t="shared" si="36"/>
        <v>5.2809003175075944</v>
      </c>
      <c r="G141" s="7">
        <f t="shared" si="37"/>
        <v>0</v>
      </c>
      <c r="H141" s="7">
        <f t="shared" si="38"/>
        <v>11.630575526704135</v>
      </c>
      <c r="I141" s="8">
        <f>vals_co2_incLUC!$R141</f>
        <v>43.140848729575787</v>
      </c>
      <c r="J141" s="8">
        <f>vals_co2_incLUC!$X141</f>
        <v>47.862008491107552</v>
      </c>
      <c r="K141" s="8">
        <f>vals_co2_incLUC!$AD141</f>
        <v>43.140988552640522</v>
      </c>
      <c r="L141" s="8">
        <f>vals_co2_incLUC!$AJ141</f>
        <v>48.421749047083381</v>
      </c>
      <c r="M141" s="8">
        <f>vals_co2_incLUC!$S141</f>
        <v>60.052324573787516</v>
      </c>
      <c r="N141" s="8">
        <f>vals_co2_incLUC!$Y141</f>
        <v>63.153276298606286</v>
      </c>
      <c r="O141" s="8">
        <f>vals_co2_incLUC!$AE141</f>
        <v>60.052519438888197</v>
      </c>
      <c r="P141" s="8">
        <f>vals_co2_incLUC!$AK141</f>
        <v>62.609865472603012</v>
      </c>
      <c r="Q141" s="9">
        <f t="shared" si="39"/>
        <v>3.1009517248187706</v>
      </c>
      <c r="R141" s="9">
        <v>45.816000000000003</v>
      </c>
      <c r="S141" s="9">
        <v>62.189</v>
      </c>
    </row>
    <row r="142" spans="1:19" x14ac:dyDescent="0.35">
      <c r="A142" s="3">
        <f>vals_co2_incLUC!$A142</f>
        <v>1989</v>
      </c>
      <c r="B142" s="4">
        <f t="shared" si="32"/>
        <v>43.033449510440747</v>
      </c>
      <c r="C142" s="4">
        <f t="shared" si="33"/>
        <v>48.210037106329715</v>
      </c>
      <c r="D142" s="4">
        <f t="shared" si="34"/>
        <v>59.951140550500462</v>
      </c>
      <c r="E142" s="4">
        <f t="shared" si="35"/>
        <v>62.942502709944833</v>
      </c>
      <c r="F142" s="4">
        <f t="shared" si="36"/>
        <v>5.176587595888968</v>
      </c>
      <c r="G142" s="4">
        <f t="shared" si="37"/>
        <v>0</v>
      </c>
      <c r="H142" s="4">
        <f t="shared" si="38"/>
        <v>11.741103444170747</v>
      </c>
      <c r="I142" s="5">
        <f>vals_co2_incLUC!$R142</f>
        <v>43.033449510440747</v>
      </c>
      <c r="J142" s="5">
        <f>vals_co2_incLUC!$X142</f>
        <v>47.614730893156739</v>
      </c>
      <c r="K142" s="5">
        <f>vals_co2_incLUC!$AD142</f>
        <v>43.033592857970078</v>
      </c>
      <c r="L142" s="5">
        <f>vals_co2_incLUC!$AJ142</f>
        <v>48.210037106329715</v>
      </c>
      <c r="M142" s="5">
        <f>vals_co2_incLUC!$S142</f>
        <v>59.951140550500462</v>
      </c>
      <c r="N142" s="5">
        <f>vals_co2_incLUC!$Y142</f>
        <v>62.942502709944833</v>
      </c>
      <c r="O142" s="5">
        <f>vals_co2_incLUC!$AE142</f>
        <v>59.951340478461432</v>
      </c>
      <c r="P142" s="5">
        <f>vals_co2_incLUC!$AK142</f>
        <v>62.454378238503693</v>
      </c>
      <c r="Q142" s="9">
        <f t="shared" si="39"/>
        <v>2.9913621594443711</v>
      </c>
      <c r="R142" s="9">
        <v>45.667999999999999</v>
      </c>
      <c r="S142" s="9">
        <v>62.064999999999998</v>
      </c>
    </row>
    <row r="143" spans="1:19" x14ac:dyDescent="0.35">
      <c r="A143" s="6">
        <f>vals_co2_incLUC!$A143</f>
        <v>1990</v>
      </c>
      <c r="B143" s="7">
        <f t="shared" si="32"/>
        <v>42.953740165937894</v>
      </c>
      <c r="C143" s="7">
        <f t="shared" si="33"/>
        <v>48.025333750300227</v>
      </c>
      <c r="D143" s="7">
        <f t="shared" si="34"/>
        <v>59.878883139150297</v>
      </c>
      <c r="E143" s="7">
        <f t="shared" si="35"/>
        <v>62.821558361783516</v>
      </c>
      <c r="F143" s="7">
        <f t="shared" si="36"/>
        <v>5.0715935843623328</v>
      </c>
      <c r="G143" s="7">
        <f t="shared" si="37"/>
        <v>0</v>
      </c>
      <c r="H143" s="7">
        <f t="shared" si="38"/>
        <v>11.85354938885007</v>
      </c>
      <c r="I143" s="8">
        <f>vals_co2_incLUC!$R143</f>
        <v>42.953740165937894</v>
      </c>
      <c r="J143" s="8">
        <f>vals_co2_incLUC!$X143</f>
        <v>47.492553363649328</v>
      </c>
      <c r="K143" s="8">
        <f>vals_co2_incLUC!$AD143</f>
        <v>42.953887220572149</v>
      </c>
      <c r="L143" s="8">
        <f>vals_co2_incLUC!$AJ143</f>
        <v>48.025333750300227</v>
      </c>
      <c r="M143" s="8">
        <f>vals_co2_incLUC!$S143</f>
        <v>59.878883139150297</v>
      </c>
      <c r="N143" s="8">
        <f>vals_co2_incLUC!$Y143</f>
        <v>62.821558361783516</v>
      </c>
      <c r="O143" s="8">
        <f>vals_co2_incLUC!$AE143</f>
        <v>59.879088360342024</v>
      </c>
      <c r="P143" s="8">
        <f>vals_co2_incLUC!$AK143</f>
        <v>62.322377419561789</v>
      </c>
      <c r="Q143" s="9">
        <f t="shared" si="39"/>
        <v>2.9426752226332198</v>
      </c>
      <c r="R143" s="9">
        <v>45.548999999999999</v>
      </c>
      <c r="S143" s="9">
        <v>61.969000000000001</v>
      </c>
    </row>
    <row r="144" spans="1:19" x14ac:dyDescent="0.35">
      <c r="A144" s="3">
        <f>vals_co2_incLUC!$A144</f>
        <v>1991</v>
      </c>
      <c r="B144" s="4">
        <f t="shared" si="32"/>
        <v>42.864035572807666</v>
      </c>
      <c r="C144" s="4">
        <f t="shared" si="33"/>
        <v>47.848707926015081</v>
      </c>
      <c r="D144" s="4">
        <f t="shared" si="34"/>
        <v>59.776130799270334</v>
      </c>
      <c r="E144" s="4">
        <f t="shared" si="35"/>
        <v>62.652392795271894</v>
      </c>
      <c r="F144" s="4">
        <f t="shared" si="36"/>
        <v>4.9846723532074151</v>
      </c>
      <c r="G144" s="4">
        <f t="shared" si="37"/>
        <v>0</v>
      </c>
      <c r="H144" s="4">
        <f t="shared" si="38"/>
        <v>11.927422873255253</v>
      </c>
      <c r="I144" s="5">
        <f>vals_co2_incLUC!$R144</f>
        <v>42.864035572807666</v>
      </c>
      <c r="J144" s="5">
        <f>vals_co2_incLUC!$X144</f>
        <v>47.360895283810635</v>
      </c>
      <c r="K144" s="5">
        <f>vals_co2_incLUC!$AD144</f>
        <v>42.876601499666464</v>
      </c>
      <c r="L144" s="5">
        <f>vals_co2_incLUC!$AJ144</f>
        <v>47.848707926015081</v>
      </c>
      <c r="M144" s="5">
        <f>vals_co2_incLUC!$S144</f>
        <v>59.776130799270334</v>
      </c>
      <c r="N144" s="5">
        <f>vals_co2_incLUC!$Y144</f>
        <v>62.652392795271894</v>
      </c>
      <c r="O144" s="5">
        <f>vals_co2_incLUC!$AE144</f>
        <v>59.793654918062913</v>
      </c>
      <c r="P144" s="5">
        <f>vals_co2_incLUC!$AK144</f>
        <v>62.176612107923326</v>
      </c>
      <c r="Q144" s="9">
        <f t="shared" si="39"/>
        <v>2.8762619960015599</v>
      </c>
      <c r="R144" s="9">
        <v>45.418999999999997</v>
      </c>
      <c r="S144" s="9">
        <v>61.838000000000001</v>
      </c>
    </row>
    <row r="145" spans="1:19" x14ac:dyDescent="0.35">
      <c r="A145" s="6">
        <f>vals_co2_incLUC!$A145</f>
        <v>1992</v>
      </c>
      <c r="B145" s="7">
        <f t="shared" si="32"/>
        <v>42.790013963853809</v>
      </c>
      <c r="C145" s="7">
        <f t="shared" si="33"/>
        <v>47.687984447629049</v>
      </c>
      <c r="D145" s="7">
        <f t="shared" si="34"/>
        <v>59.651769465806069</v>
      </c>
      <c r="E145" s="7">
        <f t="shared" si="35"/>
        <v>62.470633800069685</v>
      </c>
      <c r="F145" s="7">
        <f t="shared" si="36"/>
        <v>4.8979704837752394</v>
      </c>
      <c r="G145" s="7">
        <f t="shared" si="37"/>
        <v>0</v>
      </c>
      <c r="H145" s="7">
        <f t="shared" si="38"/>
        <v>11.96378501817702</v>
      </c>
      <c r="I145" s="8">
        <f>vals_co2_incLUC!$R145</f>
        <v>42.790013963853809</v>
      </c>
      <c r="J145" s="8">
        <f>vals_co2_incLUC!$X145</f>
        <v>47.253615593820342</v>
      </c>
      <c r="K145" s="8">
        <f>vals_co2_incLUC!$AD145</f>
        <v>42.802345868059007</v>
      </c>
      <c r="L145" s="8">
        <f>vals_co2_incLUC!$AJ145</f>
        <v>47.687984447629049</v>
      </c>
      <c r="M145" s="8">
        <f>vals_co2_incLUC!$S145</f>
        <v>59.651769465806069</v>
      </c>
      <c r="N145" s="8">
        <f>vals_co2_incLUC!$Y145</f>
        <v>62.470633800069685</v>
      </c>
      <c r="O145" s="8">
        <f>vals_co2_incLUC!$AE145</f>
        <v>59.668961072705869</v>
      </c>
      <c r="P145" s="8">
        <f>vals_co2_incLUC!$AK145</f>
        <v>62.00863483131841</v>
      </c>
      <c r="Q145" s="9">
        <f t="shared" si="39"/>
        <v>2.8188643342636155</v>
      </c>
      <c r="R145" s="9">
        <v>45.308999999999997</v>
      </c>
      <c r="S145" s="9">
        <v>61.69</v>
      </c>
    </row>
    <row r="146" spans="1:19" x14ac:dyDescent="0.35">
      <c r="A146" s="3">
        <f>vals_co2_incLUC!$A146</f>
        <v>1993</v>
      </c>
      <c r="B146" s="4">
        <f t="shared" si="32"/>
        <v>42.723517746322969</v>
      </c>
      <c r="C146" s="4">
        <f t="shared" si="33"/>
        <v>47.528800278755398</v>
      </c>
      <c r="D146" s="4">
        <f t="shared" si="34"/>
        <v>59.522835458162518</v>
      </c>
      <c r="E146" s="4">
        <f t="shared" si="35"/>
        <v>62.269240426615887</v>
      </c>
      <c r="F146" s="4">
        <f t="shared" si="36"/>
        <v>4.8052825324324289</v>
      </c>
      <c r="G146" s="4">
        <f t="shared" si="37"/>
        <v>0</v>
      </c>
      <c r="H146" s="4">
        <f t="shared" si="38"/>
        <v>11.99403517940712</v>
      </c>
      <c r="I146" s="5">
        <f>vals_co2_incLUC!$R146</f>
        <v>42.723517746322969</v>
      </c>
      <c r="J146" s="5">
        <f>vals_co2_incLUC!$X146</f>
        <v>47.149995990114299</v>
      </c>
      <c r="K146" s="5">
        <f>vals_co2_incLUC!$AD146</f>
        <v>42.735626385586464</v>
      </c>
      <c r="L146" s="5">
        <f>vals_co2_incLUC!$AJ146</f>
        <v>47.528800278755398</v>
      </c>
      <c r="M146" s="5">
        <f>vals_co2_incLUC!$S146</f>
        <v>59.522835458162518</v>
      </c>
      <c r="N146" s="5">
        <f>vals_co2_incLUC!$Y146</f>
        <v>62.269240426615887</v>
      </c>
      <c r="O146" s="5">
        <f>vals_co2_incLUC!$AE146</f>
        <v>59.539705524680201</v>
      </c>
      <c r="P146" s="5">
        <f>vals_co2_incLUC!$AK146</f>
        <v>61.822644692759944</v>
      </c>
      <c r="Q146" s="9">
        <f t="shared" si="39"/>
        <v>2.7464049684533691</v>
      </c>
      <c r="R146" s="9">
        <v>45.204000000000001</v>
      </c>
      <c r="S146" s="9">
        <v>61.531999999999996</v>
      </c>
    </row>
    <row r="147" spans="1:19" x14ac:dyDescent="0.35">
      <c r="A147" s="6">
        <f>vals_co2_incLUC!$A147</f>
        <v>1994</v>
      </c>
      <c r="B147" s="7">
        <f t="shared" si="32"/>
        <v>42.633648217955276</v>
      </c>
      <c r="C147" s="7">
        <f t="shared" si="33"/>
        <v>47.367714111647125</v>
      </c>
      <c r="D147" s="7">
        <f t="shared" si="34"/>
        <v>59.336293686200094</v>
      </c>
      <c r="E147" s="7">
        <f t="shared" si="35"/>
        <v>62.151484345916138</v>
      </c>
      <c r="F147" s="7">
        <f t="shared" si="36"/>
        <v>4.7340658936918487</v>
      </c>
      <c r="G147" s="7">
        <f t="shared" si="37"/>
        <v>0</v>
      </c>
      <c r="H147" s="7">
        <f t="shared" si="38"/>
        <v>11.968579574552969</v>
      </c>
      <c r="I147" s="8">
        <f>vals_co2_incLUC!$R147</f>
        <v>42.633648217955276</v>
      </c>
      <c r="J147" s="8">
        <f>vals_co2_incLUC!$X147</f>
        <v>47.14021789986603</v>
      </c>
      <c r="K147" s="8">
        <f>vals_co2_incLUC!$AD147</f>
        <v>42.645524424652692</v>
      </c>
      <c r="L147" s="8">
        <f>vals_co2_incLUC!$AJ147</f>
        <v>47.367714111647125</v>
      </c>
      <c r="M147" s="8">
        <f>vals_co2_incLUC!$S147</f>
        <v>59.336293686200094</v>
      </c>
      <c r="N147" s="8">
        <f>vals_co2_incLUC!$Y147</f>
        <v>62.151484345916138</v>
      </c>
      <c r="O147" s="8">
        <f>vals_co2_incLUC!$AE147</f>
        <v>59.35282283662724</v>
      </c>
      <c r="P147" s="8">
        <f>vals_co2_incLUC!$AK147</f>
        <v>61.604839431284589</v>
      </c>
      <c r="Q147" s="9">
        <f t="shared" si="39"/>
        <v>2.8151906597160448</v>
      </c>
      <c r="R147" s="9">
        <v>45.079000000000001</v>
      </c>
      <c r="S147" s="9">
        <v>61.32</v>
      </c>
    </row>
    <row r="148" spans="1:19" x14ac:dyDescent="0.35">
      <c r="A148" s="3">
        <f>vals_co2_incLUC!$A148</f>
        <v>1995</v>
      </c>
      <c r="B148" s="4">
        <f t="shared" si="32"/>
        <v>42.559051148476847</v>
      </c>
      <c r="C148" s="4">
        <f t="shared" si="33"/>
        <v>47.205794625674471</v>
      </c>
      <c r="D148" s="4">
        <f t="shared" si="34"/>
        <v>59.158571497119908</v>
      </c>
      <c r="E148" s="4">
        <f t="shared" si="35"/>
        <v>61.992339882402305</v>
      </c>
      <c r="F148" s="4">
        <f t="shared" si="36"/>
        <v>4.6467434771976244</v>
      </c>
      <c r="G148" s="4">
        <f t="shared" si="37"/>
        <v>0</v>
      </c>
      <c r="H148" s="4">
        <f t="shared" si="38"/>
        <v>11.952776871445437</v>
      </c>
      <c r="I148" s="5">
        <f>vals_co2_incLUC!$R148</f>
        <v>42.559051148476847</v>
      </c>
      <c r="J148" s="5">
        <f>vals_co2_incLUC!$X148</f>
        <v>47.106564823382541</v>
      </c>
      <c r="K148" s="5">
        <f>vals_co2_incLUC!$AD148</f>
        <v>42.570706347924435</v>
      </c>
      <c r="L148" s="5">
        <f>vals_co2_incLUC!$AJ148</f>
        <v>47.205794625674471</v>
      </c>
      <c r="M148" s="5">
        <f>vals_co2_incLUC!$S148</f>
        <v>59.158571497119908</v>
      </c>
      <c r="N148" s="5">
        <f>vals_co2_incLUC!$Y148</f>
        <v>61.992339882402305</v>
      </c>
      <c r="O148" s="5">
        <f>vals_co2_incLUC!$AE148</f>
        <v>59.174772814789463</v>
      </c>
      <c r="P148" s="5">
        <f>vals_co2_incLUC!$AK148</f>
        <v>61.378064678103286</v>
      </c>
      <c r="Q148" s="9">
        <f t="shared" si="39"/>
        <v>2.8337683852823972</v>
      </c>
      <c r="R148" s="9">
        <v>44.966000000000001</v>
      </c>
      <c r="S148" s="9">
        <v>61.113999999999997</v>
      </c>
    </row>
    <row r="149" spans="1:19" x14ac:dyDescent="0.35">
      <c r="A149" s="6">
        <f>vals_co2_incLUC!$A149</f>
        <v>1996</v>
      </c>
      <c r="B149" s="7">
        <f t="shared" si="32"/>
        <v>42.482560995883176</v>
      </c>
      <c r="C149" s="7">
        <f t="shared" si="33"/>
        <v>47.084022641169348</v>
      </c>
      <c r="D149" s="7">
        <f t="shared" si="34"/>
        <v>58.995722344952227</v>
      </c>
      <c r="E149" s="7">
        <f t="shared" si="35"/>
        <v>61.86147842083065</v>
      </c>
      <c r="F149" s="7">
        <f t="shared" si="36"/>
        <v>4.6014616452861716</v>
      </c>
      <c r="G149" s="7">
        <f t="shared" si="37"/>
        <v>0</v>
      </c>
      <c r="H149" s="7">
        <f t="shared" si="38"/>
        <v>11.91169970378288</v>
      </c>
      <c r="I149" s="8">
        <f>vals_co2_incLUC!$R149</f>
        <v>42.482560995883176</v>
      </c>
      <c r="J149" s="8">
        <f>vals_co2_incLUC!$X149</f>
        <v>47.084022641169348</v>
      </c>
      <c r="K149" s="8">
        <f>vals_co2_incLUC!$AD149</f>
        <v>42.493996374081924</v>
      </c>
      <c r="L149" s="8">
        <f>vals_co2_incLUC!$AJ149</f>
        <v>47.040333148011307</v>
      </c>
      <c r="M149" s="8">
        <f>vals_co2_incLUC!$S149</f>
        <v>58.995722344952227</v>
      </c>
      <c r="N149" s="8">
        <f>vals_co2_incLUC!$Y149</f>
        <v>61.86147842083065</v>
      </c>
      <c r="O149" s="8">
        <f>vals_co2_incLUC!$AE149</f>
        <v>59.011602885078887</v>
      </c>
      <c r="P149" s="8">
        <f>vals_co2_incLUC!$AK149</f>
        <v>61.159207990036343</v>
      </c>
      <c r="Q149" s="9">
        <f t="shared" si="39"/>
        <v>2.8657560758784228</v>
      </c>
      <c r="R149" s="9">
        <v>44.85</v>
      </c>
      <c r="S149" s="9">
        <v>60.920999999999999</v>
      </c>
    </row>
    <row r="150" spans="1:19" x14ac:dyDescent="0.35">
      <c r="A150" s="3">
        <f>vals_co2_incLUC!$A150</f>
        <v>1997</v>
      </c>
      <c r="B150" s="4">
        <f t="shared" si="32"/>
        <v>42.369108755906929</v>
      </c>
      <c r="C150" s="4">
        <f t="shared" si="33"/>
        <v>47.081261863572664</v>
      </c>
      <c r="D150" s="4">
        <f t="shared" si="34"/>
        <v>58.754608483130177</v>
      </c>
      <c r="E150" s="4">
        <f t="shared" si="35"/>
        <v>61.732541841554422</v>
      </c>
      <c r="F150" s="4">
        <f t="shared" si="36"/>
        <v>4.7121531076657348</v>
      </c>
      <c r="G150" s="4">
        <f t="shared" si="37"/>
        <v>0</v>
      </c>
      <c r="H150" s="4">
        <f t="shared" si="38"/>
        <v>11.673346619557513</v>
      </c>
      <c r="I150" s="5">
        <f>vals_co2_incLUC!$R150</f>
        <v>42.369108755906929</v>
      </c>
      <c r="J150" s="5">
        <f>vals_co2_incLUC!$X150</f>
        <v>47.081261863572664</v>
      </c>
      <c r="K150" s="5">
        <f>vals_co2_incLUC!$AD150</f>
        <v>42.38031221086522</v>
      </c>
      <c r="L150" s="5">
        <f>vals_co2_incLUC!$AJ150</f>
        <v>46.830637447172123</v>
      </c>
      <c r="M150" s="5">
        <f>vals_co2_incLUC!$S150</f>
        <v>58.754608483130177</v>
      </c>
      <c r="N150" s="5">
        <f>vals_co2_incLUC!$Y150</f>
        <v>61.732541841554422</v>
      </c>
      <c r="O150" s="5">
        <f>vals_co2_incLUC!$AE150</f>
        <v>58.770144775718613</v>
      </c>
      <c r="P150" s="5">
        <f>vals_co2_incLUC!$AK150</f>
        <v>60.855928565248362</v>
      </c>
      <c r="Q150" s="9">
        <f t="shared" si="39"/>
        <v>2.9779333584242451</v>
      </c>
      <c r="R150" s="9">
        <v>44.692999999999998</v>
      </c>
      <c r="S150" s="9">
        <v>60.643999999999998</v>
      </c>
    </row>
    <row r="151" spans="1:19" x14ac:dyDescent="0.35">
      <c r="A151" s="6">
        <f>vals_co2_incLUC!$A151</f>
        <v>1998</v>
      </c>
      <c r="B151" s="7">
        <f t="shared" si="32"/>
        <v>42.295265541306577</v>
      </c>
      <c r="C151" s="7">
        <f t="shared" si="33"/>
        <v>47.066697134609477</v>
      </c>
      <c r="D151" s="7">
        <f t="shared" si="34"/>
        <v>58.565289726921087</v>
      </c>
      <c r="E151" s="7">
        <f t="shared" si="35"/>
        <v>61.604377532111819</v>
      </c>
      <c r="F151" s="7">
        <f t="shared" si="36"/>
        <v>4.7714315933028999</v>
      </c>
      <c r="G151" s="7">
        <f t="shared" si="37"/>
        <v>0</v>
      </c>
      <c r="H151" s="7">
        <f t="shared" si="38"/>
        <v>11.49859259231161</v>
      </c>
      <c r="I151" s="8">
        <f>vals_co2_incLUC!$R151</f>
        <v>42.295265541306577</v>
      </c>
      <c r="J151" s="8">
        <f>vals_co2_incLUC!$X151</f>
        <v>47.066697134609477</v>
      </c>
      <c r="K151" s="8">
        <f>vals_co2_incLUC!$AD151</f>
        <v>42.30626193506702</v>
      </c>
      <c r="L151" s="8">
        <f>vals_co2_incLUC!$AJ151</f>
        <v>46.684576853656004</v>
      </c>
      <c r="M151" s="8">
        <f>vals_co2_incLUC!$S151</f>
        <v>58.565289726921087</v>
      </c>
      <c r="N151" s="8">
        <f>vals_co2_incLUC!$Y151</f>
        <v>61.604377532111819</v>
      </c>
      <c r="O151" s="8">
        <f>vals_co2_incLUC!$AE151</f>
        <v>58.580516335553014</v>
      </c>
      <c r="P151" s="8">
        <f>vals_co2_incLUC!$AK151</f>
        <v>60.633294585943155</v>
      </c>
      <c r="Q151" s="9">
        <f t="shared" si="39"/>
        <v>3.0390878051907322</v>
      </c>
      <c r="R151" s="9">
        <v>44.585000000000001</v>
      </c>
      <c r="S151" s="9">
        <v>60.43</v>
      </c>
    </row>
    <row r="152" spans="1:19" x14ac:dyDescent="0.35">
      <c r="A152" s="3">
        <f>vals_co2_incLUC!$A152</f>
        <v>1999</v>
      </c>
      <c r="B152" s="4">
        <f t="shared" si="32"/>
        <v>42.225178623798762</v>
      </c>
      <c r="C152" s="4">
        <f t="shared" si="33"/>
        <v>47.06317663772667</v>
      </c>
      <c r="D152" s="4">
        <f t="shared" si="34"/>
        <v>58.380183523550514</v>
      </c>
      <c r="E152" s="4">
        <f t="shared" si="35"/>
        <v>61.462260685747772</v>
      </c>
      <c r="F152" s="4">
        <f t="shared" si="36"/>
        <v>4.8379980139279084</v>
      </c>
      <c r="G152" s="4">
        <f t="shared" si="37"/>
        <v>0</v>
      </c>
      <c r="H152" s="4">
        <f t="shared" si="38"/>
        <v>11.317006885823844</v>
      </c>
      <c r="I152" s="5">
        <f>vals_co2_incLUC!$R152</f>
        <v>42.225178623798762</v>
      </c>
      <c r="J152" s="5">
        <f>vals_co2_incLUC!$X152</f>
        <v>47.06317663772667</v>
      </c>
      <c r="K152" s="5">
        <f>vals_co2_incLUC!$AD152</f>
        <v>42.23597489304953</v>
      </c>
      <c r="L152" s="5">
        <f>vals_co2_incLUC!$AJ152</f>
        <v>46.532610570270357</v>
      </c>
      <c r="M152" s="5">
        <f>vals_co2_incLUC!$S152</f>
        <v>58.380183523550514</v>
      </c>
      <c r="N152" s="5">
        <f>vals_co2_incLUC!$Y152</f>
        <v>61.462260685747772</v>
      </c>
      <c r="O152" s="5">
        <f>vals_co2_incLUC!$AE152</f>
        <v>58.395110433995868</v>
      </c>
      <c r="P152" s="5">
        <f>vals_co2_incLUC!$AK152</f>
        <v>60.40024386658601</v>
      </c>
      <c r="Q152" s="9">
        <f t="shared" si="39"/>
        <v>3.0820771621972582</v>
      </c>
      <c r="R152" s="9">
        <v>44.48</v>
      </c>
      <c r="S152" s="9">
        <v>60.218000000000004</v>
      </c>
    </row>
    <row r="153" spans="1:19" x14ac:dyDescent="0.35">
      <c r="A153" s="6">
        <f>vals_co2_incLUC!$A153</f>
        <v>2000</v>
      </c>
      <c r="B153" s="7">
        <f t="shared" si="32"/>
        <v>42.172115806783843</v>
      </c>
      <c r="C153" s="7">
        <f t="shared" si="33"/>
        <v>47.07699684124006</v>
      </c>
      <c r="D153" s="7">
        <f t="shared" si="34"/>
        <v>58.2061803130239</v>
      </c>
      <c r="E153" s="7">
        <f t="shared" si="35"/>
        <v>61.347091125050689</v>
      </c>
      <c r="F153" s="7">
        <f t="shared" si="36"/>
        <v>4.904881034456217</v>
      </c>
      <c r="G153" s="7">
        <f t="shared" si="37"/>
        <v>0</v>
      </c>
      <c r="H153" s="7">
        <f t="shared" si="38"/>
        <v>11.12918347178384</v>
      </c>
      <c r="I153" s="8">
        <f>vals_co2_incLUC!$R153</f>
        <v>42.172115806783843</v>
      </c>
      <c r="J153" s="8">
        <f>vals_co2_incLUC!$X153</f>
        <v>47.07699684124006</v>
      </c>
      <c r="K153" s="8">
        <f>vals_co2_incLUC!$AD153</f>
        <v>42.182721489011996</v>
      </c>
      <c r="L153" s="8">
        <f>vals_co2_incLUC!$AJ153</f>
        <v>46.398589450628499</v>
      </c>
      <c r="M153" s="8">
        <f>vals_co2_incLUC!$S153</f>
        <v>58.2061803130239</v>
      </c>
      <c r="N153" s="8">
        <f>vals_co2_incLUC!$Y153</f>
        <v>61.347091125050689</v>
      </c>
      <c r="O153" s="8">
        <f>vals_co2_incLUC!$AE153</f>
        <v>58.22081840938074</v>
      </c>
      <c r="P153" s="8">
        <f>vals_co2_incLUC!$AK153</f>
        <v>60.180530406090249</v>
      </c>
      <c r="Q153" s="9">
        <f t="shared" si="39"/>
        <v>3.1409108120267888</v>
      </c>
      <c r="R153" s="9">
        <v>44.392000000000003</v>
      </c>
      <c r="S153" s="9">
        <v>60.017000000000003</v>
      </c>
    </row>
    <row r="154" spans="1:19" x14ac:dyDescent="0.35">
      <c r="A154" s="3">
        <f>vals_co2_incLUC!$A154</f>
        <v>2001</v>
      </c>
      <c r="B154" s="4">
        <f t="shared" si="32"/>
        <v>42.122201942389935</v>
      </c>
      <c r="C154" s="4">
        <f t="shared" si="33"/>
        <v>47.076780886062217</v>
      </c>
      <c r="D154" s="4">
        <f t="shared" si="34"/>
        <v>58.045199214667107</v>
      </c>
      <c r="E154" s="4">
        <f t="shared" si="35"/>
        <v>61.217225380730291</v>
      </c>
      <c r="F154" s="4">
        <f t="shared" si="36"/>
        <v>4.9545789436722814</v>
      </c>
      <c r="G154" s="4">
        <f t="shared" si="37"/>
        <v>0</v>
      </c>
      <c r="H154" s="4">
        <f t="shared" si="38"/>
        <v>10.968418328604891</v>
      </c>
      <c r="I154" s="5">
        <f>vals_co2_incLUC!$R154</f>
        <v>42.122201942389935</v>
      </c>
      <c r="J154" s="5">
        <f>vals_co2_incLUC!$X154</f>
        <v>47.076780886062217</v>
      </c>
      <c r="K154" s="5">
        <f>vals_co2_incLUC!$AD154</f>
        <v>42.132627903692047</v>
      </c>
      <c r="L154" s="5">
        <f>vals_co2_incLUC!$AJ154</f>
        <v>46.268101342533569</v>
      </c>
      <c r="M154" s="5">
        <f>vals_co2_incLUC!$S154</f>
        <v>58.045199214667107</v>
      </c>
      <c r="N154" s="5">
        <f>vals_co2_incLUC!$Y154</f>
        <v>61.217225380730291</v>
      </c>
      <c r="O154" s="5">
        <f>vals_co2_incLUC!$AE154</f>
        <v>58.059566464701362</v>
      </c>
      <c r="P154" s="5">
        <f>vals_co2_incLUC!$AK154</f>
        <v>59.97094746678475</v>
      </c>
      <c r="Q154" s="9">
        <f t="shared" si="39"/>
        <v>3.1720261660631834</v>
      </c>
      <c r="R154" s="9">
        <v>44.307000000000002</v>
      </c>
      <c r="S154" s="9">
        <v>59.83</v>
      </c>
    </row>
    <row r="155" spans="1:19" x14ac:dyDescent="0.35">
      <c r="A155" s="6">
        <f>vals_co2_incLUC!$A155</f>
        <v>2002</v>
      </c>
      <c r="B155" s="7">
        <f t="shared" si="32"/>
        <v>42.050091189823696</v>
      </c>
      <c r="C155" s="7">
        <f t="shared" si="33"/>
        <v>47.052285142438436</v>
      </c>
      <c r="D155" s="7">
        <f t="shared" si="34"/>
        <v>57.851089159445898</v>
      </c>
      <c r="E155" s="7">
        <f t="shared" si="35"/>
        <v>61.058650455840827</v>
      </c>
      <c r="F155" s="7">
        <f t="shared" si="36"/>
        <v>5.0021939526147392</v>
      </c>
      <c r="G155" s="7">
        <f t="shared" si="37"/>
        <v>0</v>
      </c>
      <c r="H155" s="7">
        <f t="shared" si="38"/>
        <v>10.798804017007463</v>
      </c>
      <c r="I155" s="8">
        <f>vals_co2_incLUC!$R155</f>
        <v>42.050091189823696</v>
      </c>
      <c r="J155" s="8">
        <f>vals_co2_incLUC!$X155</f>
        <v>47.052285142438436</v>
      </c>
      <c r="K155" s="8">
        <f>vals_co2_incLUC!$AD155</f>
        <v>42.060331011136149</v>
      </c>
      <c r="L155" s="8">
        <f>vals_co2_incLUC!$AJ155</f>
        <v>46.122694897116808</v>
      </c>
      <c r="M155" s="8">
        <f>vals_co2_incLUC!$S155</f>
        <v>57.851089159445898</v>
      </c>
      <c r="N155" s="8">
        <f>vals_co2_incLUC!$Y155</f>
        <v>61.058650455840827</v>
      </c>
      <c r="O155" s="8">
        <f>vals_co2_incLUC!$AE155</f>
        <v>57.865176833628681</v>
      </c>
      <c r="P155" s="8">
        <f>vals_co2_incLUC!$AK155</f>
        <v>59.739599589008606</v>
      </c>
      <c r="Q155" s="9">
        <f t="shared" si="39"/>
        <v>3.2075612963949283</v>
      </c>
      <c r="R155" s="9">
        <v>44.2</v>
      </c>
      <c r="S155" s="9">
        <v>59.61</v>
      </c>
    </row>
    <row r="156" spans="1:19" x14ac:dyDescent="0.35">
      <c r="A156" s="3">
        <f>vals_co2_incLUC!$A156</f>
        <v>2003</v>
      </c>
      <c r="B156" s="4">
        <f t="shared" si="32"/>
        <v>41.942971969303507</v>
      </c>
      <c r="C156" s="4">
        <f t="shared" si="33"/>
        <v>46.966269724625839</v>
      </c>
      <c r="D156" s="4">
        <f t="shared" si="34"/>
        <v>57.612413748553429</v>
      </c>
      <c r="E156" s="4">
        <f t="shared" si="35"/>
        <v>60.834327962928647</v>
      </c>
      <c r="F156" s="4">
        <f t="shared" si="36"/>
        <v>5.0232977553223321</v>
      </c>
      <c r="G156" s="4">
        <f t="shared" si="37"/>
        <v>0</v>
      </c>
      <c r="H156" s="4">
        <f t="shared" si="38"/>
        <v>10.64614402392759</v>
      </c>
      <c r="I156" s="5">
        <f>vals_co2_incLUC!$R156</f>
        <v>41.942971969303507</v>
      </c>
      <c r="J156" s="5">
        <f>vals_co2_incLUC!$X156</f>
        <v>46.966269724625839</v>
      </c>
      <c r="K156" s="5">
        <f>vals_co2_incLUC!$AD156</f>
        <v>41.953008709059098</v>
      </c>
      <c r="L156" s="5">
        <f>vals_co2_incLUC!$AJ156</f>
        <v>45.95375044872722</v>
      </c>
      <c r="M156" s="5">
        <f>vals_co2_incLUC!$S156</f>
        <v>57.612413748553429</v>
      </c>
      <c r="N156" s="5">
        <f>vals_co2_incLUC!$Y156</f>
        <v>60.834327962928647</v>
      </c>
      <c r="O156" s="5">
        <f>vals_co2_incLUC!$AE156</f>
        <v>57.626200180459897</v>
      </c>
      <c r="P156" s="5">
        <f>vals_co2_incLUC!$AK156</f>
        <v>59.482825227972732</v>
      </c>
      <c r="Q156" s="9">
        <f t="shared" si="39"/>
        <v>3.221914214375218</v>
      </c>
      <c r="R156" s="9">
        <v>44.057000000000002</v>
      </c>
      <c r="S156" s="9">
        <v>59.345999999999997</v>
      </c>
    </row>
    <row r="157" spans="1:19" x14ac:dyDescent="0.35">
      <c r="A157" s="6">
        <f>vals_co2_incLUC!$A157</f>
        <v>2004</v>
      </c>
      <c r="B157" s="7">
        <f t="shared" si="32"/>
        <v>41.844089621522485</v>
      </c>
      <c r="C157" s="7">
        <f t="shared" si="33"/>
        <v>46.85470146629261</v>
      </c>
      <c r="D157" s="7">
        <f t="shared" si="34"/>
        <v>57.386664918163511</v>
      </c>
      <c r="E157" s="7">
        <f t="shared" si="35"/>
        <v>60.555425898061387</v>
      </c>
      <c r="F157" s="7">
        <f t="shared" si="36"/>
        <v>5.0106118447701249</v>
      </c>
      <c r="G157" s="7">
        <f t="shared" si="37"/>
        <v>0</v>
      </c>
      <c r="H157" s="7">
        <f t="shared" si="38"/>
        <v>10.531963451870901</v>
      </c>
      <c r="I157" s="8">
        <f>vals_co2_incLUC!$R157</f>
        <v>41.844089621522485</v>
      </c>
      <c r="J157" s="8">
        <f>vals_co2_incLUC!$X157</f>
        <v>46.85470146629261</v>
      </c>
      <c r="K157" s="8">
        <f>vals_co2_incLUC!$AD157</f>
        <v>41.853933126495122</v>
      </c>
      <c r="L157" s="8">
        <f>vals_co2_incLUC!$AJ157</f>
        <v>45.779021685361656</v>
      </c>
      <c r="M157" s="8">
        <f>vals_co2_incLUC!$S157</f>
        <v>57.386664918163511</v>
      </c>
      <c r="N157" s="8">
        <f>vals_co2_incLUC!$Y157</f>
        <v>60.555425898061387</v>
      </c>
      <c r="O157" s="8">
        <f>vals_co2_incLUC!$AE157</f>
        <v>57.400164769813458</v>
      </c>
      <c r="P157" s="8">
        <f>vals_co2_incLUC!$AK157</f>
        <v>59.217599502797981</v>
      </c>
      <c r="Q157" s="9">
        <f t="shared" si="39"/>
        <v>3.1687609798978755</v>
      </c>
      <c r="R157" s="9">
        <v>43.920999999999999</v>
      </c>
      <c r="S157" s="9">
        <v>59.091999999999999</v>
      </c>
    </row>
    <row r="158" spans="1:19" x14ac:dyDescent="0.35">
      <c r="A158" s="3">
        <f>vals_co2_incLUC!$A158</f>
        <v>2005</v>
      </c>
      <c r="B158" s="4">
        <f t="shared" si="32"/>
        <v>41.743359048967136</v>
      </c>
      <c r="C158" s="4">
        <f t="shared" si="33"/>
        <v>46.743246148212158</v>
      </c>
      <c r="D158" s="4">
        <f t="shared" si="34"/>
        <v>57.163502904905307</v>
      </c>
      <c r="E158" s="4">
        <f t="shared" si="35"/>
        <v>60.286318252463325</v>
      </c>
      <c r="F158" s="4">
        <f t="shared" si="36"/>
        <v>4.9998870992450222</v>
      </c>
      <c r="G158" s="4">
        <f t="shared" si="37"/>
        <v>0</v>
      </c>
      <c r="H158" s="4">
        <f t="shared" si="38"/>
        <v>10.420256756693149</v>
      </c>
      <c r="I158" s="5">
        <f>vals_co2_incLUC!$R158</f>
        <v>41.743359048967136</v>
      </c>
      <c r="J158" s="5">
        <f>vals_co2_incLUC!$X158</f>
        <v>46.743246148212158</v>
      </c>
      <c r="K158" s="5">
        <f>vals_co2_incLUC!$AD158</f>
        <v>41.753013752473024</v>
      </c>
      <c r="L158" s="5">
        <f>vals_co2_incLUC!$AJ158</f>
        <v>45.599589593073901</v>
      </c>
      <c r="M158" s="5">
        <f>vals_co2_incLUC!$S158</f>
        <v>57.163502904905307</v>
      </c>
      <c r="N158" s="5">
        <f>vals_co2_incLUC!$Y158</f>
        <v>60.286318252463325</v>
      </c>
      <c r="O158" s="5">
        <f>vals_co2_incLUC!$AE158</f>
        <v>57.176724162667803</v>
      </c>
      <c r="P158" s="5">
        <f>vals_co2_incLUC!$AK158</f>
        <v>58.950538292752576</v>
      </c>
      <c r="Q158" s="9">
        <f t="shared" si="39"/>
        <v>3.1228153475580172</v>
      </c>
      <c r="R158" s="9">
        <v>43.781999999999996</v>
      </c>
      <c r="S158" s="9">
        <v>58.84</v>
      </c>
    </row>
    <row r="159" spans="1:19" x14ac:dyDescent="0.35">
      <c r="A159" s="6">
        <f>vals_co2_incLUC!$A159</f>
        <v>2006</v>
      </c>
      <c r="B159" s="7">
        <f t="shared" si="32"/>
        <v>41.600150850714726</v>
      </c>
      <c r="C159" s="7">
        <f t="shared" si="33"/>
        <v>46.619824794718433</v>
      </c>
      <c r="D159" s="7">
        <f t="shared" si="34"/>
        <v>56.900692650613763</v>
      </c>
      <c r="E159" s="7">
        <f t="shared" si="35"/>
        <v>60.01324420769204</v>
      </c>
      <c r="F159" s="7">
        <f t="shared" si="36"/>
        <v>5.0196739440037064</v>
      </c>
      <c r="G159" s="7">
        <f t="shared" si="37"/>
        <v>0</v>
      </c>
      <c r="H159" s="7">
        <f t="shared" si="38"/>
        <v>10.28086785589533</v>
      </c>
      <c r="I159" s="8">
        <f>vals_co2_incLUC!$R159</f>
        <v>41.600150850714726</v>
      </c>
      <c r="J159" s="8">
        <f>vals_co2_incLUC!$X159</f>
        <v>46.619824794718433</v>
      </c>
      <c r="K159" s="8">
        <f>vals_co2_incLUC!$AD159</f>
        <v>41.60960929419916</v>
      </c>
      <c r="L159" s="8">
        <f>vals_co2_incLUC!$AJ159</f>
        <v>45.384296982632549</v>
      </c>
      <c r="M159" s="8">
        <f>vals_co2_incLUC!$S159</f>
        <v>56.900692650613763</v>
      </c>
      <c r="N159" s="8">
        <f>vals_co2_incLUC!$Y159</f>
        <v>60.01324420769204</v>
      </c>
      <c r="O159" s="8">
        <f>vals_co2_incLUC!$AE159</f>
        <v>56.913629982891209</v>
      </c>
      <c r="P159" s="8">
        <f>vals_co2_incLUC!$AK159</f>
        <v>58.646860642469598</v>
      </c>
      <c r="Q159" s="9">
        <f t="shared" si="39"/>
        <v>3.1125515570782767</v>
      </c>
      <c r="R159" s="9">
        <v>43.600999999999999</v>
      </c>
      <c r="S159" s="9">
        <v>58.546999999999997</v>
      </c>
    </row>
    <row r="160" spans="1:19" x14ac:dyDescent="0.35">
      <c r="A160" s="3">
        <f>vals_co2_incLUC!$A160</f>
        <v>2007</v>
      </c>
      <c r="B160" s="4">
        <f t="shared" si="32"/>
        <v>41.462194838989284</v>
      </c>
      <c r="C160" s="4">
        <f t="shared" si="33"/>
        <v>46.499889083787252</v>
      </c>
      <c r="D160" s="4">
        <f t="shared" si="34"/>
        <v>56.650804857224401</v>
      </c>
      <c r="E160" s="4">
        <f t="shared" si="35"/>
        <v>59.746668691806683</v>
      </c>
      <c r="F160" s="4">
        <f t="shared" si="36"/>
        <v>5.0376942447979687</v>
      </c>
      <c r="G160" s="4">
        <f t="shared" si="37"/>
        <v>0</v>
      </c>
      <c r="H160" s="4">
        <f t="shared" si="38"/>
        <v>10.150915773437148</v>
      </c>
      <c r="I160" s="5">
        <f>vals_co2_incLUC!$R160</f>
        <v>41.462194838989284</v>
      </c>
      <c r="J160" s="5">
        <f>vals_co2_incLUC!$X160</f>
        <v>46.499889083787252</v>
      </c>
      <c r="K160" s="5">
        <f>vals_co2_incLUC!$AD160</f>
        <v>41.471462989760624</v>
      </c>
      <c r="L160" s="5">
        <f>vals_co2_incLUC!$AJ160</f>
        <v>45.172369605375735</v>
      </c>
      <c r="M160" s="5">
        <f>vals_co2_incLUC!$S160</f>
        <v>56.650804857224401</v>
      </c>
      <c r="N160" s="5">
        <f>vals_co2_incLUC!$Y160</f>
        <v>59.746668691806683</v>
      </c>
      <c r="O160" s="5">
        <f>vals_co2_incLUC!$AE160</f>
        <v>56.663468227858282</v>
      </c>
      <c r="P160" s="5">
        <f>vals_co2_incLUC!$AK160</f>
        <v>58.352412125252847</v>
      </c>
      <c r="Q160" s="9">
        <f t="shared" si="39"/>
        <v>3.095863834582282</v>
      </c>
      <c r="R160" s="9">
        <v>43.424999999999997</v>
      </c>
      <c r="S160" s="9">
        <v>58.267000000000003</v>
      </c>
    </row>
    <row r="161" spans="1:19" x14ac:dyDescent="0.35">
      <c r="A161" s="6">
        <f>vals_co2_incLUC!$A161</f>
        <v>2008</v>
      </c>
      <c r="B161" s="7">
        <f t="shared" si="32"/>
        <v>41.306955475419848</v>
      </c>
      <c r="C161" s="7">
        <f t="shared" si="33"/>
        <v>46.351688471075413</v>
      </c>
      <c r="D161" s="7">
        <f t="shared" si="34"/>
        <v>56.377478645738677</v>
      </c>
      <c r="E161" s="7">
        <f t="shared" si="35"/>
        <v>59.458858162041409</v>
      </c>
      <c r="F161" s="7">
        <f t="shared" si="36"/>
        <v>5.0447329956555649</v>
      </c>
      <c r="G161" s="7">
        <f t="shared" si="37"/>
        <v>0</v>
      </c>
      <c r="H161" s="7">
        <f t="shared" si="38"/>
        <v>10.025790174663264</v>
      </c>
      <c r="I161" s="8">
        <f>vals_co2_incLUC!$R161</f>
        <v>41.306955475419848</v>
      </c>
      <c r="J161" s="8">
        <f>vals_co2_incLUC!$X161</f>
        <v>46.351688471075413</v>
      </c>
      <c r="K161" s="8">
        <f>vals_co2_incLUC!$AD161</f>
        <v>41.316031654799694</v>
      </c>
      <c r="L161" s="8">
        <f>vals_co2_incLUC!$AJ161</f>
        <v>44.934820984412191</v>
      </c>
      <c r="M161" s="8">
        <f>vals_co2_incLUC!$S161</f>
        <v>56.377478645738677</v>
      </c>
      <c r="N161" s="8">
        <f>vals_co2_incLUC!$Y161</f>
        <v>59.458858162041409</v>
      </c>
      <c r="O161" s="8">
        <f>vals_co2_incLUC!$AE161</f>
        <v>56.389866330902592</v>
      </c>
      <c r="P161" s="8">
        <f>vals_co2_incLUC!$AK161</f>
        <v>58.026807831140779</v>
      </c>
      <c r="Q161" s="9">
        <f t="shared" si="39"/>
        <v>3.0813795163027322</v>
      </c>
      <c r="R161" s="9">
        <v>43.23</v>
      </c>
      <c r="S161" s="9">
        <v>57.960999999999999</v>
      </c>
    </row>
    <row r="162" spans="1:19" x14ac:dyDescent="0.35">
      <c r="A162" s="3">
        <f>vals_co2_incLUC!$A162</f>
        <v>2009</v>
      </c>
      <c r="B162" s="4">
        <f t="shared" si="32"/>
        <v>41.105160569490614</v>
      </c>
      <c r="C162" s="4">
        <f t="shared" si="33"/>
        <v>46.193491591741285</v>
      </c>
      <c r="D162" s="4">
        <f t="shared" si="34"/>
        <v>56.062475496473539</v>
      </c>
      <c r="E162" s="4">
        <f t="shared" si="35"/>
        <v>59.158061803601171</v>
      </c>
      <c r="F162" s="4">
        <f t="shared" si="36"/>
        <v>5.0883310222506708</v>
      </c>
      <c r="G162" s="4">
        <f t="shared" si="37"/>
        <v>0</v>
      </c>
      <c r="H162" s="4">
        <f t="shared" si="38"/>
        <v>9.8689839047322536</v>
      </c>
      <c r="I162" s="5">
        <f>vals_co2_incLUC!$R162</f>
        <v>41.105160569490614</v>
      </c>
      <c r="J162" s="5">
        <f>vals_co2_incLUC!$X162</f>
        <v>46.193491591741285</v>
      </c>
      <c r="K162" s="5">
        <f>vals_co2_incLUC!$AD162</f>
        <v>41.114040154708817</v>
      </c>
      <c r="L162" s="5">
        <f>vals_co2_incLUC!$AJ162</f>
        <v>44.661042206529331</v>
      </c>
      <c r="M162" s="5">
        <f>vals_co2_incLUC!$S162</f>
        <v>56.062475496473539</v>
      </c>
      <c r="N162" s="5">
        <f>vals_co2_incLUC!$Y162</f>
        <v>59.158061803601171</v>
      </c>
      <c r="O162" s="5">
        <f>vals_co2_incLUC!$AE162</f>
        <v>56.07458635298601</v>
      </c>
      <c r="P162" s="5">
        <f>vals_co2_incLUC!$AK162</f>
        <v>57.665688196583773</v>
      </c>
      <c r="Q162" s="9">
        <f t="shared" si="39"/>
        <v>3.0955863071276326</v>
      </c>
      <c r="R162" s="9">
        <v>42.991999999999997</v>
      </c>
      <c r="S162" s="9">
        <v>57.616</v>
      </c>
    </row>
    <row r="163" spans="1:19" x14ac:dyDescent="0.35">
      <c r="A163" s="6">
        <f>vals_co2_incLUC!$A163</f>
        <v>2010</v>
      </c>
      <c r="B163" s="7">
        <f t="shared" ref="B163:B177" si="40">IFERROR(_xlfn.AGGREGATE(5,6,I163:L163),"")</f>
        <v>40.915408209286412</v>
      </c>
      <c r="C163" s="7">
        <f t="shared" ref="C163:C177" si="41">IFERROR(_xlfn.AGGREGATE(4,6,I163:L163),"")</f>
        <v>46.0301826775123</v>
      </c>
      <c r="D163" s="7">
        <f t="shared" ref="D163:D177" si="42">IFERROR(_xlfn.AGGREGATE(5,6,M163:P163),"")</f>
        <v>55.762974920751141</v>
      </c>
      <c r="E163" s="7">
        <f t="shared" ref="E163:E177" si="43">IFERROR(_xlfn.AGGREGATE(4,6,M163:P163),"")</f>
        <v>58.856379481662771</v>
      </c>
      <c r="F163" s="7">
        <f t="shared" ref="F163:F177" si="44">IFERROR(MIN(C163,D163)-B163,"")</f>
        <v>5.1147744682258889</v>
      </c>
      <c r="G163" s="7">
        <f t="shared" ref="G163:G177" si="45">IFERROR(MAX(0,C163-D163),"")</f>
        <v>0</v>
      </c>
      <c r="H163" s="7">
        <f t="shared" ref="H163:H177" si="46">IFERROR(MAX(0,D163-C163),"")</f>
        <v>9.7327922432388405</v>
      </c>
      <c r="I163" s="8">
        <f>vals_co2_incLUC!$R163</f>
        <v>40.915408209286412</v>
      </c>
      <c r="J163" s="8">
        <f>vals_co2_incLUC!$X163</f>
        <v>46.0301826775123</v>
      </c>
      <c r="K163" s="8">
        <f>vals_co2_incLUC!$AD163</f>
        <v>40.924093773127979</v>
      </c>
      <c r="L163" s="8">
        <f>vals_co2_incLUC!$AJ163</f>
        <v>44.376100665721566</v>
      </c>
      <c r="M163" s="8">
        <f>vals_co2_incLUC!$S163</f>
        <v>55.762974920751141</v>
      </c>
      <c r="N163" s="8">
        <f>vals_co2_incLUC!$Y163</f>
        <v>58.856379481662771</v>
      </c>
      <c r="O163" s="8">
        <f>vals_co2_incLUC!$AE163</f>
        <v>55.774812512537707</v>
      </c>
      <c r="P163" s="8">
        <f>vals_co2_incLUC!$AK163</f>
        <v>57.298086078507836</v>
      </c>
      <c r="Q163" s="9">
        <f t="shared" ref="Q163:Q177" si="47">IFERROR(MAX(0,$E163-MAX($C163,$D163)),"")</f>
        <v>3.0934045609116296</v>
      </c>
      <c r="R163" s="9">
        <v>42.756</v>
      </c>
      <c r="S163" s="9">
        <v>57.276000000000003</v>
      </c>
    </row>
    <row r="164" spans="1:19" x14ac:dyDescent="0.35">
      <c r="A164" s="3">
        <f>vals_co2_incLUC!$A164</f>
        <v>2011</v>
      </c>
      <c r="B164" s="4">
        <f t="shared" si="40"/>
        <v>40.691041237945626</v>
      </c>
      <c r="C164" s="4">
        <f t="shared" si="41"/>
        <v>45.801204197971181</v>
      </c>
      <c r="D164" s="4">
        <f t="shared" si="42"/>
        <v>55.418561213560537</v>
      </c>
      <c r="E164" s="4">
        <f t="shared" si="43"/>
        <v>58.503937000642267</v>
      </c>
      <c r="F164" s="4">
        <f t="shared" si="44"/>
        <v>5.1101629600255549</v>
      </c>
      <c r="G164" s="4">
        <f t="shared" si="45"/>
        <v>0</v>
      </c>
      <c r="H164" s="4">
        <f t="shared" si="46"/>
        <v>9.6173570155893557</v>
      </c>
      <c r="I164" s="5">
        <f>vals_co2_incLUC!$R164</f>
        <v>40.691041237945626</v>
      </c>
      <c r="J164" s="5">
        <f>vals_co2_incLUC!$X164</f>
        <v>45.801204197971181</v>
      </c>
      <c r="K164" s="5">
        <f>vals_co2_incLUC!$AD164</f>
        <v>40.69952922211526</v>
      </c>
      <c r="L164" s="5">
        <f>vals_co2_incLUC!$AJ164</f>
        <v>44.067365614755438</v>
      </c>
      <c r="M164" s="5">
        <f>vals_co2_incLUC!$S164</f>
        <v>55.418561213560537</v>
      </c>
      <c r="N164" s="5">
        <f>vals_co2_incLUC!$Y164</f>
        <v>58.503937000642267</v>
      </c>
      <c r="O164" s="5">
        <f>vals_co2_incLUC!$AE164</f>
        <v>55.43012146669578</v>
      </c>
      <c r="P164" s="5">
        <f>vals_co2_incLUC!$AK164</f>
        <v>56.895992141283834</v>
      </c>
      <c r="Q164" s="9">
        <f t="shared" si="47"/>
        <v>3.0853757870817304</v>
      </c>
      <c r="R164" s="9">
        <v>42.487000000000002</v>
      </c>
      <c r="S164" s="9">
        <v>56.895000000000003</v>
      </c>
    </row>
    <row r="165" spans="1:19" x14ac:dyDescent="0.35">
      <c r="A165" s="6">
        <f>vals_co2_incLUC!$A165</f>
        <v>2012</v>
      </c>
      <c r="B165" s="7">
        <f t="shared" si="40"/>
        <v>40.450673473046209</v>
      </c>
      <c r="C165" s="7">
        <f t="shared" si="41"/>
        <v>45.547577388144816</v>
      </c>
      <c r="D165" s="7">
        <f t="shared" si="42"/>
        <v>55.069875637332174</v>
      </c>
      <c r="E165" s="7">
        <f t="shared" si="43"/>
        <v>58.145618807990694</v>
      </c>
      <c r="F165" s="7">
        <f t="shared" si="44"/>
        <v>5.0969039150986077</v>
      </c>
      <c r="G165" s="7">
        <f t="shared" si="45"/>
        <v>0</v>
      </c>
      <c r="H165" s="7">
        <f t="shared" si="46"/>
        <v>9.522298249187358</v>
      </c>
      <c r="I165" s="8">
        <f>vals_co2_incLUC!$R165</f>
        <v>40.450673473046209</v>
      </c>
      <c r="J165" s="8">
        <f>vals_co2_incLUC!$X165</f>
        <v>45.547577388144816</v>
      </c>
      <c r="K165" s="8">
        <f>vals_co2_incLUC!$AD165</f>
        <v>40.458964282898656</v>
      </c>
      <c r="L165" s="8">
        <f>vals_co2_incLUC!$AJ165</f>
        <v>43.75023440623638</v>
      </c>
      <c r="M165" s="8">
        <f>vals_co2_incLUC!$S165</f>
        <v>55.069875637332174</v>
      </c>
      <c r="N165" s="8">
        <f>vals_co2_incLUC!$Y165</f>
        <v>58.145618807990694</v>
      </c>
      <c r="O165" s="8">
        <f>vals_co2_incLUC!$AE165</f>
        <v>55.081162963820461</v>
      </c>
      <c r="P165" s="8">
        <f>vals_co2_incLUC!$AK165</f>
        <v>56.495268699056453</v>
      </c>
      <c r="Q165" s="9">
        <f t="shared" si="47"/>
        <v>3.0757431706585194</v>
      </c>
      <c r="R165" s="9">
        <v>42.206000000000003</v>
      </c>
      <c r="S165" s="9">
        <v>56.51</v>
      </c>
    </row>
    <row r="166" spans="1:19" x14ac:dyDescent="0.35">
      <c r="A166" s="3">
        <f>vals_co2_incLUC!$A166</f>
        <v>2013</v>
      </c>
      <c r="B166" s="4">
        <f t="shared" si="40"/>
        <v>40.218926834152384</v>
      </c>
      <c r="C166" s="4">
        <f t="shared" si="41"/>
        <v>45.313439201667094</v>
      </c>
      <c r="D166" s="4">
        <f t="shared" si="42"/>
        <v>54.723018727382943</v>
      </c>
      <c r="E166" s="4">
        <f t="shared" si="43"/>
        <v>57.782000058537719</v>
      </c>
      <c r="F166" s="4">
        <f t="shared" si="44"/>
        <v>5.0945123675147101</v>
      </c>
      <c r="G166" s="4">
        <f t="shared" si="45"/>
        <v>0</v>
      </c>
      <c r="H166" s="4">
        <f t="shared" si="46"/>
        <v>9.4095795257158485</v>
      </c>
      <c r="I166" s="5">
        <f>vals_co2_incLUC!$R166</f>
        <v>40.218926834152384</v>
      </c>
      <c r="J166" s="5">
        <f>vals_co2_incLUC!$X166</f>
        <v>45.313439201667094</v>
      </c>
      <c r="K166" s="5">
        <f>vals_co2_incLUC!$AD166</f>
        <v>40.227028694268938</v>
      </c>
      <c r="L166" s="5">
        <f>vals_co2_incLUC!$AJ166</f>
        <v>43.444376302931119</v>
      </c>
      <c r="M166" s="5">
        <f>vals_co2_incLUC!$S166</f>
        <v>54.723018727382943</v>
      </c>
      <c r="N166" s="5">
        <f>vals_co2_incLUC!$Y166</f>
        <v>57.782000058537719</v>
      </c>
      <c r="O166" s="5">
        <f>vals_co2_incLUC!$AE166</f>
        <v>54.734042497404978</v>
      </c>
      <c r="P166" s="5">
        <f>vals_co2_incLUC!$AK166</f>
        <v>56.098859820562062</v>
      </c>
      <c r="Q166" s="9">
        <f t="shared" si="47"/>
        <v>3.0589813311547758</v>
      </c>
      <c r="R166" s="9">
        <v>41.936</v>
      </c>
      <c r="S166" s="9">
        <v>56.133000000000003</v>
      </c>
    </row>
    <row r="167" spans="1:19" x14ac:dyDescent="0.35">
      <c r="A167" s="6">
        <f>vals_co2_incLUC!$A167</f>
        <v>2014</v>
      </c>
      <c r="B167" s="7">
        <f t="shared" si="40"/>
        <v>39.983677094550437</v>
      </c>
      <c r="C167" s="7">
        <f t="shared" si="41"/>
        <v>45.067080106516812</v>
      </c>
      <c r="D167" s="7">
        <f t="shared" si="42"/>
        <v>54.367562121020271</v>
      </c>
      <c r="E167" s="7">
        <f t="shared" si="43"/>
        <v>57.415390830965244</v>
      </c>
      <c r="F167" s="7">
        <f t="shared" si="44"/>
        <v>5.0834030119663751</v>
      </c>
      <c r="G167" s="7">
        <f t="shared" si="45"/>
        <v>0</v>
      </c>
      <c r="H167" s="7">
        <f t="shared" si="46"/>
        <v>9.3004820145034586</v>
      </c>
      <c r="I167" s="8">
        <f>vals_co2_incLUC!$R167</f>
        <v>39.983677094550437</v>
      </c>
      <c r="J167" s="8">
        <f>vals_co2_incLUC!$X167</f>
        <v>45.067080106516812</v>
      </c>
      <c r="K167" s="8">
        <f>vals_co2_incLUC!$AD167</f>
        <v>39.991594761040233</v>
      </c>
      <c r="L167" s="8">
        <f>vals_co2_incLUC!$AJ167</f>
        <v>43.135543063544532</v>
      </c>
      <c r="M167" s="8">
        <f>vals_co2_incLUC!$S167</f>
        <v>54.367562121020271</v>
      </c>
      <c r="N167" s="8">
        <f>vals_co2_incLUC!$Y167</f>
        <v>57.415390830965244</v>
      </c>
      <c r="O167" s="8">
        <f>vals_co2_incLUC!$AE167</f>
        <v>54.378328224765539</v>
      </c>
      <c r="P167" s="8">
        <f>vals_co2_incLUC!$AK167</f>
        <v>55.694221931482922</v>
      </c>
      <c r="Q167" s="9">
        <f t="shared" si="47"/>
        <v>3.047828709944973</v>
      </c>
      <c r="R167" s="9">
        <v>41.664999999999999</v>
      </c>
      <c r="S167" s="9">
        <v>55.749000000000002</v>
      </c>
    </row>
    <row r="168" spans="1:19" x14ac:dyDescent="0.35">
      <c r="A168" s="3">
        <f>vals_co2_incLUC!$A168</f>
        <v>2015</v>
      </c>
      <c r="B168" s="4">
        <f t="shared" si="40"/>
        <v>39.74771948423566</v>
      </c>
      <c r="C168" s="4">
        <f t="shared" si="41"/>
        <v>44.799136654288695</v>
      </c>
      <c r="D168" s="4">
        <f t="shared" si="42"/>
        <v>54.02822949642615</v>
      </c>
      <c r="E168" s="4">
        <f t="shared" si="43"/>
        <v>57.026535669488077</v>
      </c>
      <c r="F168" s="4">
        <f t="shared" si="44"/>
        <v>5.0514171700530355</v>
      </c>
      <c r="G168" s="4">
        <f t="shared" si="45"/>
        <v>0</v>
      </c>
      <c r="H168" s="4">
        <f t="shared" si="46"/>
        <v>9.2290928421374545</v>
      </c>
      <c r="I168" s="5">
        <f>vals_co2_incLUC!$R168</f>
        <v>39.74771948423566</v>
      </c>
      <c r="J168" s="5">
        <f>vals_co2_incLUC!$X168</f>
        <v>44.799136654288695</v>
      </c>
      <c r="K168" s="5">
        <f>vals_co2_incLUC!$AD168</f>
        <v>39.755458930650775</v>
      </c>
      <c r="L168" s="5">
        <f>vals_co2_incLUC!$AJ168</f>
        <v>42.824363632274881</v>
      </c>
      <c r="M168" s="5">
        <f>vals_co2_incLUC!$S168</f>
        <v>54.02822949642615</v>
      </c>
      <c r="N168" s="5">
        <f>vals_co2_incLUC!$Y168</f>
        <v>57.026535669488077</v>
      </c>
      <c r="O168" s="5">
        <f>vals_co2_incLUC!$AE168</f>
        <v>54.038749649970043</v>
      </c>
      <c r="P168" s="5">
        <f>vals_co2_incLUC!$AK168</f>
        <v>55.296878749771949</v>
      </c>
      <c r="Q168" s="9">
        <f t="shared" si="47"/>
        <v>2.9983061730619269</v>
      </c>
      <c r="R168" s="9">
        <v>41.393999999999998</v>
      </c>
      <c r="S168" s="9">
        <v>55.38</v>
      </c>
    </row>
    <row r="169" spans="1:19" x14ac:dyDescent="0.35">
      <c r="A169" s="6">
        <f>vals_co2_incLUC!$A169</f>
        <v>2016</v>
      </c>
      <c r="B169" s="7">
        <f t="shared" si="40"/>
        <v>39.533517781302088</v>
      </c>
      <c r="C169" s="7">
        <f t="shared" si="41"/>
        <v>44.538735300258971</v>
      </c>
      <c r="D169" s="7">
        <f t="shared" si="42"/>
        <v>53.721408629457947</v>
      </c>
      <c r="E169" s="7">
        <f t="shared" si="43"/>
        <v>56.660297467898488</v>
      </c>
      <c r="F169" s="7">
        <f t="shared" si="44"/>
        <v>5.0052175189568828</v>
      </c>
      <c r="G169" s="7">
        <f t="shared" si="45"/>
        <v>0</v>
      </c>
      <c r="H169" s="7">
        <f t="shared" si="46"/>
        <v>9.1826733291989768</v>
      </c>
      <c r="I169" s="8">
        <f>vals_co2_incLUC!$R169</f>
        <v>39.533517781302088</v>
      </c>
      <c r="J169" s="8">
        <f>vals_co2_incLUC!$X169</f>
        <v>44.538735300258971</v>
      </c>
      <c r="K169" s="8">
        <f>vals_co2_incLUC!$AD169</f>
        <v>39.541092382850458</v>
      </c>
      <c r="L169" s="8">
        <f>vals_co2_incLUC!$AJ169</f>
        <v>42.538828076308164</v>
      </c>
      <c r="M169" s="8">
        <f>vals_co2_incLUC!$S169</f>
        <v>53.721408629457947</v>
      </c>
      <c r="N169" s="8">
        <f>vals_co2_incLUC!$Y169</f>
        <v>56.660297467898488</v>
      </c>
      <c r="O169" s="8">
        <f>vals_co2_incLUC!$AE169</f>
        <v>53.731701710892324</v>
      </c>
      <c r="P169" s="8">
        <f>vals_co2_incLUC!$AK169</f>
        <v>54.935577368043134</v>
      </c>
      <c r="Q169" s="9">
        <f t="shared" si="47"/>
        <v>2.9388888384405405</v>
      </c>
      <c r="R169" s="9">
        <v>41.149000000000001</v>
      </c>
      <c r="S169" s="9">
        <v>55.048999999999999</v>
      </c>
    </row>
    <row r="170" spans="1:19" x14ac:dyDescent="0.35">
      <c r="A170" s="3">
        <f>vals_co2_incLUC!$A170</f>
        <v>2017</v>
      </c>
      <c r="B170" s="4">
        <f t="shared" si="40"/>
        <v>39.318423738474635</v>
      </c>
      <c r="C170" s="4">
        <f t="shared" si="41"/>
        <v>44.280655019830803</v>
      </c>
      <c r="D170" s="4">
        <f t="shared" si="42"/>
        <v>53.415507559142739</v>
      </c>
      <c r="E170" s="4">
        <f t="shared" si="43"/>
        <v>56.296078015961101</v>
      </c>
      <c r="F170" s="4">
        <f t="shared" si="44"/>
        <v>4.9622312813561678</v>
      </c>
      <c r="G170" s="4">
        <f t="shared" si="45"/>
        <v>0</v>
      </c>
      <c r="H170" s="4">
        <f t="shared" si="46"/>
        <v>9.134852539311936</v>
      </c>
      <c r="I170" s="5">
        <f>vals_co2_incLUC!$R170</f>
        <v>39.318423738474635</v>
      </c>
      <c r="J170" s="5">
        <f>vals_co2_incLUC!$X170</f>
        <v>44.280655019830803</v>
      </c>
      <c r="K170" s="5">
        <f>vals_co2_incLUC!$AD170</f>
        <v>39.32583681993794</v>
      </c>
      <c r="L170" s="5">
        <f>vals_co2_incLUC!$AJ170</f>
        <v>42.253942300625965</v>
      </c>
      <c r="M170" s="5">
        <f>vals_co2_incLUC!$S170</f>
        <v>53.415507559142739</v>
      </c>
      <c r="N170" s="5">
        <f>vals_co2_incLUC!$Y170</f>
        <v>56.296078015961101</v>
      </c>
      <c r="O170" s="5">
        <f>vals_co2_incLUC!$AE170</f>
        <v>53.425578585731216</v>
      </c>
      <c r="P170" s="5">
        <f>vals_co2_incLUC!$AK170</f>
        <v>54.57655493753979</v>
      </c>
      <c r="Q170" s="9">
        <f t="shared" si="47"/>
        <v>2.8805704568183614</v>
      </c>
      <c r="R170" s="9">
        <v>40.902999999999999</v>
      </c>
      <c r="S170" s="9">
        <v>54.719000000000001</v>
      </c>
    </row>
    <row r="171" spans="1:19" x14ac:dyDescent="0.35">
      <c r="A171" s="6">
        <f>vals_co2_incLUC!$A171</f>
        <v>2018</v>
      </c>
      <c r="B171" s="7">
        <f t="shared" si="40"/>
        <v>39.106640419427244</v>
      </c>
      <c r="C171" s="7">
        <f t="shared" si="41"/>
        <v>44.026427182491716</v>
      </c>
      <c r="D171" s="7">
        <f t="shared" si="42"/>
        <v>53.112852293872812</v>
      </c>
      <c r="E171" s="7">
        <f t="shared" si="43"/>
        <v>55.944944743980663</v>
      </c>
      <c r="F171" s="7">
        <f t="shared" si="44"/>
        <v>4.9197867630644723</v>
      </c>
      <c r="G171" s="7">
        <f t="shared" si="45"/>
        <v>0</v>
      </c>
      <c r="H171" s="7">
        <f t="shared" si="46"/>
        <v>9.0864251113810965</v>
      </c>
      <c r="I171" s="8">
        <f>vals_co2_incLUC!$R171</f>
        <v>39.106640419427244</v>
      </c>
      <c r="J171" s="8">
        <f>vals_co2_incLUC!$X171</f>
        <v>44.026427182491716</v>
      </c>
      <c r="K171" s="8">
        <f>vals_co2_incLUC!$AD171</f>
        <v>39.113897112914138</v>
      </c>
      <c r="L171" s="8">
        <f>vals_co2_incLUC!$AJ171</f>
        <v>41.969351680179493</v>
      </c>
      <c r="M171" s="8">
        <f>vals_co2_incLUC!$S171</f>
        <v>53.112852293872812</v>
      </c>
      <c r="N171" s="8">
        <f>vals_co2_incLUC!$Y171</f>
        <v>55.944944743980663</v>
      </c>
      <c r="O171" s="8">
        <f>vals_co2_incLUC!$AE171</f>
        <v>53.122708088148244</v>
      </c>
      <c r="P171" s="8">
        <f>vals_co2_incLUC!$AK171</f>
        <v>54.218065114452926</v>
      </c>
      <c r="Q171" s="9">
        <f t="shared" si="47"/>
        <v>2.8320924501078508</v>
      </c>
      <c r="R171" s="9">
        <v>40.661000000000001</v>
      </c>
      <c r="S171" s="9">
        <v>54.39</v>
      </c>
    </row>
    <row r="172" spans="1:19" x14ac:dyDescent="0.35">
      <c r="A172" s="3">
        <f>vals_co2_incLUC!$A172</f>
        <v>2019</v>
      </c>
      <c r="B172" s="4">
        <f t="shared" si="40"/>
        <v>38.883711368808605</v>
      </c>
      <c r="C172" s="4">
        <f t="shared" si="41"/>
        <v>43.754737065683408</v>
      </c>
      <c r="D172" s="4">
        <f t="shared" si="42"/>
        <v>52.79502069310066</v>
      </c>
      <c r="E172" s="4">
        <f t="shared" si="43"/>
        <v>55.578992056334883</v>
      </c>
      <c r="F172" s="4">
        <f t="shared" si="44"/>
        <v>4.8710256968748027</v>
      </c>
      <c r="G172" s="4">
        <f t="shared" si="45"/>
        <v>0</v>
      </c>
      <c r="H172" s="4">
        <f t="shared" si="46"/>
        <v>9.0402836274172529</v>
      </c>
      <c r="I172" s="5">
        <f>vals_co2_incLUC!$R172</f>
        <v>38.883711368808605</v>
      </c>
      <c r="J172" s="5">
        <f>vals_co2_incLUC!$X172</f>
        <v>43.754737065683408</v>
      </c>
      <c r="K172" s="5">
        <f>vals_co2_incLUC!$AD172</f>
        <v>38.890813808618823</v>
      </c>
      <c r="L172" s="5">
        <f>vals_co2_incLUC!$AJ172</f>
        <v>41.675771022486515</v>
      </c>
      <c r="M172" s="5">
        <f>vals_co2_incLUC!$S172</f>
        <v>52.79502069310066</v>
      </c>
      <c r="N172" s="5">
        <f>vals_co2_incLUC!$Y172</f>
        <v>55.578992056334883</v>
      </c>
      <c r="O172" s="5">
        <f>vals_co2_incLUC!$AE172</f>
        <v>52.804664183814097</v>
      </c>
      <c r="P172" s="5">
        <f>vals_co2_incLUC!$AK172</f>
        <v>53.847608575862061</v>
      </c>
      <c r="Q172" s="9">
        <f t="shared" si="47"/>
        <v>2.7839713632342225</v>
      </c>
      <c r="R172" s="9">
        <v>40.408000000000001</v>
      </c>
      <c r="S172" s="9">
        <v>54.048000000000002</v>
      </c>
    </row>
    <row r="173" spans="1:19" x14ac:dyDescent="0.35">
      <c r="A173" s="6">
        <f>vals_co2_incLUC!$A173</f>
        <v>2020</v>
      </c>
      <c r="B173" s="7">
        <f t="shared" si="40"/>
        <v>38.660595990502081</v>
      </c>
      <c r="C173" s="7">
        <f t="shared" si="41"/>
        <v>43.491350912404506</v>
      </c>
      <c r="D173" s="7">
        <f t="shared" si="42"/>
        <v>52.483665484022048</v>
      </c>
      <c r="E173" s="7">
        <f t="shared" si="43"/>
        <v>55.222088401614592</v>
      </c>
      <c r="F173" s="7">
        <f t="shared" si="44"/>
        <v>4.8307549219024253</v>
      </c>
      <c r="G173" s="7">
        <f t="shared" si="45"/>
        <v>0</v>
      </c>
      <c r="H173" s="7">
        <f t="shared" si="46"/>
        <v>8.9923145716175412</v>
      </c>
      <c r="I173" s="8">
        <f>vals_co2_incLUC!$R173</f>
        <v>38.660595990502081</v>
      </c>
      <c r="J173" s="8">
        <f>vals_co2_incLUC!$X173</f>
        <v>43.491350912404506</v>
      </c>
      <c r="K173" s="8">
        <f>vals_co2_incLUC!$AD173</f>
        <v>38.667553778508882</v>
      </c>
      <c r="L173" s="8">
        <f>vals_co2_incLUC!$AJ173</f>
        <v>41.385897942046775</v>
      </c>
      <c r="M173" s="8">
        <f>vals_co2_incLUC!$S173</f>
        <v>52.483665484022048</v>
      </c>
      <c r="N173" s="8">
        <f>vals_co2_incLUC!$Y173</f>
        <v>55.222088401614592</v>
      </c>
      <c r="O173" s="8">
        <f>vals_co2_incLUC!$AE173</f>
        <v>52.493111056135035</v>
      </c>
      <c r="P173" s="8">
        <f>vals_co2_incLUC!$AK173</f>
        <v>53.485071053780686</v>
      </c>
      <c r="Q173" s="9">
        <f t="shared" si="47"/>
        <v>2.7384229175925441</v>
      </c>
      <c r="R173" s="9">
        <v>40.155999999999999</v>
      </c>
      <c r="S173" s="9">
        <v>53.713000000000001</v>
      </c>
    </row>
    <row r="174" spans="1:19" x14ac:dyDescent="0.35">
      <c r="A174" s="3">
        <f>vals_co2_incLUC!$A174</f>
        <v>2021</v>
      </c>
      <c r="B174" s="4">
        <f t="shared" si="40"/>
        <v>38.440054146678165</v>
      </c>
      <c r="C174" s="4">
        <f t="shared" si="41"/>
        <v>43.203655531785103</v>
      </c>
      <c r="D174" s="4">
        <f t="shared" si="42"/>
        <v>52.175412930232227</v>
      </c>
      <c r="E174" s="4">
        <f t="shared" si="43"/>
        <v>54.851473784278312</v>
      </c>
      <c r="F174" s="4">
        <f t="shared" si="44"/>
        <v>4.7636013851069379</v>
      </c>
      <c r="G174" s="4">
        <f t="shared" si="45"/>
        <v>0</v>
      </c>
      <c r="H174" s="4">
        <f t="shared" si="46"/>
        <v>8.9717573984471244</v>
      </c>
      <c r="I174" s="5">
        <f>vals_co2_incLUC!$R174</f>
        <v>38.440054146678165</v>
      </c>
      <c r="J174" s="5">
        <f>vals_co2_incLUC!$X174</f>
        <v>43.203655531785103</v>
      </c>
      <c r="K174" s="5">
        <f>vals_co2_incLUC!$AD174</f>
        <v>38.446867870340725</v>
      </c>
      <c r="L174" s="5">
        <f>vals_co2_incLUC!$AJ174</f>
        <v>41.096778019934646</v>
      </c>
      <c r="M174" s="5">
        <f>vals_co2_incLUC!$S174</f>
        <v>52.175412930232227</v>
      </c>
      <c r="N174" s="5">
        <f>vals_co2_incLUC!$Y174</f>
        <v>54.851473784278312</v>
      </c>
      <c r="O174" s="5">
        <f>vals_co2_incLUC!$AE174</f>
        <v>52.184661357664943</v>
      </c>
      <c r="P174" s="5">
        <f>vals_co2_incLUC!$AK174</f>
        <v>53.124497141202355</v>
      </c>
      <c r="Q174" s="9">
        <f t="shared" si="47"/>
        <v>2.6760608540460851</v>
      </c>
      <c r="R174" s="9">
        <v>39.904000000000003</v>
      </c>
      <c r="S174" s="9">
        <v>53.378</v>
      </c>
    </row>
    <row r="175" spans="1:19" x14ac:dyDescent="0.35">
      <c r="A175" s="6">
        <f>vals_co2_incLUC!$A175</f>
        <v>2022</v>
      </c>
      <c r="B175" s="7">
        <f t="shared" si="40"/>
        <v>38.212651425648566</v>
      </c>
      <c r="C175" s="7">
        <f t="shared" si="41"/>
        <v>42.902288569232326</v>
      </c>
      <c r="D175" s="7">
        <f t="shared" si="42"/>
        <v>51.859586398147492</v>
      </c>
      <c r="E175" s="7">
        <f t="shared" si="43"/>
        <v>54.438114035429905</v>
      </c>
      <c r="F175" s="7">
        <f t="shared" si="44"/>
        <v>4.6896371435837594</v>
      </c>
      <c r="G175" s="7">
        <f t="shared" si="45"/>
        <v>0</v>
      </c>
      <c r="H175" s="7">
        <f t="shared" si="46"/>
        <v>8.9572978289151663</v>
      </c>
      <c r="I175" s="8">
        <f>vals_co2_incLUC!$R175</f>
        <v>38.212651425648566</v>
      </c>
      <c r="J175" s="8">
        <f>vals_co2_incLUC!$X175</f>
        <v>42.902288569232326</v>
      </c>
      <c r="K175" s="8">
        <f>vals_co2_incLUC!$AD175</f>
        <v>38.219322421167526</v>
      </c>
      <c r="L175" s="8">
        <f>vals_co2_incLUC!$AJ175</f>
        <v>40.802779899386799</v>
      </c>
      <c r="M175" s="8">
        <f>vals_co2_incLUC!$S175</f>
        <v>51.859586398147492</v>
      </c>
      <c r="N175" s="8">
        <f>vals_co2_incLUC!$Y175</f>
        <v>54.438114035429905</v>
      </c>
      <c r="O175" s="8">
        <f>vals_co2_incLUC!$AE175</f>
        <v>51.868639846088605</v>
      </c>
      <c r="P175" s="8">
        <f>vals_co2_incLUC!$AK175</f>
        <v>52.75710156323791</v>
      </c>
      <c r="Q175" s="9">
        <f t="shared" si="47"/>
        <v>2.5785276372824129</v>
      </c>
      <c r="R175" s="9">
        <v>39.646999999999998</v>
      </c>
      <c r="S175" s="9">
        <v>53.036000000000001</v>
      </c>
    </row>
    <row r="176" spans="1:19" x14ac:dyDescent="0.35">
      <c r="A176" s="3">
        <f>vals_co2_incLUC!$A176</f>
        <v>2023</v>
      </c>
      <c r="B176" s="4">
        <f t="shared" si="40"/>
        <v>37.973549020282945</v>
      </c>
      <c r="C176" s="4">
        <f t="shared" si="41"/>
        <v>42.588889853677713</v>
      </c>
      <c r="D176" s="4">
        <f t="shared" si="42"/>
        <v>51.533804418837633</v>
      </c>
      <c r="E176" s="4">
        <f t="shared" si="43"/>
        <v>54.014958700889792</v>
      </c>
      <c r="F176" s="4">
        <f t="shared" si="44"/>
        <v>4.6153408333947681</v>
      </c>
      <c r="G176" s="4">
        <f t="shared" si="45"/>
        <v>0</v>
      </c>
      <c r="H176" s="4">
        <f t="shared" si="46"/>
        <v>8.9449145651599196</v>
      </c>
      <c r="I176" s="5">
        <f>vals_co2_incLUC!$R176</f>
        <v>37.973549020282945</v>
      </c>
      <c r="J176" s="5">
        <f>vals_co2_incLUC!$X176</f>
        <v>42.588889853677713</v>
      </c>
      <c r="K176" s="5">
        <f>vals_co2_incLUC!$AD176</f>
        <v>37.98007861823482</v>
      </c>
      <c r="L176" s="5">
        <f>vals_co2_incLUC!$AJ176</f>
        <v>40.49701569258756</v>
      </c>
      <c r="M176" s="5">
        <f>vals_co2_incLUC!$S176</f>
        <v>51.533804418837633</v>
      </c>
      <c r="N176" s="5">
        <f>vals_co2_incLUC!$Y176</f>
        <v>54.014958700889792</v>
      </c>
      <c r="O176" s="5">
        <f>vals_co2_incLUC!$AE176</f>
        <v>51.542665749674157</v>
      </c>
      <c r="P176" s="5">
        <f>vals_co2_incLUC!$AK176</f>
        <v>52.379741681117899</v>
      </c>
      <c r="Q176" s="9">
        <f t="shared" si="47"/>
        <v>2.4811542820521595</v>
      </c>
      <c r="R176" s="9">
        <v>39.377000000000002</v>
      </c>
      <c r="S176" s="9">
        <v>52.683999999999997</v>
      </c>
    </row>
    <row r="177" spans="1:19" x14ac:dyDescent="0.35">
      <c r="A177" s="6">
        <f>vals_co2_incLUC!$A177</f>
        <v>2024</v>
      </c>
      <c r="B177" s="7">
        <f t="shared" si="40"/>
        <v>37.734536444647119</v>
      </c>
      <c r="C177" s="7">
        <f t="shared" si="41"/>
        <v>42.30043645994909</v>
      </c>
      <c r="D177" s="7">
        <f t="shared" si="42"/>
        <v>51.211261402049942</v>
      </c>
      <c r="E177" s="7">
        <f t="shared" si="43"/>
        <v>53.670885927601717</v>
      </c>
      <c r="F177" s="7">
        <f t="shared" si="44"/>
        <v>4.5659000153019704</v>
      </c>
      <c r="G177" s="7">
        <f t="shared" si="45"/>
        <v>0</v>
      </c>
      <c r="H177" s="7">
        <f t="shared" si="46"/>
        <v>8.9108249421008523</v>
      </c>
      <c r="I177" s="8">
        <f>vals_co2_incLUC!$R177</f>
        <v>37.734536444647119</v>
      </c>
      <c r="J177" s="8">
        <f>vals_co2_incLUC!$X177</f>
        <v>42.30043645994909</v>
      </c>
      <c r="K177" s="8">
        <f>vals_co2_incLUC!$AD177</f>
        <v>37.740928293666151</v>
      </c>
      <c r="L177" s="8">
        <f>vals_co2_incLUC!$AJ177</f>
        <v>40.194727015845629</v>
      </c>
      <c r="M177" s="8">
        <f>vals_co2_incLUC!$S177</f>
        <v>51.211261402049942</v>
      </c>
      <c r="N177" s="8">
        <f>vals_co2_incLUC!$Y177</f>
        <v>53.670885927601717</v>
      </c>
      <c r="O177" s="8">
        <f>vals_co2_incLUC!$AE177</f>
        <v>51.219936102049566</v>
      </c>
      <c r="P177" s="8">
        <f>vals_co2_incLUC!$AK177</f>
        <v>52.00917706374404</v>
      </c>
      <c r="Q177" s="9">
        <f t="shared" si="47"/>
        <v>2.4596245255517744</v>
      </c>
      <c r="R177" s="9">
        <v>39.109000000000002</v>
      </c>
      <c r="S177" s="9">
        <v>52.337000000000003</v>
      </c>
    </row>
  </sheetData>
  <mergeCells count="1">
    <mergeCell ref="A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CA58-BD07-4FB2-B3AF-83AF85AB1728}">
  <sheetPr>
    <tabColor rgb="FF0B4C5B"/>
  </sheetPr>
  <dimension ref="A1:S177"/>
  <sheetViews>
    <sheetView workbookViewId="0"/>
  </sheetViews>
  <sheetFormatPr defaultRowHeight="14.5" x14ac:dyDescent="0.35"/>
  <cols>
    <col min="1" max="1" width="8.6328125" customWidth="1"/>
    <col min="2" max="8" width="11.6328125" customWidth="1"/>
    <col min="9" max="16" width="12.6328125" customWidth="1"/>
    <col min="17" max="17" width="11.6328125" customWidth="1"/>
  </cols>
  <sheetData>
    <row r="1" spans="1:19" ht="30" customHeight="1" x14ac:dyDescent="0.35">
      <c r="A1" s="10" t="s">
        <v>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35">
      <c r="A2" s="1" t="s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1" t="s">
        <v>14</v>
      </c>
      <c r="J2" s="1" t="s">
        <v>20</v>
      </c>
      <c r="K2" s="1" t="s">
        <v>26</v>
      </c>
      <c r="L2" s="1"/>
      <c r="M2" s="1" t="s">
        <v>15</v>
      </c>
      <c r="N2" s="1" t="s">
        <v>21</v>
      </c>
      <c r="O2" s="1" t="s">
        <v>27</v>
      </c>
      <c r="P2" s="1"/>
      <c r="Q2" s="2" t="s">
        <v>35</v>
      </c>
      <c r="R2" t="s">
        <v>55</v>
      </c>
      <c r="S2" t="s">
        <v>56</v>
      </c>
    </row>
    <row r="3" spans="1:19" x14ac:dyDescent="0.35">
      <c r="A3" s="6">
        <f>vals_co2_excLUC!$A3</f>
        <v>1850</v>
      </c>
      <c r="B3" s="7">
        <f t="shared" ref="B3:B34" si="0">IFERROR(_xlfn.AGGREGATE(5,6,I3:L3),"")</f>
        <v>98.267698935219045</v>
      </c>
      <c r="C3" s="7">
        <f t="shared" ref="C3:C34" si="1">IFERROR(_xlfn.AGGREGATE(4,6,I3:L3),"")</f>
        <v>98.317982757604923</v>
      </c>
      <c r="D3" s="7">
        <f t="shared" ref="D3:D34" si="2">IFERROR(_xlfn.AGGREGATE(5,6,M3:P3),"")</f>
        <v>99.944119320490927</v>
      </c>
      <c r="E3" s="7">
        <f t="shared" ref="E3:E34" si="3">IFERROR(_xlfn.AGGREGATE(4,6,M3:P3),"")</f>
        <v>99.978888867068591</v>
      </c>
      <c r="F3" s="7">
        <f t="shared" ref="F3:F34" si="4">IFERROR(MIN(C3,D3)-B3,"")</f>
        <v>5.0283822385878807E-2</v>
      </c>
      <c r="G3" s="7">
        <f t="shared" ref="G3:G34" si="5">IFERROR(MAX(0,C3-D3),"")</f>
        <v>0</v>
      </c>
      <c r="H3" s="7">
        <f t="shared" ref="H3:H34" si="6">IFERROR(MAX(0,D3-C3),"")</f>
        <v>1.6261365628860034</v>
      </c>
      <c r="I3" s="8">
        <f>vals_co2_excLUC!$R3</f>
        <v>98.267698935219045</v>
      </c>
      <c r="J3" s="8">
        <f>vals_co2_excLUC!$X3</f>
        <v>98.317982757604923</v>
      </c>
      <c r="K3" s="8">
        <f>vals_co2_excLUC!$AD3</f>
        <v>98.267698935219045</v>
      </c>
      <c r="L3" s="8"/>
      <c r="M3" s="8">
        <f>vals_co2_excLUC!$S3</f>
        <v>99.944119320490927</v>
      </c>
      <c r="N3" s="8">
        <f>vals_co2_excLUC!$Y3</f>
        <v>99.978888867068591</v>
      </c>
      <c r="O3" s="8">
        <f>vals_co2_excLUC!$AE3</f>
        <v>99.944119320490927</v>
      </c>
      <c r="P3" s="8"/>
      <c r="Q3" s="9">
        <f t="shared" ref="Q3:Q34" si="7">IFERROR(MAX(0,$E3-MAX($C3,$D3)),"")</f>
        <v>3.4769546577663846E-2</v>
      </c>
      <c r="R3" s="9"/>
      <c r="S3" s="9"/>
    </row>
    <row r="4" spans="1:19" x14ac:dyDescent="0.35">
      <c r="A4" s="3">
        <f>vals_co2_excLUC!$A4</f>
        <v>1851</v>
      </c>
      <c r="B4" s="4">
        <f t="shared" si="0"/>
        <v>98.166450132195536</v>
      </c>
      <c r="C4" s="4">
        <f t="shared" si="1"/>
        <v>98.201705418041939</v>
      </c>
      <c r="D4" s="4">
        <f t="shared" si="2"/>
        <v>99.944391925707606</v>
      </c>
      <c r="E4" s="4">
        <f t="shared" si="3"/>
        <v>99.97854820073033</v>
      </c>
      <c r="F4" s="4">
        <f t="shared" si="4"/>
        <v>3.5255285846403694E-2</v>
      </c>
      <c r="G4" s="4">
        <f t="shared" si="5"/>
        <v>0</v>
      </c>
      <c r="H4" s="4">
        <f t="shared" si="6"/>
        <v>1.7426865076656668</v>
      </c>
      <c r="I4" s="5">
        <f>vals_co2_excLUC!$R4</f>
        <v>98.166450132195536</v>
      </c>
      <c r="J4" s="5">
        <f>vals_co2_excLUC!$X4</f>
        <v>98.201705418041939</v>
      </c>
      <c r="K4" s="5">
        <f>vals_co2_excLUC!$AD4</f>
        <v>98.166450132195536</v>
      </c>
      <c r="L4" s="5"/>
      <c r="M4" s="5">
        <f>vals_co2_excLUC!$S4</f>
        <v>99.944391925707606</v>
      </c>
      <c r="N4" s="5">
        <f>vals_co2_excLUC!$Y4</f>
        <v>99.97854820073033</v>
      </c>
      <c r="O4" s="5">
        <f>vals_co2_excLUC!$AE4</f>
        <v>99.944391925707606</v>
      </c>
      <c r="P4" s="5"/>
      <c r="Q4" s="9">
        <f t="shared" si="7"/>
        <v>3.4156275022724003E-2</v>
      </c>
      <c r="R4" s="9">
        <v>98.066000000000003</v>
      </c>
      <c r="S4" s="9">
        <v>99.944000000000003</v>
      </c>
    </row>
    <row r="5" spans="1:19" x14ac:dyDescent="0.35">
      <c r="A5" s="6">
        <f>vals_co2_excLUC!$A5</f>
        <v>1852</v>
      </c>
      <c r="B5" s="7">
        <f t="shared" si="0"/>
        <v>98.025765018127686</v>
      </c>
      <c r="C5" s="7">
        <f t="shared" si="1"/>
        <v>98.064808708440651</v>
      </c>
      <c r="D5" s="7">
        <f t="shared" si="2"/>
        <v>99.933523534492338</v>
      </c>
      <c r="E5" s="7">
        <f t="shared" si="3"/>
        <v>99.977804143120167</v>
      </c>
      <c r="F5" s="7">
        <f t="shared" si="4"/>
        <v>3.9043690312965396E-2</v>
      </c>
      <c r="G5" s="7">
        <f t="shared" si="5"/>
        <v>0</v>
      </c>
      <c r="H5" s="7">
        <f t="shared" si="6"/>
        <v>1.8687148260516864</v>
      </c>
      <c r="I5" s="8">
        <f>vals_co2_excLUC!$R5</f>
        <v>98.025765018127686</v>
      </c>
      <c r="J5" s="8">
        <f>vals_co2_excLUC!$X5</f>
        <v>98.064808708440651</v>
      </c>
      <c r="K5" s="8">
        <f>vals_co2_excLUC!$AD5</f>
        <v>98.025765018127686</v>
      </c>
      <c r="L5" s="8"/>
      <c r="M5" s="8">
        <f>vals_co2_excLUC!$S5</f>
        <v>99.933523534492338</v>
      </c>
      <c r="N5" s="8">
        <f>vals_co2_excLUC!$Y5</f>
        <v>99.977804143120167</v>
      </c>
      <c r="O5" s="8">
        <f>vals_co2_excLUC!$AE5</f>
        <v>99.933523534492338</v>
      </c>
      <c r="P5" s="8"/>
      <c r="Q5" s="9">
        <f t="shared" si="7"/>
        <v>4.4280608627829565E-2</v>
      </c>
      <c r="R5" s="9">
        <v>97.909000000000006</v>
      </c>
      <c r="S5" s="9">
        <v>99.927999999999997</v>
      </c>
    </row>
    <row r="6" spans="1:19" x14ac:dyDescent="0.35">
      <c r="A6" s="3">
        <f>vals_co2_excLUC!$A6</f>
        <v>1853</v>
      </c>
      <c r="B6" s="4">
        <f t="shared" si="0"/>
        <v>97.966257870603982</v>
      </c>
      <c r="C6" s="4">
        <f t="shared" si="1"/>
        <v>97.993697762318632</v>
      </c>
      <c r="D6" s="4">
        <f t="shared" si="2"/>
        <v>99.936864531761529</v>
      </c>
      <c r="E6" s="4">
        <f t="shared" si="3"/>
        <v>99.976662722393115</v>
      </c>
      <c r="F6" s="4">
        <f t="shared" si="4"/>
        <v>2.7439891714649889E-2</v>
      </c>
      <c r="G6" s="4">
        <f t="shared" si="5"/>
        <v>0</v>
      </c>
      <c r="H6" s="4">
        <f t="shared" si="6"/>
        <v>1.9431667694428967</v>
      </c>
      <c r="I6" s="5">
        <f>vals_co2_excLUC!$R6</f>
        <v>97.966257870603982</v>
      </c>
      <c r="J6" s="5">
        <f>vals_co2_excLUC!$X6</f>
        <v>97.993697762318632</v>
      </c>
      <c r="K6" s="5">
        <f>vals_co2_excLUC!$AD6</f>
        <v>97.966257870603982</v>
      </c>
      <c r="L6" s="5"/>
      <c r="M6" s="5">
        <f>vals_co2_excLUC!$S6</f>
        <v>99.936864531761529</v>
      </c>
      <c r="N6" s="5">
        <f>vals_co2_excLUC!$Y6</f>
        <v>99.976662722393115</v>
      </c>
      <c r="O6" s="5">
        <f>vals_co2_excLUC!$AE6</f>
        <v>99.936864531761529</v>
      </c>
      <c r="P6" s="5"/>
      <c r="Q6" s="9">
        <f t="shared" si="7"/>
        <v>3.9798190631586294E-2</v>
      </c>
      <c r="R6" s="9">
        <v>97.870999999999995</v>
      </c>
      <c r="S6" s="9">
        <v>99.935000000000002</v>
      </c>
    </row>
    <row r="7" spans="1:19" x14ac:dyDescent="0.35">
      <c r="A7" s="6">
        <f>vals_co2_excLUC!$A7</f>
        <v>1854</v>
      </c>
      <c r="B7" s="7">
        <f t="shared" si="0"/>
        <v>97.963265321302913</v>
      </c>
      <c r="C7" s="7">
        <f t="shared" si="1"/>
        <v>97.969739173342731</v>
      </c>
      <c r="D7" s="7">
        <f t="shared" si="2"/>
        <v>99.951371274277179</v>
      </c>
      <c r="E7" s="7">
        <f t="shared" si="3"/>
        <v>99.975864282176943</v>
      </c>
      <c r="F7" s="7">
        <f t="shared" si="4"/>
        <v>6.4738520398179844E-3</v>
      </c>
      <c r="G7" s="7">
        <f t="shared" si="5"/>
        <v>0</v>
      </c>
      <c r="H7" s="7">
        <f t="shared" si="6"/>
        <v>1.9816321009344477</v>
      </c>
      <c r="I7" s="8">
        <f>vals_co2_excLUC!$R7</f>
        <v>97.963265321302913</v>
      </c>
      <c r="J7" s="8">
        <f>vals_co2_excLUC!$X7</f>
        <v>97.969739173342731</v>
      </c>
      <c r="K7" s="8">
        <f>vals_co2_excLUC!$AD7</f>
        <v>97.963265321302913</v>
      </c>
      <c r="L7" s="8"/>
      <c r="M7" s="8">
        <f>vals_co2_excLUC!$S7</f>
        <v>99.951371274277179</v>
      </c>
      <c r="N7" s="8">
        <f>vals_co2_excLUC!$Y7</f>
        <v>99.975864282176943</v>
      </c>
      <c r="O7" s="8">
        <f>vals_co2_excLUC!$AE7</f>
        <v>99.951371274277179</v>
      </c>
      <c r="P7" s="8"/>
      <c r="Q7" s="9">
        <f t="shared" si="7"/>
        <v>2.4493007899764052E-2</v>
      </c>
      <c r="R7" s="9">
        <v>97.894999999999996</v>
      </c>
      <c r="S7" s="9">
        <v>99.953000000000003</v>
      </c>
    </row>
    <row r="8" spans="1:19" x14ac:dyDescent="0.35">
      <c r="A8" s="3">
        <f>vals_co2_excLUC!$A8</f>
        <v>1855</v>
      </c>
      <c r="B8" s="4">
        <f t="shared" si="0"/>
        <v>97.868248392670523</v>
      </c>
      <c r="C8" s="4">
        <f t="shared" si="1"/>
        <v>97.894063669415104</v>
      </c>
      <c r="D8" s="4">
        <f t="shared" si="2"/>
        <v>99.945948212098628</v>
      </c>
      <c r="E8" s="4">
        <f t="shared" si="3"/>
        <v>99.974822281273973</v>
      </c>
      <c r="F8" s="4">
        <f t="shared" si="4"/>
        <v>2.5815276744580729E-2</v>
      </c>
      <c r="G8" s="4">
        <f t="shared" si="5"/>
        <v>0</v>
      </c>
      <c r="H8" s="4">
        <f t="shared" si="6"/>
        <v>2.0518845426835242</v>
      </c>
      <c r="I8" s="5">
        <f>vals_co2_excLUC!$R8</f>
        <v>97.868248392670523</v>
      </c>
      <c r="J8" s="5">
        <f>vals_co2_excLUC!$X8</f>
        <v>97.894063669415104</v>
      </c>
      <c r="K8" s="5">
        <f>vals_co2_excLUC!$AD8</f>
        <v>97.868248392670523</v>
      </c>
      <c r="L8" s="5"/>
      <c r="M8" s="5">
        <f>vals_co2_excLUC!$S8</f>
        <v>99.945948212098628</v>
      </c>
      <c r="N8" s="5">
        <f>vals_co2_excLUC!$Y8</f>
        <v>99.974822281273973</v>
      </c>
      <c r="O8" s="5">
        <f>vals_co2_excLUC!$AE8</f>
        <v>99.945948212098628</v>
      </c>
      <c r="P8" s="5"/>
      <c r="Q8" s="9">
        <f t="shared" si="7"/>
        <v>2.887406917534463E-2</v>
      </c>
      <c r="R8" s="9">
        <v>97.799000000000007</v>
      </c>
      <c r="S8" s="9">
        <v>99.945999999999998</v>
      </c>
    </row>
    <row r="9" spans="1:19" x14ac:dyDescent="0.35">
      <c r="A9" s="6">
        <f>vals_co2_excLUC!$A9</f>
        <v>1856</v>
      </c>
      <c r="B9" s="7">
        <f t="shared" si="0"/>
        <v>97.756073261416816</v>
      </c>
      <c r="C9" s="7">
        <f t="shared" si="1"/>
        <v>97.821930577497028</v>
      </c>
      <c r="D9" s="7">
        <f t="shared" si="2"/>
        <v>99.896468465632921</v>
      </c>
      <c r="E9" s="7">
        <f t="shared" si="3"/>
        <v>99.973987692666682</v>
      </c>
      <c r="F9" s="7">
        <f t="shared" si="4"/>
        <v>6.5857316080212058E-2</v>
      </c>
      <c r="G9" s="7">
        <f t="shared" si="5"/>
        <v>0</v>
      </c>
      <c r="H9" s="7">
        <f t="shared" si="6"/>
        <v>2.0745378881358931</v>
      </c>
      <c r="I9" s="8">
        <f>vals_co2_excLUC!$R9</f>
        <v>97.756073261416816</v>
      </c>
      <c r="J9" s="8">
        <f>vals_co2_excLUC!$X9</f>
        <v>97.821930577497028</v>
      </c>
      <c r="K9" s="8">
        <f>vals_co2_excLUC!$AD9</f>
        <v>97.756073261416816</v>
      </c>
      <c r="L9" s="8"/>
      <c r="M9" s="8">
        <f>vals_co2_excLUC!$S9</f>
        <v>99.896468465632921</v>
      </c>
      <c r="N9" s="8">
        <f>vals_co2_excLUC!$Y9</f>
        <v>99.973987692666682</v>
      </c>
      <c r="O9" s="8">
        <f>vals_co2_excLUC!$AE9</f>
        <v>99.896468465632921</v>
      </c>
      <c r="P9" s="8"/>
      <c r="Q9" s="9">
        <f t="shared" si="7"/>
        <v>7.751922703376124E-2</v>
      </c>
      <c r="R9" s="9">
        <v>97.685000000000002</v>
      </c>
      <c r="S9" s="9">
        <v>99.89</v>
      </c>
    </row>
    <row r="10" spans="1:19" x14ac:dyDescent="0.35">
      <c r="A10" s="3">
        <f>vals_co2_excLUC!$A10</f>
        <v>1857</v>
      </c>
      <c r="B10" s="4">
        <f t="shared" si="0"/>
        <v>97.639910045578731</v>
      </c>
      <c r="C10" s="4">
        <f t="shared" si="1"/>
        <v>97.748245687394032</v>
      </c>
      <c r="D10" s="4">
        <f t="shared" si="2"/>
        <v>99.845925087933509</v>
      </c>
      <c r="E10" s="4">
        <f t="shared" si="3"/>
        <v>99.973086601841359</v>
      </c>
      <c r="F10" s="4">
        <f t="shared" si="4"/>
        <v>0.10833564181530164</v>
      </c>
      <c r="G10" s="4">
        <f t="shared" si="5"/>
        <v>0</v>
      </c>
      <c r="H10" s="4">
        <f t="shared" si="6"/>
        <v>2.0976794005394765</v>
      </c>
      <c r="I10" s="5">
        <f>vals_co2_excLUC!$R10</f>
        <v>97.639910045578731</v>
      </c>
      <c r="J10" s="5">
        <f>vals_co2_excLUC!$X10</f>
        <v>97.748245687394032</v>
      </c>
      <c r="K10" s="5">
        <f>vals_co2_excLUC!$AD10</f>
        <v>97.639910045578731</v>
      </c>
      <c r="L10" s="5"/>
      <c r="M10" s="5">
        <f>vals_co2_excLUC!$S10</f>
        <v>99.845925087933509</v>
      </c>
      <c r="N10" s="5">
        <f>vals_co2_excLUC!$Y10</f>
        <v>99.973086601841359</v>
      </c>
      <c r="O10" s="5">
        <f>vals_co2_excLUC!$AE10</f>
        <v>99.845925087933509</v>
      </c>
      <c r="P10" s="5"/>
      <c r="Q10" s="9">
        <f t="shared" si="7"/>
        <v>0.12716151390785058</v>
      </c>
      <c r="R10" s="9">
        <v>97.566999999999993</v>
      </c>
      <c r="S10" s="9">
        <v>99.834999999999994</v>
      </c>
    </row>
    <row r="11" spans="1:19" x14ac:dyDescent="0.35">
      <c r="A11" s="6">
        <f>vals_co2_excLUC!$A11</f>
        <v>1858</v>
      </c>
      <c r="B11" s="7">
        <f t="shared" si="0"/>
        <v>97.477267943639077</v>
      </c>
      <c r="C11" s="7">
        <f t="shared" si="1"/>
        <v>97.637938498845429</v>
      </c>
      <c r="D11" s="7">
        <f t="shared" si="2"/>
        <v>99.784521795673101</v>
      </c>
      <c r="E11" s="7">
        <f t="shared" si="3"/>
        <v>99.953491629153874</v>
      </c>
      <c r="F11" s="7">
        <f t="shared" si="4"/>
        <v>0.16067055520635165</v>
      </c>
      <c r="G11" s="7">
        <f t="shared" si="5"/>
        <v>0</v>
      </c>
      <c r="H11" s="7">
        <f t="shared" si="6"/>
        <v>2.1465832968276715</v>
      </c>
      <c r="I11" s="8">
        <f>vals_co2_excLUC!$R11</f>
        <v>97.477267943639077</v>
      </c>
      <c r="J11" s="8">
        <f>vals_co2_excLUC!$X11</f>
        <v>97.637938498845429</v>
      </c>
      <c r="K11" s="8">
        <f>vals_co2_excLUC!$AD11</f>
        <v>97.477267943639077</v>
      </c>
      <c r="L11" s="8"/>
      <c r="M11" s="8">
        <f>vals_co2_excLUC!$S11</f>
        <v>99.784521795673101</v>
      </c>
      <c r="N11" s="8">
        <f>vals_co2_excLUC!$Y11</f>
        <v>99.953491629153874</v>
      </c>
      <c r="O11" s="8">
        <f>vals_co2_excLUC!$AE11</f>
        <v>99.784521795673101</v>
      </c>
      <c r="P11" s="8"/>
      <c r="Q11" s="9">
        <f t="shared" si="7"/>
        <v>0.16896983348077299</v>
      </c>
      <c r="R11" s="9">
        <v>97.399000000000001</v>
      </c>
      <c r="S11" s="9">
        <v>99.769000000000005</v>
      </c>
    </row>
    <row r="12" spans="1:19" x14ac:dyDescent="0.35">
      <c r="A12" s="3">
        <f>vals_co2_excLUC!$A12</f>
        <v>1859</v>
      </c>
      <c r="B12" s="4">
        <f t="shared" si="0"/>
        <v>97.37720286247793</v>
      </c>
      <c r="C12" s="4">
        <f t="shared" si="1"/>
        <v>97.568227886924433</v>
      </c>
      <c r="D12" s="4">
        <f t="shared" si="2"/>
        <v>99.73861425689897</v>
      </c>
      <c r="E12" s="4">
        <f t="shared" si="3"/>
        <v>99.928603557523061</v>
      </c>
      <c r="F12" s="4">
        <f t="shared" si="4"/>
        <v>0.19102502444650327</v>
      </c>
      <c r="G12" s="4">
        <f t="shared" si="5"/>
        <v>0</v>
      </c>
      <c r="H12" s="4">
        <f t="shared" si="6"/>
        <v>2.1703863699745369</v>
      </c>
      <c r="I12" s="5">
        <f>vals_co2_excLUC!$R12</f>
        <v>97.37720286247793</v>
      </c>
      <c r="J12" s="5">
        <f>vals_co2_excLUC!$X12</f>
        <v>97.568227886924433</v>
      </c>
      <c r="K12" s="5">
        <f>vals_co2_excLUC!$AD12</f>
        <v>97.37720286247793</v>
      </c>
      <c r="L12" s="5"/>
      <c r="M12" s="5">
        <f>vals_co2_excLUC!$S12</f>
        <v>99.73861425689897</v>
      </c>
      <c r="N12" s="5">
        <f>vals_co2_excLUC!$Y12</f>
        <v>99.928603557523061</v>
      </c>
      <c r="O12" s="5">
        <f>vals_co2_excLUC!$AE12</f>
        <v>99.73861425689897</v>
      </c>
      <c r="P12" s="5"/>
      <c r="Q12" s="9">
        <f t="shared" si="7"/>
        <v>0.18998930062409158</v>
      </c>
      <c r="R12" s="9">
        <v>97.301000000000002</v>
      </c>
      <c r="S12" s="9">
        <v>99.721000000000004</v>
      </c>
    </row>
    <row r="13" spans="1:19" x14ac:dyDescent="0.35">
      <c r="A13" s="6">
        <f>vals_co2_excLUC!$A13</f>
        <v>1860</v>
      </c>
      <c r="B13" s="7">
        <f t="shared" si="0"/>
        <v>97.284771528352238</v>
      </c>
      <c r="C13" s="7">
        <f t="shared" si="1"/>
        <v>97.50579426956719</v>
      </c>
      <c r="D13" s="7">
        <f t="shared" si="2"/>
        <v>99.695837584941899</v>
      </c>
      <c r="E13" s="7">
        <f t="shared" si="3"/>
        <v>99.908867987552014</v>
      </c>
      <c r="F13" s="7">
        <f t="shared" si="4"/>
        <v>0.22102274121495213</v>
      </c>
      <c r="G13" s="7">
        <f t="shared" si="5"/>
        <v>0</v>
      </c>
      <c r="H13" s="7">
        <f t="shared" si="6"/>
        <v>2.1900433153747088</v>
      </c>
      <c r="I13" s="8">
        <f>vals_co2_excLUC!$R13</f>
        <v>97.284771528352238</v>
      </c>
      <c r="J13" s="8">
        <f>vals_co2_excLUC!$X13</f>
        <v>97.50579426956719</v>
      </c>
      <c r="K13" s="8">
        <f>vals_co2_excLUC!$AD13</f>
        <v>97.284771528352238</v>
      </c>
      <c r="L13" s="8"/>
      <c r="M13" s="8">
        <f>vals_co2_excLUC!$S13</f>
        <v>99.695837584941899</v>
      </c>
      <c r="N13" s="8">
        <f>vals_co2_excLUC!$Y13</f>
        <v>99.908867987552014</v>
      </c>
      <c r="O13" s="8">
        <f>vals_co2_excLUC!$AE13</f>
        <v>99.695837584941899</v>
      </c>
      <c r="P13" s="8"/>
      <c r="Q13" s="9">
        <f t="shared" si="7"/>
        <v>0.21303040261011574</v>
      </c>
      <c r="R13" s="9">
        <v>97.210999999999999</v>
      </c>
      <c r="S13" s="9">
        <v>99.677000000000007</v>
      </c>
    </row>
    <row r="14" spans="1:19" x14ac:dyDescent="0.35">
      <c r="A14" s="3">
        <f>vals_co2_excLUC!$A14</f>
        <v>1861</v>
      </c>
      <c r="B14" s="4">
        <f t="shared" si="0"/>
        <v>97.196371831071389</v>
      </c>
      <c r="C14" s="4">
        <f t="shared" si="1"/>
        <v>97.441839149114912</v>
      </c>
      <c r="D14" s="4">
        <f t="shared" si="2"/>
        <v>99.665507243446015</v>
      </c>
      <c r="E14" s="4">
        <f t="shared" si="3"/>
        <v>99.897718484849591</v>
      </c>
      <c r="F14" s="4">
        <f t="shared" si="4"/>
        <v>0.24546731804352362</v>
      </c>
      <c r="G14" s="4">
        <f t="shared" si="5"/>
        <v>0</v>
      </c>
      <c r="H14" s="4">
        <f t="shared" si="6"/>
        <v>2.2236680943311029</v>
      </c>
      <c r="I14" s="5">
        <f>vals_co2_excLUC!$R14</f>
        <v>97.196371831071389</v>
      </c>
      <c r="J14" s="5">
        <f>vals_co2_excLUC!$X14</f>
        <v>97.441839149114912</v>
      </c>
      <c r="K14" s="5">
        <f>vals_co2_excLUC!$AD14</f>
        <v>97.196371831071389</v>
      </c>
      <c r="L14" s="5"/>
      <c r="M14" s="5">
        <f>vals_co2_excLUC!$S14</f>
        <v>99.665507243446015</v>
      </c>
      <c r="N14" s="5">
        <f>vals_co2_excLUC!$Y14</f>
        <v>99.897718484849591</v>
      </c>
      <c r="O14" s="5">
        <f>vals_co2_excLUC!$AE14</f>
        <v>99.665507243446015</v>
      </c>
      <c r="P14" s="5"/>
      <c r="Q14" s="9">
        <f t="shared" si="7"/>
        <v>0.23221124140357574</v>
      </c>
      <c r="R14" s="9">
        <v>97.125</v>
      </c>
      <c r="S14" s="9">
        <v>99.647000000000006</v>
      </c>
    </row>
    <row r="15" spans="1:19" x14ac:dyDescent="0.35">
      <c r="A15" s="6">
        <f>vals_co2_excLUC!$A15</f>
        <v>1862</v>
      </c>
      <c r="B15" s="7">
        <f t="shared" si="0"/>
        <v>97.073775918595402</v>
      </c>
      <c r="C15" s="7">
        <f t="shared" si="1"/>
        <v>97.341591280707462</v>
      </c>
      <c r="D15" s="7">
        <f t="shared" si="2"/>
        <v>99.637949853768333</v>
      </c>
      <c r="E15" s="7">
        <f t="shared" si="3"/>
        <v>99.887773534959052</v>
      </c>
      <c r="F15" s="7">
        <f t="shared" si="4"/>
        <v>0.26781536211206003</v>
      </c>
      <c r="G15" s="7">
        <f t="shared" si="5"/>
        <v>0</v>
      </c>
      <c r="H15" s="7">
        <f t="shared" si="6"/>
        <v>2.2963585730608713</v>
      </c>
      <c r="I15" s="8">
        <f>vals_co2_excLUC!$R15</f>
        <v>97.073775918595402</v>
      </c>
      <c r="J15" s="8">
        <f>vals_co2_excLUC!$X15</f>
        <v>97.341591280707462</v>
      </c>
      <c r="K15" s="8">
        <f>vals_co2_excLUC!$AD15</f>
        <v>97.073775918595402</v>
      </c>
      <c r="L15" s="8"/>
      <c r="M15" s="8">
        <f>vals_co2_excLUC!$S15</f>
        <v>99.637949853768333</v>
      </c>
      <c r="N15" s="8">
        <f>vals_co2_excLUC!$Y15</f>
        <v>99.887773534959052</v>
      </c>
      <c r="O15" s="8">
        <f>vals_co2_excLUC!$AE15</f>
        <v>99.637949853768333</v>
      </c>
      <c r="P15" s="8"/>
      <c r="Q15" s="9">
        <f t="shared" si="7"/>
        <v>0.24982368119071907</v>
      </c>
      <c r="R15" s="9">
        <v>97.003</v>
      </c>
      <c r="S15" s="9">
        <v>99.62</v>
      </c>
    </row>
    <row r="16" spans="1:19" x14ac:dyDescent="0.35">
      <c r="A16" s="3">
        <f>vals_co2_excLUC!$A16</f>
        <v>1863</v>
      </c>
      <c r="B16" s="4">
        <f t="shared" si="0"/>
        <v>96.944120966546848</v>
      </c>
      <c r="C16" s="4">
        <f t="shared" si="1"/>
        <v>97.224451362645681</v>
      </c>
      <c r="D16" s="4">
        <f t="shared" si="2"/>
        <v>99.61990278741375</v>
      </c>
      <c r="E16" s="4">
        <f t="shared" si="3"/>
        <v>99.878629152100643</v>
      </c>
      <c r="F16" s="4">
        <f t="shared" si="4"/>
        <v>0.28033039609883303</v>
      </c>
      <c r="G16" s="4">
        <f t="shared" si="5"/>
        <v>0</v>
      </c>
      <c r="H16" s="4">
        <f t="shared" si="6"/>
        <v>2.3954514247680692</v>
      </c>
      <c r="I16" s="5">
        <f>vals_co2_excLUC!$R16</f>
        <v>96.944120966546848</v>
      </c>
      <c r="J16" s="5">
        <f>vals_co2_excLUC!$X16</f>
        <v>97.224451362645681</v>
      </c>
      <c r="K16" s="5">
        <f>vals_co2_excLUC!$AD16</f>
        <v>96.944120966546848</v>
      </c>
      <c r="L16" s="5"/>
      <c r="M16" s="5">
        <f>vals_co2_excLUC!$S16</f>
        <v>99.61990278741375</v>
      </c>
      <c r="N16" s="5">
        <f>vals_co2_excLUC!$Y16</f>
        <v>99.878629152100643</v>
      </c>
      <c r="O16" s="5">
        <f>vals_co2_excLUC!$AE16</f>
        <v>99.61990278741375</v>
      </c>
      <c r="P16" s="5"/>
      <c r="Q16" s="9">
        <f t="shared" si="7"/>
        <v>0.25872636468689336</v>
      </c>
      <c r="R16" s="9">
        <v>96.873999999999995</v>
      </c>
      <c r="S16" s="9">
        <v>99.602999999999994</v>
      </c>
    </row>
    <row r="17" spans="1:19" x14ac:dyDescent="0.35">
      <c r="A17" s="6">
        <f>vals_co2_excLUC!$A17</f>
        <v>1864</v>
      </c>
      <c r="B17" s="7">
        <f t="shared" si="0"/>
        <v>96.806240969798679</v>
      </c>
      <c r="C17" s="7">
        <f t="shared" si="1"/>
        <v>97.104394978657254</v>
      </c>
      <c r="D17" s="7">
        <f t="shared" si="2"/>
        <v>99.597943590984627</v>
      </c>
      <c r="E17" s="7">
        <f t="shared" si="3"/>
        <v>99.87236480798893</v>
      </c>
      <c r="F17" s="7">
        <f t="shared" si="4"/>
        <v>0.29815400885857457</v>
      </c>
      <c r="G17" s="7">
        <f t="shared" si="5"/>
        <v>0</v>
      </c>
      <c r="H17" s="7">
        <f t="shared" si="6"/>
        <v>2.4935486123273733</v>
      </c>
      <c r="I17" s="8">
        <f>vals_co2_excLUC!$R17</f>
        <v>96.806240969798679</v>
      </c>
      <c r="J17" s="8">
        <f>vals_co2_excLUC!$X17</f>
        <v>97.104394978657254</v>
      </c>
      <c r="K17" s="8">
        <f>vals_co2_excLUC!$AD17</f>
        <v>96.806240969798679</v>
      </c>
      <c r="L17" s="8"/>
      <c r="M17" s="8">
        <f>vals_co2_excLUC!$S17</f>
        <v>99.597943590984627</v>
      </c>
      <c r="N17" s="8">
        <f>vals_co2_excLUC!$Y17</f>
        <v>99.87236480798893</v>
      </c>
      <c r="O17" s="8">
        <f>vals_co2_excLUC!$AE17</f>
        <v>99.597943590984627</v>
      </c>
      <c r="P17" s="8"/>
      <c r="Q17" s="9">
        <f t="shared" si="7"/>
        <v>0.27442121700430278</v>
      </c>
      <c r="R17" s="9">
        <v>96.736000000000004</v>
      </c>
      <c r="S17" s="9">
        <v>99.581000000000003</v>
      </c>
    </row>
    <row r="18" spans="1:19" x14ac:dyDescent="0.35">
      <c r="A18" s="3">
        <f>vals_co2_excLUC!$A18</f>
        <v>1865</v>
      </c>
      <c r="B18" s="4">
        <f t="shared" si="0"/>
        <v>96.664443130696498</v>
      </c>
      <c r="C18" s="4">
        <f t="shared" si="1"/>
        <v>96.979754283378469</v>
      </c>
      <c r="D18" s="4">
        <f t="shared" si="2"/>
        <v>99.578286907799125</v>
      </c>
      <c r="E18" s="4">
        <f t="shared" si="3"/>
        <v>99.868158574946449</v>
      </c>
      <c r="F18" s="4">
        <f t="shared" si="4"/>
        <v>0.31531115268197141</v>
      </c>
      <c r="G18" s="4">
        <f t="shared" si="5"/>
        <v>0</v>
      </c>
      <c r="H18" s="4">
        <f t="shared" si="6"/>
        <v>2.5985326244206561</v>
      </c>
      <c r="I18" s="5">
        <f>vals_co2_excLUC!$R18</f>
        <v>96.664443130696498</v>
      </c>
      <c r="J18" s="5">
        <f>vals_co2_excLUC!$X18</f>
        <v>96.979754283378469</v>
      </c>
      <c r="K18" s="5">
        <f>vals_co2_excLUC!$AD18</f>
        <v>96.664443130696498</v>
      </c>
      <c r="L18" s="5"/>
      <c r="M18" s="5">
        <f>vals_co2_excLUC!$S18</f>
        <v>99.578286907799125</v>
      </c>
      <c r="N18" s="5">
        <f>vals_co2_excLUC!$Y18</f>
        <v>99.868158574946449</v>
      </c>
      <c r="O18" s="5">
        <f>vals_co2_excLUC!$AE18</f>
        <v>99.578286907799125</v>
      </c>
      <c r="P18" s="5"/>
      <c r="Q18" s="9">
        <f t="shared" si="7"/>
        <v>0.28987166714732382</v>
      </c>
      <c r="R18" s="9">
        <v>96.594999999999999</v>
      </c>
      <c r="S18" s="9">
        <v>99.561999999999998</v>
      </c>
    </row>
    <row r="19" spans="1:19" x14ac:dyDescent="0.35">
      <c r="A19" s="6">
        <f>vals_co2_excLUC!$A19</f>
        <v>1866</v>
      </c>
      <c r="B19" s="7">
        <f t="shared" si="0"/>
        <v>96.497009296921959</v>
      </c>
      <c r="C19" s="7">
        <f t="shared" si="1"/>
        <v>96.834184956634445</v>
      </c>
      <c r="D19" s="7">
        <f t="shared" si="2"/>
        <v>99.546648460210534</v>
      </c>
      <c r="E19" s="7">
        <f t="shared" si="3"/>
        <v>99.858423522895592</v>
      </c>
      <c r="F19" s="7">
        <f t="shared" si="4"/>
        <v>0.33717565971248575</v>
      </c>
      <c r="G19" s="7">
        <f t="shared" si="5"/>
        <v>0</v>
      </c>
      <c r="H19" s="7">
        <f t="shared" si="6"/>
        <v>2.7124635035760889</v>
      </c>
      <c r="I19" s="8">
        <f>vals_co2_excLUC!$R19</f>
        <v>96.497009296921959</v>
      </c>
      <c r="J19" s="8">
        <f>vals_co2_excLUC!$X19</f>
        <v>96.834184956634445</v>
      </c>
      <c r="K19" s="8">
        <f>vals_co2_excLUC!$AD19</f>
        <v>96.497009296921959</v>
      </c>
      <c r="L19" s="8"/>
      <c r="M19" s="8">
        <f>vals_co2_excLUC!$S19</f>
        <v>99.546648460210534</v>
      </c>
      <c r="N19" s="8">
        <f>vals_co2_excLUC!$Y19</f>
        <v>99.858423522895592</v>
      </c>
      <c r="O19" s="8">
        <f>vals_co2_excLUC!$AE19</f>
        <v>99.546648460210534</v>
      </c>
      <c r="P19" s="8"/>
      <c r="Q19" s="9">
        <f t="shared" si="7"/>
        <v>0.31177506268505795</v>
      </c>
      <c r="R19" s="9">
        <v>96.427000000000007</v>
      </c>
      <c r="S19" s="9">
        <v>99.531000000000006</v>
      </c>
    </row>
    <row r="20" spans="1:19" x14ac:dyDescent="0.35">
      <c r="A20" s="3">
        <f>vals_co2_excLUC!$A20</f>
        <v>1867</v>
      </c>
      <c r="B20" s="4">
        <f t="shared" si="0"/>
        <v>96.342405141811483</v>
      </c>
      <c r="C20" s="4">
        <f t="shared" si="1"/>
        <v>96.68713889653128</v>
      </c>
      <c r="D20" s="4">
        <f t="shared" si="2"/>
        <v>99.530537611973116</v>
      </c>
      <c r="E20" s="4">
        <f t="shared" si="3"/>
        <v>99.848959810374382</v>
      </c>
      <c r="F20" s="4">
        <f t="shared" si="4"/>
        <v>0.3447337547197975</v>
      </c>
      <c r="G20" s="4">
        <f t="shared" si="5"/>
        <v>0</v>
      </c>
      <c r="H20" s="4">
        <f t="shared" si="6"/>
        <v>2.8433987154418361</v>
      </c>
      <c r="I20" s="5">
        <f>vals_co2_excLUC!$R20</f>
        <v>96.342405141811483</v>
      </c>
      <c r="J20" s="5">
        <f>vals_co2_excLUC!$X20</f>
        <v>96.68713889653128</v>
      </c>
      <c r="K20" s="5">
        <f>vals_co2_excLUC!$AD20</f>
        <v>96.342405141811483</v>
      </c>
      <c r="L20" s="5"/>
      <c r="M20" s="5">
        <f>vals_co2_excLUC!$S20</f>
        <v>99.530537611973116</v>
      </c>
      <c r="N20" s="5">
        <f>vals_co2_excLUC!$Y20</f>
        <v>99.848959810374382</v>
      </c>
      <c r="O20" s="5">
        <f>vals_co2_excLUC!$AE20</f>
        <v>99.530537611973116</v>
      </c>
      <c r="P20" s="5"/>
      <c r="Q20" s="9">
        <f t="shared" si="7"/>
        <v>0.31842219840126518</v>
      </c>
      <c r="R20" s="9">
        <v>96.272999999999996</v>
      </c>
      <c r="S20" s="9">
        <v>99.516000000000005</v>
      </c>
    </row>
    <row r="21" spans="1:19" x14ac:dyDescent="0.35">
      <c r="A21" s="6">
        <f>vals_co2_excLUC!$A21</f>
        <v>1868</v>
      </c>
      <c r="B21" s="7">
        <f t="shared" si="0"/>
        <v>96.183621872279275</v>
      </c>
      <c r="C21" s="7">
        <f t="shared" si="1"/>
        <v>96.537370088699177</v>
      </c>
      <c r="D21" s="7">
        <f t="shared" si="2"/>
        <v>99.514545873939809</v>
      </c>
      <c r="E21" s="7">
        <f t="shared" si="3"/>
        <v>99.840833886544971</v>
      </c>
      <c r="F21" s="7">
        <f t="shared" si="4"/>
        <v>0.35374821641990195</v>
      </c>
      <c r="G21" s="7">
        <f t="shared" si="5"/>
        <v>0</v>
      </c>
      <c r="H21" s="7">
        <f t="shared" si="6"/>
        <v>2.9771757852406324</v>
      </c>
      <c r="I21" s="8">
        <f>vals_co2_excLUC!$R21</f>
        <v>96.183621872279275</v>
      </c>
      <c r="J21" s="8">
        <f>vals_co2_excLUC!$X21</f>
        <v>96.537370088699177</v>
      </c>
      <c r="K21" s="8">
        <f>vals_co2_excLUC!$AD21</f>
        <v>96.183621872279275</v>
      </c>
      <c r="L21" s="8"/>
      <c r="M21" s="8">
        <f>vals_co2_excLUC!$S21</f>
        <v>99.514545873939809</v>
      </c>
      <c r="N21" s="8">
        <f>vals_co2_excLUC!$Y21</f>
        <v>99.840833886544971</v>
      </c>
      <c r="O21" s="8">
        <f>vals_co2_excLUC!$AE21</f>
        <v>99.514545873939809</v>
      </c>
      <c r="P21" s="8"/>
      <c r="Q21" s="9">
        <f t="shared" si="7"/>
        <v>0.32628801260516127</v>
      </c>
      <c r="R21" s="9">
        <v>96.114999999999995</v>
      </c>
      <c r="S21" s="9">
        <v>99.5</v>
      </c>
    </row>
    <row r="22" spans="1:19" x14ac:dyDescent="0.35">
      <c r="A22" s="3">
        <f>vals_co2_excLUC!$A22</f>
        <v>1869</v>
      </c>
      <c r="B22" s="4">
        <f t="shared" si="0"/>
        <v>96.034390032567458</v>
      </c>
      <c r="C22" s="4">
        <f t="shared" si="1"/>
        <v>96.389723630999029</v>
      </c>
      <c r="D22" s="4">
        <f t="shared" si="2"/>
        <v>99.503689981774173</v>
      </c>
      <c r="E22" s="4">
        <f t="shared" si="3"/>
        <v>99.830946784114175</v>
      </c>
      <c r="F22" s="4">
        <f t="shared" si="4"/>
        <v>0.35533359843157086</v>
      </c>
      <c r="G22" s="4">
        <f t="shared" si="5"/>
        <v>0</v>
      </c>
      <c r="H22" s="4">
        <f t="shared" si="6"/>
        <v>3.1139663507751436</v>
      </c>
      <c r="I22" s="5">
        <f>vals_co2_excLUC!$R22</f>
        <v>96.034390032567458</v>
      </c>
      <c r="J22" s="5">
        <f>vals_co2_excLUC!$X22</f>
        <v>96.389723630999029</v>
      </c>
      <c r="K22" s="5">
        <f>vals_co2_excLUC!$AD22</f>
        <v>96.034390032567458</v>
      </c>
      <c r="L22" s="5"/>
      <c r="M22" s="5">
        <f>vals_co2_excLUC!$S22</f>
        <v>99.503689981774173</v>
      </c>
      <c r="N22" s="5">
        <f>vals_co2_excLUC!$Y22</f>
        <v>99.830946784114175</v>
      </c>
      <c r="O22" s="5">
        <f>vals_co2_excLUC!$AE22</f>
        <v>99.503689981774173</v>
      </c>
      <c r="P22" s="5"/>
      <c r="Q22" s="9">
        <f t="shared" si="7"/>
        <v>0.32725680234000265</v>
      </c>
      <c r="R22" s="9">
        <v>95.966999999999999</v>
      </c>
      <c r="S22" s="9">
        <v>99.49</v>
      </c>
    </row>
    <row r="23" spans="1:19" x14ac:dyDescent="0.35">
      <c r="A23" s="6">
        <f>vals_co2_excLUC!$A23</f>
        <v>1870</v>
      </c>
      <c r="B23" s="7">
        <f t="shared" si="0"/>
        <v>95.885101973409405</v>
      </c>
      <c r="C23" s="7">
        <f t="shared" si="1"/>
        <v>96.240083309565208</v>
      </c>
      <c r="D23" s="7">
        <f t="shared" si="2"/>
        <v>99.494503676663825</v>
      </c>
      <c r="E23" s="7">
        <f t="shared" si="3"/>
        <v>99.820500247954627</v>
      </c>
      <c r="F23" s="7">
        <f t="shared" si="4"/>
        <v>0.3549813361558023</v>
      </c>
      <c r="G23" s="7">
        <f t="shared" si="5"/>
        <v>0</v>
      </c>
      <c r="H23" s="7">
        <f t="shared" si="6"/>
        <v>3.2544203670986178</v>
      </c>
      <c r="I23" s="8">
        <f>vals_co2_excLUC!$R23</f>
        <v>95.885101973409405</v>
      </c>
      <c r="J23" s="8">
        <f>vals_co2_excLUC!$X23</f>
        <v>96.240083309565208</v>
      </c>
      <c r="K23" s="8">
        <f>vals_co2_excLUC!$AD23</f>
        <v>95.885101973409405</v>
      </c>
      <c r="L23" s="8"/>
      <c r="M23" s="8">
        <f>vals_co2_excLUC!$S23</f>
        <v>99.494503676663825</v>
      </c>
      <c r="N23" s="8">
        <f>vals_co2_excLUC!$Y23</f>
        <v>99.820500247954627</v>
      </c>
      <c r="O23" s="8">
        <f>vals_co2_excLUC!$AE23</f>
        <v>99.494503676663825</v>
      </c>
      <c r="P23" s="8"/>
      <c r="Q23" s="9">
        <f t="shared" si="7"/>
        <v>0.32599657129080128</v>
      </c>
      <c r="R23" s="9">
        <v>95.817999999999998</v>
      </c>
      <c r="S23" s="9">
        <v>99.481999999999999</v>
      </c>
    </row>
    <row r="24" spans="1:19" x14ac:dyDescent="0.35">
      <c r="A24" s="3">
        <f>vals_co2_excLUC!$A24</f>
        <v>1871</v>
      </c>
      <c r="B24" s="4">
        <f t="shared" si="0"/>
        <v>95.711502274253832</v>
      </c>
      <c r="C24" s="4">
        <f t="shared" si="1"/>
        <v>96.065223801307354</v>
      </c>
      <c r="D24" s="4">
        <f t="shared" si="2"/>
        <v>99.485095646615179</v>
      </c>
      <c r="E24" s="4">
        <f t="shared" si="3"/>
        <v>99.808260885356049</v>
      </c>
      <c r="F24" s="4">
        <f t="shared" si="4"/>
        <v>0.35372152705352278</v>
      </c>
      <c r="G24" s="4">
        <f t="shared" si="5"/>
        <v>0</v>
      </c>
      <c r="H24" s="4">
        <f t="shared" si="6"/>
        <v>3.4198718453078243</v>
      </c>
      <c r="I24" s="5">
        <f>vals_co2_excLUC!$R24</f>
        <v>95.711502274253832</v>
      </c>
      <c r="J24" s="5">
        <f>vals_co2_excLUC!$X24</f>
        <v>96.065223801307354</v>
      </c>
      <c r="K24" s="5">
        <f>vals_co2_excLUC!$AD24</f>
        <v>95.711502274253832</v>
      </c>
      <c r="L24" s="5"/>
      <c r="M24" s="5">
        <f>vals_co2_excLUC!$S24</f>
        <v>99.485095646615179</v>
      </c>
      <c r="N24" s="5">
        <f>vals_co2_excLUC!$Y24</f>
        <v>99.808260885356049</v>
      </c>
      <c r="O24" s="5">
        <f>vals_co2_excLUC!$AE24</f>
        <v>99.485095646615179</v>
      </c>
      <c r="P24" s="5"/>
      <c r="Q24" s="9">
        <f t="shared" si="7"/>
        <v>0.32316523874087011</v>
      </c>
      <c r="R24" s="9">
        <v>95.644999999999996</v>
      </c>
      <c r="S24" s="9">
        <v>99.472999999999999</v>
      </c>
    </row>
    <row r="25" spans="1:19" x14ac:dyDescent="0.35">
      <c r="A25" s="6">
        <f>vals_co2_excLUC!$A25</f>
        <v>1872</v>
      </c>
      <c r="B25" s="7">
        <f t="shared" si="0"/>
        <v>95.553445269185261</v>
      </c>
      <c r="C25" s="7">
        <f t="shared" si="1"/>
        <v>95.911471743992138</v>
      </c>
      <c r="D25" s="7">
        <f t="shared" si="2"/>
        <v>99.471346378255959</v>
      </c>
      <c r="E25" s="7">
        <f t="shared" si="3"/>
        <v>99.797417318501786</v>
      </c>
      <c r="F25" s="7">
        <f t="shared" si="4"/>
        <v>0.3580264748068771</v>
      </c>
      <c r="G25" s="7">
        <f t="shared" si="5"/>
        <v>0</v>
      </c>
      <c r="H25" s="7">
        <f t="shared" si="6"/>
        <v>3.5598746342638208</v>
      </c>
      <c r="I25" s="8">
        <f>vals_co2_excLUC!$R25</f>
        <v>95.553445269185261</v>
      </c>
      <c r="J25" s="8">
        <f>vals_co2_excLUC!$X25</f>
        <v>95.911471743992138</v>
      </c>
      <c r="K25" s="8">
        <f>vals_co2_excLUC!$AD25</f>
        <v>95.553445269185261</v>
      </c>
      <c r="L25" s="8"/>
      <c r="M25" s="8">
        <f>vals_co2_excLUC!$S25</f>
        <v>99.471346378255959</v>
      </c>
      <c r="N25" s="8">
        <f>vals_co2_excLUC!$Y25</f>
        <v>99.797417318501786</v>
      </c>
      <c r="O25" s="8">
        <f>vals_co2_excLUC!$AE25</f>
        <v>99.471346378255959</v>
      </c>
      <c r="P25" s="8"/>
      <c r="Q25" s="9">
        <f t="shared" si="7"/>
        <v>0.3260709402458275</v>
      </c>
      <c r="R25" s="9">
        <v>95.489000000000004</v>
      </c>
      <c r="S25" s="9">
        <v>99.46</v>
      </c>
    </row>
    <row r="26" spans="1:19" x14ac:dyDescent="0.35">
      <c r="A26" s="3">
        <f>vals_co2_excLUC!$A26</f>
        <v>1873</v>
      </c>
      <c r="B26" s="4">
        <f t="shared" si="0"/>
        <v>95.410393589630473</v>
      </c>
      <c r="C26" s="4">
        <f t="shared" si="1"/>
        <v>95.773039292208608</v>
      </c>
      <c r="D26" s="4">
        <f t="shared" si="2"/>
        <v>99.458781432501397</v>
      </c>
      <c r="E26" s="4">
        <f t="shared" si="3"/>
        <v>99.788181538188908</v>
      </c>
      <c r="F26" s="4">
        <f t="shared" si="4"/>
        <v>0.36264570257813489</v>
      </c>
      <c r="G26" s="4">
        <f t="shared" si="5"/>
        <v>0</v>
      </c>
      <c r="H26" s="4">
        <f t="shared" si="6"/>
        <v>3.6857421402927883</v>
      </c>
      <c r="I26" s="5">
        <f>vals_co2_excLUC!$R26</f>
        <v>95.410404577278271</v>
      </c>
      <c r="J26" s="5">
        <f>vals_co2_excLUC!$X26</f>
        <v>95.773039292208608</v>
      </c>
      <c r="K26" s="5">
        <f>vals_co2_excLUC!$AD26</f>
        <v>95.410393589630473</v>
      </c>
      <c r="L26" s="5"/>
      <c r="M26" s="5">
        <f>vals_co2_excLUC!$S26</f>
        <v>99.458781432501397</v>
      </c>
      <c r="N26" s="5">
        <f>vals_co2_excLUC!$Y26</f>
        <v>99.788181538188908</v>
      </c>
      <c r="O26" s="5">
        <f>vals_co2_excLUC!$AE26</f>
        <v>99.458781432501397</v>
      </c>
      <c r="P26" s="5"/>
      <c r="Q26" s="9">
        <f t="shared" si="7"/>
        <v>0.32940010568751177</v>
      </c>
      <c r="R26" s="9">
        <v>95.346999999999994</v>
      </c>
      <c r="S26" s="9">
        <v>99.447999999999993</v>
      </c>
    </row>
    <row r="27" spans="1:19" x14ac:dyDescent="0.35">
      <c r="A27" s="6">
        <f>vals_co2_excLUC!$A27</f>
        <v>1874</v>
      </c>
      <c r="B27" s="7">
        <f t="shared" si="0"/>
        <v>95.226207839407863</v>
      </c>
      <c r="C27" s="7">
        <f t="shared" si="1"/>
        <v>95.596532271877294</v>
      </c>
      <c r="D27" s="7">
        <f t="shared" si="2"/>
        <v>99.439463807598742</v>
      </c>
      <c r="E27" s="7">
        <f t="shared" si="3"/>
        <v>99.776597373669929</v>
      </c>
      <c r="F27" s="7">
        <f t="shared" si="4"/>
        <v>0.37032443246943103</v>
      </c>
      <c r="G27" s="7">
        <f t="shared" si="5"/>
        <v>0</v>
      </c>
      <c r="H27" s="7">
        <f t="shared" si="6"/>
        <v>3.8429315357214477</v>
      </c>
      <c r="I27" s="8">
        <f>vals_co2_excLUC!$R27</f>
        <v>95.226218117120922</v>
      </c>
      <c r="J27" s="8">
        <f>vals_co2_excLUC!$X27</f>
        <v>95.596532271877294</v>
      </c>
      <c r="K27" s="8">
        <f>vals_co2_excLUC!$AD27</f>
        <v>95.226207839407863</v>
      </c>
      <c r="L27" s="8"/>
      <c r="M27" s="8">
        <f>vals_co2_excLUC!$S27</f>
        <v>99.439463807598742</v>
      </c>
      <c r="N27" s="8">
        <f>vals_co2_excLUC!$Y27</f>
        <v>99.776597373669929</v>
      </c>
      <c r="O27" s="8">
        <f>vals_co2_excLUC!$AE27</f>
        <v>99.439463807598742</v>
      </c>
      <c r="P27" s="8"/>
      <c r="Q27" s="9">
        <f t="shared" si="7"/>
        <v>0.33713356607118783</v>
      </c>
      <c r="R27" s="9">
        <v>95.162999999999997</v>
      </c>
      <c r="S27" s="9">
        <v>99.429000000000002</v>
      </c>
    </row>
    <row r="28" spans="1:19" x14ac:dyDescent="0.35">
      <c r="A28" s="3">
        <f>vals_co2_excLUC!$A28</f>
        <v>1875</v>
      </c>
      <c r="B28" s="4">
        <f t="shared" si="0"/>
        <v>95.081722039885562</v>
      </c>
      <c r="C28" s="4">
        <f t="shared" si="1"/>
        <v>95.451906380364477</v>
      </c>
      <c r="D28" s="4">
        <f t="shared" si="2"/>
        <v>99.428922107046319</v>
      </c>
      <c r="E28" s="4">
        <f t="shared" si="3"/>
        <v>99.765466005523123</v>
      </c>
      <c r="F28" s="4">
        <f t="shared" si="4"/>
        <v>0.37018434047891446</v>
      </c>
      <c r="G28" s="4">
        <f t="shared" si="5"/>
        <v>0</v>
      </c>
      <c r="H28" s="4">
        <f t="shared" si="6"/>
        <v>3.9770157266818416</v>
      </c>
      <c r="I28" s="5">
        <f>vals_co2_excLUC!$R28</f>
        <v>95.081731645259353</v>
      </c>
      <c r="J28" s="5">
        <f>vals_co2_excLUC!$X28</f>
        <v>95.451906380364477</v>
      </c>
      <c r="K28" s="5">
        <f>vals_co2_excLUC!$AD28</f>
        <v>95.081722039885562</v>
      </c>
      <c r="L28" s="5"/>
      <c r="M28" s="5">
        <f>vals_co2_excLUC!$S28</f>
        <v>99.428922107046319</v>
      </c>
      <c r="N28" s="5">
        <f>vals_co2_excLUC!$Y28</f>
        <v>99.765466005523123</v>
      </c>
      <c r="O28" s="5">
        <f>vals_co2_excLUC!$AE28</f>
        <v>99.428922107046319</v>
      </c>
      <c r="P28" s="5"/>
      <c r="Q28" s="9">
        <f t="shared" si="7"/>
        <v>0.33654389847680477</v>
      </c>
      <c r="R28" s="9">
        <v>95.02</v>
      </c>
      <c r="S28" s="9">
        <v>99.418999999999997</v>
      </c>
    </row>
    <row r="29" spans="1:19" x14ac:dyDescent="0.35">
      <c r="A29" s="6">
        <f>vals_co2_excLUC!$A29</f>
        <v>1876</v>
      </c>
      <c r="B29" s="7">
        <f t="shared" si="0"/>
        <v>94.877664760214046</v>
      </c>
      <c r="C29" s="7">
        <f t="shared" si="1"/>
        <v>95.242649531526524</v>
      </c>
      <c r="D29" s="7">
        <f t="shared" si="2"/>
        <v>99.419227502497193</v>
      </c>
      <c r="E29" s="7">
        <f t="shared" si="3"/>
        <v>99.753086590473174</v>
      </c>
      <c r="F29" s="7">
        <f t="shared" si="4"/>
        <v>0.36498477131247853</v>
      </c>
      <c r="G29" s="7">
        <f t="shared" si="5"/>
        <v>0</v>
      </c>
      <c r="H29" s="7">
        <f t="shared" si="6"/>
        <v>4.1765779709706692</v>
      </c>
      <c r="I29" s="8">
        <f>vals_co2_excLUC!$R29</f>
        <v>94.877673768069897</v>
      </c>
      <c r="J29" s="8">
        <f>vals_co2_excLUC!$X29</f>
        <v>95.242649531526524</v>
      </c>
      <c r="K29" s="8">
        <f>vals_co2_excLUC!$AD29</f>
        <v>94.877664760214046</v>
      </c>
      <c r="L29" s="8"/>
      <c r="M29" s="8">
        <f>vals_co2_excLUC!$S29</f>
        <v>99.419227502497193</v>
      </c>
      <c r="N29" s="8">
        <f>vals_co2_excLUC!$Y29</f>
        <v>99.753086590473174</v>
      </c>
      <c r="O29" s="8">
        <f>vals_co2_excLUC!$AE29</f>
        <v>99.419227502497193</v>
      </c>
      <c r="P29" s="8"/>
      <c r="Q29" s="9">
        <f t="shared" si="7"/>
        <v>0.33385908797598063</v>
      </c>
      <c r="R29" s="9">
        <v>94.816000000000003</v>
      </c>
      <c r="S29" s="9">
        <v>99.41</v>
      </c>
    </row>
    <row r="30" spans="1:19" x14ac:dyDescent="0.35">
      <c r="A30" s="3">
        <f>vals_co2_excLUC!$A30</f>
        <v>1877</v>
      </c>
      <c r="B30" s="4">
        <f t="shared" si="0"/>
        <v>94.706251873074962</v>
      </c>
      <c r="C30" s="4">
        <f t="shared" si="1"/>
        <v>95.064242714179798</v>
      </c>
      <c r="D30" s="4">
        <f t="shared" si="2"/>
        <v>99.41260200581867</v>
      </c>
      <c r="E30" s="4">
        <f t="shared" si="3"/>
        <v>99.741797401756628</v>
      </c>
      <c r="F30" s="4">
        <f t="shared" si="4"/>
        <v>0.35799084110483648</v>
      </c>
      <c r="G30" s="4">
        <f t="shared" si="5"/>
        <v>0</v>
      </c>
      <c r="H30" s="4">
        <f t="shared" si="6"/>
        <v>4.3483592916388716</v>
      </c>
      <c r="I30" s="5">
        <f>vals_co2_excLUC!$R30</f>
        <v>94.706260343736062</v>
      </c>
      <c r="J30" s="5">
        <f>vals_co2_excLUC!$X30</f>
        <v>95.064242714179798</v>
      </c>
      <c r="K30" s="5">
        <f>vals_co2_excLUC!$AD30</f>
        <v>94.706251873074962</v>
      </c>
      <c r="L30" s="5"/>
      <c r="M30" s="5">
        <f>vals_co2_excLUC!$S30</f>
        <v>99.41260200581867</v>
      </c>
      <c r="N30" s="5">
        <f>vals_co2_excLUC!$Y30</f>
        <v>99.741797401756628</v>
      </c>
      <c r="O30" s="5">
        <f>vals_co2_excLUC!$AE30</f>
        <v>99.41260200581867</v>
      </c>
      <c r="P30" s="5"/>
      <c r="Q30" s="9">
        <f t="shared" si="7"/>
        <v>0.32919539593795832</v>
      </c>
      <c r="R30" s="9">
        <v>94.646000000000001</v>
      </c>
      <c r="S30" s="9">
        <v>99.403999999999996</v>
      </c>
    </row>
    <row r="31" spans="1:19" x14ac:dyDescent="0.35">
      <c r="A31" s="6">
        <f>vals_co2_excLUC!$A31</f>
        <v>1878</v>
      </c>
      <c r="B31" s="7">
        <f t="shared" si="0"/>
        <v>94.505055212090554</v>
      </c>
      <c r="C31" s="7">
        <f t="shared" si="1"/>
        <v>94.868962041606224</v>
      </c>
      <c r="D31" s="7">
        <f t="shared" si="2"/>
        <v>99.389441700959239</v>
      </c>
      <c r="E31" s="7">
        <f t="shared" si="3"/>
        <v>99.728029437318753</v>
      </c>
      <c r="F31" s="7">
        <f t="shared" si="4"/>
        <v>0.36390682951567044</v>
      </c>
      <c r="G31" s="7">
        <f t="shared" si="5"/>
        <v>0</v>
      </c>
      <c r="H31" s="7">
        <f t="shared" si="6"/>
        <v>4.5204796593530148</v>
      </c>
      <c r="I31" s="8">
        <f>vals_co2_excLUC!$R31</f>
        <v>94.505063202436304</v>
      </c>
      <c r="J31" s="8">
        <f>vals_co2_excLUC!$X31</f>
        <v>94.868962041606224</v>
      </c>
      <c r="K31" s="8">
        <f>vals_co2_excLUC!$AD31</f>
        <v>94.505055212090554</v>
      </c>
      <c r="L31" s="8"/>
      <c r="M31" s="8">
        <f>vals_co2_excLUC!$S31</f>
        <v>99.389441700959239</v>
      </c>
      <c r="N31" s="8">
        <f>vals_co2_excLUC!$Y31</f>
        <v>99.728029437318753</v>
      </c>
      <c r="O31" s="8">
        <f>vals_co2_excLUC!$AE31</f>
        <v>99.389441700959239</v>
      </c>
      <c r="P31" s="8"/>
      <c r="Q31" s="9">
        <f t="shared" si="7"/>
        <v>0.33858773635951422</v>
      </c>
      <c r="R31" s="9">
        <v>94.444999999999993</v>
      </c>
      <c r="S31" s="9">
        <v>99.381</v>
      </c>
    </row>
    <row r="32" spans="1:19" x14ac:dyDescent="0.35">
      <c r="A32" s="3">
        <f>vals_co2_excLUC!$A32</f>
        <v>1879</v>
      </c>
      <c r="B32" s="4">
        <f t="shared" si="0"/>
        <v>94.319429045707182</v>
      </c>
      <c r="C32" s="4">
        <f t="shared" si="1"/>
        <v>94.688280669086538</v>
      </c>
      <c r="D32" s="4">
        <f t="shared" si="2"/>
        <v>99.370488571738917</v>
      </c>
      <c r="E32" s="4">
        <f t="shared" si="3"/>
        <v>99.717092620633863</v>
      </c>
      <c r="F32" s="4">
        <f t="shared" si="4"/>
        <v>0.3688516233793564</v>
      </c>
      <c r="G32" s="4">
        <f t="shared" si="5"/>
        <v>0</v>
      </c>
      <c r="H32" s="4">
        <f t="shared" si="6"/>
        <v>4.6822079026523795</v>
      </c>
      <c r="I32" s="5">
        <f>vals_co2_excLUC!$R32</f>
        <v>94.319436578721749</v>
      </c>
      <c r="J32" s="5">
        <f>vals_co2_excLUC!$X32</f>
        <v>94.688280669086538</v>
      </c>
      <c r="K32" s="5">
        <f>vals_co2_excLUC!$AD32</f>
        <v>94.319429045707182</v>
      </c>
      <c r="L32" s="5"/>
      <c r="M32" s="5">
        <f>vals_co2_excLUC!$S32</f>
        <v>99.370488571738917</v>
      </c>
      <c r="N32" s="5">
        <f>vals_co2_excLUC!$Y32</f>
        <v>99.717092620633863</v>
      </c>
      <c r="O32" s="5">
        <f>vals_co2_excLUC!$AE32</f>
        <v>99.370488571738917</v>
      </c>
      <c r="P32" s="5"/>
      <c r="Q32" s="9">
        <f t="shared" si="7"/>
        <v>0.346604048894946</v>
      </c>
      <c r="R32" s="9">
        <v>94.26</v>
      </c>
      <c r="S32" s="9">
        <v>99.361999999999995</v>
      </c>
    </row>
    <row r="33" spans="1:19" x14ac:dyDescent="0.35">
      <c r="A33" s="6">
        <f>vals_co2_excLUC!$A33</f>
        <v>1880</v>
      </c>
      <c r="B33" s="7">
        <f t="shared" si="0"/>
        <v>94.165749318303696</v>
      </c>
      <c r="C33" s="7">
        <f t="shared" si="1"/>
        <v>94.539859183282545</v>
      </c>
      <c r="D33" s="7">
        <f t="shared" si="2"/>
        <v>99.352245214540645</v>
      </c>
      <c r="E33" s="7">
        <f t="shared" si="3"/>
        <v>99.705840540477482</v>
      </c>
      <c r="F33" s="7">
        <f t="shared" si="4"/>
        <v>0.37410986497884835</v>
      </c>
      <c r="G33" s="7">
        <f t="shared" si="5"/>
        <v>0</v>
      </c>
      <c r="H33" s="7">
        <f t="shared" si="6"/>
        <v>4.8123860312581002</v>
      </c>
      <c r="I33" s="8">
        <f>vals_co2_excLUC!$R33</f>
        <v>94.165756393879178</v>
      </c>
      <c r="J33" s="8">
        <f>vals_co2_excLUC!$X33</f>
        <v>94.539859183282545</v>
      </c>
      <c r="K33" s="8">
        <f>vals_co2_excLUC!$AD33</f>
        <v>94.165749318303696</v>
      </c>
      <c r="L33" s="8"/>
      <c r="M33" s="8">
        <f>vals_co2_excLUC!$S33</f>
        <v>99.352245214540645</v>
      </c>
      <c r="N33" s="8">
        <f>vals_co2_excLUC!$Y33</f>
        <v>99.705840540477482</v>
      </c>
      <c r="O33" s="8">
        <f>vals_co2_excLUC!$AE33</f>
        <v>99.352245214540645</v>
      </c>
      <c r="P33" s="8"/>
      <c r="Q33" s="9">
        <f t="shared" si="7"/>
        <v>0.35359532593683696</v>
      </c>
      <c r="R33" s="9">
        <v>94.108000000000004</v>
      </c>
      <c r="S33" s="9">
        <v>99.343999999999994</v>
      </c>
    </row>
    <row r="34" spans="1:19" x14ac:dyDescent="0.35">
      <c r="A34" s="3">
        <f>vals_co2_excLUC!$A34</f>
        <v>1881</v>
      </c>
      <c r="B34" s="4">
        <f t="shared" si="0"/>
        <v>94.026201996658358</v>
      </c>
      <c r="C34" s="4">
        <f t="shared" si="1"/>
        <v>94.40420299404046</v>
      </c>
      <c r="D34" s="4">
        <f t="shared" si="2"/>
        <v>99.335163978505719</v>
      </c>
      <c r="E34" s="4">
        <f t="shared" si="3"/>
        <v>99.695866518173162</v>
      </c>
      <c r="F34" s="4">
        <f t="shared" si="4"/>
        <v>0.37800099738210236</v>
      </c>
      <c r="G34" s="4">
        <f t="shared" si="5"/>
        <v>0</v>
      </c>
      <c r="H34" s="4">
        <f t="shared" si="6"/>
        <v>4.9309609844652584</v>
      </c>
      <c r="I34" s="5">
        <f>vals_co2_excLUC!$R34</f>
        <v>94.026208653872672</v>
      </c>
      <c r="J34" s="5">
        <f>vals_co2_excLUC!$X34</f>
        <v>94.40420299404046</v>
      </c>
      <c r="K34" s="5">
        <f>vals_co2_excLUC!$AD34</f>
        <v>94.026201996658358</v>
      </c>
      <c r="L34" s="5"/>
      <c r="M34" s="5">
        <f>vals_co2_excLUC!$S34</f>
        <v>99.335163978505719</v>
      </c>
      <c r="N34" s="5">
        <f>vals_co2_excLUC!$Y34</f>
        <v>99.695866518173162</v>
      </c>
      <c r="O34" s="5">
        <f>vals_co2_excLUC!$AE34</f>
        <v>99.335163978505719</v>
      </c>
      <c r="P34" s="5"/>
      <c r="Q34" s="9">
        <f t="shared" si="7"/>
        <v>0.36070253966744303</v>
      </c>
      <c r="R34" s="9">
        <v>93.97</v>
      </c>
      <c r="S34" s="9">
        <v>99.326999999999998</v>
      </c>
    </row>
    <row r="35" spans="1:19" x14ac:dyDescent="0.35">
      <c r="A35" s="6">
        <f>vals_co2_excLUC!$A35</f>
        <v>1882</v>
      </c>
      <c r="B35" s="7">
        <f t="shared" ref="B35:B66" si="8">IFERROR(_xlfn.AGGREGATE(5,6,I35:L35),"")</f>
        <v>93.902950075491304</v>
      </c>
      <c r="C35" s="7">
        <f t="shared" ref="C35:C66" si="9">IFERROR(_xlfn.AGGREGATE(4,6,I35:L35),"")</f>
        <v>94.284086693582509</v>
      </c>
      <c r="D35" s="7">
        <f t="shared" ref="D35:D66" si="10">IFERROR(_xlfn.AGGREGATE(5,6,M35:P35),"")</f>
        <v>99.318523137630748</v>
      </c>
      <c r="E35" s="7">
        <f t="shared" ref="E35:E66" si="11">IFERROR(_xlfn.AGGREGATE(4,6,M35:P35),"")</f>
        <v>99.684974198796027</v>
      </c>
      <c r="F35" s="7">
        <f t="shared" ref="F35:F66" si="12">IFERROR(MIN(C35,D35)-B35,"")</f>
        <v>0.38113661809120458</v>
      </c>
      <c r="G35" s="7">
        <f t="shared" ref="G35:G66" si="13">IFERROR(MAX(0,C35-D35),"")</f>
        <v>0</v>
      </c>
      <c r="H35" s="7">
        <f t="shared" ref="H35:H66" si="14">IFERROR(MAX(0,D35-C35),"")</f>
        <v>5.0344364440482394</v>
      </c>
      <c r="I35" s="8">
        <f>vals_co2_excLUC!$R35</f>
        <v>93.902956341369048</v>
      </c>
      <c r="J35" s="8">
        <f>vals_co2_excLUC!$X35</f>
        <v>94.284086693582509</v>
      </c>
      <c r="K35" s="8">
        <f>vals_co2_excLUC!$AD35</f>
        <v>93.902950075491304</v>
      </c>
      <c r="L35" s="8"/>
      <c r="M35" s="8">
        <f>vals_co2_excLUC!$S35</f>
        <v>99.318523137630748</v>
      </c>
      <c r="N35" s="8">
        <f>vals_co2_excLUC!$Y35</f>
        <v>99.684974198796027</v>
      </c>
      <c r="O35" s="8">
        <f>vals_co2_excLUC!$AE35</f>
        <v>99.318523137630748</v>
      </c>
      <c r="P35" s="8"/>
      <c r="Q35" s="9">
        <f t="shared" ref="Q35:Q66" si="15">IFERROR(MAX(0,$E35-MAX($C35,$D35)),"")</f>
        <v>0.3664510611652787</v>
      </c>
      <c r="R35" s="9">
        <v>93.847999999999999</v>
      </c>
      <c r="S35" s="9">
        <v>99.311000000000007</v>
      </c>
    </row>
    <row r="36" spans="1:19" x14ac:dyDescent="0.35">
      <c r="A36" s="3">
        <f>vals_co2_excLUC!$A36</f>
        <v>1883</v>
      </c>
      <c r="B36" s="4">
        <f t="shared" si="8"/>
        <v>93.770931595967511</v>
      </c>
      <c r="C36" s="4">
        <f t="shared" si="9"/>
        <v>94.154785468310251</v>
      </c>
      <c r="D36" s="4">
        <f t="shared" si="10"/>
        <v>99.301593606866746</v>
      </c>
      <c r="E36" s="4">
        <f t="shared" si="11"/>
        <v>99.67302020002893</v>
      </c>
      <c r="F36" s="4">
        <f t="shared" si="12"/>
        <v>0.38385387234274049</v>
      </c>
      <c r="G36" s="4">
        <f t="shared" si="13"/>
        <v>0</v>
      </c>
      <c r="H36" s="4">
        <f t="shared" si="14"/>
        <v>5.1468081385564943</v>
      </c>
      <c r="I36" s="5">
        <f>vals_co2_excLUC!$R36</f>
        <v>93.770937493126141</v>
      </c>
      <c r="J36" s="5">
        <f>vals_co2_excLUC!$X36</f>
        <v>94.154785468310251</v>
      </c>
      <c r="K36" s="5">
        <f>vals_co2_excLUC!$AD36</f>
        <v>93.770931595967511</v>
      </c>
      <c r="L36" s="5"/>
      <c r="M36" s="5">
        <f>vals_co2_excLUC!$S36</f>
        <v>99.301593606866746</v>
      </c>
      <c r="N36" s="5">
        <f>vals_co2_excLUC!$Y36</f>
        <v>99.67302020002893</v>
      </c>
      <c r="O36" s="5">
        <f>vals_co2_excLUC!$AE36</f>
        <v>99.301593606866746</v>
      </c>
      <c r="P36" s="5"/>
      <c r="Q36" s="9">
        <f t="shared" si="15"/>
        <v>0.37142659316218385</v>
      </c>
      <c r="R36" s="9">
        <v>93.718000000000004</v>
      </c>
      <c r="S36" s="9">
        <v>99.293999999999997</v>
      </c>
    </row>
    <row r="37" spans="1:19" x14ac:dyDescent="0.35">
      <c r="A37" s="6">
        <f>vals_co2_excLUC!$A37</f>
        <v>1884</v>
      </c>
      <c r="B37" s="7">
        <f t="shared" si="8"/>
        <v>93.638243184855668</v>
      </c>
      <c r="C37" s="7">
        <f t="shared" si="9"/>
        <v>94.026972753350677</v>
      </c>
      <c r="D37" s="7">
        <f t="shared" si="10"/>
        <v>99.282081491144822</v>
      </c>
      <c r="E37" s="7">
        <f t="shared" si="11"/>
        <v>99.660410602935272</v>
      </c>
      <c r="F37" s="7">
        <f t="shared" si="12"/>
        <v>0.38872956849500895</v>
      </c>
      <c r="G37" s="7">
        <f t="shared" si="13"/>
        <v>0</v>
      </c>
      <c r="H37" s="7">
        <f t="shared" si="14"/>
        <v>5.2551087377941457</v>
      </c>
      <c r="I37" s="8">
        <f>vals_co2_excLUC!$R37</f>
        <v>93.638248750590037</v>
      </c>
      <c r="J37" s="8">
        <f>vals_co2_excLUC!$X37</f>
        <v>94.026972753350677</v>
      </c>
      <c r="K37" s="8">
        <f>vals_co2_excLUC!$AD37</f>
        <v>93.638243184855668</v>
      </c>
      <c r="L37" s="8"/>
      <c r="M37" s="8">
        <f>vals_co2_excLUC!$S37</f>
        <v>99.282081491144822</v>
      </c>
      <c r="N37" s="8">
        <f>vals_co2_excLUC!$Y37</f>
        <v>99.660410602935272</v>
      </c>
      <c r="O37" s="8">
        <f>vals_co2_excLUC!$AE37</f>
        <v>99.282081491144822</v>
      </c>
      <c r="P37" s="8"/>
      <c r="Q37" s="9">
        <f t="shared" si="15"/>
        <v>0.3783291117904497</v>
      </c>
      <c r="R37" s="9">
        <v>93.587000000000003</v>
      </c>
      <c r="S37" s="9">
        <v>99.275000000000006</v>
      </c>
    </row>
    <row r="38" spans="1:19" x14ac:dyDescent="0.35">
      <c r="A38" s="3">
        <f>vals_co2_excLUC!$A38</f>
        <v>1885</v>
      </c>
      <c r="B38" s="4">
        <f t="shared" si="8"/>
        <v>93.499926519273288</v>
      </c>
      <c r="C38" s="4">
        <f t="shared" si="9"/>
        <v>93.893815542574686</v>
      </c>
      <c r="D38" s="4">
        <f t="shared" si="10"/>
        <v>99.263891676240235</v>
      </c>
      <c r="E38" s="4">
        <f t="shared" si="11"/>
        <v>99.649211988220159</v>
      </c>
      <c r="F38" s="4">
        <f t="shared" si="12"/>
        <v>0.39388902330139786</v>
      </c>
      <c r="G38" s="4">
        <f t="shared" si="13"/>
        <v>0</v>
      </c>
      <c r="H38" s="4">
        <f t="shared" si="14"/>
        <v>5.3700761336655489</v>
      </c>
      <c r="I38" s="5">
        <f>vals_co2_excLUC!$R38</f>
        <v>93.499931786708899</v>
      </c>
      <c r="J38" s="5">
        <f>vals_co2_excLUC!$X38</f>
        <v>93.893815542574686</v>
      </c>
      <c r="K38" s="5">
        <f>vals_co2_excLUC!$AD38</f>
        <v>93.499926519273288</v>
      </c>
      <c r="L38" s="5"/>
      <c r="M38" s="5">
        <f>vals_co2_excLUC!$S38</f>
        <v>99.263891676240235</v>
      </c>
      <c r="N38" s="5">
        <f>vals_co2_excLUC!$Y38</f>
        <v>99.649211988220159</v>
      </c>
      <c r="O38" s="5">
        <f>vals_co2_excLUC!$AE38</f>
        <v>99.263891676240235</v>
      </c>
      <c r="P38" s="5"/>
      <c r="Q38" s="9">
        <f t="shared" si="15"/>
        <v>0.38532031197992467</v>
      </c>
      <c r="R38" s="9">
        <v>93.45</v>
      </c>
      <c r="S38" s="9">
        <v>99.257000000000005</v>
      </c>
    </row>
    <row r="39" spans="1:19" x14ac:dyDescent="0.35">
      <c r="A39" s="6">
        <f>vals_co2_excLUC!$A39</f>
        <v>1886</v>
      </c>
      <c r="B39" s="7">
        <f t="shared" si="8"/>
        <v>93.369160882119644</v>
      </c>
      <c r="C39" s="7">
        <f t="shared" si="9"/>
        <v>93.765247535447187</v>
      </c>
      <c r="D39" s="7">
        <f t="shared" si="10"/>
        <v>99.247810309719625</v>
      </c>
      <c r="E39" s="7">
        <f t="shared" si="11"/>
        <v>99.637388624045755</v>
      </c>
      <c r="F39" s="7">
        <f t="shared" si="12"/>
        <v>0.39608665332754356</v>
      </c>
      <c r="G39" s="7">
        <f t="shared" si="13"/>
        <v>0</v>
      </c>
      <c r="H39" s="7">
        <f t="shared" si="14"/>
        <v>5.4825627742724379</v>
      </c>
      <c r="I39" s="8">
        <f>vals_co2_excLUC!$R39</f>
        <v>93.369165877734233</v>
      </c>
      <c r="J39" s="8">
        <f>vals_co2_excLUC!$X39</f>
        <v>93.765247535447187</v>
      </c>
      <c r="K39" s="8">
        <f>vals_co2_excLUC!$AD39</f>
        <v>93.369160882119644</v>
      </c>
      <c r="L39" s="8"/>
      <c r="M39" s="8">
        <f>vals_co2_excLUC!$S39</f>
        <v>99.247810309719625</v>
      </c>
      <c r="N39" s="8">
        <f>vals_co2_excLUC!$Y39</f>
        <v>99.637388624045755</v>
      </c>
      <c r="O39" s="8">
        <f>vals_co2_excLUC!$AE39</f>
        <v>99.247810309719625</v>
      </c>
      <c r="P39" s="8"/>
      <c r="Q39" s="9">
        <f t="shared" si="15"/>
        <v>0.38957831432612977</v>
      </c>
      <c r="R39" s="9">
        <v>93.320999999999998</v>
      </c>
      <c r="S39" s="9">
        <v>99.241</v>
      </c>
    </row>
    <row r="40" spans="1:19" x14ac:dyDescent="0.35">
      <c r="A40" s="3">
        <f>vals_co2_excLUC!$A40</f>
        <v>1887</v>
      </c>
      <c r="B40" s="4">
        <f t="shared" si="8"/>
        <v>93.248266501878518</v>
      </c>
      <c r="C40" s="4">
        <f t="shared" si="9"/>
        <v>93.643384685673638</v>
      </c>
      <c r="D40" s="4">
        <f t="shared" si="10"/>
        <v>99.228887149177496</v>
      </c>
      <c r="E40" s="4">
        <f t="shared" si="11"/>
        <v>99.619729080505692</v>
      </c>
      <c r="F40" s="4">
        <f t="shared" si="12"/>
        <v>0.39511818379511965</v>
      </c>
      <c r="G40" s="4">
        <f t="shared" si="13"/>
        <v>0</v>
      </c>
      <c r="H40" s="4">
        <f t="shared" si="14"/>
        <v>5.5855024635038575</v>
      </c>
      <c r="I40" s="5">
        <f>vals_co2_excLUC!$R40</f>
        <v>93.248271240801756</v>
      </c>
      <c r="J40" s="5">
        <f>vals_co2_excLUC!$X40</f>
        <v>93.643384685673638</v>
      </c>
      <c r="K40" s="5">
        <f>vals_co2_excLUC!$AD40</f>
        <v>93.248266501878518</v>
      </c>
      <c r="L40" s="5"/>
      <c r="M40" s="5">
        <f>vals_co2_excLUC!$S40</f>
        <v>99.228887149177496</v>
      </c>
      <c r="N40" s="5">
        <f>vals_co2_excLUC!$Y40</f>
        <v>99.619729080505692</v>
      </c>
      <c r="O40" s="5">
        <f>vals_co2_excLUC!$AE40</f>
        <v>99.228887149177496</v>
      </c>
      <c r="P40" s="5"/>
      <c r="Q40" s="9">
        <f t="shared" si="15"/>
        <v>0.39084193132819678</v>
      </c>
      <c r="R40" s="9">
        <v>93.200999999999993</v>
      </c>
      <c r="S40" s="9">
        <v>99.221999999999994</v>
      </c>
    </row>
    <row r="41" spans="1:19" x14ac:dyDescent="0.35">
      <c r="A41" s="6">
        <f>vals_co2_excLUC!$A41</f>
        <v>1888</v>
      </c>
      <c r="B41" s="7">
        <f t="shared" si="8"/>
        <v>93.135257253214249</v>
      </c>
      <c r="C41" s="7">
        <f t="shared" si="9"/>
        <v>93.533786129281353</v>
      </c>
      <c r="D41" s="7">
        <f t="shared" si="10"/>
        <v>99.207978449352126</v>
      </c>
      <c r="E41" s="7">
        <f t="shared" si="11"/>
        <v>99.604341471001973</v>
      </c>
      <c r="F41" s="7">
        <f t="shared" si="12"/>
        <v>0.39852887606710397</v>
      </c>
      <c r="G41" s="7">
        <f t="shared" si="13"/>
        <v>0</v>
      </c>
      <c r="H41" s="7">
        <f t="shared" si="14"/>
        <v>5.6741923200707731</v>
      </c>
      <c r="I41" s="8">
        <f>vals_co2_excLUC!$R41</f>
        <v>93.135261736879613</v>
      </c>
      <c r="J41" s="8">
        <f>vals_co2_excLUC!$X41</f>
        <v>93.533786129281353</v>
      </c>
      <c r="K41" s="8">
        <f>vals_co2_excLUC!$AD41</f>
        <v>93.135257253214249</v>
      </c>
      <c r="L41" s="8"/>
      <c r="M41" s="8">
        <f>vals_co2_excLUC!$S41</f>
        <v>99.207978449352126</v>
      </c>
      <c r="N41" s="8">
        <f>vals_co2_excLUC!$Y41</f>
        <v>99.604341471001973</v>
      </c>
      <c r="O41" s="8">
        <f>vals_co2_excLUC!$AE41</f>
        <v>99.207978449352126</v>
      </c>
      <c r="P41" s="8"/>
      <c r="Q41" s="9">
        <f t="shared" si="15"/>
        <v>0.39636302164984727</v>
      </c>
      <c r="R41" s="9">
        <v>93.09</v>
      </c>
      <c r="S41" s="9">
        <v>99.200999999999993</v>
      </c>
    </row>
    <row r="42" spans="1:19" x14ac:dyDescent="0.35">
      <c r="A42" s="3">
        <f>vals_co2_excLUC!$A42</f>
        <v>1889</v>
      </c>
      <c r="B42" s="4">
        <f t="shared" si="8"/>
        <v>92.995594734272274</v>
      </c>
      <c r="C42" s="4">
        <f t="shared" si="9"/>
        <v>93.399113317132361</v>
      </c>
      <c r="D42" s="4">
        <f t="shared" si="10"/>
        <v>99.179775743142642</v>
      </c>
      <c r="E42" s="4">
        <f t="shared" si="11"/>
        <v>99.582721426822928</v>
      </c>
      <c r="F42" s="4">
        <f t="shared" si="12"/>
        <v>0.40351858286008735</v>
      </c>
      <c r="G42" s="4">
        <f t="shared" si="13"/>
        <v>0</v>
      </c>
      <c r="H42" s="4">
        <f t="shared" si="14"/>
        <v>5.7806624260102808</v>
      </c>
      <c r="I42" s="5">
        <f>vals_co2_excLUC!$R42</f>
        <v>92.99559898863572</v>
      </c>
      <c r="J42" s="5">
        <f>vals_co2_excLUC!$X42</f>
        <v>93.399113317132361</v>
      </c>
      <c r="K42" s="5">
        <f>vals_co2_excLUC!$AD42</f>
        <v>92.995594734272274</v>
      </c>
      <c r="L42" s="5"/>
      <c r="M42" s="5">
        <f>vals_co2_excLUC!$S42</f>
        <v>99.179775743142642</v>
      </c>
      <c r="N42" s="5">
        <f>vals_co2_excLUC!$Y42</f>
        <v>99.582721426822928</v>
      </c>
      <c r="O42" s="5">
        <f>vals_co2_excLUC!$AE42</f>
        <v>99.179775743142642</v>
      </c>
      <c r="P42" s="5"/>
      <c r="Q42" s="9">
        <f t="shared" si="15"/>
        <v>0.40294568368028649</v>
      </c>
      <c r="R42" s="9">
        <v>92.950999999999993</v>
      </c>
      <c r="S42" s="9">
        <v>99.173000000000002</v>
      </c>
    </row>
    <row r="43" spans="1:19" x14ac:dyDescent="0.35">
      <c r="A43" s="6">
        <f>vals_co2_excLUC!$A43</f>
        <v>1890</v>
      </c>
      <c r="B43" s="7">
        <f t="shared" si="8"/>
        <v>92.871409264366164</v>
      </c>
      <c r="C43" s="7">
        <f t="shared" si="9"/>
        <v>93.275028155427592</v>
      </c>
      <c r="D43" s="7">
        <f t="shared" si="10"/>
        <v>99.15769183429633</v>
      </c>
      <c r="E43" s="7">
        <f t="shared" si="11"/>
        <v>99.562146225437388</v>
      </c>
      <c r="F43" s="7">
        <f t="shared" si="12"/>
        <v>0.40361889106142712</v>
      </c>
      <c r="G43" s="7">
        <f t="shared" si="13"/>
        <v>0</v>
      </c>
      <c r="H43" s="7">
        <f t="shared" si="14"/>
        <v>5.8826636788687381</v>
      </c>
      <c r="I43" s="8">
        <f>vals_co2_excLUC!$R43</f>
        <v>92.871413294587342</v>
      </c>
      <c r="J43" s="8">
        <f>vals_co2_excLUC!$X43</f>
        <v>93.275028155427592</v>
      </c>
      <c r="K43" s="8">
        <f>vals_co2_excLUC!$AD43</f>
        <v>92.871409264366164</v>
      </c>
      <c r="L43" s="8"/>
      <c r="M43" s="8">
        <f>vals_co2_excLUC!$S43</f>
        <v>99.15769183429633</v>
      </c>
      <c r="N43" s="8">
        <f>vals_co2_excLUC!$Y43</f>
        <v>99.562146225437388</v>
      </c>
      <c r="O43" s="8">
        <f>vals_co2_excLUC!$AE43</f>
        <v>99.15769183429633</v>
      </c>
      <c r="P43" s="8"/>
      <c r="Q43" s="9">
        <f t="shared" si="15"/>
        <v>0.40445439114105852</v>
      </c>
      <c r="R43" s="9">
        <v>92.828000000000003</v>
      </c>
      <c r="S43" s="9">
        <v>99.150999999999996</v>
      </c>
    </row>
    <row r="44" spans="1:19" x14ac:dyDescent="0.35">
      <c r="A44" s="3">
        <f>vals_co2_excLUC!$A44</f>
        <v>1891</v>
      </c>
      <c r="B44" s="4">
        <f t="shared" si="8"/>
        <v>92.74044249947093</v>
      </c>
      <c r="C44" s="4">
        <f t="shared" si="9"/>
        <v>93.145916270593816</v>
      </c>
      <c r="D44" s="4">
        <f t="shared" si="10"/>
        <v>99.132946884044941</v>
      </c>
      <c r="E44" s="4">
        <f t="shared" si="11"/>
        <v>99.540639152587318</v>
      </c>
      <c r="F44" s="4">
        <f t="shared" si="12"/>
        <v>0.4054737711228853</v>
      </c>
      <c r="G44" s="4">
        <f t="shared" si="13"/>
        <v>0</v>
      </c>
      <c r="H44" s="4">
        <f t="shared" si="14"/>
        <v>5.9870306134511253</v>
      </c>
      <c r="I44" s="5">
        <f>vals_co2_excLUC!$R44</f>
        <v>92.740446318869445</v>
      </c>
      <c r="J44" s="5">
        <f>vals_co2_excLUC!$X44</f>
        <v>93.145916270593816</v>
      </c>
      <c r="K44" s="5">
        <f>vals_co2_excLUC!$AD44</f>
        <v>92.74044249947093</v>
      </c>
      <c r="L44" s="5"/>
      <c r="M44" s="5">
        <f>vals_co2_excLUC!$S44</f>
        <v>99.132946884044941</v>
      </c>
      <c r="N44" s="5">
        <f>vals_co2_excLUC!$Y44</f>
        <v>99.540639152587318</v>
      </c>
      <c r="O44" s="5">
        <f>vals_co2_excLUC!$AE44</f>
        <v>99.132946884044941</v>
      </c>
      <c r="P44" s="5"/>
      <c r="Q44" s="9">
        <f t="shared" si="15"/>
        <v>0.40769226854237672</v>
      </c>
      <c r="R44" s="9">
        <v>92.698999999999998</v>
      </c>
      <c r="S44" s="9">
        <v>99.126999999999995</v>
      </c>
    </row>
    <row r="45" spans="1:19" x14ac:dyDescent="0.35">
      <c r="A45" s="6">
        <f>vals_co2_excLUC!$A45</f>
        <v>1892</v>
      </c>
      <c r="B45" s="7">
        <f t="shared" si="8"/>
        <v>92.617899231747131</v>
      </c>
      <c r="C45" s="7">
        <f t="shared" si="9"/>
        <v>93.025388991512941</v>
      </c>
      <c r="D45" s="7">
        <f t="shared" si="10"/>
        <v>99.103428626596354</v>
      </c>
      <c r="E45" s="7">
        <f t="shared" si="11"/>
        <v>99.514612933656792</v>
      </c>
      <c r="F45" s="7">
        <f t="shared" si="12"/>
        <v>0.40748975976580937</v>
      </c>
      <c r="G45" s="7">
        <f t="shared" si="13"/>
        <v>0</v>
      </c>
      <c r="H45" s="7">
        <f t="shared" si="14"/>
        <v>6.0780396350834138</v>
      </c>
      <c r="I45" s="8">
        <f>vals_co2_excLUC!$R45</f>
        <v>92.6179028598428</v>
      </c>
      <c r="J45" s="8">
        <f>vals_co2_excLUC!$X45</f>
        <v>93.025388991512941</v>
      </c>
      <c r="K45" s="8">
        <f>vals_co2_excLUC!$AD45</f>
        <v>92.617899231747131</v>
      </c>
      <c r="L45" s="8"/>
      <c r="M45" s="8">
        <f>vals_co2_excLUC!$S45</f>
        <v>99.103428626596354</v>
      </c>
      <c r="N45" s="8">
        <f>vals_co2_excLUC!$Y45</f>
        <v>99.514612933656792</v>
      </c>
      <c r="O45" s="8">
        <f>vals_co2_excLUC!$AE45</f>
        <v>99.103428626596354</v>
      </c>
      <c r="P45" s="8"/>
      <c r="Q45" s="9">
        <f t="shared" si="15"/>
        <v>0.41118430706043796</v>
      </c>
      <c r="R45" s="9">
        <v>92.576999999999998</v>
      </c>
      <c r="S45" s="9">
        <v>99.096999999999994</v>
      </c>
    </row>
    <row r="46" spans="1:19" x14ac:dyDescent="0.35">
      <c r="A46" s="3">
        <f>vals_co2_excLUC!$A46</f>
        <v>1893</v>
      </c>
      <c r="B46" s="4">
        <f t="shared" si="8"/>
        <v>92.464871126168163</v>
      </c>
      <c r="C46" s="4">
        <f t="shared" si="9"/>
        <v>92.873404406320731</v>
      </c>
      <c r="D46" s="4">
        <f t="shared" si="10"/>
        <v>99.066530424050825</v>
      </c>
      <c r="E46" s="4">
        <f t="shared" si="11"/>
        <v>99.479748482624544</v>
      </c>
      <c r="F46" s="4">
        <f t="shared" si="12"/>
        <v>0.40853328015256807</v>
      </c>
      <c r="G46" s="4">
        <f t="shared" si="13"/>
        <v>0</v>
      </c>
      <c r="H46" s="4">
        <f t="shared" si="14"/>
        <v>6.1931260177300942</v>
      </c>
      <c r="I46" s="5">
        <f>vals_co2_excLUC!$R46</f>
        <v>92.464874583283645</v>
      </c>
      <c r="J46" s="5">
        <f>vals_co2_excLUC!$X46</f>
        <v>92.873404406320731</v>
      </c>
      <c r="K46" s="5">
        <f>vals_co2_excLUC!$AD46</f>
        <v>92.464871126168163</v>
      </c>
      <c r="L46" s="5"/>
      <c r="M46" s="5">
        <f>vals_co2_excLUC!$S46</f>
        <v>99.066530424050825</v>
      </c>
      <c r="N46" s="5">
        <f>vals_co2_excLUC!$Y46</f>
        <v>99.479748482624544</v>
      </c>
      <c r="O46" s="5">
        <f>vals_co2_excLUC!$AE46</f>
        <v>99.066530424050825</v>
      </c>
      <c r="P46" s="5"/>
      <c r="Q46" s="9">
        <f t="shared" si="15"/>
        <v>0.41321805857371885</v>
      </c>
      <c r="R46" s="9">
        <v>92.424999999999997</v>
      </c>
      <c r="S46" s="9">
        <v>99.061000000000007</v>
      </c>
    </row>
    <row r="47" spans="1:19" x14ac:dyDescent="0.35">
      <c r="A47" s="6">
        <f>vals_co2_excLUC!$A47</f>
        <v>1894</v>
      </c>
      <c r="B47" s="7">
        <f t="shared" si="8"/>
        <v>92.320673202875497</v>
      </c>
      <c r="C47" s="7">
        <f t="shared" si="9"/>
        <v>92.734020919746143</v>
      </c>
      <c r="D47" s="7">
        <f t="shared" si="10"/>
        <v>99.025940207942</v>
      </c>
      <c r="E47" s="7">
        <f t="shared" si="11"/>
        <v>99.444690461652712</v>
      </c>
      <c r="F47" s="7">
        <f t="shared" si="12"/>
        <v>0.41334771687064631</v>
      </c>
      <c r="G47" s="7">
        <f t="shared" si="13"/>
        <v>0</v>
      </c>
      <c r="H47" s="7">
        <f t="shared" si="14"/>
        <v>6.2919192881958566</v>
      </c>
      <c r="I47" s="8">
        <f>vals_co2_excLUC!$R47</f>
        <v>92.320676499063438</v>
      </c>
      <c r="J47" s="8">
        <f>vals_co2_excLUC!$X47</f>
        <v>92.734020919746143</v>
      </c>
      <c r="K47" s="8">
        <f>vals_co2_excLUC!$AD47</f>
        <v>92.320673202875497</v>
      </c>
      <c r="L47" s="8"/>
      <c r="M47" s="8">
        <f>vals_co2_excLUC!$S47</f>
        <v>99.025940207942</v>
      </c>
      <c r="N47" s="8">
        <f>vals_co2_excLUC!$Y47</f>
        <v>99.444690461652712</v>
      </c>
      <c r="O47" s="8">
        <f>vals_co2_excLUC!$AE47</f>
        <v>99.025940207942</v>
      </c>
      <c r="P47" s="8"/>
      <c r="Q47" s="9">
        <f t="shared" si="15"/>
        <v>0.41875025371071217</v>
      </c>
      <c r="R47" s="9">
        <v>92.281999999999996</v>
      </c>
      <c r="S47" s="9">
        <v>99.02</v>
      </c>
    </row>
    <row r="48" spans="1:19" x14ac:dyDescent="0.35">
      <c r="A48" s="3">
        <f>vals_co2_excLUC!$A48</f>
        <v>1895</v>
      </c>
      <c r="B48" s="4">
        <f t="shared" si="8"/>
        <v>92.168989547038336</v>
      </c>
      <c r="C48" s="4">
        <f t="shared" si="9"/>
        <v>92.582686163836669</v>
      </c>
      <c r="D48" s="4">
        <f t="shared" si="10"/>
        <v>98.981009007967586</v>
      </c>
      <c r="E48" s="4">
        <f t="shared" si="11"/>
        <v>99.400947808339552</v>
      </c>
      <c r="F48" s="4">
        <f t="shared" si="12"/>
        <v>0.41369661679833314</v>
      </c>
      <c r="G48" s="4">
        <f t="shared" si="13"/>
        <v>0</v>
      </c>
      <c r="H48" s="4">
        <f t="shared" si="14"/>
        <v>6.3983228441309166</v>
      </c>
      <c r="I48" s="5">
        <f>vals_co2_excLUC!$R48</f>
        <v>92.168992688329865</v>
      </c>
      <c r="J48" s="5">
        <f>vals_co2_excLUC!$X48</f>
        <v>92.582686163836669</v>
      </c>
      <c r="K48" s="5">
        <f>vals_co2_excLUC!$AD48</f>
        <v>92.168989547038336</v>
      </c>
      <c r="L48" s="5"/>
      <c r="M48" s="5">
        <f>vals_co2_excLUC!$S48</f>
        <v>98.981009007967586</v>
      </c>
      <c r="N48" s="5">
        <f>vals_co2_excLUC!$Y48</f>
        <v>99.400947808339552</v>
      </c>
      <c r="O48" s="5">
        <f>vals_co2_excLUC!$AE48</f>
        <v>98.981009007967586</v>
      </c>
      <c r="P48" s="5"/>
      <c r="Q48" s="9">
        <f t="shared" si="15"/>
        <v>0.41993880037196618</v>
      </c>
      <c r="R48" s="9">
        <v>92.131</v>
      </c>
      <c r="S48" s="9">
        <v>98.974999999999994</v>
      </c>
    </row>
    <row r="49" spans="1:19" x14ac:dyDescent="0.35">
      <c r="A49" s="6">
        <f>vals_co2_excLUC!$A49</f>
        <v>1896</v>
      </c>
      <c r="B49" s="7">
        <f t="shared" si="8"/>
        <v>92.017017275667868</v>
      </c>
      <c r="C49" s="7">
        <f t="shared" si="9"/>
        <v>92.431815211527947</v>
      </c>
      <c r="D49" s="7">
        <f t="shared" si="10"/>
        <v>98.934043062549989</v>
      </c>
      <c r="E49" s="7">
        <f t="shared" si="11"/>
        <v>99.355721277830682</v>
      </c>
      <c r="F49" s="7">
        <f t="shared" si="12"/>
        <v>0.41479793586007929</v>
      </c>
      <c r="G49" s="7">
        <f t="shared" si="13"/>
        <v>0</v>
      </c>
      <c r="H49" s="7">
        <f t="shared" si="14"/>
        <v>6.5022278510220417</v>
      </c>
      <c r="I49" s="8">
        <f>vals_co2_excLUC!$R49</f>
        <v>92.017020271519428</v>
      </c>
      <c r="J49" s="8">
        <f>vals_co2_excLUC!$X49</f>
        <v>92.431815211527947</v>
      </c>
      <c r="K49" s="8">
        <f>vals_co2_excLUC!$AD49</f>
        <v>92.017017275667868</v>
      </c>
      <c r="L49" s="8"/>
      <c r="M49" s="8">
        <f>vals_co2_excLUC!$S49</f>
        <v>98.934043062549989</v>
      </c>
      <c r="N49" s="8">
        <f>vals_co2_excLUC!$Y49</f>
        <v>99.355721277830682</v>
      </c>
      <c r="O49" s="8">
        <f>vals_co2_excLUC!$AE49</f>
        <v>98.934043062549989</v>
      </c>
      <c r="P49" s="8"/>
      <c r="Q49" s="9">
        <f t="shared" si="15"/>
        <v>0.42167821528069283</v>
      </c>
      <c r="R49" s="9">
        <v>91.98</v>
      </c>
      <c r="S49" s="9">
        <v>98.927999999999997</v>
      </c>
    </row>
    <row r="50" spans="1:19" x14ac:dyDescent="0.35">
      <c r="A50" s="3">
        <f>vals_co2_excLUC!$A50</f>
        <v>1897</v>
      </c>
      <c r="B50" s="4">
        <f t="shared" si="8"/>
        <v>91.85767624430909</v>
      </c>
      <c r="C50" s="4">
        <f t="shared" si="9"/>
        <v>92.272281180935494</v>
      </c>
      <c r="D50" s="4">
        <f t="shared" si="10"/>
        <v>98.886584496393723</v>
      </c>
      <c r="E50" s="4">
        <f t="shared" si="11"/>
        <v>99.308761168359567</v>
      </c>
      <c r="F50" s="4">
        <f t="shared" si="12"/>
        <v>0.41460493662640374</v>
      </c>
      <c r="G50" s="4">
        <f t="shared" si="13"/>
        <v>0</v>
      </c>
      <c r="H50" s="4">
        <f t="shared" si="14"/>
        <v>6.6143033154582298</v>
      </c>
      <c r="I50" s="5">
        <f>vals_co2_excLUC!$R50</f>
        <v>91.857679101623717</v>
      </c>
      <c r="J50" s="5">
        <f>vals_co2_excLUC!$X50</f>
        <v>92.272281180935494</v>
      </c>
      <c r="K50" s="5">
        <f>vals_co2_excLUC!$AD50</f>
        <v>91.85767624430909</v>
      </c>
      <c r="L50" s="5"/>
      <c r="M50" s="5">
        <f>vals_co2_excLUC!$S50</f>
        <v>98.886584496393723</v>
      </c>
      <c r="N50" s="5">
        <f>vals_co2_excLUC!$Y50</f>
        <v>99.308761168359567</v>
      </c>
      <c r="O50" s="5">
        <f>vals_co2_excLUC!$AE50</f>
        <v>98.886584496393723</v>
      </c>
      <c r="P50" s="5"/>
      <c r="Q50" s="9">
        <f t="shared" si="15"/>
        <v>0.4221766719658433</v>
      </c>
      <c r="R50" s="9">
        <v>91.820999999999998</v>
      </c>
      <c r="S50" s="9">
        <v>98.881</v>
      </c>
    </row>
    <row r="51" spans="1:19" x14ac:dyDescent="0.35">
      <c r="A51" s="6">
        <f>vals_co2_excLUC!$A51</f>
        <v>1898</v>
      </c>
      <c r="B51" s="7">
        <f t="shared" si="8"/>
        <v>91.68509610525166</v>
      </c>
      <c r="C51" s="7">
        <f t="shared" si="9"/>
        <v>92.099808995959663</v>
      </c>
      <c r="D51" s="7">
        <f t="shared" si="10"/>
        <v>98.83374033663442</v>
      </c>
      <c r="E51" s="7">
        <f t="shared" si="11"/>
        <v>99.256218232385478</v>
      </c>
      <c r="F51" s="7">
        <f t="shared" si="12"/>
        <v>0.4147128907080031</v>
      </c>
      <c r="G51" s="7">
        <f t="shared" si="13"/>
        <v>0</v>
      </c>
      <c r="H51" s="7">
        <f t="shared" si="14"/>
        <v>6.7339313406747578</v>
      </c>
      <c r="I51" s="8">
        <f>vals_co2_excLUC!$R51</f>
        <v>91.685098829686382</v>
      </c>
      <c r="J51" s="8">
        <f>vals_co2_excLUC!$X51</f>
        <v>92.099808995959663</v>
      </c>
      <c r="K51" s="8">
        <f>vals_co2_excLUC!$AD51</f>
        <v>91.68509610525166</v>
      </c>
      <c r="L51" s="8"/>
      <c r="M51" s="8">
        <f>vals_co2_excLUC!$S51</f>
        <v>98.83374033663442</v>
      </c>
      <c r="N51" s="8">
        <f>vals_co2_excLUC!$Y51</f>
        <v>99.256218232385478</v>
      </c>
      <c r="O51" s="8">
        <f>vals_co2_excLUC!$AE51</f>
        <v>98.83374033663442</v>
      </c>
      <c r="P51" s="8"/>
      <c r="Q51" s="9">
        <f t="shared" si="15"/>
        <v>0.42247789575105799</v>
      </c>
      <c r="R51" s="9">
        <v>91.65</v>
      </c>
      <c r="S51" s="9">
        <v>98.828000000000003</v>
      </c>
    </row>
    <row r="52" spans="1:19" x14ac:dyDescent="0.35">
      <c r="A52" s="3">
        <f>vals_co2_excLUC!$A52</f>
        <v>1899</v>
      </c>
      <c r="B52" s="4">
        <f t="shared" si="8"/>
        <v>91.52691081706827</v>
      </c>
      <c r="C52" s="4">
        <f t="shared" si="9"/>
        <v>91.94116700322914</v>
      </c>
      <c r="D52" s="4">
        <f t="shared" si="10"/>
        <v>98.783303896266062</v>
      </c>
      <c r="E52" s="4">
        <f t="shared" si="11"/>
        <v>99.205456363272731</v>
      </c>
      <c r="F52" s="4">
        <f t="shared" si="12"/>
        <v>0.41425618616086979</v>
      </c>
      <c r="G52" s="4">
        <f t="shared" si="13"/>
        <v>0</v>
      </c>
      <c r="H52" s="4">
        <f t="shared" si="14"/>
        <v>6.8421368930369226</v>
      </c>
      <c r="I52" s="5">
        <f>vals_co2_excLUC!$R52</f>
        <v>91.526913409804905</v>
      </c>
      <c r="J52" s="5">
        <f>vals_co2_excLUC!$X52</f>
        <v>91.94116700322914</v>
      </c>
      <c r="K52" s="5">
        <f>vals_co2_excLUC!$AD52</f>
        <v>91.52691081706827</v>
      </c>
      <c r="L52" s="5"/>
      <c r="M52" s="5">
        <f>vals_co2_excLUC!$S52</f>
        <v>98.783303896266062</v>
      </c>
      <c r="N52" s="5">
        <f>vals_co2_excLUC!$Y52</f>
        <v>99.205456363272731</v>
      </c>
      <c r="O52" s="5">
        <f>vals_co2_excLUC!$AE52</f>
        <v>98.783303896266062</v>
      </c>
      <c r="P52" s="5"/>
      <c r="Q52" s="9">
        <f t="shared" si="15"/>
        <v>0.42215246700666853</v>
      </c>
      <c r="R52" s="9">
        <v>91.492000000000004</v>
      </c>
      <c r="S52" s="9">
        <v>98.777000000000001</v>
      </c>
    </row>
    <row r="53" spans="1:19" x14ac:dyDescent="0.35">
      <c r="A53" s="6">
        <f>vals_co2_excLUC!$A53</f>
        <v>1900</v>
      </c>
      <c r="B53" s="7">
        <f t="shared" si="8"/>
        <v>91.380723015816812</v>
      </c>
      <c r="C53" s="7">
        <f t="shared" si="9"/>
        <v>91.793834367483143</v>
      </c>
      <c r="D53" s="7">
        <f t="shared" si="10"/>
        <v>98.741952380047763</v>
      </c>
      <c r="E53" s="7">
        <f t="shared" si="11"/>
        <v>99.1620350033687</v>
      </c>
      <c r="F53" s="7">
        <f t="shared" si="12"/>
        <v>0.41311135166633051</v>
      </c>
      <c r="G53" s="7">
        <f t="shared" si="13"/>
        <v>0</v>
      </c>
      <c r="H53" s="7">
        <f t="shared" si="14"/>
        <v>6.9481180125646205</v>
      </c>
      <c r="I53" s="8">
        <f>vals_co2_excLUC!$R53</f>
        <v>91.380725482992901</v>
      </c>
      <c r="J53" s="8">
        <f>vals_co2_excLUC!$X53</f>
        <v>91.793834367483143</v>
      </c>
      <c r="K53" s="8">
        <f>vals_co2_excLUC!$AD53</f>
        <v>91.380723015816812</v>
      </c>
      <c r="L53" s="8"/>
      <c r="M53" s="8">
        <f>vals_co2_excLUC!$S53</f>
        <v>98.741952380047763</v>
      </c>
      <c r="N53" s="8">
        <f>vals_co2_excLUC!$Y53</f>
        <v>99.1620350033687</v>
      </c>
      <c r="O53" s="8">
        <f>vals_co2_excLUC!$AE53</f>
        <v>98.741952380047763</v>
      </c>
      <c r="P53" s="8"/>
      <c r="Q53" s="9">
        <f t="shared" si="15"/>
        <v>0.42008262332093693</v>
      </c>
      <c r="R53" s="9">
        <v>91.346999999999994</v>
      </c>
      <c r="S53" s="9">
        <v>98.736000000000004</v>
      </c>
    </row>
    <row r="54" spans="1:19" x14ac:dyDescent="0.35">
      <c r="A54" s="3">
        <f>vals_co2_excLUC!$A54</f>
        <v>1901</v>
      </c>
      <c r="B54" s="4">
        <f t="shared" si="8"/>
        <v>91.229419341667992</v>
      </c>
      <c r="C54" s="4">
        <f t="shared" si="9"/>
        <v>91.632850526069703</v>
      </c>
      <c r="D54" s="4">
        <f t="shared" si="10"/>
        <v>98.692885849028173</v>
      </c>
      <c r="E54" s="4">
        <f t="shared" si="11"/>
        <v>99.102416671866038</v>
      </c>
      <c r="F54" s="4">
        <f t="shared" si="12"/>
        <v>0.40343118440171111</v>
      </c>
      <c r="G54" s="4">
        <f t="shared" si="13"/>
        <v>0</v>
      </c>
      <c r="H54" s="4">
        <f t="shared" si="14"/>
        <v>7.0600353229584698</v>
      </c>
      <c r="I54" s="5">
        <f>vals_co2_excLUC!$R54</f>
        <v>91.229421691413634</v>
      </c>
      <c r="J54" s="5">
        <f>vals_co2_excLUC!$X54</f>
        <v>91.632850526069703</v>
      </c>
      <c r="K54" s="5">
        <f>vals_co2_excLUC!$AD54</f>
        <v>91.229419341667992</v>
      </c>
      <c r="L54" s="5"/>
      <c r="M54" s="5">
        <f>vals_co2_excLUC!$S54</f>
        <v>98.692885849028173</v>
      </c>
      <c r="N54" s="5">
        <f>vals_co2_excLUC!$Y54</f>
        <v>99.102416671866038</v>
      </c>
      <c r="O54" s="5">
        <f>vals_co2_excLUC!$AE54</f>
        <v>98.692885849028173</v>
      </c>
      <c r="P54" s="5"/>
      <c r="Q54" s="9">
        <f t="shared" si="15"/>
        <v>0.40953082283786557</v>
      </c>
      <c r="R54" s="9">
        <v>91.197000000000003</v>
      </c>
      <c r="S54" s="9">
        <v>98.686999999999998</v>
      </c>
    </row>
    <row r="55" spans="1:19" x14ac:dyDescent="0.35">
      <c r="A55" s="6">
        <f>vals_co2_excLUC!$A55</f>
        <v>1902</v>
      </c>
      <c r="B55" s="7">
        <f t="shared" si="8"/>
        <v>91.103598330574414</v>
      </c>
      <c r="C55" s="7">
        <f t="shared" si="9"/>
        <v>91.496802586767018</v>
      </c>
      <c r="D55" s="7">
        <f t="shared" si="10"/>
        <v>98.642857984609932</v>
      </c>
      <c r="E55" s="7">
        <f t="shared" si="11"/>
        <v>99.041584517607333</v>
      </c>
      <c r="F55" s="7">
        <f t="shared" si="12"/>
        <v>0.39320425619260391</v>
      </c>
      <c r="G55" s="7">
        <f t="shared" si="13"/>
        <v>0</v>
      </c>
      <c r="H55" s="7">
        <f t="shared" si="14"/>
        <v>7.1460553978429147</v>
      </c>
      <c r="I55" s="8">
        <f>vals_co2_excLUC!$R55</f>
        <v>91.103600570981087</v>
      </c>
      <c r="J55" s="8">
        <f>vals_co2_excLUC!$X55</f>
        <v>91.496802586767018</v>
      </c>
      <c r="K55" s="8">
        <f>vals_co2_excLUC!$AD55</f>
        <v>91.103598330574414</v>
      </c>
      <c r="L55" s="8"/>
      <c r="M55" s="8">
        <f>vals_co2_excLUC!$S55</f>
        <v>98.642857984609932</v>
      </c>
      <c r="N55" s="8">
        <f>vals_co2_excLUC!$Y55</f>
        <v>99.041584517607333</v>
      </c>
      <c r="O55" s="8">
        <f>vals_co2_excLUC!$AE55</f>
        <v>98.642857984609932</v>
      </c>
      <c r="P55" s="8"/>
      <c r="Q55" s="9">
        <f t="shared" si="15"/>
        <v>0.3987265329974008</v>
      </c>
      <c r="R55" s="9">
        <v>91.072000000000003</v>
      </c>
      <c r="S55" s="9">
        <v>98.637</v>
      </c>
    </row>
    <row r="56" spans="1:19" x14ac:dyDescent="0.35">
      <c r="A56" s="3">
        <f>vals_co2_excLUC!$A56</f>
        <v>1903</v>
      </c>
      <c r="B56" s="4">
        <f t="shared" si="8"/>
        <v>91.007411915722656</v>
      </c>
      <c r="C56" s="4">
        <f t="shared" si="9"/>
        <v>91.388279402714488</v>
      </c>
      <c r="D56" s="4">
        <f t="shared" si="10"/>
        <v>98.592193588371146</v>
      </c>
      <c r="E56" s="4">
        <f t="shared" si="11"/>
        <v>98.977514857639534</v>
      </c>
      <c r="F56" s="4">
        <f t="shared" si="12"/>
        <v>0.38086748699183204</v>
      </c>
      <c r="G56" s="4">
        <f t="shared" si="13"/>
        <v>0</v>
      </c>
      <c r="H56" s="4">
        <f t="shared" si="14"/>
        <v>7.2039141856566573</v>
      </c>
      <c r="I56" s="5">
        <f>vals_co2_excLUC!$R56</f>
        <v>91.007414047948558</v>
      </c>
      <c r="J56" s="5">
        <f>vals_co2_excLUC!$X56</f>
        <v>91.388279402714488</v>
      </c>
      <c r="K56" s="5">
        <f>vals_co2_excLUC!$AD56</f>
        <v>91.007411915722656</v>
      </c>
      <c r="L56" s="5"/>
      <c r="M56" s="5">
        <f>vals_co2_excLUC!$S56</f>
        <v>98.592193588371146</v>
      </c>
      <c r="N56" s="5">
        <f>vals_co2_excLUC!$Y56</f>
        <v>98.977514857639534</v>
      </c>
      <c r="O56" s="5">
        <f>vals_co2_excLUC!$AE56</f>
        <v>98.592193588371146</v>
      </c>
      <c r="P56" s="5"/>
      <c r="Q56" s="9">
        <f t="shared" si="15"/>
        <v>0.38532126926838828</v>
      </c>
      <c r="R56" s="9">
        <v>90.977000000000004</v>
      </c>
      <c r="S56" s="9">
        <v>98.585999999999999</v>
      </c>
    </row>
    <row r="57" spans="1:19" x14ac:dyDescent="0.35">
      <c r="A57" s="6">
        <f>vals_co2_excLUC!$A57</f>
        <v>1904</v>
      </c>
      <c r="B57" s="7">
        <f t="shared" si="8"/>
        <v>90.895053204436451</v>
      </c>
      <c r="C57" s="7">
        <f t="shared" si="9"/>
        <v>91.263037011972159</v>
      </c>
      <c r="D57" s="7">
        <f t="shared" si="10"/>
        <v>98.535727094025432</v>
      </c>
      <c r="E57" s="7">
        <f t="shared" si="11"/>
        <v>98.907555196239628</v>
      </c>
      <c r="F57" s="7">
        <f t="shared" si="12"/>
        <v>0.36798380753570825</v>
      </c>
      <c r="G57" s="7">
        <f t="shared" si="13"/>
        <v>0</v>
      </c>
      <c r="H57" s="7">
        <f t="shared" si="14"/>
        <v>7.2726900820532734</v>
      </c>
      <c r="I57" s="8">
        <f>vals_co2_excLUC!$R57</f>
        <v>90.895055237386472</v>
      </c>
      <c r="J57" s="8">
        <f>vals_co2_excLUC!$X57</f>
        <v>91.263037011972159</v>
      </c>
      <c r="K57" s="8">
        <f>vals_co2_excLUC!$AD57</f>
        <v>90.895053204436451</v>
      </c>
      <c r="L57" s="8"/>
      <c r="M57" s="8">
        <f>vals_co2_excLUC!$S57</f>
        <v>98.535727094025432</v>
      </c>
      <c r="N57" s="8">
        <f>vals_co2_excLUC!$Y57</f>
        <v>98.907555196239628</v>
      </c>
      <c r="O57" s="8">
        <f>vals_co2_excLUC!$AE57</f>
        <v>98.535727094025432</v>
      </c>
      <c r="P57" s="8"/>
      <c r="Q57" s="9">
        <f t="shared" si="15"/>
        <v>0.37182810221419516</v>
      </c>
      <c r="R57" s="9">
        <v>90.864999999999995</v>
      </c>
      <c r="S57" s="9">
        <v>98.53</v>
      </c>
    </row>
    <row r="58" spans="1:19" x14ac:dyDescent="0.35">
      <c r="A58" s="3">
        <f>vals_co2_excLUC!$A58</f>
        <v>1905</v>
      </c>
      <c r="B58" s="4">
        <f t="shared" si="8"/>
        <v>90.811372853842144</v>
      </c>
      <c r="C58" s="4">
        <f t="shared" si="9"/>
        <v>91.170650201454734</v>
      </c>
      <c r="D58" s="4">
        <f t="shared" si="10"/>
        <v>98.481161364327832</v>
      </c>
      <c r="E58" s="4">
        <f t="shared" si="11"/>
        <v>98.843170494565726</v>
      </c>
      <c r="F58" s="4">
        <f t="shared" si="12"/>
        <v>0.35927734761258989</v>
      </c>
      <c r="G58" s="4">
        <f t="shared" si="13"/>
        <v>0</v>
      </c>
      <c r="H58" s="4">
        <f t="shared" si="14"/>
        <v>7.3105111628730981</v>
      </c>
      <c r="I58" s="5">
        <f>vals_co2_excLUC!$R58</f>
        <v>90.811374790694117</v>
      </c>
      <c r="J58" s="5">
        <f>vals_co2_excLUC!$X58</f>
        <v>91.170650201454734</v>
      </c>
      <c r="K58" s="5">
        <f>vals_co2_excLUC!$AD58</f>
        <v>90.811372853842144</v>
      </c>
      <c r="L58" s="5"/>
      <c r="M58" s="5">
        <f>vals_co2_excLUC!$S58</f>
        <v>98.481161364327832</v>
      </c>
      <c r="N58" s="5">
        <f>vals_co2_excLUC!$Y58</f>
        <v>98.843170494565726</v>
      </c>
      <c r="O58" s="5">
        <f>vals_co2_excLUC!$AE58</f>
        <v>98.481161364327832</v>
      </c>
      <c r="P58" s="5"/>
      <c r="Q58" s="9">
        <f t="shared" si="15"/>
        <v>0.36200913023789383</v>
      </c>
      <c r="R58" s="9">
        <v>90.783000000000001</v>
      </c>
      <c r="S58" s="9">
        <v>98.475999999999999</v>
      </c>
    </row>
    <row r="59" spans="1:19" x14ac:dyDescent="0.35">
      <c r="A59" s="6">
        <f>vals_co2_excLUC!$A59</f>
        <v>1906</v>
      </c>
      <c r="B59" s="7">
        <f t="shared" si="8"/>
        <v>90.706039131289444</v>
      </c>
      <c r="C59" s="7">
        <f t="shared" si="9"/>
        <v>91.031607200220392</v>
      </c>
      <c r="D59" s="7">
        <f t="shared" si="10"/>
        <v>98.41741334074085</v>
      </c>
      <c r="E59" s="7">
        <f t="shared" si="11"/>
        <v>98.742352809758415</v>
      </c>
      <c r="F59" s="7">
        <f t="shared" si="12"/>
        <v>0.32556806893094858</v>
      </c>
      <c r="G59" s="7">
        <f t="shared" si="13"/>
        <v>0</v>
      </c>
      <c r="H59" s="7">
        <f t="shared" si="14"/>
        <v>7.385806140520458</v>
      </c>
      <c r="I59" s="8">
        <f>vals_co2_excLUC!$R59</f>
        <v>90.706040977017935</v>
      </c>
      <c r="J59" s="8">
        <f>vals_co2_excLUC!$X59</f>
        <v>91.031607200220392</v>
      </c>
      <c r="K59" s="8">
        <f>vals_co2_excLUC!$AD59</f>
        <v>90.706039131289444</v>
      </c>
      <c r="L59" s="8"/>
      <c r="M59" s="8">
        <f>vals_co2_excLUC!$S59</f>
        <v>98.41741334074085</v>
      </c>
      <c r="N59" s="8">
        <f>vals_co2_excLUC!$Y59</f>
        <v>98.742352809758415</v>
      </c>
      <c r="O59" s="8">
        <f>vals_co2_excLUC!$AE59</f>
        <v>98.41741334074085</v>
      </c>
      <c r="P59" s="8"/>
      <c r="Q59" s="9">
        <f t="shared" si="15"/>
        <v>0.32493946901756487</v>
      </c>
      <c r="R59" s="9">
        <v>90.677999999999997</v>
      </c>
      <c r="S59" s="9">
        <v>98.412000000000006</v>
      </c>
    </row>
    <row r="60" spans="1:19" x14ac:dyDescent="0.35">
      <c r="A60" s="3">
        <f>vals_co2_excLUC!$A60</f>
        <v>1907</v>
      </c>
      <c r="B60" s="4">
        <f t="shared" si="8"/>
        <v>90.581429690254041</v>
      </c>
      <c r="C60" s="4">
        <f t="shared" si="9"/>
        <v>90.909999085047971</v>
      </c>
      <c r="D60" s="4">
        <f t="shared" si="10"/>
        <v>98.319384878090133</v>
      </c>
      <c r="E60" s="4">
        <f t="shared" si="11"/>
        <v>98.646853144462682</v>
      </c>
      <c r="F60" s="4">
        <f t="shared" si="12"/>
        <v>0.32856939479393077</v>
      </c>
      <c r="G60" s="4">
        <f t="shared" si="13"/>
        <v>0</v>
      </c>
      <c r="H60" s="4">
        <f t="shared" si="14"/>
        <v>7.409385793042162</v>
      </c>
      <c r="I60" s="5">
        <f>vals_co2_excLUC!$R60</f>
        <v>90.581431442055361</v>
      </c>
      <c r="J60" s="5">
        <f>vals_co2_excLUC!$X60</f>
        <v>90.909999085047971</v>
      </c>
      <c r="K60" s="5">
        <f>vals_co2_excLUC!$AD60</f>
        <v>90.581429690254041</v>
      </c>
      <c r="L60" s="5"/>
      <c r="M60" s="5">
        <f>vals_co2_excLUC!$S60</f>
        <v>98.319384878090133</v>
      </c>
      <c r="N60" s="5">
        <f>vals_co2_excLUC!$Y60</f>
        <v>98.646853144462682</v>
      </c>
      <c r="O60" s="5">
        <f>vals_co2_excLUC!$AE60</f>
        <v>98.319384878090133</v>
      </c>
      <c r="P60" s="5"/>
      <c r="Q60" s="9">
        <f t="shared" si="15"/>
        <v>0.32746826637254856</v>
      </c>
      <c r="R60" s="9">
        <v>90.555000000000007</v>
      </c>
      <c r="S60" s="9">
        <v>98.313999999999993</v>
      </c>
    </row>
    <row r="61" spans="1:19" x14ac:dyDescent="0.35">
      <c r="A61" s="6">
        <f>vals_co2_excLUC!$A61</f>
        <v>1908</v>
      </c>
      <c r="B61" s="7">
        <f t="shared" si="8"/>
        <v>90.424578786419474</v>
      </c>
      <c r="C61" s="7">
        <f t="shared" si="9"/>
        <v>90.748458942569968</v>
      </c>
      <c r="D61" s="7">
        <f t="shared" si="10"/>
        <v>98.214309752663638</v>
      </c>
      <c r="E61" s="7">
        <f t="shared" si="11"/>
        <v>98.534965283559359</v>
      </c>
      <c r="F61" s="7">
        <f t="shared" si="12"/>
        <v>0.32388015615049426</v>
      </c>
      <c r="G61" s="7">
        <f t="shared" si="13"/>
        <v>0</v>
      </c>
      <c r="H61" s="7">
        <f t="shared" si="14"/>
        <v>7.46585081009367</v>
      </c>
      <c r="I61" s="8">
        <f>vals_co2_excLUC!$R61</f>
        <v>90.424580456579733</v>
      </c>
      <c r="J61" s="8">
        <f>vals_co2_excLUC!$X61</f>
        <v>90.748458942569968</v>
      </c>
      <c r="K61" s="8">
        <f>vals_co2_excLUC!$AD61</f>
        <v>90.424578786419474</v>
      </c>
      <c r="L61" s="8"/>
      <c r="M61" s="8">
        <f>vals_co2_excLUC!$S61</f>
        <v>98.214309752663638</v>
      </c>
      <c r="N61" s="8">
        <f>vals_co2_excLUC!$Y61</f>
        <v>98.534965283559359</v>
      </c>
      <c r="O61" s="8">
        <f>vals_co2_excLUC!$AE61</f>
        <v>98.214309752663638</v>
      </c>
      <c r="P61" s="8"/>
      <c r="Q61" s="9">
        <f t="shared" si="15"/>
        <v>0.32065553089572063</v>
      </c>
      <c r="R61" s="9">
        <v>90.399000000000001</v>
      </c>
      <c r="S61" s="9">
        <v>98.209000000000003</v>
      </c>
    </row>
    <row r="62" spans="1:19" x14ac:dyDescent="0.35">
      <c r="A62" s="3">
        <f>vals_co2_excLUC!$A62</f>
        <v>1909</v>
      </c>
      <c r="B62" s="4">
        <f t="shared" si="8"/>
        <v>90.279447454721065</v>
      </c>
      <c r="C62" s="4">
        <f t="shared" si="9"/>
        <v>90.604156842731783</v>
      </c>
      <c r="D62" s="4">
        <f t="shared" si="10"/>
        <v>98.115213843290562</v>
      </c>
      <c r="E62" s="4">
        <f t="shared" si="11"/>
        <v>98.436091187127317</v>
      </c>
      <c r="F62" s="4">
        <f t="shared" si="12"/>
        <v>0.32470938801071725</v>
      </c>
      <c r="G62" s="4">
        <f t="shared" si="13"/>
        <v>0</v>
      </c>
      <c r="H62" s="4">
        <f t="shared" si="14"/>
        <v>7.5110570005587789</v>
      </c>
      <c r="I62" s="5">
        <f>vals_co2_excLUC!$R62</f>
        <v>90.279448892713091</v>
      </c>
      <c r="J62" s="5">
        <f>vals_co2_excLUC!$X62</f>
        <v>90.604156842731783</v>
      </c>
      <c r="K62" s="5">
        <f>vals_co2_excLUC!$AD62</f>
        <v>90.279447454721065</v>
      </c>
      <c r="L62" s="5"/>
      <c r="M62" s="5">
        <f>vals_co2_excLUC!$S62</f>
        <v>98.115213843290562</v>
      </c>
      <c r="N62" s="5">
        <f>vals_co2_excLUC!$Y62</f>
        <v>98.436091187127317</v>
      </c>
      <c r="O62" s="5">
        <f>vals_co2_excLUC!$AE62</f>
        <v>98.115213873311873</v>
      </c>
      <c r="P62" s="5"/>
      <c r="Q62" s="9">
        <f t="shared" si="15"/>
        <v>0.32087734383675581</v>
      </c>
      <c r="R62" s="9">
        <v>90.254000000000005</v>
      </c>
      <c r="S62" s="9">
        <v>98.108999999999995</v>
      </c>
    </row>
    <row r="63" spans="1:19" x14ac:dyDescent="0.35">
      <c r="A63" s="6">
        <f>vals_co2_excLUC!$A63</f>
        <v>1910</v>
      </c>
      <c r="B63" s="7">
        <f t="shared" si="8"/>
        <v>90.16562173472218</v>
      </c>
      <c r="C63" s="7">
        <f t="shared" si="9"/>
        <v>90.491860938137805</v>
      </c>
      <c r="D63" s="7">
        <f t="shared" si="10"/>
        <v>98.020952706225387</v>
      </c>
      <c r="E63" s="7">
        <f t="shared" si="11"/>
        <v>98.342637088753676</v>
      </c>
      <c r="F63" s="7">
        <f t="shared" si="12"/>
        <v>0.32623920341562496</v>
      </c>
      <c r="G63" s="7">
        <f t="shared" si="13"/>
        <v>0</v>
      </c>
      <c r="H63" s="7">
        <f t="shared" si="14"/>
        <v>7.5290917680875822</v>
      </c>
      <c r="I63" s="8">
        <f>vals_co2_excLUC!$R63</f>
        <v>90.165623104356825</v>
      </c>
      <c r="J63" s="8">
        <f>vals_co2_excLUC!$X63</f>
        <v>90.491860938137805</v>
      </c>
      <c r="K63" s="8">
        <f>vals_co2_excLUC!$AD63</f>
        <v>90.16562173472218</v>
      </c>
      <c r="L63" s="8"/>
      <c r="M63" s="8">
        <f>vals_co2_excLUC!$S63</f>
        <v>98.020952706225387</v>
      </c>
      <c r="N63" s="8">
        <f>vals_co2_excLUC!$Y63</f>
        <v>98.342637088753676</v>
      </c>
      <c r="O63" s="8">
        <f>vals_co2_excLUC!$AE63</f>
        <v>98.020952736287541</v>
      </c>
      <c r="P63" s="8"/>
      <c r="Q63" s="9">
        <f t="shared" si="15"/>
        <v>0.32168438252828935</v>
      </c>
      <c r="R63" s="9">
        <v>90.141000000000005</v>
      </c>
      <c r="S63" s="9">
        <v>98.015000000000001</v>
      </c>
    </row>
    <row r="64" spans="1:19" x14ac:dyDescent="0.35">
      <c r="A64" s="3">
        <f>vals_co2_excLUC!$A64</f>
        <v>1911</v>
      </c>
      <c r="B64" s="4">
        <f t="shared" si="8"/>
        <v>90.040088446842333</v>
      </c>
      <c r="C64" s="4">
        <f t="shared" si="9"/>
        <v>90.357329026509561</v>
      </c>
      <c r="D64" s="4">
        <f t="shared" si="10"/>
        <v>97.923444072991842</v>
      </c>
      <c r="E64" s="4">
        <f t="shared" si="11"/>
        <v>98.234154241603122</v>
      </c>
      <c r="F64" s="4">
        <f t="shared" si="12"/>
        <v>0.31724057966722796</v>
      </c>
      <c r="G64" s="4">
        <f t="shared" si="13"/>
        <v>0</v>
      </c>
      <c r="H64" s="4">
        <f t="shared" si="14"/>
        <v>7.5661150464822811</v>
      </c>
      <c r="I64" s="5">
        <f>vals_co2_excLUC!$R64</f>
        <v>90.040089753113662</v>
      </c>
      <c r="J64" s="5">
        <f>vals_co2_excLUC!$X64</f>
        <v>90.357329026509561</v>
      </c>
      <c r="K64" s="5">
        <f>vals_co2_excLUC!$AD64</f>
        <v>90.040088446842333</v>
      </c>
      <c r="L64" s="5"/>
      <c r="M64" s="5">
        <f>vals_co2_excLUC!$S64</f>
        <v>97.923444072991842</v>
      </c>
      <c r="N64" s="5">
        <f>vals_co2_excLUC!$Y64</f>
        <v>98.234154241603122</v>
      </c>
      <c r="O64" s="5">
        <f>vals_co2_excLUC!$AE64</f>
        <v>97.923444103117802</v>
      </c>
      <c r="P64" s="5"/>
      <c r="Q64" s="9">
        <f t="shared" si="15"/>
        <v>0.31071016861127987</v>
      </c>
      <c r="R64" s="9">
        <v>90.016999999999996</v>
      </c>
      <c r="S64" s="9">
        <v>97.918000000000006</v>
      </c>
    </row>
    <row r="65" spans="1:19" x14ac:dyDescent="0.35">
      <c r="A65" s="6">
        <f>vals_co2_excLUC!$A65</f>
        <v>1912</v>
      </c>
      <c r="B65" s="7">
        <f t="shared" si="8"/>
        <v>89.911046248206745</v>
      </c>
      <c r="C65" s="7">
        <f t="shared" si="9"/>
        <v>90.232486647541648</v>
      </c>
      <c r="D65" s="7">
        <f t="shared" si="10"/>
        <v>97.839757702553129</v>
      </c>
      <c r="E65" s="7">
        <f t="shared" si="11"/>
        <v>98.152838091765915</v>
      </c>
      <c r="F65" s="7">
        <f t="shared" si="12"/>
        <v>0.32144039933490376</v>
      </c>
      <c r="G65" s="7">
        <f t="shared" si="13"/>
        <v>0</v>
      </c>
      <c r="H65" s="7">
        <f t="shared" si="14"/>
        <v>7.6072710550114806</v>
      </c>
      <c r="I65" s="8">
        <f>vals_co2_excLUC!$R65</f>
        <v>89.911047493805128</v>
      </c>
      <c r="J65" s="8">
        <f>vals_co2_excLUC!$X65</f>
        <v>90.232486647541648</v>
      </c>
      <c r="K65" s="8">
        <f>vals_co2_excLUC!$AD65</f>
        <v>89.911046248206745</v>
      </c>
      <c r="L65" s="8"/>
      <c r="M65" s="8">
        <f>vals_co2_excLUC!$S65</f>
        <v>97.839757702553129</v>
      </c>
      <c r="N65" s="8">
        <f>vals_co2_excLUC!$Y65</f>
        <v>98.152838091765915</v>
      </c>
      <c r="O65" s="8">
        <f>vals_co2_excLUC!$AE65</f>
        <v>97.839757732480422</v>
      </c>
      <c r="P65" s="8"/>
      <c r="Q65" s="9">
        <f t="shared" si="15"/>
        <v>0.3130803892127858</v>
      </c>
      <c r="R65" s="9">
        <v>89.888000000000005</v>
      </c>
      <c r="S65" s="9">
        <v>97.834000000000003</v>
      </c>
    </row>
    <row r="66" spans="1:19" x14ac:dyDescent="0.35">
      <c r="A66" s="3">
        <f>vals_co2_excLUC!$A66</f>
        <v>1913</v>
      </c>
      <c r="B66" s="4">
        <f t="shared" si="8"/>
        <v>89.77819608162217</v>
      </c>
      <c r="C66" s="4">
        <f t="shared" si="9"/>
        <v>90.108898438075357</v>
      </c>
      <c r="D66" s="4">
        <f t="shared" si="10"/>
        <v>97.744691238135644</v>
      </c>
      <c r="E66" s="4">
        <f t="shared" si="11"/>
        <v>98.065564583424504</v>
      </c>
      <c r="F66" s="4">
        <f t="shared" si="12"/>
        <v>0.33070235645318746</v>
      </c>
      <c r="G66" s="4">
        <f t="shared" si="13"/>
        <v>0</v>
      </c>
      <c r="H66" s="4">
        <f t="shared" si="14"/>
        <v>7.6357928000602868</v>
      </c>
      <c r="I66" s="5">
        <f>vals_co2_excLUC!$R66</f>
        <v>89.77819608162217</v>
      </c>
      <c r="J66" s="5">
        <f>vals_co2_excLUC!$X66</f>
        <v>90.108898438075357</v>
      </c>
      <c r="K66" s="5">
        <f>vals_co2_excLUC!$AD66</f>
        <v>89.778196216638577</v>
      </c>
      <c r="L66" s="5"/>
      <c r="M66" s="5">
        <f>vals_co2_excLUC!$S66</f>
        <v>97.744691238135644</v>
      </c>
      <c r="N66" s="5">
        <f>vals_co2_excLUC!$Y66</f>
        <v>98.065564583424504</v>
      </c>
      <c r="O66" s="5">
        <f>vals_co2_excLUC!$AE66</f>
        <v>97.744691267925276</v>
      </c>
      <c r="P66" s="5"/>
      <c r="Q66" s="9">
        <f t="shared" si="15"/>
        <v>0.32087334528885947</v>
      </c>
      <c r="R66" s="9">
        <v>89.756</v>
      </c>
      <c r="S66" s="9">
        <v>97.739000000000004</v>
      </c>
    </row>
    <row r="67" spans="1:19" x14ac:dyDescent="0.35">
      <c r="A67" s="6">
        <f>vals_co2_excLUC!$A67</f>
        <v>1914</v>
      </c>
      <c r="B67" s="7">
        <f t="shared" ref="B67:B98" si="16">IFERROR(_xlfn.AGGREGATE(5,6,I67:L67),"")</f>
        <v>89.672660790531879</v>
      </c>
      <c r="C67" s="7">
        <f t="shared" ref="C67:C98" si="17">IFERROR(_xlfn.AGGREGATE(4,6,I67:L67),"")</f>
        <v>90.006472124516222</v>
      </c>
      <c r="D67" s="7">
        <f t="shared" ref="D67:D98" si="18">IFERROR(_xlfn.AGGREGATE(5,6,M67:P67),"")</f>
        <v>97.657518901381025</v>
      </c>
      <c r="E67" s="7">
        <f t="shared" ref="E67:E98" si="19">IFERROR(_xlfn.AGGREGATE(4,6,M67:P67),"")</f>
        <v>97.981189122508596</v>
      </c>
      <c r="F67" s="7">
        <f t="shared" ref="F67:F98" si="20">IFERROR(MIN(C67,D67)-B67,"")</f>
        <v>0.33381133398434315</v>
      </c>
      <c r="G67" s="7">
        <f t="shared" ref="G67:G98" si="21">IFERROR(MAX(0,C67-D67),"")</f>
        <v>0</v>
      </c>
      <c r="H67" s="7">
        <f t="shared" ref="H67:H98" si="22">IFERROR(MAX(0,D67-C67),"")</f>
        <v>7.6510467768648027</v>
      </c>
      <c r="I67" s="8">
        <f>vals_co2_excLUC!$R67</f>
        <v>89.672660790531879</v>
      </c>
      <c r="J67" s="8">
        <f>vals_co2_excLUC!$X67</f>
        <v>90.006472124516222</v>
      </c>
      <c r="K67" s="8">
        <f>vals_co2_excLUC!$AD67</f>
        <v>89.672660921414064</v>
      </c>
      <c r="L67" s="8"/>
      <c r="M67" s="8">
        <f>vals_co2_excLUC!$S67</f>
        <v>97.657518901381025</v>
      </c>
      <c r="N67" s="8">
        <f>vals_co2_excLUC!$Y67</f>
        <v>97.981189122508596</v>
      </c>
      <c r="O67" s="8">
        <f>vals_co2_excLUC!$AE67</f>
        <v>97.657518931068154</v>
      </c>
      <c r="P67" s="8"/>
      <c r="Q67" s="9">
        <f t="shared" ref="Q67:Q98" si="23">IFERROR(MAX(0,$E67-MAX($C67,$D67)),"")</f>
        <v>0.32367022112757127</v>
      </c>
      <c r="R67" s="9">
        <v>89.650999999999996</v>
      </c>
      <c r="S67" s="9">
        <v>97.652000000000001</v>
      </c>
    </row>
    <row r="68" spans="1:19" x14ac:dyDescent="0.35">
      <c r="A68" s="3">
        <f>vals_co2_excLUC!$A68</f>
        <v>1915</v>
      </c>
      <c r="B68" s="4">
        <f t="shared" si="16"/>
        <v>89.586213359943571</v>
      </c>
      <c r="C68" s="4">
        <f t="shared" si="17"/>
        <v>89.917010144151789</v>
      </c>
      <c r="D68" s="4">
        <f t="shared" si="18"/>
        <v>97.578531555699414</v>
      </c>
      <c r="E68" s="4">
        <f t="shared" si="19"/>
        <v>97.898623389820074</v>
      </c>
      <c r="F68" s="4">
        <f t="shared" si="20"/>
        <v>0.33079678420821779</v>
      </c>
      <c r="G68" s="4">
        <f t="shared" si="21"/>
        <v>0</v>
      </c>
      <c r="H68" s="4">
        <f t="shared" si="22"/>
        <v>7.6615214115476249</v>
      </c>
      <c r="I68" s="5">
        <f>vals_co2_excLUC!$R68</f>
        <v>89.586213359943571</v>
      </c>
      <c r="J68" s="5">
        <f>vals_co2_excLUC!$X68</f>
        <v>89.917010144151789</v>
      </c>
      <c r="K68" s="5">
        <f>vals_co2_excLUC!$AD68</f>
        <v>89.586213486857943</v>
      </c>
      <c r="L68" s="5"/>
      <c r="M68" s="5">
        <f>vals_co2_excLUC!$S68</f>
        <v>97.578531555699414</v>
      </c>
      <c r="N68" s="5">
        <f>vals_co2_excLUC!$Y68</f>
        <v>97.898623389820074</v>
      </c>
      <c r="O68" s="5">
        <f>vals_co2_excLUC!$AE68</f>
        <v>97.5785315852102</v>
      </c>
      <c r="P68" s="5"/>
      <c r="Q68" s="9">
        <f t="shared" si="23"/>
        <v>0.32009183412066022</v>
      </c>
      <c r="R68" s="9">
        <v>89.564999999999998</v>
      </c>
      <c r="S68" s="9">
        <v>97.572999999999993</v>
      </c>
    </row>
    <row r="69" spans="1:19" x14ac:dyDescent="0.35">
      <c r="A69" s="6">
        <f>vals_co2_excLUC!$A69</f>
        <v>1916</v>
      </c>
      <c r="B69" s="7">
        <f t="shared" si="16"/>
        <v>89.496296902731345</v>
      </c>
      <c r="C69" s="7">
        <f t="shared" si="17"/>
        <v>89.826472984955814</v>
      </c>
      <c r="D69" s="7">
        <f t="shared" si="18"/>
        <v>97.496478567992796</v>
      </c>
      <c r="E69" s="7">
        <f t="shared" si="19"/>
        <v>97.816888994470645</v>
      </c>
      <c r="F69" s="7">
        <f t="shared" si="20"/>
        <v>0.33017608222446881</v>
      </c>
      <c r="G69" s="7">
        <f t="shared" si="21"/>
        <v>0</v>
      </c>
      <c r="H69" s="7">
        <f t="shared" si="22"/>
        <v>7.670005583036982</v>
      </c>
      <c r="I69" s="8">
        <f>vals_co2_excLUC!$R69</f>
        <v>89.496296902731345</v>
      </c>
      <c r="J69" s="8">
        <f>vals_co2_excLUC!$X69</f>
        <v>89.826472984955814</v>
      </c>
      <c r="K69" s="8">
        <f>vals_co2_excLUC!$AD69</f>
        <v>89.496297025647991</v>
      </c>
      <c r="L69" s="8"/>
      <c r="M69" s="8">
        <f>vals_co2_excLUC!$S69</f>
        <v>97.496478567992796</v>
      </c>
      <c r="N69" s="8">
        <f>vals_co2_excLUC!$Y69</f>
        <v>97.816888994470645</v>
      </c>
      <c r="O69" s="8">
        <f>vals_co2_excLUC!$AE69</f>
        <v>97.496478597289553</v>
      </c>
      <c r="P69" s="8"/>
      <c r="Q69" s="9">
        <f t="shared" si="23"/>
        <v>0.32041042647784934</v>
      </c>
      <c r="R69" s="9">
        <v>89.475999999999999</v>
      </c>
      <c r="S69" s="9">
        <v>97.491</v>
      </c>
    </row>
    <row r="70" spans="1:19" x14ac:dyDescent="0.35">
      <c r="A70" s="3">
        <f>vals_co2_excLUC!$A70</f>
        <v>1917</v>
      </c>
      <c r="B70" s="4">
        <f t="shared" si="16"/>
        <v>89.416327558238436</v>
      </c>
      <c r="C70" s="4">
        <f t="shared" si="17"/>
        <v>89.746155483879647</v>
      </c>
      <c r="D70" s="4">
        <f t="shared" si="18"/>
        <v>97.410361287117439</v>
      </c>
      <c r="E70" s="4">
        <f t="shared" si="19"/>
        <v>97.733236730105716</v>
      </c>
      <c r="F70" s="4">
        <f t="shared" si="20"/>
        <v>0.32982792564121155</v>
      </c>
      <c r="G70" s="4">
        <f t="shared" si="21"/>
        <v>0</v>
      </c>
      <c r="H70" s="4">
        <f t="shared" si="22"/>
        <v>7.6642058032377918</v>
      </c>
      <c r="I70" s="5">
        <f>vals_co2_excLUC!$R70</f>
        <v>89.416327558238436</v>
      </c>
      <c r="J70" s="5">
        <f>vals_co2_excLUC!$X70</f>
        <v>89.746155483879647</v>
      </c>
      <c r="K70" s="5">
        <f>vals_co2_excLUC!$AD70</f>
        <v>89.416327677142249</v>
      </c>
      <c r="L70" s="5"/>
      <c r="M70" s="5">
        <f>vals_co2_excLUC!$S70</f>
        <v>97.410361287117439</v>
      </c>
      <c r="N70" s="5">
        <f>vals_co2_excLUC!$Y70</f>
        <v>97.733236730105716</v>
      </c>
      <c r="O70" s="5">
        <f>vals_co2_excLUC!$AE70</f>
        <v>97.410361316211109</v>
      </c>
      <c r="P70" s="5"/>
      <c r="Q70" s="9">
        <f t="shared" si="23"/>
        <v>0.32287544298827697</v>
      </c>
      <c r="R70" s="9">
        <v>89.397000000000006</v>
      </c>
      <c r="S70" s="9">
        <v>97.405000000000001</v>
      </c>
    </row>
    <row r="71" spans="1:19" x14ac:dyDescent="0.35">
      <c r="A71" s="6">
        <f>vals_co2_excLUC!$A71</f>
        <v>1918</v>
      </c>
      <c r="B71" s="7">
        <f t="shared" si="16"/>
        <v>89.419166568801188</v>
      </c>
      <c r="C71" s="7">
        <f t="shared" si="17"/>
        <v>89.75202243076869</v>
      </c>
      <c r="D71" s="7">
        <f t="shared" si="18"/>
        <v>97.326015139685154</v>
      </c>
      <c r="E71" s="7">
        <f t="shared" si="19"/>
        <v>97.652999279832159</v>
      </c>
      <c r="F71" s="7">
        <f t="shared" si="20"/>
        <v>0.33285586196750216</v>
      </c>
      <c r="G71" s="7">
        <f t="shared" si="21"/>
        <v>0</v>
      </c>
      <c r="H71" s="7">
        <f t="shared" si="22"/>
        <v>7.5739927089164638</v>
      </c>
      <c r="I71" s="8">
        <f>vals_co2_excLUC!$R71</f>
        <v>89.419166568801188</v>
      </c>
      <c r="J71" s="8">
        <f>vals_co2_excLUC!$X71</f>
        <v>89.75202243076869</v>
      </c>
      <c r="K71" s="8">
        <f>vals_co2_excLUC!$AD71</f>
        <v>89.419166683168228</v>
      </c>
      <c r="L71" s="8"/>
      <c r="M71" s="8">
        <f>vals_co2_excLUC!$S71</f>
        <v>97.326015139685154</v>
      </c>
      <c r="N71" s="8">
        <f>vals_co2_excLUC!$Y71</f>
        <v>97.652999279832159</v>
      </c>
      <c r="O71" s="8">
        <f>vals_co2_excLUC!$AE71</f>
        <v>97.326015168587958</v>
      </c>
      <c r="P71" s="8"/>
      <c r="Q71" s="9">
        <f t="shared" si="23"/>
        <v>0.32698414014700461</v>
      </c>
      <c r="R71" s="9">
        <v>89.4</v>
      </c>
      <c r="S71" s="9">
        <v>97.32</v>
      </c>
    </row>
    <row r="72" spans="1:19" x14ac:dyDescent="0.35">
      <c r="A72" s="3">
        <f>vals_co2_excLUC!$A72</f>
        <v>1919</v>
      </c>
      <c r="B72" s="4">
        <f t="shared" si="16"/>
        <v>89.462572969626024</v>
      </c>
      <c r="C72" s="4">
        <f t="shared" si="17"/>
        <v>89.79813146330352</v>
      </c>
      <c r="D72" s="4">
        <f t="shared" si="18"/>
        <v>97.211466285956547</v>
      </c>
      <c r="E72" s="4">
        <f t="shared" si="19"/>
        <v>97.544748713498436</v>
      </c>
      <c r="F72" s="4">
        <f t="shared" si="20"/>
        <v>0.33555849367749602</v>
      </c>
      <c r="G72" s="4">
        <f t="shared" si="21"/>
        <v>0</v>
      </c>
      <c r="H72" s="4">
        <f t="shared" si="22"/>
        <v>7.4133348226530273</v>
      </c>
      <c r="I72" s="5">
        <f>vals_co2_excLUC!$R72</f>
        <v>89.462572969626024</v>
      </c>
      <c r="J72" s="5">
        <f>vals_co2_excLUC!$X72</f>
        <v>89.79813146330352</v>
      </c>
      <c r="K72" s="5">
        <f>vals_co2_excLUC!$AD72</f>
        <v>89.462573079899101</v>
      </c>
      <c r="L72" s="5"/>
      <c r="M72" s="5">
        <f>vals_co2_excLUC!$S72</f>
        <v>97.211466285956547</v>
      </c>
      <c r="N72" s="5">
        <f>vals_co2_excLUC!$Y72</f>
        <v>97.544748713498436</v>
      </c>
      <c r="O72" s="5">
        <f>vals_co2_excLUC!$AE72</f>
        <v>97.211466315138267</v>
      </c>
      <c r="P72" s="5"/>
      <c r="Q72" s="9">
        <f t="shared" si="23"/>
        <v>0.33328242754188864</v>
      </c>
      <c r="R72" s="9">
        <v>89.444000000000003</v>
      </c>
      <c r="S72" s="9">
        <v>97.206000000000003</v>
      </c>
    </row>
    <row r="73" spans="1:19" x14ac:dyDescent="0.35">
      <c r="A73" s="6">
        <f>vals_co2_excLUC!$A73</f>
        <v>1920</v>
      </c>
      <c r="B73" s="7">
        <f t="shared" si="16"/>
        <v>89.443928007744091</v>
      </c>
      <c r="C73" s="7">
        <f t="shared" si="17"/>
        <v>89.787000888574482</v>
      </c>
      <c r="D73" s="7">
        <f t="shared" si="18"/>
        <v>97.07985703873311</v>
      </c>
      <c r="E73" s="7">
        <f t="shared" si="19"/>
        <v>97.422658759414844</v>
      </c>
      <c r="F73" s="7">
        <f t="shared" si="20"/>
        <v>0.34307288083039111</v>
      </c>
      <c r="G73" s="7">
        <f t="shared" si="21"/>
        <v>0</v>
      </c>
      <c r="H73" s="7">
        <f t="shared" si="22"/>
        <v>7.2928561501586273</v>
      </c>
      <c r="I73" s="8">
        <f>vals_co2_excLUC!$R73</f>
        <v>89.443928007744091</v>
      </c>
      <c r="J73" s="8">
        <f>vals_co2_excLUC!$X73</f>
        <v>89.787000888574482</v>
      </c>
      <c r="K73" s="8">
        <f>vals_co2_excLUC!$AD73</f>
        <v>89.443928114258824</v>
      </c>
      <c r="L73" s="8"/>
      <c r="M73" s="8">
        <f>vals_co2_excLUC!$S73</f>
        <v>97.07985703873311</v>
      </c>
      <c r="N73" s="8">
        <f>vals_co2_excLUC!$Y73</f>
        <v>97.422658759414844</v>
      </c>
      <c r="O73" s="8">
        <f>vals_co2_excLUC!$AE73</f>
        <v>97.07985706819845</v>
      </c>
      <c r="P73" s="8"/>
      <c r="Q73" s="9">
        <f t="shared" si="23"/>
        <v>0.34280172068173442</v>
      </c>
      <c r="R73" s="9">
        <v>89.426000000000002</v>
      </c>
      <c r="S73" s="9">
        <v>97.073999999999998</v>
      </c>
    </row>
    <row r="74" spans="1:19" x14ac:dyDescent="0.35">
      <c r="A74" s="3">
        <f>vals_co2_excLUC!$A74</f>
        <v>1921</v>
      </c>
      <c r="B74" s="4">
        <f t="shared" si="16"/>
        <v>89.363877591829038</v>
      </c>
      <c r="C74" s="4">
        <f t="shared" si="17"/>
        <v>89.715319275894885</v>
      </c>
      <c r="D74" s="4">
        <f t="shared" si="18"/>
        <v>96.929299666638357</v>
      </c>
      <c r="E74" s="4">
        <f t="shared" si="19"/>
        <v>97.281697129308881</v>
      </c>
      <c r="F74" s="4">
        <f t="shared" si="20"/>
        <v>0.35144168406584697</v>
      </c>
      <c r="G74" s="4">
        <f t="shared" si="21"/>
        <v>0</v>
      </c>
      <c r="H74" s="4">
        <f t="shared" si="22"/>
        <v>7.2139803907434725</v>
      </c>
      <c r="I74" s="5">
        <f>vals_co2_excLUC!$R74</f>
        <v>89.363877591829038</v>
      </c>
      <c r="J74" s="5">
        <f>vals_co2_excLUC!$X74</f>
        <v>89.715319275894885</v>
      </c>
      <c r="K74" s="5">
        <f>vals_co2_excLUC!$AD74</f>
        <v>89.363877695881001</v>
      </c>
      <c r="L74" s="5"/>
      <c r="M74" s="5">
        <f>vals_co2_excLUC!$S74</f>
        <v>96.929299666638357</v>
      </c>
      <c r="N74" s="5">
        <f>vals_co2_excLUC!$Y74</f>
        <v>97.281697129308881</v>
      </c>
      <c r="O74" s="5">
        <f>vals_co2_excLUC!$AE74</f>
        <v>96.929299696678669</v>
      </c>
      <c r="P74" s="5"/>
      <c r="Q74" s="9">
        <f t="shared" si="23"/>
        <v>0.35239746267052396</v>
      </c>
      <c r="R74" s="9">
        <v>89.346999999999994</v>
      </c>
      <c r="S74" s="9">
        <v>96.923000000000002</v>
      </c>
    </row>
    <row r="75" spans="1:19" x14ac:dyDescent="0.35">
      <c r="A75" s="6">
        <f>vals_co2_excLUC!$A75</f>
        <v>1922</v>
      </c>
      <c r="B75" s="7">
        <f t="shared" si="16"/>
        <v>89.302300783198149</v>
      </c>
      <c r="C75" s="7">
        <f t="shared" si="17"/>
        <v>89.659492877895218</v>
      </c>
      <c r="D75" s="7">
        <f t="shared" si="18"/>
        <v>96.793028503450245</v>
      </c>
      <c r="E75" s="7">
        <f t="shared" si="19"/>
        <v>97.151084072511182</v>
      </c>
      <c r="F75" s="7">
        <f t="shared" si="20"/>
        <v>0.35719209469706925</v>
      </c>
      <c r="G75" s="7">
        <f t="shared" si="21"/>
        <v>0</v>
      </c>
      <c r="H75" s="7">
        <f t="shared" si="22"/>
        <v>7.1335356255550266</v>
      </c>
      <c r="I75" s="8">
        <f>vals_co2_excLUC!$R75</f>
        <v>89.302300783198149</v>
      </c>
      <c r="J75" s="8">
        <f>vals_co2_excLUC!$X75</f>
        <v>89.659492877895218</v>
      </c>
      <c r="K75" s="8">
        <f>vals_co2_excLUC!$AD75</f>
        <v>89.302300884613487</v>
      </c>
      <c r="L75" s="8"/>
      <c r="M75" s="8">
        <f>vals_co2_excLUC!$S75</f>
        <v>96.793028503450245</v>
      </c>
      <c r="N75" s="8">
        <f>vals_co2_excLUC!$Y75</f>
        <v>97.151084072511182</v>
      </c>
      <c r="O75" s="8">
        <f>vals_co2_excLUC!$AE75</f>
        <v>96.793028533852691</v>
      </c>
      <c r="P75" s="8"/>
      <c r="Q75" s="9">
        <f t="shared" si="23"/>
        <v>0.35805556906093727</v>
      </c>
      <c r="R75" s="9">
        <v>89.286000000000001</v>
      </c>
      <c r="S75" s="9">
        <v>96.787000000000006</v>
      </c>
    </row>
    <row r="76" spans="1:19" x14ac:dyDescent="0.35">
      <c r="A76" s="3">
        <f>vals_co2_excLUC!$A76</f>
        <v>1923</v>
      </c>
      <c r="B76" s="4">
        <f t="shared" si="16"/>
        <v>89.289496491767494</v>
      </c>
      <c r="C76" s="4">
        <f t="shared" si="17"/>
        <v>89.648501918730844</v>
      </c>
      <c r="D76" s="4">
        <f t="shared" si="18"/>
        <v>96.670686161057233</v>
      </c>
      <c r="E76" s="4">
        <f t="shared" si="19"/>
        <v>97.031273507257708</v>
      </c>
      <c r="F76" s="4">
        <f t="shared" si="20"/>
        <v>0.35900542696334981</v>
      </c>
      <c r="G76" s="4">
        <f t="shared" si="21"/>
        <v>0</v>
      </c>
      <c r="H76" s="4">
        <f t="shared" si="22"/>
        <v>7.0221842423263894</v>
      </c>
      <c r="I76" s="5">
        <f>vals_co2_excLUC!$R76</f>
        <v>89.289496491767494</v>
      </c>
      <c r="J76" s="5">
        <f>vals_co2_excLUC!$X76</f>
        <v>89.648501918730844</v>
      </c>
      <c r="K76" s="5">
        <f>vals_co2_excLUC!$AD76</f>
        <v>89.289496589860676</v>
      </c>
      <c r="L76" s="5"/>
      <c r="M76" s="5">
        <f>vals_co2_excLUC!$S76</f>
        <v>96.670686161057233</v>
      </c>
      <c r="N76" s="5">
        <f>vals_co2_excLUC!$Y76</f>
        <v>97.031273507257708</v>
      </c>
      <c r="O76" s="5">
        <f>vals_co2_excLUC!$AE76</f>
        <v>96.67068619154908</v>
      </c>
      <c r="P76" s="5"/>
      <c r="Q76" s="9">
        <f t="shared" si="23"/>
        <v>0.36058734620047517</v>
      </c>
      <c r="R76" s="9">
        <v>89.272999999999996</v>
      </c>
      <c r="S76" s="9">
        <v>96.665000000000006</v>
      </c>
    </row>
    <row r="77" spans="1:19" x14ac:dyDescent="0.35">
      <c r="A77" s="6">
        <f>vals_co2_excLUC!$A77</f>
        <v>1924</v>
      </c>
      <c r="B77" s="7">
        <f t="shared" si="16"/>
        <v>89.255268602895654</v>
      </c>
      <c r="C77" s="7">
        <f t="shared" si="17"/>
        <v>89.614565249666185</v>
      </c>
      <c r="D77" s="7">
        <f t="shared" si="18"/>
        <v>96.545871304807235</v>
      </c>
      <c r="E77" s="7">
        <f t="shared" si="19"/>
        <v>96.907361044840599</v>
      </c>
      <c r="F77" s="7">
        <f t="shared" si="20"/>
        <v>0.35929664677053097</v>
      </c>
      <c r="G77" s="7">
        <f t="shared" si="21"/>
        <v>0</v>
      </c>
      <c r="H77" s="7">
        <f t="shared" si="22"/>
        <v>6.9313060551410501</v>
      </c>
      <c r="I77" s="8">
        <f>vals_co2_excLUC!$R77</f>
        <v>89.255268602895654</v>
      </c>
      <c r="J77" s="8">
        <f>vals_co2_excLUC!$X77</f>
        <v>89.614565249666185</v>
      </c>
      <c r="K77" s="8">
        <f>vals_co2_excLUC!$AD77</f>
        <v>89.255268698063318</v>
      </c>
      <c r="L77" s="8"/>
      <c r="M77" s="8">
        <f>vals_co2_excLUC!$S77</f>
        <v>96.545871304807235</v>
      </c>
      <c r="N77" s="8">
        <f>vals_co2_excLUC!$Y77</f>
        <v>96.907361044840599</v>
      </c>
      <c r="O77" s="8">
        <f>vals_co2_excLUC!$AE77</f>
        <v>96.54587133540096</v>
      </c>
      <c r="P77" s="8"/>
      <c r="Q77" s="9">
        <f t="shared" si="23"/>
        <v>0.3614897400333632</v>
      </c>
      <c r="R77" s="9">
        <v>89.24</v>
      </c>
      <c r="S77" s="9">
        <v>96.54</v>
      </c>
    </row>
    <row r="78" spans="1:19" x14ac:dyDescent="0.35">
      <c r="A78" s="3">
        <f>vals_co2_excLUC!$A78</f>
        <v>1925</v>
      </c>
      <c r="B78" s="4">
        <f t="shared" si="16"/>
        <v>89.234527655042555</v>
      </c>
      <c r="C78" s="4">
        <f t="shared" si="17"/>
        <v>89.593229113152944</v>
      </c>
      <c r="D78" s="4">
        <f t="shared" si="18"/>
        <v>96.436518975473433</v>
      </c>
      <c r="E78" s="4">
        <f t="shared" si="19"/>
        <v>96.796322117555746</v>
      </c>
      <c r="F78" s="4">
        <f t="shared" si="20"/>
        <v>0.35870145811038867</v>
      </c>
      <c r="G78" s="4">
        <f t="shared" si="21"/>
        <v>0</v>
      </c>
      <c r="H78" s="4">
        <f t="shared" si="22"/>
        <v>6.8432898623204892</v>
      </c>
      <c r="I78" s="5">
        <f>vals_co2_excLUC!$R78</f>
        <v>89.234527655042555</v>
      </c>
      <c r="J78" s="5">
        <f>vals_co2_excLUC!$X78</f>
        <v>89.593229113152944</v>
      </c>
      <c r="K78" s="5">
        <f>vals_co2_excLUC!$AD78</f>
        <v>89.234527747336116</v>
      </c>
      <c r="L78" s="5"/>
      <c r="M78" s="5">
        <f>vals_co2_excLUC!$S78</f>
        <v>96.436518975473433</v>
      </c>
      <c r="N78" s="5">
        <f>vals_co2_excLUC!$Y78</f>
        <v>96.796322117555746</v>
      </c>
      <c r="O78" s="5">
        <f>vals_co2_excLUC!$AE78</f>
        <v>96.436519006023545</v>
      </c>
      <c r="P78" s="5"/>
      <c r="Q78" s="9">
        <f t="shared" si="23"/>
        <v>0.35980314208231334</v>
      </c>
      <c r="R78" s="9">
        <v>89.218999999999994</v>
      </c>
      <c r="S78" s="9">
        <v>96.430999999999997</v>
      </c>
    </row>
    <row r="79" spans="1:19" x14ac:dyDescent="0.35">
      <c r="A79" s="6">
        <f>vals_co2_excLUC!$A79</f>
        <v>1926</v>
      </c>
      <c r="B79" s="7">
        <f t="shared" si="16"/>
        <v>89.193260722973918</v>
      </c>
      <c r="C79" s="7">
        <f t="shared" si="17"/>
        <v>89.543303511765586</v>
      </c>
      <c r="D79" s="7">
        <f t="shared" si="18"/>
        <v>96.337753072057978</v>
      </c>
      <c r="E79" s="7">
        <f t="shared" si="19"/>
        <v>96.687332134708484</v>
      </c>
      <c r="F79" s="7">
        <f t="shared" si="20"/>
        <v>0.35004278879166861</v>
      </c>
      <c r="G79" s="7">
        <f t="shared" si="21"/>
        <v>0</v>
      </c>
      <c r="H79" s="7">
        <f t="shared" si="22"/>
        <v>6.7944495602923922</v>
      </c>
      <c r="I79" s="8">
        <f>vals_co2_excLUC!$R79</f>
        <v>89.193260722973918</v>
      </c>
      <c r="J79" s="8">
        <f>vals_co2_excLUC!$X79</f>
        <v>89.543303511765586</v>
      </c>
      <c r="K79" s="8">
        <f>vals_co2_excLUC!$AD79</f>
        <v>89.19326081278966</v>
      </c>
      <c r="L79" s="8"/>
      <c r="M79" s="8">
        <f>vals_co2_excLUC!$S79</f>
        <v>96.337753072057978</v>
      </c>
      <c r="N79" s="8">
        <f>vals_co2_excLUC!$Y79</f>
        <v>96.687332134708484</v>
      </c>
      <c r="O79" s="8">
        <f>vals_co2_excLUC!$AE79</f>
        <v>96.337753102495242</v>
      </c>
      <c r="P79" s="8"/>
      <c r="Q79" s="9">
        <f t="shared" si="23"/>
        <v>0.34957906265050553</v>
      </c>
      <c r="R79" s="9">
        <v>89.177999999999997</v>
      </c>
      <c r="S79" s="9">
        <v>96.331999999999994</v>
      </c>
    </row>
    <row r="80" spans="1:19" x14ac:dyDescent="0.35">
      <c r="A80" s="3">
        <f>vals_co2_excLUC!$A80</f>
        <v>1927</v>
      </c>
      <c r="B80" s="4">
        <f t="shared" si="16"/>
        <v>89.153660761392374</v>
      </c>
      <c r="C80" s="4">
        <f t="shared" si="17"/>
        <v>89.490150791969171</v>
      </c>
      <c r="D80" s="4">
        <f t="shared" si="18"/>
        <v>96.253678856177928</v>
      </c>
      <c r="E80" s="4">
        <f t="shared" si="19"/>
        <v>96.589369273342186</v>
      </c>
      <c r="F80" s="4">
        <f t="shared" si="20"/>
        <v>0.33649003057679749</v>
      </c>
      <c r="G80" s="4">
        <f t="shared" si="21"/>
        <v>0</v>
      </c>
      <c r="H80" s="4">
        <f t="shared" si="22"/>
        <v>6.7635280642087565</v>
      </c>
      <c r="I80" s="5">
        <f>vals_co2_excLUC!$R80</f>
        <v>89.153660761392374</v>
      </c>
      <c r="J80" s="5">
        <f>vals_co2_excLUC!$X80</f>
        <v>89.490150791969171</v>
      </c>
      <c r="K80" s="5">
        <f>vals_co2_excLUC!$AD80</f>
        <v>89.153660848627752</v>
      </c>
      <c r="L80" s="5"/>
      <c r="M80" s="5">
        <f>vals_co2_excLUC!$S80</f>
        <v>96.253678856177928</v>
      </c>
      <c r="N80" s="5">
        <f>vals_co2_excLUC!$Y80</f>
        <v>96.589369273342186</v>
      </c>
      <c r="O80" s="5">
        <f>vals_co2_excLUC!$AE80</f>
        <v>96.25367888630899</v>
      </c>
      <c r="P80" s="5"/>
      <c r="Q80" s="9">
        <f t="shared" si="23"/>
        <v>0.33569041716425829</v>
      </c>
      <c r="R80" s="9">
        <v>89.138999999999996</v>
      </c>
      <c r="S80" s="9">
        <v>96.248000000000005</v>
      </c>
    </row>
    <row r="81" spans="1:19" x14ac:dyDescent="0.35">
      <c r="A81" s="6">
        <f>vals_co2_excLUC!$A81</f>
        <v>1928</v>
      </c>
      <c r="B81" s="7">
        <f t="shared" si="16"/>
        <v>89.097859866845525</v>
      </c>
      <c r="C81" s="7">
        <f t="shared" si="17"/>
        <v>89.410917615454764</v>
      </c>
      <c r="D81" s="7">
        <f t="shared" si="18"/>
        <v>96.170639844832479</v>
      </c>
      <c r="E81" s="7">
        <f t="shared" si="19"/>
        <v>96.481021585942401</v>
      </c>
      <c r="F81" s="7">
        <f t="shared" si="20"/>
        <v>0.31305774860923918</v>
      </c>
      <c r="G81" s="7">
        <f t="shared" si="21"/>
        <v>0</v>
      </c>
      <c r="H81" s="7">
        <f t="shared" si="22"/>
        <v>6.7597222293777151</v>
      </c>
      <c r="I81" s="8">
        <f>vals_co2_excLUC!$R81</f>
        <v>89.097859866845525</v>
      </c>
      <c r="J81" s="8">
        <f>vals_co2_excLUC!$X81</f>
        <v>89.410917615454764</v>
      </c>
      <c r="K81" s="8">
        <f>vals_co2_excLUC!$AD81</f>
        <v>89.097859951799151</v>
      </c>
      <c r="L81" s="8"/>
      <c r="M81" s="8">
        <f>vals_co2_excLUC!$S81</f>
        <v>96.170639844832479</v>
      </c>
      <c r="N81" s="8">
        <f>vals_co2_excLUC!$Y81</f>
        <v>96.481021585942401</v>
      </c>
      <c r="O81" s="8">
        <f>vals_co2_excLUC!$AE81</f>
        <v>96.170639874672332</v>
      </c>
      <c r="P81" s="8"/>
      <c r="Q81" s="9">
        <f t="shared" si="23"/>
        <v>0.31038174110992145</v>
      </c>
      <c r="R81" s="9">
        <v>89.084000000000003</v>
      </c>
      <c r="S81" s="9">
        <v>96.165000000000006</v>
      </c>
    </row>
    <row r="82" spans="1:19" x14ac:dyDescent="0.35">
      <c r="A82" s="3">
        <f>vals_co2_excLUC!$A82</f>
        <v>1929</v>
      </c>
      <c r="B82" s="4">
        <f t="shared" si="16"/>
        <v>89.041252958303033</v>
      </c>
      <c r="C82" s="4">
        <f t="shared" si="17"/>
        <v>89.325650315256127</v>
      </c>
      <c r="D82" s="4">
        <f t="shared" si="18"/>
        <v>96.093971163927165</v>
      </c>
      <c r="E82" s="4">
        <f t="shared" si="19"/>
        <v>96.372753312767571</v>
      </c>
      <c r="F82" s="4">
        <f t="shared" si="20"/>
        <v>0.28439735695309309</v>
      </c>
      <c r="G82" s="4">
        <f t="shared" si="21"/>
        <v>0</v>
      </c>
      <c r="H82" s="4">
        <f t="shared" si="22"/>
        <v>6.7683208486710384</v>
      </c>
      <c r="I82" s="5">
        <f>vals_co2_excLUC!$R82</f>
        <v>89.041252958303033</v>
      </c>
      <c r="J82" s="5">
        <f>vals_co2_excLUC!$X82</f>
        <v>89.325650315256127</v>
      </c>
      <c r="K82" s="5">
        <f>vals_co2_excLUC!$AD82</f>
        <v>89.041253040936525</v>
      </c>
      <c r="L82" s="5"/>
      <c r="M82" s="5">
        <f>vals_co2_excLUC!$S82</f>
        <v>96.093971163927165</v>
      </c>
      <c r="N82" s="5">
        <f>vals_co2_excLUC!$Y82</f>
        <v>96.372753312767571</v>
      </c>
      <c r="O82" s="5">
        <f>vals_co2_excLUC!$AE82</f>
        <v>96.093971193380256</v>
      </c>
      <c r="P82" s="5"/>
      <c r="Q82" s="9">
        <f t="shared" si="23"/>
        <v>0.27878214884040631</v>
      </c>
      <c r="R82" s="9">
        <v>89.028000000000006</v>
      </c>
      <c r="S82" s="9">
        <v>96.087999999999994</v>
      </c>
    </row>
    <row r="83" spans="1:19" x14ac:dyDescent="0.35">
      <c r="A83" s="6">
        <f>vals_co2_excLUC!$A83</f>
        <v>1930</v>
      </c>
      <c r="B83" s="7">
        <f t="shared" si="16"/>
        <v>88.952868693387984</v>
      </c>
      <c r="C83" s="7">
        <f t="shared" si="17"/>
        <v>89.20314563422896</v>
      </c>
      <c r="D83" s="7">
        <f t="shared" si="18"/>
        <v>96.013011084505152</v>
      </c>
      <c r="E83" s="7">
        <f t="shared" si="19"/>
        <v>96.255881207901425</v>
      </c>
      <c r="F83" s="7">
        <f t="shared" si="20"/>
        <v>0.25027694084097618</v>
      </c>
      <c r="G83" s="7">
        <f t="shared" si="21"/>
        <v>0</v>
      </c>
      <c r="H83" s="7">
        <f t="shared" si="22"/>
        <v>6.8098654502761917</v>
      </c>
      <c r="I83" s="8">
        <f>vals_co2_excLUC!$R83</f>
        <v>88.952868693387984</v>
      </c>
      <c r="J83" s="8">
        <f>vals_co2_excLUC!$X83</f>
        <v>89.20314563422896</v>
      </c>
      <c r="K83" s="8">
        <f>vals_co2_excLUC!$AD83</f>
        <v>88.952868774273853</v>
      </c>
      <c r="L83" s="8"/>
      <c r="M83" s="8">
        <f>vals_co2_excLUC!$S83</f>
        <v>96.013011084505152</v>
      </c>
      <c r="N83" s="8">
        <f>vals_co2_excLUC!$Y83</f>
        <v>96.255881207901425</v>
      </c>
      <c r="O83" s="8">
        <f>vals_co2_excLUC!$AE83</f>
        <v>96.013011113697445</v>
      </c>
      <c r="P83" s="8"/>
      <c r="Q83" s="9">
        <f t="shared" si="23"/>
        <v>0.24287012339627267</v>
      </c>
      <c r="R83" s="9">
        <v>88.938999999999993</v>
      </c>
      <c r="S83" s="9">
        <v>96.007000000000005</v>
      </c>
    </row>
    <row r="84" spans="1:19" x14ac:dyDescent="0.35">
      <c r="A84" s="3">
        <f>vals_co2_excLUC!$A84</f>
        <v>1931</v>
      </c>
      <c r="B84" s="4">
        <f t="shared" si="16"/>
        <v>88.829004421954465</v>
      </c>
      <c r="C84" s="4">
        <f t="shared" si="17"/>
        <v>89.051306595902204</v>
      </c>
      <c r="D84" s="4">
        <f t="shared" si="18"/>
        <v>95.933542881943112</v>
      </c>
      <c r="E84" s="4">
        <f t="shared" si="19"/>
        <v>96.147334059655932</v>
      </c>
      <c r="F84" s="4">
        <f t="shared" si="20"/>
        <v>0.22230217394773888</v>
      </c>
      <c r="G84" s="4">
        <f t="shared" si="21"/>
        <v>0</v>
      </c>
      <c r="H84" s="4">
        <f t="shared" si="22"/>
        <v>6.8822362860409072</v>
      </c>
      <c r="I84" s="5">
        <f>vals_co2_excLUC!$R84</f>
        <v>88.829004421954465</v>
      </c>
      <c r="J84" s="5">
        <f>vals_co2_excLUC!$X84</f>
        <v>89.051306595902204</v>
      </c>
      <c r="K84" s="5">
        <f>vals_co2_excLUC!$AD84</f>
        <v>88.829004501681183</v>
      </c>
      <c r="L84" s="5"/>
      <c r="M84" s="5">
        <f>vals_co2_excLUC!$S84</f>
        <v>95.933542881943112</v>
      </c>
      <c r="N84" s="5">
        <f>vals_co2_excLUC!$Y84</f>
        <v>96.147334059655932</v>
      </c>
      <c r="O84" s="5">
        <f>vals_co2_excLUC!$AE84</f>
        <v>95.933542910965159</v>
      </c>
      <c r="P84" s="5"/>
      <c r="Q84" s="9">
        <f t="shared" si="23"/>
        <v>0.21379117771282097</v>
      </c>
      <c r="R84" s="9">
        <v>88.816000000000003</v>
      </c>
      <c r="S84" s="9">
        <v>95.927999999999997</v>
      </c>
    </row>
    <row r="85" spans="1:19" x14ac:dyDescent="0.35">
      <c r="A85" s="6">
        <f>vals_co2_excLUC!$A85</f>
        <v>1932</v>
      </c>
      <c r="B85" s="7">
        <f t="shared" si="16"/>
        <v>88.682859818539839</v>
      </c>
      <c r="C85" s="7">
        <f t="shared" si="17"/>
        <v>88.880535811783133</v>
      </c>
      <c r="D85" s="7">
        <f t="shared" si="18"/>
        <v>95.848255870211148</v>
      </c>
      <c r="E85" s="7">
        <f t="shared" si="19"/>
        <v>96.036462518091597</v>
      </c>
      <c r="F85" s="7">
        <f t="shared" si="20"/>
        <v>0.1976759932432941</v>
      </c>
      <c r="G85" s="7">
        <f t="shared" si="21"/>
        <v>0</v>
      </c>
      <c r="H85" s="7">
        <f t="shared" si="22"/>
        <v>6.9677200584280143</v>
      </c>
      <c r="I85" s="8">
        <f>vals_co2_excLUC!$R85</f>
        <v>88.682859818539839</v>
      </c>
      <c r="J85" s="8">
        <f>vals_co2_excLUC!$X85</f>
        <v>88.880535811783133</v>
      </c>
      <c r="K85" s="8">
        <f>vals_co2_excLUC!$AD85</f>
        <v>88.682859897510198</v>
      </c>
      <c r="L85" s="8"/>
      <c r="M85" s="8">
        <f>vals_co2_excLUC!$S85</f>
        <v>95.848255870211148</v>
      </c>
      <c r="N85" s="8">
        <f>vals_co2_excLUC!$Y85</f>
        <v>96.036462518091597</v>
      </c>
      <c r="O85" s="8">
        <f>vals_co2_excLUC!$AE85</f>
        <v>95.84825589918178</v>
      </c>
      <c r="P85" s="8"/>
      <c r="Q85" s="9">
        <f t="shared" si="23"/>
        <v>0.18820664788044894</v>
      </c>
      <c r="R85" s="9">
        <v>88.67</v>
      </c>
      <c r="S85" s="9">
        <v>95.843000000000004</v>
      </c>
    </row>
    <row r="86" spans="1:19" x14ac:dyDescent="0.35">
      <c r="A86" s="3">
        <f>vals_co2_excLUC!$A86</f>
        <v>1933</v>
      </c>
      <c r="B86" s="4">
        <f t="shared" si="16"/>
        <v>88.531229295337127</v>
      </c>
      <c r="C86" s="4">
        <f t="shared" si="17"/>
        <v>88.704070555468078</v>
      </c>
      <c r="D86" s="4">
        <f t="shared" si="18"/>
        <v>95.759320280156373</v>
      </c>
      <c r="E86" s="4">
        <f t="shared" si="19"/>
        <v>95.92164371419662</v>
      </c>
      <c r="F86" s="4">
        <f t="shared" si="20"/>
        <v>0.17284126013095147</v>
      </c>
      <c r="G86" s="4">
        <f t="shared" si="21"/>
        <v>0</v>
      </c>
      <c r="H86" s="4">
        <f t="shared" si="22"/>
        <v>7.055249724688295</v>
      </c>
      <c r="I86" s="5">
        <f>vals_co2_excLUC!$R86</f>
        <v>88.531229295337127</v>
      </c>
      <c r="J86" s="5">
        <f>vals_co2_excLUC!$X86</f>
        <v>88.704070555468078</v>
      </c>
      <c r="K86" s="5">
        <f>vals_co2_excLUC!$AD86</f>
        <v>88.531229373530778</v>
      </c>
      <c r="L86" s="5"/>
      <c r="M86" s="5">
        <f>vals_co2_excLUC!$S86</f>
        <v>95.759320280156373</v>
      </c>
      <c r="N86" s="5">
        <f>vals_co2_excLUC!$Y86</f>
        <v>95.92164371419662</v>
      </c>
      <c r="O86" s="5">
        <f>vals_co2_excLUC!$AE86</f>
        <v>95.759320309069167</v>
      </c>
      <c r="P86" s="5"/>
      <c r="Q86" s="9">
        <f t="shared" si="23"/>
        <v>0.16232343404024618</v>
      </c>
      <c r="R86" s="9">
        <v>88.518000000000001</v>
      </c>
      <c r="S86" s="9">
        <v>95.754000000000005</v>
      </c>
    </row>
    <row r="87" spans="1:19" x14ac:dyDescent="0.35">
      <c r="A87" s="6">
        <f>vals_co2_excLUC!$A87</f>
        <v>1934</v>
      </c>
      <c r="B87" s="7">
        <f t="shared" si="16"/>
        <v>88.350923344365768</v>
      </c>
      <c r="C87" s="7">
        <f t="shared" si="17"/>
        <v>88.495774874608259</v>
      </c>
      <c r="D87" s="7">
        <f t="shared" si="18"/>
        <v>95.658485203584178</v>
      </c>
      <c r="E87" s="7">
        <f t="shared" si="19"/>
        <v>95.791643561827115</v>
      </c>
      <c r="F87" s="7">
        <f t="shared" si="20"/>
        <v>0.14485153024249087</v>
      </c>
      <c r="G87" s="7">
        <f t="shared" si="21"/>
        <v>0</v>
      </c>
      <c r="H87" s="7">
        <f t="shared" si="22"/>
        <v>7.1627103289759191</v>
      </c>
      <c r="I87" s="8">
        <f>vals_co2_excLUC!$R87</f>
        <v>88.350923344365768</v>
      </c>
      <c r="J87" s="8">
        <f>vals_co2_excLUC!$X87</f>
        <v>88.495774874608259</v>
      </c>
      <c r="K87" s="8">
        <f>vals_co2_excLUC!$AD87</f>
        <v>88.350923421857061</v>
      </c>
      <c r="L87" s="8"/>
      <c r="M87" s="8">
        <f>vals_co2_excLUC!$S87</f>
        <v>95.658485203584178</v>
      </c>
      <c r="N87" s="8">
        <f>vals_co2_excLUC!$Y87</f>
        <v>95.791643561827115</v>
      </c>
      <c r="O87" s="8">
        <f>vals_co2_excLUC!$AE87</f>
        <v>95.658485232464542</v>
      </c>
      <c r="P87" s="8"/>
      <c r="Q87" s="9">
        <f t="shared" si="23"/>
        <v>0.13315835824293742</v>
      </c>
      <c r="R87" s="9">
        <v>88.337999999999994</v>
      </c>
      <c r="S87" s="9">
        <v>95.653000000000006</v>
      </c>
    </row>
    <row r="88" spans="1:19" x14ac:dyDescent="0.35">
      <c r="A88" s="3">
        <f>vals_co2_excLUC!$A88</f>
        <v>1935</v>
      </c>
      <c r="B88" s="4">
        <f t="shared" si="16"/>
        <v>88.149173251648563</v>
      </c>
      <c r="C88" s="4">
        <f t="shared" si="17"/>
        <v>88.261929997840198</v>
      </c>
      <c r="D88" s="4">
        <f t="shared" si="18"/>
        <v>95.546681199308821</v>
      </c>
      <c r="E88" s="4">
        <f t="shared" si="19"/>
        <v>95.64634661967095</v>
      </c>
      <c r="F88" s="4">
        <f t="shared" si="20"/>
        <v>0.11275674619163567</v>
      </c>
      <c r="G88" s="4">
        <f t="shared" si="21"/>
        <v>0</v>
      </c>
      <c r="H88" s="4">
        <f t="shared" si="22"/>
        <v>7.2847512014686231</v>
      </c>
      <c r="I88" s="5">
        <f>vals_co2_excLUC!$R88</f>
        <v>88.149173251648563</v>
      </c>
      <c r="J88" s="5">
        <f>vals_co2_excLUC!$X88</f>
        <v>88.261929997840198</v>
      </c>
      <c r="K88" s="5">
        <f>vals_co2_excLUC!$AD88</f>
        <v>88.149173328520476</v>
      </c>
      <c r="L88" s="5"/>
      <c r="M88" s="5">
        <f>vals_co2_excLUC!$S88</f>
        <v>95.546681199308821</v>
      </c>
      <c r="N88" s="5">
        <f>vals_co2_excLUC!$Y88</f>
        <v>95.64634661967095</v>
      </c>
      <c r="O88" s="5">
        <f>vals_co2_excLUC!$AE88</f>
        <v>95.546681228195851</v>
      </c>
      <c r="P88" s="5"/>
      <c r="Q88" s="9">
        <f t="shared" si="23"/>
        <v>9.9665420362128998E-2</v>
      </c>
      <c r="R88" s="9">
        <v>88.135999999999996</v>
      </c>
      <c r="S88" s="9">
        <v>95.540999999999997</v>
      </c>
    </row>
    <row r="89" spans="1:19" x14ac:dyDescent="0.35">
      <c r="A89" s="6">
        <f>vals_co2_excLUC!$A89</f>
        <v>1936</v>
      </c>
      <c r="B89" s="7">
        <f t="shared" si="16"/>
        <v>87.940455647422453</v>
      </c>
      <c r="C89" s="7">
        <f t="shared" si="17"/>
        <v>88.017538915239186</v>
      </c>
      <c r="D89" s="7">
        <f t="shared" si="18"/>
        <v>95.437852396720743</v>
      </c>
      <c r="E89" s="7">
        <f t="shared" si="19"/>
        <v>95.500570816561179</v>
      </c>
      <c r="F89" s="7">
        <f t="shared" si="20"/>
        <v>7.7083267816732359E-2</v>
      </c>
      <c r="G89" s="7">
        <f t="shared" si="21"/>
        <v>0</v>
      </c>
      <c r="H89" s="7">
        <f t="shared" si="22"/>
        <v>7.420313481481557</v>
      </c>
      <c r="I89" s="8">
        <f>vals_co2_excLUC!$R89</f>
        <v>87.940455647422453</v>
      </c>
      <c r="J89" s="8">
        <f>vals_co2_excLUC!$X89</f>
        <v>88.017538915239186</v>
      </c>
      <c r="K89" s="8">
        <f>vals_co2_excLUC!$AD89</f>
        <v>87.940455723569769</v>
      </c>
      <c r="L89" s="8"/>
      <c r="M89" s="8">
        <f>vals_co2_excLUC!$S89</f>
        <v>95.437852396720743</v>
      </c>
      <c r="N89" s="8">
        <f>vals_co2_excLUC!$Y89</f>
        <v>95.500570816561179</v>
      </c>
      <c r="O89" s="8">
        <f>vals_co2_excLUC!$AE89</f>
        <v>95.43785242552741</v>
      </c>
      <c r="P89" s="8"/>
      <c r="Q89" s="9">
        <f t="shared" si="23"/>
        <v>6.2718419840436468E-2</v>
      </c>
      <c r="R89" s="9">
        <v>87.927999999999997</v>
      </c>
      <c r="S89" s="9">
        <v>95.432000000000002</v>
      </c>
    </row>
    <row r="90" spans="1:19" x14ac:dyDescent="0.35">
      <c r="A90" s="3">
        <f>vals_co2_excLUC!$A90</f>
        <v>1937</v>
      </c>
      <c r="B90" s="4">
        <f t="shared" si="16"/>
        <v>87.732470094881464</v>
      </c>
      <c r="C90" s="4">
        <f t="shared" si="17"/>
        <v>87.771119633389901</v>
      </c>
      <c r="D90" s="4">
        <f t="shared" si="18"/>
        <v>95.32277371866769</v>
      </c>
      <c r="E90" s="4">
        <f t="shared" si="19"/>
        <v>95.34547229668992</v>
      </c>
      <c r="F90" s="4">
        <f t="shared" si="20"/>
        <v>3.8649538508437331E-2</v>
      </c>
      <c r="G90" s="4">
        <f t="shared" si="21"/>
        <v>0</v>
      </c>
      <c r="H90" s="4">
        <f t="shared" si="22"/>
        <v>7.5516540852777894</v>
      </c>
      <c r="I90" s="5">
        <f>vals_co2_excLUC!$R90</f>
        <v>87.732470094881464</v>
      </c>
      <c r="J90" s="5">
        <f>vals_co2_excLUC!$X90</f>
        <v>87.771119633389901</v>
      </c>
      <c r="K90" s="5">
        <f>vals_co2_excLUC!$AD90</f>
        <v>87.732470170203413</v>
      </c>
      <c r="L90" s="5"/>
      <c r="M90" s="5">
        <f>vals_co2_excLUC!$S90</f>
        <v>95.32277371866769</v>
      </c>
      <c r="N90" s="5">
        <f>vals_co2_excLUC!$Y90</f>
        <v>95.34547229668992</v>
      </c>
      <c r="O90" s="5">
        <f>vals_co2_excLUC!$AE90</f>
        <v>95.322773747385611</v>
      </c>
      <c r="P90" s="5"/>
      <c r="Q90" s="9">
        <f t="shared" si="23"/>
        <v>2.2698578022229299E-2</v>
      </c>
      <c r="R90" s="9">
        <v>87.72</v>
      </c>
      <c r="S90" s="9">
        <v>95.316999999999993</v>
      </c>
    </row>
    <row r="91" spans="1:19" x14ac:dyDescent="0.35">
      <c r="A91" s="6">
        <f>vals_co2_excLUC!$A91</f>
        <v>1938</v>
      </c>
      <c r="B91" s="7">
        <f t="shared" si="16"/>
        <v>87.494168724010692</v>
      </c>
      <c r="C91" s="7">
        <f t="shared" si="17"/>
        <v>87.497149868547481</v>
      </c>
      <c r="D91" s="7">
        <f t="shared" si="18"/>
        <v>95.184816118973757</v>
      </c>
      <c r="E91" s="7">
        <f t="shared" si="19"/>
        <v>95.205351178206328</v>
      </c>
      <c r="F91" s="7">
        <f t="shared" si="20"/>
        <v>2.9811445367897704E-3</v>
      </c>
      <c r="G91" s="7">
        <f t="shared" si="21"/>
        <v>0</v>
      </c>
      <c r="H91" s="7">
        <f t="shared" si="22"/>
        <v>7.6876662504262754</v>
      </c>
      <c r="I91" s="8">
        <f>vals_co2_excLUC!$R91</f>
        <v>87.497149793723821</v>
      </c>
      <c r="J91" s="8">
        <f>vals_co2_excLUC!$X91</f>
        <v>87.494168724010692</v>
      </c>
      <c r="K91" s="8">
        <f>vals_co2_excLUC!$AD91</f>
        <v>87.497149868547481</v>
      </c>
      <c r="L91" s="8"/>
      <c r="M91" s="8">
        <f>vals_co2_excLUC!$S91</f>
        <v>95.205351149512623</v>
      </c>
      <c r="N91" s="8">
        <f>vals_co2_excLUC!$Y91</f>
        <v>95.184816118973757</v>
      </c>
      <c r="O91" s="8">
        <f>vals_co2_excLUC!$AE91</f>
        <v>95.205351178206328</v>
      </c>
      <c r="P91" s="8"/>
      <c r="Q91" s="9">
        <f t="shared" si="23"/>
        <v>2.0535059232571484E-2</v>
      </c>
      <c r="R91" s="9">
        <v>87.483999999999995</v>
      </c>
      <c r="S91" s="9">
        <v>95.2</v>
      </c>
    </row>
    <row r="92" spans="1:19" x14ac:dyDescent="0.35">
      <c r="A92" s="3">
        <f>vals_co2_excLUC!$A92</f>
        <v>1939</v>
      </c>
      <c r="B92" s="4">
        <f t="shared" si="16"/>
        <v>87.228437064050468</v>
      </c>
      <c r="C92" s="4">
        <f t="shared" si="17"/>
        <v>87.273547102878766</v>
      </c>
      <c r="D92" s="4">
        <f t="shared" si="18"/>
        <v>95.018297588923488</v>
      </c>
      <c r="E92" s="4">
        <f t="shared" si="19"/>
        <v>95.08351246185704</v>
      </c>
      <c r="F92" s="4">
        <f t="shared" si="20"/>
        <v>4.5110038828298116E-2</v>
      </c>
      <c r="G92" s="4">
        <f t="shared" si="21"/>
        <v>0</v>
      </c>
      <c r="H92" s="4">
        <f t="shared" si="22"/>
        <v>7.7447504860447225</v>
      </c>
      <c r="I92" s="5">
        <f>vals_co2_excLUC!$R92</f>
        <v>87.27354702870133</v>
      </c>
      <c r="J92" s="5">
        <f>vals_co2_excLUC!$X92</f>
        <v>87.228437064050468</v>
      </c>
      <c r="K92" s="5">
        <f>vals_co2_excLUC!$AD92</f>
        <v>87.273547102878766</v>
      </c>
      <c r="L92" s="5"/>
      <c r="M92" s="5">
        <f>vals_co2_excLUC!$S92</f>
        <v>95.083512433200795</v>
      </c>
      <c r="N92" s="5">
        <f>vals_co2_excLUC!$Y92</f>
        <v>95.018297588923488</v>
      </c>
      <c r="O92" s="5">
        <f>vals_co2_excLUC!$AE92</f>
        <v>95.08351246185704</v>
      </c>
      <c r="P92" s="5"/>
      <c r="Q92" s="9">
        <f t="shared" si="23"/>
        <v>6.5214872933552215E-2</v>
      </c>
      <c r="R92" s="9">
        <v>87.260999999999996</v>
      </c>
      <c r="S92" s="9">
        <v>95.078000000000003</v>
      </c>
    </row>
    <row r="93" spans="1:19" x14ac:dyDescent="0.35">
      <c r="A93" s="6">
        <f>vals_co2_excLUC!$A93</f>
        <v>1940</v>
      </c>
      <c r="B93" s="7">
        <f t="shared" si="16"/>
        <v>86.882669267961901</v>
      </c>
      <c r="C93" s="7">
        <f t="shared" si="17"/>
        <v>86.95965673996217</v>
      </c>
      <c r="D93" s="7">
        <f t="shared" si="18"/>
        <v>94.859088703746167</v>
      </c>
      <c r="E93" s="7">
        <f t="shared" si="19"/>
        <v>94.958215036287214</v>
      </c>
      <c r="F93" s="7">
        <f t="shared" si="20"/>
        <v>7.6987472000269008E-2</v>
      </c>
      <c r="G93" s="7">
        <f t="shared" si="21"/>
        <v>0</v>
      </c>
      <c r="H93" s="7">
        <f t="shared" si="22"/>
        <v>7.8994319637839965</v>
      </c>
      <c r="I93" s="8">
        <f>vals_co2_excLUC!$R93</f>
        <v>86.95965666605926</v>
      </c>
      <c r="J93" s="8">
        <f>vals_co2_excLUC!$X93</f>
        <v>86.882669267961901</v>
      </c>
      <c r="K93" s="8">
        <f>vals_co2_excLUC!$AD93</f>
        <v>86.95965673996217</v>
      </c>
      <c r="L93" s="8"/>
      <c r="M93" s="8">
        <f>vals_co2_excLUC!$S93</f>
        <v>94.958215007714159</v>
      </c>
      <c r="N93" s="8">
        <f>vals_co2_excLUC!$Y93</f>
        <v>94.859088703746167</v>
      </c>
      <c r="O93" s="8">
        <f>vals_co2_excLUC!$AE93</f>
        <v>94.958215036287214</v>
      </c>
      <c r="P93" s="8"/>
      <c r="Q93" s="9">
        <f t="shared" si="23"/>
        <v>9.9126332541047191E-2</v>
      </c>
      <c r="R93" s="9">
        <v>86.947000000000003</v>
      </c>
      <c r="S93" s="9">
        <v>94.953000000000003</v>
      </c>
    </row>
    <row r="94" spans="1:19" x14ac:dyDescent="0.35">
      <c r="A94" s="3">
        <f>vals_co2_excLUC!$A94</f>
        <v>1941</v>
      </c>
      <c r="B94" s="4">
        <f t="shared" si="16"/>
        <v>86.586702953701192</v>
      </c>
      <c r="C94" s="4">
        <f t="shared" si="17"/>
        <v>86.700957420905127</v>
      </c>
      <c r="D94" s="4">
        <f t="shared" si="18"/>
        <v>94.705667083618778</v>
      </c>
      <c r="E94" s="4">
        <f t="shared" si="19"/>
        <v>94.842639963852818</v>
      </c>
      <c r="F94" s="4">
        <f t="shared" si="20"/>
        <v>0.11425446720393495</v>
      </c>
      <c r="G94" s="4">
        <f t="shared" si="21"/>
        <v>0</v>
      </c>
      <c r="H94" s="4">
        <f t="shared" si="22"/>
        <v>8.0047096627136511</v>
      </c>
      <c r="I94" s="5">
        <f>vals_co2_excLUC!$R94</f>
        <v>86.700957420905127</v>
      </c>
      <c r="J94" s="5">
        <f>vals_co2_excLUC!$X94</f>
        <v>86.586702953701192</v>
      </c>
      <c r="K94" s="5">
        <f>vals_co2_excLUC!$AD94</f>
        <v>86.700956943086069</v>
      </c>
      <c r="L94" s="5"/>
      <c r="M94" s="5">
        <f>vals_co2_excLUC!$S94</f>
        <v>94.84263993543</v>
      </c>
      <c r="N94" s="5">
        <f>vals_co2_excLUC!$Y94</f>
        <v>94.705667083618778</v>
      </c>
      <c r="O94" s="5">
        <f>vals_co2_excLUC!$AE94</f>
        <v>94.842639963852818</v>
      </c>
      <c r="P94" s="5"/>
      <c r="Q94" s="9">
        <f t="shared" si="23"/>
        <v>0.13697288023404042</v>
      </c>
      <c r="R94" s="9">
        <v>86.688000000000002</v>
      </c>
      <c r="S94" s="9">
        <v>94.837000000000003</v>
      </c>
    </row>
    <row r="95" spans="1:19" x14ac:dyDescent="0.35">
      <c r="A95" s="6">
        <f>vals_co2_excLUC!$A95</f>
        <v>1942</v>
      </c>
      <c r="B95" s="7">
        <f t="shared" si="16"/>
        <v>86.380140035077758</v>
      </c>
      <c r="C95" s="7">
        <f t="shared" si="17"/>
        <v>86.545615473996222</v>
      </c>
      <c r="D95" s="7">
        <f t="shared" si="18"/>
        <v>94.58571945287288</v>
      </c>
      <c r="E95" s="7">
        <f t="shared" si="19"/>
        <v>94.747041314285866</v>
      </c>
      <c r="F95" s="7">
        <f t="shared" si="20"/>
        <v>0.16547543891846317</v>
      </c>
      <c r="G95" s="7">
        <f t="shared" si="21"/>
        <v>0</v>
      </c>
      <c r="H95" s="7">
        <f t="shared" si="22"/>
        <v>8.0401039788766582</v>
      </c>
      <c r="I95" s="8">
        <f>vals_co2_excLUC!$R95</f>
        <v>86.545615473996222</v>
      </c>
      <c r="J95" s="8">
        <f>vals_co2_excLUC!$X95</f>
        <v>86.380140035077758</v>
      </c>
      <c r="K95" s="8">
        <f>vals_co2_excLUC!$AD95</f>
        <v>86.545615009780292</v>
      </c>
      <c r="L95" s="8"/>
      <c r="M95" s="8">
        <f>vals_co2_excLUC!$S95</f>
        <v>94.747041286109877</v>
      </c>
      <c r="N95" s="8">
        <f>vals_co2_excLUC!$Y95</f>
        <v>94.58571945287288</v>
      </c>
      <c r="O95" s="8">
        <f>vals_co2_excLUC!$AE95</f>
        <v>94.747041314285866</v>
      </c>
      <c r="P95" s="8"/>
      <c r="Q95" s="9">
        <f t="shared" si="23"/>
        <v>0.16132186141298632</v>
      </c>
      <c r="R95" s="9">
        <v>86.533000000000001</v>
      </c>
      <c r="S95" s="9">
        <v>94.742000000000004</v>
      </c>
    </row>
    <row r="96" spans="1:19" x14ac:dyDescent="0.35">
      <c r="A96" s="3">
        <f>vals_co2_excLUC!$A96</f>
        <v>1943</v>
      </c>
      <c r="B96" s="4">
        <f t="shared" si="16"/>
        <v>86.134267537212409</v>
      </c>
      <c r="C96" s="4">
        <f t="shared" si="17"/>
        <v>86.392045722453304</v>
      </c>
      <c r="D96" s="4">
        <f t="shared" si="18"/>
        <v>94.464012853118945</v>
      </c>
      <c r="E96" s="4">
        <f t="shared" si="19"/>
        <v>94.663889679596338</v>
      </c>
      <c r="F96" s="4">
        <f t="shared" si="20"/>
        <v>0.25777818524089469</v>
      </c>
      <c r="G96" s="4">
        <f t="shared" si="21"/>
        <v>0</v>
      </c>
      <c r="H96" s="4">
        <f t="shared" si="22"/>
        <v>8.0719671306656409</v>
      </c>
      <c r="I96" s="5">
        <f>vals_co2_excLUC!$R96</f>
        <v>86.392045722453304</v>
      </c>
      <c r="J96" s="5">
        <f>vals_co2_excLUC!$X96</f>
        <v>86.134267537212409</v>
      </c>
      <c r="K96" s="5">
        <f>vals_co2_excLUC!$AD96</f>
        <v>86.392044820230026</v>
      </c>
      <c r="L96" s="5"/>
      <c r="M96" s="5">
        <f>vals_co2_excLUC!$S96</f>
        <v>94.663889679596338</v>
      </c>
      <c r="N96" s="5">
        <f>vals_co2_excLUC!$Y96</f>
        <v>94.464012853118945</v>
      </c>
      <c r="O96" s="5">
        <f>vals_co2_excLUC!$AE96</f>
        <v>94.663889213155244</v>
      </c>
      <c r="P96" s="5"/>
      <c r="Q96" s="9">
        <f t="shared" si="23"/>
        <v>0.19987682647739291</v>
      </c>
      <c r="R96" s="9">
        <v>86.38</v>
      </c>
      <c r="S96" s="9">
        <v>94.658000000000001</v>
      </c>
    </row>
    <row r="97" spans="1:19" x14ac:dyDescent="0.35">
      <c r="A97" s="6">
        <f>vals_co2_excLUC!$A97</f>
        <v>1944</v>
      </c>
      <c r="B97" s="7">
        <f t="shared" si="16"/>
        <v>85.904251910098253</v>
      </c>
      <c r="C97" s="7">
        <f t="shared" si="17"/>
        <v>86.204254918827488</v>
      </c>
      <c r="D97" s="7">
        <f t="shared" si="18"/>
        <v>94.33178846554317</v>
      </c>
      <c r="E97" s="7">
        <f t="shared" si="19"/>
        <v>94.57472988274435</v>
      </c>
      <c r="F97" s="7">
        <f t="shared" si="20"/>
        <v>0.30000300872923447</v>
      </c>
      <c r="G97" s="7">
        <f t="shared" si="21"/>
        <v>0</v>
      </c>
      <c r="H97" s="7">
        <f t="shared" si="22"/>
        <v>8.1275335467156822</v>
      </c>
      <c r="I97" s="8">
        <f>vals_co2_excLUC!$R97</f>
        <v>86.204254918827488</v>
      </c>
      <c r="J97" s="8">
        <f>vals_co2_excLUC!$X97</f>
        <v>85.904251910098253</v>
      </c>
      <c r="K97" s="8">
        <f>vals_co2_excLUC!$AD97</f>
        <v>86.204254042196581</v>
      </c>
      <c r="L97" s="8"/>
      <c r="M97" s="8">
        <f>vals_co2_excLUC!$S97</f>
        <v>94.57472988274435</v>
      </c>
      <c r="N97" s="8">
        <f>vals_co2_excLUC!$Y97</f>
        <v>94.33178846554317</v>
      </c>
      <c r="O97" s="8">
        <f>vals_co2_excLUC!$AE97</f>
        <v>94.574729429453669</v>
      </c>
      <c r="P97" s="8"/>
      <c r="Q97" s="9">
        <f t="shared" si="23"/>
        <v>0.24294141720118034</v>
      </c>
      <c r="R97" s="9">
        <v>86.191999999999993</v>
      </c>
      <c r="S97" s="9">
        <v>94.569000000000003</v>
      </c>
    </row>
    <row r="98" spans="1:19" x14ac:dyDescent="0.35">
      <c r="A98" s="3">
        <f>vals_co2_excLUC!$A98</f>
        <v>1945</v>
      </c>
      <c r="B98" s="4">
        <f t="shared" si="16"/>
        <v>85.707644236898375</v>
      </c>
      <c r="C98" s="4">
        <f t="shared" si="17"/>
        <v>86.063116883591263</v>
      </c>
      <c r="D98" s="4">
        <f t="shared" si="18"/>
        <v>94.187752046997531</v>
      </c>
      <c r="E98" s="4">
        <f t="shared" si="19"/>
        <v>94.487244146353916</v>
      </c>
      <c r="F98" s="4">
        <f t="shared" si="20"/>
        <v>0.35547264669288836</v>
      </c>
      <c r="G98" s="4">
        <f t="shared" si="21"/>
        <v>0</v>
      </c>
      <c r="H98" s="4">
        <f t="shared" si="22"/>
        <v>8.1246351634062677</v>
      </c>
      <c r="I98" s="5">
        <f>vals_co2_excLUC!$R98</f>
        <v>86.063116883591263</v>
      </c>
      <c r="J98" s="5">
        <f>vals_co2_excLUC!$X98</f>
        <v>85.707644236898375</v>
      </c>
      <c r="K98" s="5">
        <f>vals_co2_excLUC!$AD98</f>
        <v>86.063116027075793</v>
      </c>
      <c r="L98" s="5"/>
      <c r="M98" s="5">
        <f>vals_co2_excLUC!$S98</f>
        <v>94.487244146353916</v>
      </c>
      <c r="N98" s="5">
        <f>vals_co2_excLUC!$Y98</f>
        <v>94.187752046997531</v>
      </c>
      <c r="O98" s="5">
        <f>vals_co2_excLUC!$AE98</f>
        <v>94.487243703608954</v>
      </c>
      <c r="P98" s="5"/>
      <c r="Q98" s="9">
        <f t="shared" si="23"/>
        <v>0.29949209935638521</v>
      </c>
      <c r="R98" s="9">
        <v>86.051000000000002</v>
      </c>
      <c r="S98" s="9">
        <v>94.481999999999999</v>
      </c>
    </row>
    <row r="99" spans="1:19" x14ac:dyDescent="0.35">
      <c r="A99" s="6">
        <f>vals_co2_excLUC!$A99</f>
        <v>1946</v>
      </c>
      <c r="B99" s="7">
        <f t="shared" ref="B99:B130" si="24">IFERROR(_xlfn.AGGREGATE(5,6,I99:L99),"")</f>
        <v>85.45807051480466</v>
      </c>
      <c r="C99" s="7">
        <f t="shared" ref="C99:C130" si="25">IFERROR(_xlfn.AGGREGATE(4,6,I99:L99),"")</f>
        <v>85.891105792814429</v>
      </c>
      <c r="D99" s="7">
        <f t="shared" ref="D99:D130" si="26">IFERROR(_xlfn.AGGREGATE(5,6,M99:P99),"")</f>
        <v>94.019795039718815</v>
      </c>
      <c r="E99" s="7">
        <f t="shared" ref="E99:E130" si="27">IFERROR(_xlfn.AGGREGATE(4,6,M99:P99),"")</f>
        <v>94.401352464724638</v>
      </c>
      <c r="F99" s="7">
        <f t="shared" ref="F99:F130" si="28">IFERROR(MIN(C99,D99)-B99,"")</f>
        <v>0.43303527800976838</v>
      </c>
      <c r="G99" s="7">
        <f t="shared" ref="G99:G130" si="29">IFERROR(MAX(0,C99-D99),"")</f>
        <v>0</v>
      </c>
      <c r="H99" s="7">
        <f t="shared" ref="H99:H130" si="30">IFERROR(MAX(0,D99-C99),"")</f>
        <v>8.1286892469043863</v>
      </c>
      <c r="I99" s="8">
        <f>vals_co2_excLUC!$R99</f>
        <v>85.891105792814429</v>
      </c>
      <c r="J99" s="8">
        <f>vals_co2_excLUC!$X99</f>
        <v>85.45807051480466</v>
      </c>
      <c r="K99" s="8">
        <f>vals_co2_excLUC!$AD99</f>
        <v>85.891104539354075</v>
      </c>
      <c r="L99" s="8"/>
      <c r="M99" s="8">
        <f>vals_co2_excLUC!$S99</f>
        <v>94.401352464724638</v>
      </c>
      <c r="N99" s="8">
        <f>vals_co2_excLUC!$Y99</f>
        <v>94.019795039718815</v>
      </c>
      <c r="O99" s="8">
        <f>vals_co2_excLUC!$AE99</f>
        <v>94.401352059975764</v>
      </c>
      <c r="P99" s="8"/>
      <c r="Q99" s="9">
        <f t="shared" ref="Q99:Q130" si="31">IFERROR(MAX(0,$E99-MAX($C99,$D99)),"")</f>
        <v>0.38155742500582335</v>
      </c>
      <c r="R99" s="9">
        <v>85.879000000000005</v>
      </c>
      <c r="S99" s="9">
        <v>94.396000000000001</v>
      </c>
    </row>
    <row r="100" spans="1:19" x14ac:dyDescent="0.35">
      <c r="A100" s="3">
        <f>vals_co2_excLUC!$A100</f>
        <v>1947</v>
      </c>
      <c r="B100" s="4">
        <f t="shared" si="24"/>
        <v>85.209440038427829</v>
      </c>
      <c r="C100" s="4">
        <f t="shared" si="25"/>
        <v>85.700905659711253</v>
      </c>
      <c r="D100" s="4">
        <f t="shared" si="26"/>
        <v>93.863432037312947</v>
      </c>
      <c r="E100" s="4">
        <f t="shared" si="27"/>
        <v>94.305271773363657</v>
      </c>
      <c r="F100" s="4">
        <f t="shared" si="28"/>
        <v>0.49146562128342453</v>
      </c>
      <c r="G100" s="4">
        <f t="shared" si="29"/>
        <v>0</v>
      </c>
      <c r="H100" s="4">
        <f t="shared" si="30"/>
        <v>8.1625263776016936</v>
      </c>
      <c r="I100" s="5">
        <f>vals_co2_excLUC!$R100</f>
        <v>85.700905659711253</v>
      </c>
      <c r="J100" s="5">
        <f>vals_co2_excLUC!$X100</f>
        <v>85.209440038427829</v>
      </c>
      <c r="K100" s="5">
        <f>vals_co2_excLUC!$AD100</f>
        <v>85.700904439681452</v>
      </c>
      <c r="L100" s="5"/>
      <c r="M100" s="5">
        <f>vals_co2_excLUC!$S100</f>
        <v>94.305271773363657</v>
      </c>
      <c r="N100" s="5">
        <f>vals_co2_excLUC!$Y100</f>
        <v>93.863432037312947</v>
      </c>
      <c r="O100" s="5">
        <f>vals_co2_excLUC!$AE100</f>
        <v>94.305271379903147</v>
      </c>
      <c r="P100" s="5"/>
      <c r="Q100" s="9">
        <f t="shared" si="31"/>
        <v>0.44183973605071003</v>
      </c>
      <c r="R100" s="9">
        <v>85.688999999999993</v>
      </c>
      <c r="S100" s="9">
        <v>94.3</v>
      </c>
    </row>
    <row r="101" spans="1:19" x14ac:dyDescent="0.35">
      <c r="A101" s="6">
        <f>vals_co2_excLUC!$A101</f>
        <v>1948</v>
      </c>
      <c r="B101" s="7">
        <f t="shared" si="24"/>
        <v>84.974414279583144</v>
      </c>
      <c r="C101" s="7">
        <f t="shared" si="25"/>
        <v>85.520038672111312</v>
      </c>
      <c r="D101" s="7">
        <f t="shared" si="26"/>
        <v>93.725351199930557</v>
      </c>
      <c r="E101" s="7">
        <f t="shared" si="27"/>
        <v>94.221643943760654</v>
      </c>
      <c r="F101" s="7">
        <f t="shared" si="28"/>
        <v>0.5456243925281683</v>
      </c>
      <c r="G101" s="7">
        <f t="shared" si="29"/>
        <v>0</v>
      </c>
      <c r="H101" s="7">
        <f t="shared" si="30"/>
        <v>8.2053125278192454</v>
      </c>
      <c r="I101" s="8">
        <f>vals_co2_excLUC!$R101</f>
        <v>85.520038672111312</v>
      </c>
      <c r="J101" s="8">
        <f>vals_co2_excLUC!$X101</f>
        <v>84.974414279583144</v>
      </c>
      <c r="K101" s="8">
        <f>vals_co2_excLUC!$AD101</f>
        <v>85.52003748533663</v>
      </c>
      <c r="L101" s="8"/>
      <c r="M101" s="8">
        <f>vals_co2_excLUC!$S101</f>
        <v>94.221643943760654</v>
      </c>
      <c r="N101" s="8">
        <f>vals_co2_excLUC!$Y101</f>
        <v>93.725351199930557</v>
      </c>
      <c r="O101" s="8">
        <f>vals_co2_excLUC!$AE101</f>
        <v>94.221643561376013</v>
      </c>
      <c r="P101" s="8"/>
      <c r="Q101" s="9">
        <f t="shared" si="31"/>
        <v>0.49629274383009658</v>
      </c>
      <c r="R101" s="9">
        <v>85.507999999999996</v>
      </c>
      <c r="S101" s="9">
        <v>94.215999999999994</v>
      </c>
    </row>
    <row r="102" spans="1:19" x14ac:dyDescent="0.35">
      <c r="A102" s="3">
        <f>vals_co2_excLUC!$A102</f>
        <v>1949</v>
      </c>
      <c r="B102" s="4">
        <f t="shared" si="24"/>
        <v>84.678431418324891</v>
      </c>
      <c r="C102" s="4">
        <f t="shared" si="25"/>
        <v>85.293057989356356</v>
      </c>
      <c r="D102" s="4">
        <f t="shared" si="26"/>
        <v>93.570608916128563</v>
      </c>
      <c r="E102" s="4">
        <f t="shared" si="27"/>
        <v>94.137058714675419</v>
      </c>
      <c r="F102" s="4">
        <f t="shared" si="28"/>
        <v>0.61462657103146512</v>
      </c>
      <c r="G102" s="4">
        <f t="shared" si="29"/>
        <v>0</v>
      </c>
      <c r="H102" s="4">
        <f t="shared" si="30"/>
        <v>8.2775509267722072</v>
      </c>
      <c r="I102" s="5">
        <f>vals_co2_excLUC!$R102</f>
        <v>85.293057989356356</v>
      </c>
      <c r="J102" s="5">
        <f>vals_co2_excLUC!$X102</f>
        <v>84.678431418324891</v>
      </c>
      <c r="K102" s="5">
        <f>vals_co2_excLUC!$AD102</f>
        <v>85.293056833554431</v>
      </c>
      <c r="L102" s="5"/>
      <c r="M102" s="5">
        <f>vals_co2_excLUC!$S102</f>
        <v>94.137058714675419</v>
      </c>
      <c r="N102" s="5">
        <f>vals_co2_excLUC!$Y102</f>
        <v>93.570608916128563</v>
      </c>
      <c r="O102" s="5">
        <f>vals_co2_excLUC!$AE102</f>
        <v>94.137058342425533</v>
      </c>
      <c r="P102" s="5"/>
      <c r="Q102" s="9">
        <f t="shared" si="31"/>
        <v>0.56644979854685573</v>
      </c>
      <c r="R102" s="9">
        <v>85.281999999999996</v>
      </c>
      <c r="S102" s="9">
        <v>94.132000000000005</v>
      </c>
    </row>
    <row r="103" spans="1:19" x14ac:dyDescent="0.35">
      <c r="A103" s="6">
        <f>vals_co2_excLUC!$A103</f>
        <v>1950</v>
      </c>
      <c r="B103" s="7">
        <f t="shared" si="24"/>
        <v>84.436976049253829</v>
      </c>
      <c r="C103" s="7">
        <f t="shared" si="25"/>
        <v>85.052829837674992</v>
      </c>
      <c r="D103" s="7">
        <f t="shared" si="26"/>
        <v>93.479933433465504</v>
      </c>
      <c r="E103" s="7">
        <f t="shared" si="27"/>
        <v>94.037693842819493</v>
      </c>
      <c r="F103" s="7">
        <f t="shared" si="28"/>
        <v>0.61585378842116256</v>
      </c>
      <c r="G103" s="7">
        <f t="shared" si="29"/>
        <v>0</v>
      </c>
      <c r="H103" s="7">
        <f t="shared" si="30"/>
        <v>8.4271035957905127</v>
      </c>
      <c r="I103" s="8">
        <f>vals_co2_excLUC!$R103</f>
        <v>85.052829837674992</v>
      </c>
      <c r="J103" s="8">
        <f>vals_co2_excLUC!$X103</f>
        <v>84.436976049253829</v>
      </c>
      <c r="K103" s="8">
        <f>vals_co2_excLUC!$AD103</f>
        <v>85.052828714550998</v>
      </c>
      <c r="L103" s="8"/>
      <c r="M103" s="8">
        <f>vals_co2_excLUC!$S103</f>
        <v>94.037693842819493</v>
      </c>
      <c r="N103" s="8">
        <f>vals_co2_excLUC!$Y103</f>
        <v>93.479933433465504</v>
      </c>
      <c r="O103" s="8">
        <f>vals_co2_excLUC!$AE103</f>
        <v>94.037693481384636</v>
      </c>
      <c r="P103" s="8"/>
      <c r="Q103" s="9">
        <f t="shared" si="31"/>
        <v>0.55776040935398896</v>
      </c>
      <c r="R103" s="9">
        <v>85.040999999999997</v>
      </c>
      <c r="S103" s="9">
        <v>94.033000000000001</v>
      </c>
    </row>
    <row r="104" spans="1:19" x14ac:dyDescent="0.35">
      <c r="A104" s="3">
        <f>vals_co2_excLUC!$A104</f>
        <v>1951</v>
      </c>
      <c r="B104" s="4">
        <f t="shared" si="24"/>
        <v>84.172096856953871</v>
      </c>
      <c r="C104" s="4">
        <f t="shared" si="25"/>
        <v>84.792682656450751</v>
      </c>
      <c r="D104" s="4">
        <f t="shared" si="26"/>
        <v>93.374139429864371</v>
      </c>
      <c r="E104" s="4">
        <f t="shared" si="27"/>
        <v>93.925574489720617</v>
      </c>
      <c r="F104" s="4">
        <f t="shared" si="28"/>
        <v>0.62058579949687953</v>
      </c>
      <c r="G104" s="4">
        <f t="shared" si="29"/>
        <v>0</v>
      </c>
      <c r="H104" s="4">
        <f t="shared" si="30"/>
        <v>8.5814567734136205</v>
      </c>
      <c r="I104" s="5">
        <f>vals_co2_excLUC!$R104</f>
        <v>84.792682656450751</v>
      </c>
      <c r="J104" s="5">
        <f>vals_co2_excLUC!$X104</f>
        <v>84.172096856953871</v>
      </c>
      <c r="K104" s="5">
        <f>vals_co2_excLUC!$AD104</f>
        <v>84.792681566629241</v>
      </c>
      <c r="L104" s="5"/>
      <c r="M104" s="5">
        <f>vals_co2_excLUC!$S104</f>
        <v>93.925574489720617</v>
      </c>
      <c r="N104" s="5">
        <f>vals_co2_excLUC!$Y104</f>
        <v>93.374139429864371</v>
      </c>
      <c r="O104" s="5">
        <f>vals_co2_excLUC!$AE104</f>
        <v>93.925574139367939</v>
      </c>
      <c r="P104" s="5"/>
      <c r="Q104" s="9">
        <f t="shared" si="31"/>
        <v>0.55143505985624586</v>
      </c>
      <c r="R104" s="9">
        <v>84.781000000000006</v>
      </c>
      <c r="S104" s="9">
        <v>93.92</v>
      </c>
    </row>
    <row r="105" spans="1:19" x14ac:dyDescent="0.35">
      <c r="A105" s="6">
        <f>vals_co2_excLUC!$A105</f>
        <v>1952</v>
      </c>
      <c r="B105" s="7">
        <f t="shared" si="24"/>
        <v>83.872008789220203</v>
      </c>
      <c r="C105" s="7">
        <f t="shared" si="25"/>
        <v>84.497989731011458</v>
      </c>
      <c r="D105" s="7">
        <f t="shared" si="26"/>
        <v>93.251874261924911</v>
      </c>
      <c r="E105" s="7">
        <f t="shared" si="27"/>
        <v>93.796013791766967</v>
      </c>
      <c r="F105" s="7">
        <f t="shared" si="28"/>
        <v>0.62598094179125496</v>
      </c>
      <c r="G105" s="7">
        <f t="shared" si="29"/>
        <v>0</v>
      </c>
      <c r="H105" s="7">
        <f t="shared" si="30"/>
        <v>8.753884530913453</v>
      </c>
      <c r="I105" s="8">
        <f>vals_co2_excLUC!$R105</f>
        <v>84.497989731011458</v>
      </c>
      <c r="J105" s="8">
        <f>vals_co2_excLUC!$X105</f>
        <v>83.872008789220203</v>
      </c>
      <c r="K105" s="8">
        <f>vals_co2_excLUC!$AD105</f>
        <v>84.497988673562375</v>
      </c>
      <c r="L105" s="8"/>
      <c r="M105" s="8">
        <f>vals_co2_excLUC!$S105</f>
        <v>93.796013791766967</v>
      </c>
      <c r="N105" s="8">
        <f>vals_co2_excLUC!$Y105</f>
        <v>93.251874261924911</v>
      </c>
      <c r="O105" s="8">
        <f>vals_co2_excLUC!$AE105</f>
        <v>93.796013452257071</v>
      </c>
      <c r="P105" s="8"/>
      <c r="Q105" s="9">
        <f t="shared" si="31"/>
        <v>0.54413952984205594</v>
      </c>
      <c r="R105" s="9">
        <v>84.486999999999995</v>
      </c>
      <c r="S105" s="9">
        <v>93.790999999999997</v>
      </c>
    </row>
    <row r="106" spans="1:19" x14ac:dyDescent="0.35">
      <c r="A106" s="3">
        <f>vals_co2_excLUC!$A106</f>
        <v>1953</v>
      </c>
      <c r="B106" s="4">
        <f t="shared" si="24"/>
        <v>83.560299846460779</v>
      </c>
      <c r="C106" s="4">
        <f t="shared" si="25"/>
        <v>84.195036106424325</v>
      </c>
      <c r="D106" s="4">
        <f t="shared" si="26"/>
        <v>93.130606193486116</v>
      </c>
      <c r="E106" s="4">
        <f t="shared" si="27"/>
        <v>93.669642548208813</v>
      </c>
      <c r="F106" s="4">
        <f t="shared" si="28"/>
        <v>0.63473625996354599</v>
      </c>
      <c r="G106" s="4">
        <f t="shared" si="29"/>
        <v>0</v>
      </c>
      <c r="H106" s="4">
        <f t="shared" si="30"/>
        <v>8.9355700870617909</v>
      </c>
      <c r="I106" s="5">
        <f>vals_co2_excLUC!$R106</f>
        <v>84.195036106424325</v>
      </c>
      <c r="J106" s="5">
        <f>vals_co2_excLUC!$X106</f>
        <v>83.560299846460779</v>
      </c>
      <c r="K106" s="5">
        <f>vals_co2_excLUC!$AD106</f>
        <v>84.195035080529337</v>
      </c>
      <c r="L106" s="5"/>
      <c r="M106" s="5">
        <f>vals_co2_excLUC!$S106</f>
        <v>93.669642548208813</v>
      </c>
      <c r="N106" s="5">
        <f>vals_co2_excLUC!$Y106</f>
        <v>93.130606193486116</v>
      </c>
      <c r="O106" s="5">
        <f>vals_co2_excLUC!$AE106</f>
        <v>93.669642219184439</v>
      </c>
      <c r="P106" s="5"/>
      <c r="Q106" s="9">
        <f t="shared" si="31"/>
        <v>0.53903635472269684</v>
      </c>
      <c r="R106" s="9">
        <v>84.183999999999997</v>
      </c>
      <c r="S106" s="9">
        <v>93.665000000000006</v>
      </c>
    </row>
    <row r="107" spans="1:19" x14ac:dyDescent="0.35">
      <c r="A107" s="6">
        <f>vals_co2_excLUC!$A107</f>
        <v>1954</v>
      </c>
      <c r="B107" s="7">
        <f t="shared" si="24"/>
        <v>83.203057678848452</v>
      </c>
      <c r="C107" s="7">
        <f t="shared" si="25"/>
        <v>83.849496708252573</v>
      </c>
      <c r="D107" s="7">
        <f t="shared" si="26"/>
        <v>92.985708475415535</v>
      </c>
      <c r="E107" s="7">
        <f t="shared" si="27"/>
        <v>93.521204908679607</v>
      </c>
      <c r="F107" s="7">
        <f t="shared" si="28"/>
        <v>0.6464390294041209</v>
      </c>
      <c r="G107" s="7">
        <f t="shared" si="29"/>
        <v>0</v>
      </c>
      <c r="H107" s="7">
        <f t="shared" si="30"/>
        <v>9.1362117671629619</v>
      </c>
      <c r="I107" s="8">
        <f>vals_co2_excLUC!$R107</f>
        <v>83.849496708252573</v>
      </c>
      <c r="J107" s="8">
        <f>vals_co2_excLUC!$X107</f>
        <v>83.203057678848452</v>
      </c>
      <c r="K107" s="8">
        <f>vals_co2_excLUC!$AD107</f>
        <v>83.849495713341554</v>
      </c>
      <c r="L107" s="8"/>
      <c r="M107" s="8">
        <f>vals_co2_excLUC!$S107</f>
        <v>93.521204908679607</v>
      </c>
      <c r="N107" s="8">
        <f>vals_co2_excLUC!$Y107</f>
        <v>92.985708475415535</v>
      </c>
      <c r="O107" s="8">
        <f>vals_co2_excLUC!$AE107</f>
        <v>93.521204590038735</v>
      </c>
      <c r="P107" s="8"/>
      <c r="Q107" s="9">
        <f t="shared" si="31"/>
        <v>0.53549643326407192</v>
      </c>
      <c r="R107" s="9">
        <v>83.837999999999994</v>
      </c>
      <c r="S107" s="9">
        <v>93.516000000000005</v>
      </c>
    </row>
    <row r="108" spans="1:19" x14ac:dyDescent="0.35">
      <c r="A108" s="3">
        <f>vals_co2_excLUC!$A108</f>
        <v>1955</v>
      </c>
      <c r="B108" s="4">
        <f t="shared" si="24"/>
        <v>82.811120168070346</v>
      </c>
      <c r="C108" s="4">
        <f t="shared" si="25"/>
        <v>83.468383004608015</v>
      </c>
      <c r="D108" s="4">
        <f t="shared" si="26"/>
        <v>92.822148969544585</v>
      </c>
      <c r="E108" s="4">
        <f t="shared" si="27"/>
        <v>93.350132071098045</v>
      </c>
      <c r="F108" s="4">
        <f t="shared" si="28"/>
        <v>0.6572628365376687</v>
      </c>
      <c r="G108" s="4">
        <f t="shared" si="29"/>
        <v>0</v>
      </c>
      <c r="H108" s="4">
        <f t="shared" si="30"/>
        <v>9.3537659649365708</v>
      </c>
      <c r="I108" s="5">
        <f>vals_co2_excLUC!$R108</f>
        <v>83.468380437248442</v>
      </c>
      <c r="J108" s="5">
        <f>vals_co2_excLUC!$X108</f>
        <v>82.811120168070346</v>
      </c>
      <c r="K108" s="5">
        <f>vals_co2_excLUC!$AD108</f>
        <v>83.468383004608015</v>
      </c>
      <c r="L108" s="5"/>
      <c r="M108" s="5">
        <f>vals_co2_excLUC!$S108</f>
        <v>93.350128430829315</v>
      </c>
      <c r="N108" s="5">
        <f>vals_co2_excLUC!$Y108</f>
        <v>92.822148969544585</v>
      </c>
      <c r="O108" s="5">
        <f>vals_co2_excLUC!$AE108</f>
        <v>93.350132071098045</v>
      </c>
      <c r="P108" s="5"/>
      <c r="Q108" s="9">
        <f t="shared" si="31"/>
        <v>0.52798310155345973</v>
      </c>
      <c r="R108" s="9">
        <v>83.456999999999994</v>
      </c>
      <c r="S108" s="9">
        <v>93.344999999999999</v>
      </c>
    </row>
    <row r="109" spans="1:19" x14ac:dyDescent="0.35">
      <c r="A109" s="6">
        <f>vals_co2_excLUC!$A109</f>
        <v>1956</v>
      </c>
      <c r="B109" s="7">
        <f t="shared" si="24"/>
        <v>82.395780352224207</v>
      </c>
      <c r="C109" s="7">
        <f t="shared" si="25"/>
        <v>83.064964214328867</v>
      </c>
      <c r="D109" s="7">
        <f t="shared" si="26"/>
        <v>92.648676657150787</v>
      </c>
      <c r="E109" s="7">
        <f t="shared" si="27"/>
        <v>93.16857847845526</v>
      </c>
      <c r="F109" s="7">
        <f t="shared" si="28"/>
        <v>0.66918386210465997</v>
      </c>
      <c r="G109" s="7">
        <f t="shared" si="29"/>
        <v>0</v>
      </c>
      <c r="H109" s="7">
        <f t="shared" si="30"/>
        <v>9.5837124428219198</v>
      </c>
      <c r="I109" s="8">
        <f>vals_co2_excLUC!$R109</f>
        <v>83.064958321330693</v>
      </c>
      <c r="J109" s="8">
        <f>vals_co2_excLUC!$X109</f>
        <v>82.395780352224207</v>
      </c>
      <c r="K109" s="8">
        <f>vals_co2_excLUC!$AD109</f>
        <v>83.064964214328867</v>
      </c>
      <c r="L109" s="8"/>
      <c r="M109" s="8">
        <f>vals_co2_excLUC!$S109</f>
        <v>93.168571121878045</v>
      </c>
      <c r="N109" s="8">
        <f>vals_co2_excLUC!$Y109</f>
        <v>92.648676657150787</v>
      </c>
      <c r="O109" s="8">
        <f>vals_co2_excLUC!$AE109</f>
        <v>93.16857847845526</v>
      </c>
      <c r="P109" s="8"/>
      <c r="Q109" s="9">
        <f t="shared" si="31"/>
        <v>0.51990182130447238</v>
      </c>
      <c r="R109" s="9">
        <v>83.054000000000002</v>
      </c>
      <c r="S109" s="9">
        <v>93.164000000000001</v>
      </c>
    </row>
    <row r="110" spans="1:19" x14ac:dyDescent="0.35">
      <c r="A110" s="3">
        <f>vals_co2_excLUC!$A110</f>
        <v>1957</v>
      </c>
      <c r="B110" s="4">
        <f t="shared" si="24"/>
        <v>81.932674864373098</v>
      </c>
      <c r="C110" s="4">
        <f t="shared" si="25"/>
        <v>82.620322164509162</v>
      </c>
      <c r="D110" s="4">
        <f t="shared" si="26"/>
        <v>92.451908187900088</v>
      </c>
      <c r="E110" s="4">
        <f t="shared" si="27"/>
        <v>92.969137796701702</v>
      </c>
      <c r="F110" s="4">
        <f t="shared" si="28"/>
        <v>0.68764730013606368</v>
      </c>
      <c r="G110" s="4">
        <f t="shared" si="29"/>
        <v>0</v>
      </c>
      <c r="H110" s="4">
        <f t="shared" si="30"/>
        <v>9.8315860233909262</v>
      </c>
      <c r="I110" s="5">
        <f>vals_co2_excLUC!$R110</f>
        <v>82.620312341017282</v>
      </c>
      <c r="J110" s="5">
        <f>vals_co2_excLUC!$X110</f>
        <v>81.932674864373098</v>
      </c>
      <c r="K110" s="5">
        <f>vals_co2_excLUC!$AD110</f>
        <v>82.620322164509162</v>
      </c>
      <c r="L110" s="5"/>
      <c r="M110" s="5">
        <f>vals_co2_excLUC!$S110</f>
        <v>92.969125609487506</v>
      </c>
      <c r="N110" s="5">
        <f>vals_co2_excLUC!$Y110</f>
        <v>92.451908187900088</v>
      </c>
      <c r="O110" s="5">
        <f>vals_co2_excLUC!$AE110</f>
        <v>92.969137796701702</v>
      </c>
      <c r="P110" s="5"/>
      <c r="Q110" s="9">
        <f t="shared" si="31"/>
        <v>0.51722960880161395</v>
      </c>
      <c r="R110" s="9">
        <v>82.608999999999995</v>
      </c>
      <c r="S110" s="9">
        <v>92.963999999999999</v>
      </c>
    </row>
    <row r="111" spans="1:19" x14ac:dyDescent="0.35">
      <c r="A111" s="6">
        <f>vals_co2_excLUC!$A111</f>
        <v>1958</v>
      </c>
      <c r="B111" s="7">
        <f t="shared" si="24"/>
        <v>81.369280520453884</v>
      </c>
      <c r="C111" s="7">
        <f t="shared" si="25"/>
        <v>82.079164700811475</v>
      </c>
      <c r="D111" s="7">
        <f t="shared" si="26"/>
        <v>92.162811236036674</v>
      </c>
      <c r="E111" s="7">
        <f t="shared" si="27"/>
        <v>92.680520302327494</v>
      </c>
      <c r="F111" s="7">
        <f t="shared" si="28"/>
        <v>0.70988418035759082</v>
      </c>
      <c r="G111" s="7">
        <f t="shared" si="29"/>
        <v>0</v>
      </c>
      <c r="H111" s="7">
        <f t="shared" si="30"/>
        <v>10.083646535225199</v>
      </c>
      <c r="I111" s="8">
        <f>vals_co2_excLUC!$R111</f>
        <v>82.07915089069067</v>
      </c>
      <c r="J111" s="8">
        <f>vals_co2_excLUC!$X111</f>
        <v>81.369280520453884</v>
      </c>
      <c r="K111" s="8">
        <f>vals_co2_excLUC!$AD111</f>
        <v>82.079164700811475</v>
      </c>
      <c r="L111" s="8"/>
      <c r="M111" s="8">
        <f>vals_co2_excLUC!$S111</f>
        <v>92.680503606617904</v>
      </c>
      <c r="N111" s="8">
        <f>vals_co2_excLUC!$Y111</f>
        <v>92.162811236036674</v>
      </c>
      <c r="O111" s="8">
        <f>vals_co2_excLUC!$AE111</f>
        <v>92.680520302327494</v>
      </c>
      <c r="P111" s="8"/>
      <c r="Q111" s="9">
        <f t="shared" si="31"/>
        <v>0.51770906629081992</v>
      </c>
      <c r="R111" s="9">
        <v>82.067999999999998</v>
      </c>
      <c r="S111" s="9">
        <v>92.674999999999997</v>
      </c>
    </row>
    <row r="112" spans="1:19" x14ac:dyDescent="0.35">
      <c r="A112" s="3">
        <f>vals_co2_excLUC!$A112</f>
        <v>1959</v>
      </c>
      <c r="B112" s="4">
        <f t="shared" si="24"/>
        <v>80.750637704182779</v>
      </c>
      <c r="C112" s="4">
        <f t="shared" si="25"/>
        <v>81.48257840264219</v>
      </c>
      <c r="D112" s="4">
        <f t="shared" si="26"/>
        <v>91.81636937089354</v>
      </c>
      <c r="E112" s="4">
        <f t="shared" si="27"/>
        <v>92.334141009646928</v>
      </c>
      <c r="F112" s="4">
        <f t="shared" si="28"/>
        <v>0.73194069845941101</v>
      </c>
      <c r="G112" s="4">
        <f t="shared" si="29"/>
        <v>0</v>
      </c>
      <c r="H112" s="4">
        <f t="shared" si="30"/>
        <v>10.33379096825135</v>
      </c>
      <c r="I112" s="5">
        <f>vals_co2_excLUC!$R112</f>
        <v>81.482561201908297</v>
      </c>
      <c r="J112" s="5">
        <f>vals_co2_excLUC!$X112</f>
        <v>80.750637704182779</v>
      </c>
      <c r="K112" s="5">
        <f>vals_co2_excLUC!$AD112</f>
        <v>81.48257840264219</v>
      </c>
      <c r="L112" s="5"/>
      <c r="M112" s="5">
        <f>vals_co2_excLUC!$S112</f>
        <v>92.334120447474078</v>
      </c>
      <c r="N112" s="5">
        <f>vals_co2_excLUC!$Y112</f>
        <v>91.81636937089354</v>
      </c>
      <c r="O112" s="5">
        <f>vals_co2_excLUC!$AE112</f>
        <v>92.334141009646928</v>
      </c>
      <c r="P112" s="5"/>
      <c r="Q112" s="9">
        <f t="shared" si="31"/>
        <v>0.51777163875338772</v>
      </c>
      <c r="R112" s="9">
        <v>81.471000000000004</v>
      </c>
      <c r="S112" s="9">
        <v>92.328999999999994</v>
      </c>
    </row>
    <row r="113" spans="1:19" x14ac:dyDescent="0.35">
      <c r="A113" s="6">
        <f>vals_co2_excLUC!$A113</f>
        <v>1960</v>
      </c>
      <c r="B113" s="7">
        <f t="shared" si="24"/>
        <v>80.124772664549226</v>
      </c>
      <c r="C113" s="7">
        <f t="shared" si="25"/>
        <v>80.880557816962963</v>
      </c>
      <c r="D113" s="7">
        <f t="shared" si="26"/>
        <v>91.455636648708207</v>
      </c>
      <c r="E113" s="7">
        <f t="shared" si="27"/>
        <v>91.974641919274461</v>
      </c>
      <c r="F113" s="7">
        <f t="shared" si="28"/>
        <v>0.75578515241373623</v>
      </c>
      <c r="G113" s="7">
        <f t="shared" si="29"/>
        <v>0</v>
      </c>
      <c r="H113" s="7">
        <f t="shared" si="30"/>
        <v>10.575078831745245</v>
      </c>
      <c r="I113" s="8">
        <f>vals_co2_excLUC!$R113</f>
        <v>80.880537511263697</v>
      </c>
      <c r="J113" s="8">
        <f>vals_co2_excLUC!$X113</f>
        <v>80.124772664549226</v>
      </c>
      <c r="K113" s="8">
        <f>vals_co2_excLUC!$AD113</f>
        <v>80.880557816962963</v>
      </c>
      <c r="L113" s="8"/>
      <c r="M113" s="8">
        <f>vals_co2_excLUC!$S113</f>
        <v>91.974617788755538</v>
      </c>
      <c r="N113" s="8">
        <f>vals_co2_excLUC!$Y113</f>
        <v>91.455636648708207</v>
      </c>
      <c r="O113" s="8">
        <f>vals_co2_excLUC!$AE113</f>
        <v>91.974641919274461</v>
      </c>
      <c r="P113" s="8"/>
      <c r="Q113" s="9">
        <f t="shared" si="31"/>
        <v>0.51900527056625378</v>
      </c>
      <c r="R113" s="9">
        <v>80.869</v>
      </c>
      <c r="S113" s="9">
        <v>91.968999999999994</v>
      </c>
    </row>
    <row r="114" spans="1:19" x14ac:dyDescent="0.35">
      <c r="A114" s="3">
        <f>vals_co2_excLUC!$A114</f>
        <v>1961</v>
      </c>
      <c r="B114" s="4">
        <f t="shared" si="24"/>
        <v>79.567705243288501</v>
      </c>
      <c r="C114" s="4">
        <f t="shared" si="25"/>
        <v>80.350577450122813</v>
      </c>
      <c r="D114" s="4">
        <f t="shared" si="26"/>
        <v>91.170233022092845</v>
      </c>
      <c r="E114" s="4">
        <f t="shared" si="27"/>
        <v>91.694771335916101</v>
      </c>
      <c r="F114" s="4">
        <f t="shared" si="28"/>
        <v>0.78287220683431258</v>
      </c>
      <c r="G114" s="4">
        <f t="shared" si="29"/>
        <v>0</v>
      </c>
      <c r="H114" s="4">
        <f t="shared" si="30"/>
        <v>10.819655571970031</v>
      </c>
      <c r="I114" s="5">
        <f>vals_co2_excLUC!$R114</f>
        <v>80.350544694060972</v>
      </c>
      <c r="J114" s="5">
        <f>vals_co2_excLUC!$X114</f>
        <v>79.567705243288501</v>
      </c>
      <c r="K114" s="5">
        <f>vals_co2_excLUC!$AD114</f>
        <v>80.350577450122813</v>
      </c>
      <c r="L114" s="5"/>
      <c r="M114" s="5">
        <f>vals_co2_excLUC!$S114</f>
        <v>91.694732944980245</v>
      </c>
      <c r="N114" s="5">
        <f>vals_co2_excLUC!$Y114</f>
        <v>91.170233022092845</v>
      </c>
      <c r="O114" s="5">
        <f>vals_co2_excLUC!$AE114</f>
        <v>91.694771335916101</v>
      </c>
      <c r="P114" s="5"/>
      <c r="Q114" s="9">
        <f t="shared" si="31"/>
        <v>0.52453831382325689</v>
      </c>
      <c r="R114" s="9">
        <v>80.338999999999999</v>
      </c>
      <c r="S114" s="9">
        <v>91.69</v>
      </c>
    </row>
    <row r="115" spans="1:19" x14ac:dyDescent="0.35">
      <c r="A115" s="6">
        <f>vals_co2_excLUC!$A115</f>
        <v>1962</v>
      </c>
      <c r="B115" s="7">
        <f t="shared" si="24"/>
        <v>79.041512376121148</v>
      </c>
      <c r="C115" s="7">
        <f t="shared" si="25"/>
        <v>79.852269135959546</v>
      </c>
      <c r="D115" s="7">
        <f t="shared" si="26"/>
        <v>90.919996150334995</v>
      </c>
      <c r="E115" s="7">
        <f t="shared" si="27"/>
        <v>91.452239586041486</v>
      </c>
      <c r="F115" s="7">
        <f t="shared" si="28"/>
        <v>0.81075675983839801</v>
      </c>
      <c r="G115" s="7">
        <f t="shared" si="29"/>
        <v>0</v>
      </c>
      <c r="H115" s="7">
        <f t="shared" si="30"/>
        <v>11.06772701437545</v>
      </c>
      <c r="I115" s="8">
        <f>vals_co2_excLUC!$R115</f>
        <v>79.852224837460668</v>
      </c>
      <c r="J115" s="8">
        <f>vals_co2_excLUC!$X115</f>
        <v>79.041512376121148</v>
      </c>
      <c r="K115" s="8">
        <f>vals_co2_excLUC!$AD115</f>
        <v>79.852269135959546</v>
      </c>
      <c r="L115" s="8"/>
      <c r="M115" s="8">
        <f>vals_co2_excLUC!$S115</f>
        <v>91.452187870746059</v>
      </c>
      <c r="N115" s="8">
        <f>vals_co2_excLUC!$Y115</f>
        <v>90.919996150334995</v>
      </c>
      <c r="O115" s="8">
        <f>vals_co2_excLUC!$AE115</f>
        <v>91.452239586041486</v>
      </c>
      <c r="P115" s="8"/>
      <c r="Q115" s="9">
        <f t="shared" si="31"/>
        <v>0.53224343570649069</v>
      </c>
      <c r="R115" s="9">
        <v>79.840999999999994</v>
      </c>
      <c r="S115" s="9">
        <v>91.447000000000003</v>
      </c>
    </row>
    <row r="116" spans="1:19" x14ac:dyDescent="0.35">
      <c r="A116" s="3">
        <f>vals_co2_excLUC!$A116</f>
        <v>1963</v>
      </c>
      <c r="B116" s="4">
        <f t="shared" si="24"/>
        <v>78.516195428115779</v>
      </c>
      <c r="C116" s="4">
        <f t="shared" si="25"/>
        <v>79.353922764829392</v>
      </c>
      <c r="D116" s="4">
        <f t="shared" si="26"/>
        <v>90.677494878867719</v>
      </c>
      <c r="E116" s="4">
        <f t="shared" si="27"/>
        <v>91.218394142070963</v>
      </c>
      <c r="F116" s="4">
        <f t="shared" si="28"/>
        <v>0.83772733671361266</v>
      </c>
      <c r="G116" s="4">
        <f t="shared" si="29"/>
        <v>0</v>
      </c>
      <c r="H116" s="4">
        <f t="shared" si="30"/>
        <v>11.323572114038328</v>
      </c>
      <c r="I116" s="5">
        <f>vals_co2_excLUC!$R116</f>
        <v>79.353866624578231</v>
      </c>
      <c r="J116" s="5">
        <f>vals_co2_excLUC!$X116</f>
        <v>78.516195428115779</v>
      </c>
      <c r="K116" s="5">
        <f>vals_co2_excLUC!$AD116</f>
        <v>79.353922764829392</v>
      </c>
      <c r="L116" s="5"/>
      <c r="M116" s="5">
        <f>vals_co2_excLUC!$S116</f>
        <v>91.218328957503417</v>
      </c>
      <c r="N116" s="5">
        <f>vals_co2_excLUC!$Y116</f>
        <v>90.677494878867719</v>
      </c>
      <c r="O116" s="5">
        <f>vals_co2_excLUC!$AE116</f>
        <v>91.218394142070963</v>
      </c>
      <c r="P116" s="5"/>
      <c r="Q116" s="9">
        <f t="shared" si="31"/>
        <v>0.54089926320324366</v>
      </c>
      <c r="R116" s="9">
        <v>79.343000000000004</v>
      </c>
      <c r="S116" s="9">
        <v>91.212999999999994</v>
      </c>
    </row>
    <row r="117" spans="1:19" x14ac:dyDescent="0.35">
      <c r="A117" s="6">
        <f>vals_co2_excLUC!$A117</f>
        <v>1964</v>
      </c>
      <c r="B117" s="7">
        <f t="shared" si="24"/>
        <v>77.989662779318749</v>
      </c>
      <c r="C117" s="7">
        <f t="shared" si="25"/>
        <v>78.850934208478051</v>
      </c>
      <c r="D117" s="7">
        <f t="shared" si="26"/>
        <v>90.439281101628197</v>
      </c>
      <c r="E117" s="7">
        <f t="shared" si="27"/>
        <v>90.984486400735776</v>
      </c>
      <c r="F117" s="7">
        <f t="shared" si="28"/>
        <v>0.86127142915930222</v>
      </c>
      <c r="G117" s="7">
        <f t="shared" si="29"/>
        <v>0</v>
      </c>
      <c r="H117" s="7">
        <f t="shared" si="30"/>
        <v>11.588346893150145</v>
      </c>
      <c r="I117" s="8">
        <f>vals_co2_excLUC!$R117</f>
        <v>78.850866499556389</v>
      </c>
      <c r="J117" s="8">
        <f>vals_co2_excLUC!$X117</f>
        <v>77.989662779318749</v>
      </c>
      <c r="K117" s="8">
        <f>vals_co2_excLUC!$AD117</f>
        <v>78.850934208478051</v>
      </c>
      <c r="L117" s="8"/>
      <c r="M117" s="8">
        <f>vals_co2_excLUC!$S117</f>
        <v>90.984407640974666</v>
      </c>
      <c r="N117" s="8">
        <f>vals_co2_excLUC!$Y117</f>
        <v>90.439281101628197</v>
      </c>
      <c r="O117" s="8">
        <f>vals_co2_excLUC!$AE117</f>
        <v>90.984486400735776</v>
      </c>
      <c r="P117" s="8"/>
      <c r="Q117" s="9">
        <f t="shared" si="31"/>
        <v>0.54520529910757887</v>
      </c>
      <c r="R117" s="9">
        <v>78.84</v>
      </c>
      <c r="S117" s="9">
        <v>90.978999999999999</v>
      </c>
    </row>
    <row r="118" spans="1:19" x14ac:dyDescent="0.35">
      <c r="A118" s="3">
        <f>vals_co2_excLUC!$A118</f>
        <v>1965</v>
      </c>
      <c r="B118" s="4">
        <f t="shared" si="24"/>
        <v>77.454938048082838</v>
      </c>
      <c r="C118" s="4">
        <f t="shared" si="25"/>
        <v>78.336062338978707</v>
      </c>
      <c r="D118" s="4">
        <f t="shared" si="26"/>
        <v>90.189786762150518</v>
      </c>
      <c r="E118" s="4">
        <f t="shared" si="27"/>
        <v>90.735361354320048</v>
      </c>
      <c r="F118" s="4">
        <f t="shared" si="28"/>
        <v>0.88112429089586897</v>
      </c>
      <c r="G118" s="4">
        <f t="shared" si="29"/>
        <v>0</v>
      </c>
      <c r="H118" s="4">
        <f t="shared" si="30"/>
        <v>11.853724423171812</v>
      </c>
      <c r="I118" s="5">
        <f>vals_co2_excLUC!$R118</f>
        <v>78.335982482062633</v>
      </c>
      <c r="J118" s="5">
        <f>vals_co2_excLUC!$X118</f>
        <v>77.454938048082838</v>
      </c>
      <c r="K118" s="5">
        <f>vals_co2_excLUC!$AD118</f>
        <v>78.336062338978707</v>
      </c>
      <c r="L118" s="5"/>
      <c r="M118" s="5">
        <f>vals_co2_excLUC!$S118</f>
        <v>90.735268244041578</v>
      </c>
      <c r="N118" s="5">
        <f>vals_co2_excLUC!$Y118</f>
        <v>90.189786762150518</v>
      </c>
      <c r="O118" s="5">
        <f>vals_co2_excLUC!$AE118</f>
        <v>90.735361354320048</v>
      </c>
      <c r="P118" s="5"/>
      <c r="Q118" s="9">
        <f t="shared" si="31"/>
        <v>0.54557459216952964</v>
      </c>
      <c r="R118" s="9">
        <v>78.325000000000003</v>
      </c>
      <c r="S118" s="9">
        <v>90.73</v>
      </c>
    </row>
    <row r="119" spans="1:19" x14ac:dyDescent="0.35">
      <c r="A119" s="6">
        <f>vals_co2_excLUC!$A119</f>
        <v>1966</v>
      </c>
      <c r="B119" s="7">
        <f t="shared" si="24"/>
        <v>76.910450587307068</v>
      </c>
      <c r="C119" s="7">
        <f t="shared" si="25"/>
        <v>77.816991096038748</v>
      </c>
      <c r="D119" s="7">
        <f t="shared" si="26"/>
        <v>89.926834211603961</v>
      </c>
      <c r="E119" s="7">
        <f t="shared" si="27"/>
        <v>90.477453331711786</v>
      </c>
      <c r="F119" s="7">
        <f t="shared" si="28"/>
        <v>0.90654050873168046</v>
      </c>
      <c r="G119" s="7">
        <f t="shared" si="29"/>
        <v>0</v>
      </c>
      <c r="H119" s="7">
        <f t="shared" si="30"/>
        <v>12.109843115565212</v>
      </c>
      <c r="I119" s="8">
        <f>vals_co2_excLUC!$R119</f>
        <v>77.816900150787333</v>
      </c>
      <c r="J119" s="8">
        <f>vals_co2_excLUC!$X119</f>
        <v>76.910450587307068</v>
      </c>
      <c r="K119" s="8">
        <f>vals_co2_excLUC!$AD119</f>
        <v>77.816991096038748</v>
      </c>
      <c r="L119" s="8"/>
      <c r="M119" s="8">
        <f>vals_co2_excLUC!$S119</f>
        <v>90.477346994972862</v>
      </c>
      <c r="N119" s="8">
        <f>vals_co2_excLUC!$Y119</f>
        <v>89.926834211603961</v>
      </c>
      <c r="O119" s="8">
        <f>vals_co2_excLUC!$AE119</f>
        <v>90.477453331711786</v>
      </c>
      <c r="P119" s="8"/>
      <c r="Q119" s="9">
        <f t="shared" si="31"/>
        <v>0.55061912010782521</v>
      </c>
      <c r="R119" s="9">
        <v>77.805999999999997</v>
      </c>
      <c r="S119" s="9">
        <v>90.471999999999994</v>
      </c>
    </row>
    <row r="120" spans="1:19" x14ac:dyDescent="0.35">
      <c r="A120" s="3">
        <f>vals_co2_excLUC!$A120</f>
        <v>1967</v>
      </c>
      <c r="B120" s="4">
        <f t="shared" si="24"/>
        <v>76.399593937436478</v>
      </c>
      <c r="C120" s="4">
        <f t="shared" si="25"/>
        <v>77.3239335475633</v>
      </c>
      <c r="D120" s="4">
        <f t="shared" si="26"/>
        <v>89.696071068711746</v>
      </c>
      <c r="E120" s="4">
        <f t="shared" si="27"/>
        <v>90.243746947714072</v>
      </c>
      <c r="F120" s="4">
        <f t="shared" si="28"/>
        <v>0.92433961012682175</v>
      </c>
      <c r="G120" s="4">
        <f t="shared" si="29"/>
        <v>0</v>
      </c>
      <c r="H120" s="4">
        <f t="shared" si="30"/>
        <v>12.372137521148446</v>
      </c>
      <c r="I120" s="5">
        <f>vals_co2_excLUC!$R120</f>
        <v>77.323830789766575</v>
      </c>
      <c r="J120" s="5">
        <f>vals_co2_excLUC!$X120</f>
        <v>76.399593937436478</v>
      </c>
      <c r="K120" s="5">
        <f>vals_co2_excLUC!$AD120</f>
        <v>77.3239335475633</v>
      </c>
      <c r="L120" s="5"/>
      <c r="M120" s="5">
        <f>vals_co2_excLUC!$S120</f>
        <v>90.243626442966246</v>
      </c>
      <c r="N120" s="5">
        <f>vals_co2_excLUC!$Y120</f>
        <v>89.696071068711746</v>
      </c>
      <c r="O120" s="5">
        <f>vals_co2_excLUC!$AE120</f>
        <v>90.243746947714072</v>
      </c>
      <c r="P120" s="5"/>
      <c r="Q120" s="9">
        <f t="shared" si="31"/>
        <v>0.54767587900232684</v>
      </c>
      <c r="R120" s="9">
        <v>77.313000000000002</v>
      </c>
      <c r="S120" s="9">
        <v>90.239000000000004</v>
      </c>
    </row>
    <row r="121" spans="1:19" x14ac:dyDescent="0.35">
      <c r="A121" s="6">
        <f>vals_co2_excLUC!$A121</f>
        <v>1968</v>
      </c>
      <c r="B121" s="7">
        <f t="shared" si="24"/>
        <v>75.888915083121873</v>
      </c>
      <c r="C121" s="7">
        <f t="shared" si="25"/>
        <v>76.832886915094292</v>
      </c>
      <c r="D121" s="7">
        <f t="shared" si="26"/>
        <v>89.449597927340434</v>
      </c>
      <c r="E121" s="7">
        <f t="shared" si="27"/>
        <v>89.998366216908906</v>
      </c>
      <c r="F121" s="7">
        <f t="shared" si="28"/>
        <v>0.9439718319724193</v>
      </c>
      <c r="G121" s="7">
        <f t="shared" si="29"/>
        <v>0</v>
      </c>
      <c r="H121" s="7">
        <f t="shared" si="30"/>
        <v>12.616711012246142</v>
      </c>
      <c r="I121" s="8">
        <f>vals_co2_excLUC!$R121</f>
        <v>76.832772849390224</v>
      </c>
      <c r="J121" s="8">
        <f>vals_co2_excLUC!$X121</f>
        <v>75.888915083121873</v>
      </c>
      <c r="K121" s="8">
        <f>vals_co2_excLUC!$AD121</f>
        <v>76.832886915094292</v>
      </c>
      <c r="L121" s="8"/>
      <c r="M121" s="8">
        <f>vals_co2_excLUC!$S121</f>
        <v>89.998232045860703</v>
      </c>
      <c r="N121" s="8">
        <f>vals_co2_excLUC!$Y121</f>
        <v>89.449597927340434</v>
      </c>
      <c r="O121" s="8">
        <f>vals_co2_excLUC!$AE121</f>
        <v>89.998366216908906</v>
      </c>
      <c r="P121" s="8"/>
      <c r="Q121" s="9">
        <f t="shared" si="31"/>
        <v>0.54876828956847135</v>
      </c>
      <c r="R121" s="9">
        <v>76.822000000000003</v>
      </c>
      <c r="S121" s="9">
        <v>89.992999999999995</v>
      </c>
    </row>
    <row r="122" spans="1:19" x14ac:dyDescent="0.35">
      <c r="A122" s="3">
        <f>vals_co2_excLUC!$A122</f>
        <v>1969</v>
      </c>
      <c r="B122" s="4">
        <f t="shared" si="24"/>
        <v>75.37004833742273</v>
      </c>
      <c r="C122" s="4">
        <f t="shared" si="25"/>
        <v>76.330370927326413</v>
      </c>
      <c r="D122" s="4">
        <f t="shared" si="26"/>
        <v>89.182105438370201</v>
      </c>
      <c r="E122" s="4">
        <f t="shared" si="27"/>
        <v>89.729898356004611</v>
      </c>
      <c r="F122" s="4">
        <f t="shared" si="28"/>
        <v>0.96032258990368291</v>
      </c>
      <c r="G122" s="4">
        <f t="shared" si="29"/>
        <v>0</v>
      </c>
      <c r="H122" s="4">
        <f t="shared" si="30"/>
        <v>12.851734511043787</v>
      </c>
      <c r="I122" s="5">
        <f>vals_co2_excLUC!$R122</f>
        <v>76.330236262457689</v>
      </c>
      <c r="J122" s="5">
        <f>vals_co2_excLUC!$X122</f>
        <v>75.37004833742273</v>
      </c>
      <c r="K122" s="5">
        <f>vals_co2_excLUC!$AD122</f>
        <v>76.330370927326413</v>
      </c>
      <c r="L122" s="5"/>
      <c r="M122" s="5">
        <f>vals_co2_excLUC!$S122</f>
        <v>89.729739508839771</v>
      </c>
      <c r="N122" s="5">
        <f>vals_co2_excLUC!$Y122</f>
        <v>89.182105438370201</v>
      </c>
      <c r="O122" s="5">
        <f>vals_co2_excLUC!$AE122</f>
        <v>89.729898356004611</v>
      </c>
      <c r="P122" s="5"/>
      <c r="Q122" s="9">
        <f t="shared" si="31"/>
        <v>0.54779291763441051</v>
      </c>
      <c r="R122" s="9">
        <v>76.319999999999993</v>
      </c>
      <c r="S122" s="9">
        <v>89.724999999999994</v>
      </c>
    </row>
    <row r="123" spans="1:19" x14ac:dyDescent="0.35">
      <c r="A123" s="6">
        <f>vals_co2_excLUC!$A123</f>
        <v>1970</v>
      </c>
      <c r="B123" s="7">
        <f t="shared" si="24"/>
        <v>74.820921612369418</v>
      </c>
      <c r="C123" s="7">
        <f t="shared" si="25"/>
        <v>75.79674592470127</v>
      </c>
      <c r="D123" s="7">
        <f t="shared" si="26"/>
        <v>88.8676841211213</v>
      </c>
      <c r="E123" s="7">
        <f t="shared" si="27"/>
        <v>89.416334457226128</v>
      </c>
      <c r="F123" s="7">
        <f t="shared" si="28"/>
        <v>0.97582431233185218</v>
      </c>
      <c r="G123" s="7">
        <f t="shared" si="29"/>
        <v>0</v>
      </c>
      <c r="H123" s="7">
        <f t="shared" si="30"/>
        <v>13.07093819642003</v>
      </c>
      <c r="I123" s="8">
        <f>vals_co2_excLUC!$R123</f>
        <v>75.796579469001131</v>
      </c>
      <c r="J123" s="8">
        <f>vals_co2_excLUC!$X123</f>
        <v>74.820921612369418</v>
      </c>
      <c r="K123" s="8">
        <f>vals_co2_excLUC!$AD123</f>
        <v>75.79674592470127</v>
      </c>
      <c r="L123" s="8"/>
      <c r="M123" s="8">
        <f>vals_co2_excLUC!$S123</f>
        <v>89.416137567350205</v>
      </c>
      <c r="N123" s="8">
        <f>vals_co2_excLUC!$Y123</f>
        <v>88.8676841211213</v>
      </c>
      <c r="O123" s="8">
        <f>vals_co2_excLUC!$AE123</f>
        <v>89.416334457226128</v>
      </c>
      <c r="P123" s="8"/>
      <c r="Q123" s="9">
        <f t="shared" si="31"/>
        <v>0.54865033610482783</v>
      </c>
      <c r="R123" s="9">
        <v>75.786000000000001</v>
      </c>
      <c r="S123" s="9">
        <v>89.411000000000001</v>
      </c>
    </row>
    <row r="124" spans="1:19" x14ac:dyDescent="0.35">
      <c r="A124" s="3">
        <f>vals_co2_excLUC!$A124</f>
        <v>1971</v>
      </c>
      <c r="B124" s="4">
        <f t="shared" si="24"/>
        <v>74.251851317287247</v>
      </c>
      <c r="C124" s="4">
        <f t="shared" si="25"/>
        <v>75.230354454356899</v>
      </c>
      <c r="D124" s="4">
        <f t="shared" si="26"/>
        <v>88.52813730896527</v>
      </c>
      <c r="E124" s="4">
        <f t="shared" si="27"/>
        <v>89.073190823005163</v>
      </c>
      <c r="F124" s="4">
        <f t="shared" si="28"/>
        <v>0.97850313706965153</v>
      </c>
      <c r="G124" s="4">
        <f t="shared" si="29"/>
        <v>0</v>
      </c>
      <c r="H124" s="4">
        <f t="shared" si="30"/>
        <v>13.297782854608371</v>
      </c>
      <c r="I124" s="5">
        <f>vals_co2_excLUC!$R124</f>
        <v>75.230151517199204</v>
      </c>
      <c r="J124" s="5">
        <f>vals_co2_excLUC!$X124</f>
        <v>74.251851317287247</v>
      </c>
      <c r="K124" s="5">
        <f>vals_co2_excLUC!$AD124</f>
        <v>75.230354454356899</v>
      </c>
      <c r="L124" s="5"/>
      <c r="M124" s="5">
        <f>vals_co2_excLUC!$S124</f>
        <v>89.072950037040201</v>
      </c>
      <c r="N124" s="5">
        <f>vals_co2_excLUC!$Y124</f>
        <v>88.52813730896527</v>
      </c>
      <c r="O124" s="5">
        <f>vals_co2_excLUC!$AE124</f>
        <v>89.073190823005163</v>
      </c>
      <c r="P124" s="5"/>
      <c r="Q124" s="9">
        <f t="shared" si="31"/>
        <v>0.54505351403989266</v>
      </c>
      <c r="R124" s="9">
        <v>75.22</v>
      </c>
      <c r="S124" s="9">
        <v>89.067999999999998</v>
      </c>
    </row>
    <row r="125" spans="1:19" x14ac:dyDescent="0.35">
      <c r="A125" s="6">
        <f>vals_co2_excLUC!$A125</f>
        <v>1972</v>
      </c>
      <c r="B125" s="7">
        <f t="shared" si="24"/>
        <v>73.694622348275288</v>
      </c>
      <c r="C125" s="7">
        <f t="shared" si="25"/>
        <v>74.674582333835332</v>
      </c>
      <c r="D125" s="7">
        <f t="shared" si="26"/>
        <v>88.198294289405837</v>
      </c>
      <c r="E125" s="7">
        <f t="shared" si="27"/>
        <v>88.736292395173379</v>
      </c>
      <c r="F125" s="7">
        <f t="shared" si="28"/>
        <v>0.97995998556004338</v>
      </c>
      <c r="G125" s="7">
        <f t="shared" si="29"/>
        <v>0</v>
      </c>
      <c r="H125" s="7">
        <f t="shared" si="30"/>
        <v>13.523711955570505</v>
      </c>
      <c r="I125" s="8">
        <f>vals_co2_excLUC!$R125</f>
        <v>74.674345004487392</v>
      </c>
      <c r="J125" s="8">
        <f>vals_co2_excLUC!$X125</f>
        <v>73.694622348275288</v>
      </c>
      <c r="K125" s="8">
        <f>vals_co2_excLUC!$AD125</f>
        <v>74.674582333835332</v>
      </c>
      <c r="L125" s="8"/>
      <c r="M125" s="8">
        <f>vals_co2_excLUC!$S125</f>
        <v>88.736009884924556</v>
      </c>
      <c r="N125" s="8">
        <f>vals_co2_excLUC!$Y125</f>
        <v>88.198294289405837</v>
      </c>
      <c r="O125" s="8">
        <f>vals_co2_excLUC!$AE125</f>
        <v>88.736292395173379</v>
      </c>
      <c r="P125" s="8"/>
      <c r="Q125" s="9">
        <f t="shared" si="31"/>
        <v>0.53799810576754226</v>
      </c>
      <c r="R125" s="9">
        <v>74.664000000000001</v>
      </c>
      <c r="S125" s="9">
        <v>88.730999999999995</v>
      </c>
    </row>
    <row r="126" spans="1:19" x14ac:dyDescent="0.35">
      <c r="A126" s="3">
        <f>vals_co2_excLUC!$A126</f>
        <v>1973</v>
      </c>
      <c r="B126" s="4">
        <f t="shared" si="24"/>
        <v>73.141075841181063</v>
      </c>
      <c r="C126" s="4">
        <f t="shared" si="25"/>
        <v>74.119204074986129</v>
      </c>
      <c r="D126" s="4">
        <f t="shared" si="26"/>
        <v>87.860447764080803</v>
      </c>
      <c r="E126" s="4">
        <f t="shared" si="27"/>
        <v>88.387988258863999</v>
      </c>
      <c r="F126" s="4">
        <f t="shared" si="28"/>
        <v>0.97812823380506586</v>
      </c>
      <c r="G126" s="4">
        <f t="shared" si="29"/>
        <v>0</v>
      </c>
      <c r="H126" s="4">
        <f t="shared" si="30"/>
        <v>13.741243689094674</v>
      </c>
      <c r="I126" s="5">
        <f>vals_co2_excLUC!$R126</f>
        <v>74.118937548795884</v>
      </c>
      <c r="J126" s="5">
        <f>vals_co2_excLUC!$X126</f>
        <v>73.141075841181063</v>
      </c>
      <c r="K126" s="5">
        <f>vals_co2_excLUC!$AD126</f>
        <v>74.119204074986129</v>
      </c>
      <c r="L126" s="5"/>
      <c r="M126" s="5">
        <f>vals_co2_excLUC!$S126</f>
        <v>88.387669949753288</v>
      </c>
      <c r="N126" s="5">
        <f>vals_co2_excLUC!$Y126</f>
        <v>87.860447764080803</v>
      </c>
      <c r="O126" s="5">
        <f>vals_co2_excLUC!$AE126</f>
        <v>88.387988258863999</v>
      </c>
      <c r="P126" s="5"/>
      <c r="Q126" s="9">
        <f t="shared" si="31"/>
        <v>0.52754049478319587</v>
      </c>
      <c r="R126" s="9">
        <v>74.108999999999995</v>
      </c>
      <c r="S126" s="9">
        <v>88.382999999999996</v>
      </c>
    </row>
    <row r="127" spans="1:19" x14ac:dyDescent="0.35">
      <c r="A127" s="6">
        <f>vals_co2_excLUC!$A127</f>
        <v>1974</v>
      </c>
      <c r="B127" s="7">
        <f t="shared" si="24"/>
        <v>72.583616861409141</v>
      </c>
      <c r="C127" s="7">
        <f t="shared" si="25"/>
        <v>73.554733586008822</v>
      </c>
      <c r="D127" s="7">
        <f t="shared" si="26"/>
        <v>87.52405775239977</v>
      </c>
      <c r="E127" s="7">
        <f t="shared" si="27"/>
        <v>88.041226698719953</v>
      </c>
      <c r="F127" s="7">
        <f t="shared" si="28"/>
        <v>0.9711167245996819</v>
      </c>
      <c r="G127" s="7">
        <f t="shared" si="29"/>
        <v>0</v>
      </c>
      <c r="H127" s="7">
        <f t="shared" si="30"/>
        <v>13.969324166390948</v>
      </c>
      <c r="I127" s="8">
        <f>vals_co2_excLUC!$R127</f>
        <v>73.554429566741589</v>
      </c>
      <c r="J127" s="8">
        <f>vals_co2_excLUC!$X127</f>
        <v>72.583616861409141</v>
      </c>
      <c r="K127" s="8">
        <f>vals_co2_excLUC!$AD127</f>
        <v>73.554733586008822</v>
      </c>
      <c r="L127" s="8"/>
      <c r="M127" s="8">
        <f>vals_co2_excLUC!$S127</f>
        <v>88.040862136510896</v>
      </c>
      <c r="N127" s="8">
        <f>vals_co2_excLUC!$Y127</f>
        <v>87.52405775239977</v>
      </c>
      <c r="O127" s="8">
        <f>vals_co2_excLUC!$AE127</f>
        <v>88.041226698719953</v>
      </c>
      <c r="P127" s="8"/>
      <c r="Q127" s="9">
        <f t="shared" si="31"/>
        <v>0.51716894632018295</v>
      </c>
      <c r="R127" s="9">
        <v>73.545000000000002</v>
      </c>
      <c r="S127" s="9">
        <v>88.036000000000001</v>
      </c>
    </row>
    <row r="128" spans="1:19" x14ac:dyDescent="0.35">
      <c r="A128" s="3">
        <f>vals_co2_excLUC!$A128</f>
        <v>1975</v>
      </c>
      <c r="B128" s="4">
        <f t="shared" si="24"/>
        <v>71.986372104638789</v>
      </c>
      <c r="C128" s="4">
        <f t="shared" si="25"/>
        <v>72.948679133148545</v>
      </c>
      <c r="D128" s="4">
        <f t="shared" si="26"/>
        <v>87.167297594142752</v>
      </c>
      <c r="E128" s="4">
        <f t="shared" si="27"/>
        <v>87.674522522681784</v>
      </c>
      <c r="F128" s="4">
        <f t="shared" si="28"/>
        <v>0.96230702850975547</v>
      </c>
      <c r="G128" s="4">
        <f t="shared" si="29"/>
        <v>0</v>
      </c>
      <c r="H128" s="4">
        <f t="shared" si="30"/>
        <v>14.218618460994207</v>
      </c>
      <c r="I128" s="5">
        <f>vals_co2_excLUC!$R128</f>
        <v>72.948339141452507</v>
      </c>
      <c r="J128" s="5">
        <f>vals_co2_excLUC!$X128</f>
        <v>71.986372104638789</v>
      </c>
      <c r="K128" s="5">
        <f>vals_co2_excLUC!$AD128</f>
        <v>72.948679133148545</v>
      </c>
      <c r="L128" s="5"/>
      <c r="M128" s="5">
        <f>vals_co2_excLUC!$S128</f>
        <v>87.674113252731573</v>
      </c>
      <c r="N128" s="5">
        <f>vals_co2_excLUC!$Y128</f>
        <v>87.167297594142752</v>
      </c>
      <c r="O128" s="5">
        <f>vals_co2_excLUC!$AE128</f>
        <v>87.674522522681784</v>
      </c>
      <c r="P128" s="5"/>
      <c r="Q128" s="9">
        <f t="shared" si="31"/>
        <v>0.50722492853903134</v>
      </c>
      <c r="R128" s="9">
        <v>72.938999999999993</v>
      </c>
      <c r="S128" s="9">
        <v>87.67</v>
      </c>
    </row>
    <row r="129" spans="1:19" x14ac:dyDescent="0.35">
      <c r="A129" s="6">
        <f>vals_co2_excLUC!$A129</f>
        <v>1976</v>
      </c>
      <c r="B129" s="7">
        <f t="shared" si="24"/>
        <v>71.401891953115125</v>
      </c>
      <c r="C129" s="7">
        <f t="shared" si="25"/>
        <v>72.348459192503114</v>
      </c>
      <c r="D129" s="7">
        <f t="shared" si="26"/>
        <v>86.812361783292019</v>
      </c>
      <c r="E129" s="7">
        <f t="shared" si="27"/>
        <v>87.303230759721444</v>
      </c>
      <c r="F129" s="7">
        <f t="shared" si="28"/>
        <v>0.94656723938798848</v>
      </c>
      <c r="G129" s="7">
        <f t="shared" si="29"/>
        <v>0</v>
      </c>
      <c r="H129" s="7">
        <f t="shared" si="30"/>
        <v>14.463902590788905</v>
      </c>
      <c r="I129" s="8">
        <f>vals_co2_excLUC!$R129</f>
        <v>72.348099906642815</v>
      </c>
      <c r="J129" s="8">
        <f>vals_co2_excLUC!$X129</f>
        <v>71.401891953115125</v>
      </c>
      <c r="K129" s="8">
        <f>vals_co2_excLUC!$AD129</f>
        <v>72.348459192503114</v>
      </c>
      <c r="L129" s="8"/>
      <c r="M129" s="8">
        <f>vals_co2_excLUC!$S129</f>
        <v>87.302796583170718</v>
      </c>
      <c r="N129" s="8">
        <f>vals_co2_excLUC!$Y129</f>
        <v>86.812361783292019</v>
      </c>
      <c r="O129" s="8">
        <f>vals_co2_excLUC!$AE129</f>
        <v>87.303230759721444</v>
      </c>
      <c r="P129" s="8"/>
      <c r="Q129" s="9">
        <f t="shared" si="31"/>
        <v>0.49086897642942517</v>
      </c>
      <c r="R129" s="9">
        <v>72.338999999999999</v>
      </c>
      <c r="S129" s="9">
        <v>87.298000000000002</v>
      </c>
    </row>
    <row r="130" spans="1:19" x14ac:dyDescent="0.35">
      <c r="A130" s="3">
        <f>vals_co2_excLUC!$A130</f>
        <v>1977</v>
      </c>
      <c r="B130" s="4">
        <f t="shared" si="24"/>
        <v>70.8151574042097</v>
      </c>
      <c r="C130" s="4">
        <f t="shared" si="25"/>
        <v>71.741886938101047</v>
      </c>
      <c r="D130" s="4">
        <f t="shared" si="26"/>
        <v>86.449763487053957</v>
      </c>
      <c r="E130" s="4">
        <f t="shared" si="27"/>
        <v>86.922043451530357</v>
      </c>
      <c r="F130" s="4">
        <f t="shared" si="28"/>
        <v>0.92672953389134705</v>
      </c>
      <c r="G130" s="4">
        <f t="shared" si="29"/>
        <v>0</v>
      </c>
      <c r="H130" s="4">
        <f t="shared" si="30"/>
        <v>14.70787654895291</v>
      </c>
      <c r="I130" s="5">
        <f>vals_co2_excLUC!$R130</f>
        <v>71.741505814878693</v>
      </c>
      <c r="J130" s="5">
        <f>vals_co2_excLUC!$X130</f>
        <v>70.8151574042097</v>
      </c>
      <c r="K130" s="5">
        <f>vals_co2_excLUC!$AD130</f>
        <v>71.741886938101047</v>
      </c>
      <c r="L130" s="5"/>
      <c r="M130" s="5">
        <f>vals_co2_excLUC!$S130</f>
        <v>86.921580892237841</v>
      </c>
      <c r="N130" s="5">
        <f>vals_co2_excLUC!$Y130</f>
        <v>86.449763487053957</v>
      </c>
      <c r="O130" s="5">
        <f>vals_co2_excLUC!$AE130</f>
        <v>86.922043451530357</v>
      </c>
      <c r="P130" s="5"/>
      <c r="Q130" s="9">
        <f t="shared" si="31"/>
        <v>0.47227996447639953</v>
      </c>
      <c r="R130" s="9">
        <v>71.731999999999999</v>
      </c>
      <c r="S130" s="9">
        <v>86.917000000000002</v>
      </c>
    </row>
    <row r="131" spans="1:19" x14ac:dyDescent="0.35">
      <c r="A131" s="6">
        <f>vals_co2_excLUC!$A131</f>
        <v>1978</v>
      </c>
      <c r="B131" s="7">
        <f t="shared" ref="B131:B162" si="32">IFERROR(_xlfn.AGGREGATE(5,6,I131:L131),"")</f>
        <v>70.227764944409472</v>
      </c>
      <c r="C131" s="7">
        <f t="shared" ref="C131:C162" si="33">IFERROR(_xlfn.AGGREGATE(4,6,I131:L131),"")</f>
        <v>71.128700541771849</v>
      </c>
      <c r="D131" s="7">
        <f t="shared" ref="D131:D162" si="34">IFERROR(_xlfn.AGGREGATE(5,6,M131:P131),"")</f>
        <v>86.077380108908969</v>
      </c>
      <c r="E131" s="7">
        <f t="shared" ref="E131:E162" si="35">IFERROR(_xlfn.AGGREGATE(4,6,M131:P131),"")</f>
        <v>86.525600403951088</v>
      </c>
      <c r="F131" s="7">
        <f t="shared" ref="F131:F162" si="36">IFERROR(MIN(C131,D131)-B131,"")</f>
        <v>0.90093559736237694</v>
      </c>
      <c r="G131" s="7">
        <f t="shared" ref="G131:G162" si="37">IFERROR(MAX(0,C131-D131),"")</f>
        <v>0</v>
      </c>
      <c r="H131" s="7">
        <f t="shared" ref="H131:H162" si="38">IFERROR(MAX(0,D131-C131),"")</f>
        <v>14.94867956713712</v>
      </c>
      <c r="I131" s="8">
        <f>vals_co2_excLUC!$R131</f>
        <v>71.128309310550975</v>
      </c>
      <c r="J131" s="8">
        <f>vals_co2_excLUC!$X131</f>
        <v>70.227764944409472</v>
      </c>
      <c r="K131" s="8">
        <f>vals_co2_excLUC!$AD131</f>
        <v>71.128700541771849</v>
      </c>
      <c r="L131" s="8"/>
      <c r="M131" s="8">
        <f>vals_co2_excLUC!$S131</f>
        <v>86.525123717943913</v>
      </c>
      <c r="N131" s="8">
        <f>vals_co2_excLUC!$Y131</f>
        <v>86.077380108908969</v>
      </c>
      <c r="O131" s="8">
        <f>vals_co2_excLUC!$AE131</f>
        <v>86.525600403951088</v>
      </c>
      <c r="P131" s="8"/>
      <c r="Q131" s="9">
        <f t="shared" ref="Q131:Q162" si="39">IFERROR(MAX(0,$E131-MAX($C131,$D131)),"")</f>
        <v>0.44822029504211969</v>
      </c>
      <c r="R131" s="9">
        <v>71.119</v>
      </c>
      <c r="S131" s="9">
        <v>86.521000000000001</v>
      </c>
    </row>
    <row r="132" spans="1:19" x14ac:dyDescent="0.35">
      <c r="A132" s="3">
        <f>vals_co2_excLUC!$A132</f>
        <v>1979</v>
      </c>
      <c r="B132" s="4">
        <f t="shared" si="32"/>
        <v>69.661137804111391</v>
      </c>
      <c r="C132" s="4">
        <f t="shared" si="33"/>
        <v>70.536738708950537</v>
      </c>
      <c r="D132" s="4">
        <f t="shared" si="34"/>
        <v>85.704074850806634</v>
      </c>
      <c r="E132" s="4">
        <f t="shared" si="35"/>
        <v>86.127662344513027</v>
      </c>
      <c r="F132" s="4">
        <f t="shared" si="36"/>
        <v>0.87560090483914621</v>
      </c>
      <c r="G132" s="4">
        <f t="shared" si="37"/>
        <v>0</v>
      </c>
      <c r="H132" s="4">
        <f t="shared" si="38"/>
        <v>15.167336141856097</v>
      </c>
      <c r="I132" s="5">
        <f>vals_co2_excLUC!$R132</f>
        <v>70.536336081236797</v>
      </c>
      <c r="J132" s="5">
        <f>vals_co2_excLUC!$X132</f>
        <v>69.661137804111391</v>
      </c>
      <c r="K132" s="5">
        <f>vals_co2_excLUC!$AD132</f>
        <v>70.536738708950537</v>
      </c>
      <c r="L132" s="5"/>
      <c r="M132" s="5">
        <f>vals_co2_excLUC!$S132</f>
        <v>86.12716998101854</v>
      </c>
      <c r="N132" s="5">
        <f>vals_co2_excLUC!$Y132</f>
        <v>85.704074850806634</v>
      </c>
      <c r="O132" s="5">
        <f>vals_co2_excLUC!$AE132</f>
        <v>86.127662344513027</v>
      </c>
      <c r="P132" s="5"/>
      <c r="Q132" s="9">
        <f t="shared" si="39"/>
        <v>0.42358749370639259</v>
      </c>
      <c r="R132" s="9">
        <v>70.527000000000001</v>
      </c>
      <c r="S132" s="9">
        <v>86.123000000000005</v>
      </c>
    </row>
    <row r="133" spans="1:19" x14ac:dyDescent="0.35">
      <c r="A133" s="6">
        <f>vals_co2_excLUC!$A133</f>
        <v>1980</v>
      </c>
      <c r="B133" s="7">
        <f t="shared" si="32"/>
        <v>69.093428461828637</v>
      </c>
      <c r="C133" s="7">
        <f t="shared" si="33"/>
        <v>69.941855309774553</v>
      </c>
      <c r="D133" s="7">
        <f t="shared" si="34"/>
        <v>85.342176252689086</v>
      </c>
      <c r="E133" s="7">
        <f t="shared" si="35"/>
        <v>85.740025093711054</v>
      </c>
      <c r="F133" s="7">
        <f t="shared" si="36"/>
        <v>0.84842684794591605</v>
      </c>
      <c r="G133" s="7">
        <f t="shared" si="37"/>
        <v>0</v>
      </c>
      <c r="H133" s="7">
        <f t="shared" si="38"/>
        <v>15.400320942914533</v>
      </c>
      <c r="I133" s="8">
        <f>vals_co2_excLUC!$R133</f>
        <v>69.941438383584938</v>
      </c>
      <c r="J133" s="8">
        <f>vals_co2_excLUC!$X133</f>
        <v>69.093428461828637</v>
      </c>
      <c r="K133" s="8">
        <f>vals_co2_excLUC!$AD133</f>
        <v>69.941855309774553</v>
      </c>
      <c r="L133" s="8"/>
      <c r="M133" s="8">
        <f>vals_co2_excLUC!$S133</f>
        <v>85.739513275207898</v>
      </c>
      <c r="N133" s="8">
        <f>vals_co2_excLUC!$Y133</f>
        <v>85.342176252689086</v>
      </c>
      <c r="O133" s="8">
        <f>vals_co2_excLUC!$AE133</f>
        <v>85.740025093711054</v>
      </c>
      <c r="P133" s="8"/>
      <c r="Q133" s="9">
        <f t="shared" si="39"/>
        <v>0.39784884102196827</v>
      </c>
      <c r="R133" s="9">
        <v>69.932000000000002</v>
      </c>
      <c r="S133" s="9">
        <v>85.734999999999999</v>
      </c>
    </row>
    <row r="134" spans="1:19" x14ac:dyDescent="0.35">
      <c r="A134" s="3">
        <f>vals_co2_excLUC!$A134</f>
        <v>1981</v>
      </c>
      <c r="B134" s="4">
        <f t="shared" si="32"/>
        <v>68.551791941112342</v>
      </c>
      <c r="C134" s="4">
        <f t="shared" si="33"/>
        <v>69.376238402693076</v>
      </c>
      <c r="D134" s="4">
        <f t="shared" si="34"/>
        <v>84.988010228366846</v>
      </c>
      <c r="E134" s="4">
        <f t="shared" si="35"/>
        <v>85.364726679695224</v>
      </c>
      <c r="F134" s="4">
        <f t="shared" si="36"/>
        <v>0.82444646158073454</v>
      </c>
      <c r="G134" s="4">
        <f t="shared" si="37"/>
        <v>0</v>
      </c>
      <c r="H134" s="4">
        <f t="shared" si="38"/>
        <v>15.61177182567377</v>
      </c>
      <c r="I134" s="5">
        <f>vals_co2_excLUC!$R134</f>
        <v>69.375807864107131</v>
      </c>
      <c r="J134" s="5">
        <f>vals_co2_excLUC!$X134</f>
        <v>68.551791941112342</v>
      </c>
      <c r="K134" s="5">
        <f>vals_co2_excLUC!$AD134</f>
        <v>69.376238402693076</v>
      </c>
      <c r="L134" s="5"/>
      <c r="M134" s="5">
        <f>vals_co2_excLUC!$S134</f>
        <v>85.364196018362037</v>
      </c>
      <c r="N134" s="5">
        <f>vals_co2_excLUC!$Y134</f>
        <v>84.988010228366846</v>
      </c>
      <c r="O134" s="5">
        <f>vals_co2_excLUC!$AE134</f>
        <v>85.364726679695224</v>
      </c>
      <c r="P134" s="5"/>
      <c r="Q134" s="9">
        <f t="shared" si="39"/>
        <v>0.37671645132837739</v>
      </c>
      <c r="R134" s="9">
        <v>69.367000000000004</v>
      </c>
      <c r="S134" s="9">
        <v>85.36</v>
      </c>
    </row>
    <row r="135" spans="1:19" x14ac:dyDescent="0.35">
      <c r="A135" s="6">
        <f>vals_co2_excLUC!$A135</f>
        <v>1982</v>
      </c>
      <c r="B135" s="7">
        <f t="shared" si="32"/>
        <v>67.994457619018121</v>
      </c>
      <c r="C135" s="7">
        <f t="shared" si="33"/>
        <v>68.793102281163144</v>
      </c>
      <c r="D135" s="7">
        <f t="shared" si="34"/>
        <v>84.624083563053247</v>
      </c>
      <c r="E135" s="7">
        <f t="shared" si="35"/>
        <v>84.97587297246983</v>
      </c>
      <c r="F135" s="7">
        <f t="shared" si="36"/>
        <v>0.79864466214502272</v>
      </c>
      <c r="G135" s="7">
        <f t="shared" si="37"/>
        <v>0</v>
      </c>
      <c r="H135" s="7">
        <f t="shared" si="38"/>
        <v>15.830981281890104</v>
      </c>
      <c r="I135" s="8">
        <f>vals_co2_excLUC!$R135</f>
        <v>68.792662472912667</v>
      </c>
      <c r="J135" s="8">
        <f>vals_co2_excLUC!$X135</f>
        <v>67.994457619018121</v>
      </c>
      <c r="K135" s="8">
        <f>vals_co2_excLUC!$AD135</f>
        <v>68.793102281163144</v>
      </c>
      <c r="L135" s="8"/>
      <c r="M135" s="8">
        <f>vals_co2_excLUC!$S135</f>
        <v>84.975328828845548</v>
      </c>
      <c r="N135" s="8">
        <f>vals_co2_excLUC!$Y135</f>
        <v>84.624083563053247</v>
      </c>
      <c r="O135" s="8">
        <f>vals_co2_excLUC!$AE135</f>
        <v>84.97587297246983</v>
      </c>
      <c r="P135" s="8"/>
      <c r="Q135" s="9">
        <f t="shared" si="39"/>
        <v>0.35178940941658254</v>
      </c>
      <c r="R135" s="9">
        <v>68.784000000000006</v>
      </c>
      <c r="S135" s="9">
        <v>84.971000000000004</v>
      </c>
    </row>
    <row r="136" spans="1:19" x14ac:dyDescent="0.35">
      <c r="A136" s="3">
        <f>vals_co2_excLUC!$A136</f>
        <v>1983</v>
      </c>
      <c r="B136" s="4">
        <f t="shared" si="32"/>
        <v>67.444381564289984</v>
      </c>
      <c r="C136" s="4">
        <f t="shared" si="33"/>
        <v>68.215507918448083</v>
      </c>
      <c r="D136" s="4">
        <f t="shared" si="34"/>
        <v>84.259596684269525</v>
      </c>
      <c r="E136" s="4">
        <f t="shared" si="35"/>
        <v>84.585392830894563</v>
      </c>
      <c r="F136" s="4">
        <f t="shared" si="36"/>
        <v>0.77112635415809905</v>
      </c>
      <c r="G136" s="4">
        <f t="shared" si="37"/>
        <v>0</v>
      </c>
      <c r="H136" s="4">
        <f t="shared" si="38"/>
        <v>16.044088765821442</v>
      </c>
      <c r="I136" s="5">
        <f>vals_co2_excLUC!$R136</f>
        <v>68.21505914000619</v>
      </c>
      <c r="J136" s="5">
        <f>vals_co2_excLUC!$X136</f>
        <v>67.444381564289984</v>
      </c>
      <c r="K136" s="5">
        <f>vals_co2_excLUC!$AD136</f>
        <v>68.215507918448083</v>
      </c>
      <c r="L136" s="5"/>
      <c r="M136" s="5">
        <f>vals_co2_excLUC!$S136</f>
        <v>84.584835505843486</v>
      </c>
      <c r="N136" s="5">
        <f>vals_co2_excLUC!$Y136</f>
        <v>84.259596684269525</v>
      </c>
      <c r="O136" s="5">
        <f>vals_co2_excLUC!$AE136</f>
        <v>84.585392830894563</v>
      </c>
      <c r="P136" s="5"/>
      <c r="Q136" s="9">
        <f t="shared" si="39"/>
        <v>0.32579614662503786</v>
      </c>
      <c r="R136" s="9">
        <v>68.206000000000003</v>
      </c>
      <c r="S136" s="9">
        <v>84.581000000000003</v>
      </c>
    </row>
    <row r="137" spans="1:19" x14ac:dyDescent="0.35">
      <c r="A137" s="6">
        <f>vals_co2_excLUC!$A137</f>
        <v>1984</v>
      </c>
      <c r="B137" s="7">
        <f t="shared" si="32"/>
        <v>66.90146107935206</v>
      </c>
      <c r="C137" s="7">
        <f t="shared" si="33"/>
        <v>67.647941322693256</v>
      </c>
      <c r="D137" s="7">
        <f t="shared" si="34"/>
        <v>83.884092560445794</v>
      </c>
      <c r="E137" s="7">
        <f t="shared" si="35"/>
        <v>84.186839205350623</v>
      </c>
      <c r="F137" s="7">
        <f t="shared" si="36"/>
        <v>0.74648024334119611</v>
      </c>
      <c r="G137" s="7">
        <f t="shared" si="37"/>
        <v>0</v>
      </c>
      <c r="H137" s="7">
        <f t="shared" si="38"/>
        <v>16.236151237752537</v>
      </c>
      <c r="I137" s="8">
        <f>vals_co2_excLUC!$R137</f>
        <v>67.647492976829724</v>
      </c>
      <c r="J137" s="8">
        <f>vals_co2_excLUC!$X137</f>
        <v>66.90146107935206</v>
      </c>
      <c r="K137" s="8">
        <f>vals_co2_excLUC!$AD137</f>
        <v>67.647941322693256</v>
      </c>
      <c r="L137" s="8"/>
      <c r="M137" s="8">
        <f>vals_co2_excLUC!$S137</f>
        <v>84.186280417040606</v>
      </c>
      <c r="N137" s="8">
        <f>vals_co2_excLUC!$Y137</f>
        <v>83.884092560445794</v>
      </c>
      <c r="O137" s="8">
        <f>vals_co2_excLUC!$AE137</f>
        <v>84.186839205350623</v>
      </c>
      <c r="P137" s="8"/>
      <c r="Q137" s="9">
        <f t="shared" si="39"/>
        <v>0.30274664490482905</v>
      </c>
      <c r="R137" s="9">
        <v>67.638999999999996</v>
      </c>
      <c r="S137" s="9">
        <v>84.182000000000002</v>
      </c>
    </row>
    <row r="138" spans="1:19" x14ac:dyDescent="0.35">
      <c r="A138" s="3">
        <f>vals_co2_excLUC!$A138</f>
        <v>1985</v>
      </c>
      <c r="B138" s="4">
        <f t="shared" si="32"/>
        <v>66.335449859311538</v>
      </c>
      <c r="C138" s="4">
        <f t="shared" si="33"/>
        <v>67.054670694329417</v>
      </c>
      <c r="D138" s="4">
        <f t="shared" si="34"/>
        <v>83.495264855436275</v>
      </c>
      <c r="E138" s="4">
        <f t="shared" si="35"/>
        <v>83.775043553990997</v>
      </c>
      <c r="F138" s="4">
        <f t="shared" si="36"/>
        <v>0.71922083501787881</v>
      </c>
      <c r="G138" s="4">
        <f t="shared" si="37"/>
        <v>0</v>
      </c>
      <c r="H138" s="4">
        <f t="shared" si="38"/>
        <v>16.440594161106858</v>
      </c>
      <c r="I138" s="5">
        <f>vals_co2_excLUC!$R138</f>
        <v>67.054223342756245</v>
      </c>
      <c r="J138" s="5">
        <f>vals_co2_excLUC!$X138</f>
        <v>66.335449859311538</v>
      </c>
      <c r="K138" s="5">
        <f>vals_co2_excLUC!$AD138</f>
        <v>67.054670694329417</v>
      </c>
      <c r="L138" s="5"/>
      <c r="M138" s="5">
        <f>vals_co2_excLUC!$S138</f>
        <v>83.774483847294675</v>
      </c>
      <c r="N138" s="5">
        <f>vals_co2_excLUC!$Y138</f>
        <v>83.495264855436275</v>
      </c>
      <c r="O138" s="5">
        <f>vals_co2_excLUC!$AE138</f>
        <v>83.775043553990997</v>
      </c>
      <c r="P138" s="5"/>
      <c r="Q138" s="9">
        <f t="shared" si="39"/>
        <v>0.27977869855472193</v>
      </c>
      <c r="R138" s="9">
        <v>67.046000000000006</v>
      </c>
      <c r="S138" s="9">
        <v>83.771000000000001</v>
      </c>
    </row>
    <row r="139" spans="1:19" x14ac:dyDescent="0.35">
      <c r="A139" s="6">
        <f>vals_co2_excLUC!$A139</f>
        <v>1986</v>
      </c>
      <c r="B139" s="7">
        <f t="shared" si="32"/>
        <v>65.773550203314272</v>
      </c>
      <c r="C139" s="7">
        <f t="shared" si="33"/>
        <v>66.465444736495058</v>
      </c>
      <c r="D139" s="7">
        <f t="shared" si="34"/>
        <v>83.101681037051193</v>
      </c>
      <c r="E139" s="7">
        <f t="shared" si="35"/>
        <v>83.355415495936228</v>
      </c>
      <c r="F139" s="7">
        <f t="shared" si="36"/>
        <v>0.6918945331807862</v>
      </c>
      <c r="G139" s="7">
        <f t="shared" si="37"/>
        <v>0</v>
      </c>
      <c r="H139" s="7">
        <f t="shared" si="38"/>
        <v>16.636236300556135</v>
      </c>
      <c r="I139" s="8">
        <f>vals_co2_excLUC!$R139</f>
        <v>66.464998737719981</v>
      </c>
      <c r="J139" s="8">
        <f>vals_co2_excLUC!$X139</f>
        <v>65.773550203314272</v>
      </c>
      <c r="K139" s="8">
        <f>vals_co2_excLUC!$AD139</f>
        <v>66.465444736495058</v>
      </c>
      <c r="L139" s="8"/>
      <c r="M139" s="8">
        <f>vals_co2_excLUC!$S139</f>
        <v>83.354855377068247</v>
      </c>
      <c r="N139" s="8">
        <f>vals_co2_excLUC!$Y139</f>
        <v>83.101681037051193</v>
      </c>
      <c r="O139" s="8">
        <f>vals_co2_excLUC!$AE139</f>
        <v>83.355415495936228</v>
      </c>
      <c r="P139" s="8"/>
      <c r="Q139" s="9">
        <f t="shared" si="39"/>
        <v>0.25373445888503454</v>
      </c>
      <c r="R139" s="9">
        <v>66.456999999999994</v>
      </c>
      <c r="S139" s="9">
        <v>83.350999999999999</v>
      </c>
    </row>
    <row r="140" spans="1:19" x14ac:dyDescent="0.35">
      <c r="A140" s="3">
        <f>vals_co2_excLUC!$A140</f>
        <v>1987</v>
      </c>
      <c r="B140" s="4">
        <f t="shared" si="32"/>
        <v>65.228795845893472</v>
      </c>
      <c r="C140" s="4">
        <f t="shared" si="33"/>
        <v>65.893216277173778</v>
      </c>
      <c r="D140" s="4">
        <f t="shared" si="34"/>
        <v>82.705651291552741</v>
      </c>
      <c r="E140" s="4">
        <f t="shared" si="35"/>
        <v>82.933552590882911</v>
      </c>
      <c r="F140" s="4">
        <f t="shared" si="36"/>
        <v>0.66442043128030548</v>
      </c>
      <c r="G140" s="4">
        <f t="shared" si="37"/>
        <v>0</v>
      </c>
      <c r="H140" s="4">
        <f t="shared" si="38"/>
        <v>16.812435014378963</v>
      </c>
      <c r="I140" s="5">
        <f>vals_co2_excLUC!$R140</f>
        <v>65.892771667969697</v>
      </c>
      <c r="J140" s="5">
        <f>vals_co2_excLUC!$X140</f>
        <v>65.228795845893472</v>
      </c>
      <c r="K140" s="5">
        <f>vals_co2_excLUC!$AD140</f>
        <v>65.893216277173778</v>
      </c>
      <c r="L140" s="5"/>
      <c r="M140" s="5">
        <f>vals_co2_excLUC!$S140</f>
        <v>82.932992240051277</v>
      </c>
      <c r="N140" s="5">
        <f>vals_co2_excLUC!$Y140</f>
        <v>82.705651291552741</v>
      </c>
      <c r="O140" s="5">
        <f>vals_co2_excLUC!$AE140</f>
        <v>82.933552590882911</v>
      </c>
      <c r="P140" s="5"/>
      <c r="Q140" s="9">
        <f t="shared" si="39"/>
        <v>0.22790129933017056</v>
      </c>
      <c r="R140" s="9">
        <v>65.885000000000005</v>
      </c>
      <c r="S140" s="9">
        <v>82.929000000000002</v>
      </c>
    </row>
    <row r="141" spans="1:19" x14ac:dyDescent="0.35">
      <c r="A141" s="6">
        <f>vals_co2_excLUC!$A141</f>
        <v>1988</v>
      </c>
      <c r="B141" s="7">
        <f t="shared" si="32"/>
        <v>64.691960583595431</v>
      </c>
      <c r="C141" s="7">
        <f t="shared" si="33"/>
        <v>65.324741389321417</v>
      </c>
      <c r="D141" s="7">
        <f t="shared" si="34"/>
        <v>82.295843930827857</v>
      </c>
      <c r="E141" s="7">
        <f t="shared" si="35"/>
        <v>82.494142991865601</v>
      </c>
      <c r="F141" s="7">
        <f t="shared" si="36"/>
        <v>0.63278080572598583</v>
      </c>
      <c r="G141" s="7">
        <f t="shared" si="37"/>
        <v>0</v>
      </c>
      <c r="H141" s="7">
        <f t="shared" si="38"/>
        <v>16.97110254150644</v>
      </c>
      <c r="I141" s="8">
        <f>vals_co2_excLUC!$R141</f>
        <v>65.324296511907264</v>
      </c>
      <c r="J141" s="8">
        <f>vals_co2_excLUC!$X141</f>
        <v>64.691960583595431</v>
      </c>
      <c r="K141" s="8">
        <f>vals_co2_excLUC!$AD141</f>
        <v>65.324741389321417</v>
      </c>
      <c r="L141" s="8"/>
      <c r="M141" s="8">
        <f>vals_co2_excLUC!$S141</f>
        <v>82.493580444107934</v>
      </c>
      <c r="N141" s="8">
        <f>vals_co2_excLUC!$Y141</f>
        <v>82.295843930827857</v>
      </c>
      <c r="O141" s="8">
        <f>vals_co2_excLUC!$AE141</f>
        <v>82.494142991865601</v>
      </c>
      <c r="P141" s="8"/>
      <c r="Q141" s="9">
        <f t="shared" si="39"/>
        <v>0.1982990610377442</v>
      </c>
      <c r="R141" s="9">
        <v>65.316000000000003</v>
      </c>
      <c r="S141" s="9">
        <v>82.49</v>
      </c>
    </row>
    <row r="142" spans="1:19" x14ac:dyDescent="0.35">
      <c r="A142" s="3">
        <f>vals_co2_excLUC!$A142</f>
        <v>1989</v>
      </c>
      <c r="B142" s="4">
        <f t="shared" si="32"/>
        <v>64.182471222439787</v>
      </c>
      <c r="C142" s="4">
        <f t="shared" si="33"/>
        <v>64.792287295414255</v>
      </c>
      <c r="D142" s="4">
        <f t="shared" si="34"/>
        <v>81.885186433949443</v>
      </c>
      <c r="E142" s="4">
        <f t="shared" si="35"/>
        <v>82.064303130388922</v>
      </c>
      <c r="F142" s="4">
        <f t="shared" si="36"/>
        <v>0.60981607297446772</v>
      </c>
      <c r="G142" s="4">
        <f t="shared" si="37"/>
        <v>0</v>
      </c>
      <c r="H142" s="4">
        <f t="shared" si="38"/>
        <v>17.092899138535188</v>
      </c>
      <c r="I142" s="5">
        <f>vals_co2_excLUC!$R142</f>
        <v>64.791838714897935</v>
      </c>
      <c r="J142" s="5">
        <f>vals_co2_excLUC!$X142</f>
        <v>64.182471222439787</v>
      </c>
      <c r="K142" s="5">
        <f>vals_co2_excLUC!$AD142</f>
        <v>64.792287295414255</v>
      </c>
      <c r="L142" s="5"/>
      <c r="M142" s="5">
        <f>vals_co2_excLUC!$S142</f>
        <v>82.063734246907643</v>
      </c>
      <c r="N142" s="5">
        <f>vals_co2_excLUC!$Y142</f>
        <v>81.885186433949443</v>
      </c>
      <c r="O142" s="5">
        <f>vals_co2_excLUC!$AE142</f>
        <v>82.064303130388922</v>
      </c>
      <c r="P142" s="5"/>
      <c r="Q142" s="9">
        <f t="shared" si="39"/>
        <v>0.17911669643947903</v>
      </c>
      <c r="R142" s="9">
        <v>64.784000000000006</v>
      </c>
      <c r="S142" s="9">
        <v>82.06</v>
      </c>
    </row>
    <row r="143" spans="1:19" x14ac:dyDescent="0.35">
      <c r="A143" s="6">
        <f>vals_co2_excLUC!$A143</f>
        <v>1990</v>
      </c>
      <c r="B143" s="7">
        <f t="shared" si="32"/>
        <v>63.725297237759527</v>
      </c>
      <c r="C143" s="7">
        <f t="shared" si="33"/>
        <v>64.305235636215599</v>
      </c>
      <c r="D143" s="7">
        <f t="shared" si="34"/>
        <v>81.50025496169981</v>
      </c>
      <c r="E143" s="7">
        <f t="shared" si="35"/>
        <v>81.671225548723442</v>
      </c>
      <c r="F143" s="7">
        <f t="shared" si="36"/>
        <v>0.57993839845607198</v>
      </c>
      <c r="G143" s="7">
        <f t="shared" si="37"/>
        <v>0</v>
      </c>
      <c r="H143" s="7">
        <f t="shared" si="38"/>
        <v>17.195019325484211</v>
      </c>
      <c r="I143" s="8">
        <f>vals_co2_excLUC!$R143</f>
        <v>64.304782969907748</v>
      </c>
      <c r="J143" s="8">
        <f>vals_co2_excLUC!$X143</f>
        <v>63.725297237759527</v>
      </c>
      <c r="K143" s="8">
        <f>vals_co2_excLUC!$AD143</f>
        <v>64.305235636215599</v>
      </c>
      <c r="L143" s="8"/>
      <c r="M143" s="8">
        <f>vals_co2_excLUC!$S143</f>
        <v>81.670649934264191</v>
      </c>
      <c r="N143" s="8">
        <f>vals_co2_excLUC!$Y143</f>
        <v>81.50025496169981</v>
      </c>
      <c r="O143" s="8">
        <f>vals_co2_excLUC!$AE143</f>
        <v>81.671225548723442</v>
      </c>
      <c r="P143" s="8"/>
      <c r="Q143" s="9">
        <f t="shared" si="39"/>
        <v>0.17097058702363199</v>
      </c>
      <c r="R143" s="9">
        <v>64.296999999999997</v>
      </c>
      <c r="S143" s="9">
        <v>81.667000000000002</v>
      </c>
    </row>
    <row r="144" spans="1:19" x14ac:dyDescent="0.35">
      <c r="A144" s="3">
        <f>vals_co2_excLUC!$A144</f>
        <v>1991</v>
      </c>
      <c r="B144" s="4">
        <f t="shared" si="32"/>
        <v>63.268400886868392</v>
      </c>
      <c r="C144" s="4">
        <f t="shared" si="33"/>
        <v>63.84243884503897</v>
      </c>
      <c r="D144" s="4">
        <f t="shared" si="34"/>
        <v>81.072400213783268</v>
      </c>
      <c r="E144" s="4">
        <f t="shared" si="35"/>
        <v>81.261652821743326</v>
      </c>
      <c r="F144" s="4">
        <f t="shared" si="36"/>
        <v>0.57403795817057812</v>
      </c>
      <c r="G144" s="4">
        <f t="shared" si="37"/>
        <v>0</v>
      </c>
      <c r="H144" s="4">
        <f t="shared" si="38"/>
        <v>17.229961368744299</v>
      </c>
      <c r="I144" s="5">
        <f>vals_co2_excLUC!$R144</f>
        <v>63.804343469531801</v>
      </c>
      <c r="J144" s="5">
        <f>vals_co2_excLUC!$X144</f>
        <v>63.268400886868392</v>
      </c>
      <c r="K144" s="5">
        <f>vals_co2_excLUC!$AD144</f>
        <v>63.84243884503897</v>
      </c>
      <c r="L144" s="5"/>
      <c r="M144" s="5">
        <f>vals_co2_excLUC!$S144</f>
        <v>81.21316255555638</v>
      </c>
      <c r="N144" s="5">
        <f>vals_co2_excLUC!$Y144</f>
        <v>81.072400213783268</v>
      </c>
      <c r="O144" s="5">
        <f>vals_co2_excLUC!$AE144</f>
        <v>81.261652821743326</v>
      </c>
      <c r="P144" s="5"/>
      <c r="Q144" s="9">
        <f t="shared" si="39"/>
        <v>0.18925260796005716</v>
      </c>
      <c r="R144" s="9">
        <v>63.796999999999997</v>
      </c>
      <c r="S144" s="9">
        <v>81.209999999999994</v>
      </c>
    </row>
    <row r="145" spans="1:19" x14ac:dyDescent="0.35">
      <c r="A145" s="6">
        <f>vals_co2_excLUC!$A145</f>
        <v>1992</v>
      </c>
      <c r="B145" s="7">
        <f t="shared" si="32"/>
        <v>62.881230214845452</v>
      </c>
      <c r="C145" s="7">
        <f t="shared" si="33"/>
        <v>63.428085961355421</v>
      </c>
      <c r="D145" s="7">
        <f t="shared" si="34"/>
        <v>80.660690143368498</v>
      </c>
      <c r="E145" s="7">
        <f t="shared" si="35"/>
        <v>80.834801575874764</v>
      </c>
      <c r="F145" s="7">
        <f t="shared" si="36"/>
        <v>0.54685574650996926</v>
      </c>
      <c r="G145" s="7">
        <f t="shared" si="37"/>
        <v>0</v>
      </c>
      <c r="H145" s="7">
        <f t="shared" si="38"/>
        <v>17.232604182013077</v>
      </c>
      <c r="I145" s="8">
        <f>vals_co2_excLUC!$R145</f>
        <v>63.39123522869081</v>
      </c>
      <c r="J145" s="8">
        <f>vals_co2_excLUC!$X145</f>
        <v>62.881230214845452</v>
      </c>
      <c r="K145" s="8">
        <f>vals_co2_excLUC!$AD145</f>
        <v>63.428085961355421</v>
      </c>
      <c r="L145" s="8"/>
      <c r="M145" s="8">
        <f>vals_co2_excLUC!$S145</f>
        <v>80.787837145391535</v>
      </c>
      <c r="N145" s="8">
        <f>vals_co2_excLUC!$Y145</f>
        <v>80.660690143368498</v>
      </c>
      <c r="O145" s="8">
        <f>vals_co2_excLUC!$AE145</f>
        <v>80.834801575874764</v>
      </c>
      <c r="P145" s="8"/>
      <c r="Q145" s="9">
        <f t="shared" si="39"/>
        <v>0.17411143250626537</v>
      </c>
      <c r="R145" s="9">
        <v>63.384</v>
      </c>
      <c r="S145" s="9">
        <v>80.784999999999997</v>
      </c>
    </row>
    <row r="146" spans="1:19" x14ac:dyDescent="0.35">
      <c r="A146" s="3">
        <f>vals_co2_excLUC!$A146</f>
        <v>1993</v>
      </c>
      <c r="B146" s="4">
        <f t="shared" si="32"/>
        <v>62.504651617201681</v>
      </c>
      <c r="C146" s="4">
        <f t="shared" si="33"/>
        <v>63.023086202113653</v>
      </c>
      <c r="D146" s="4">
        <f t="shared" si="34"/>
        <v>80.234317138563725</v>
      </c>
      <c r="E146" s="4">
        <f t="shared" si="35"/>
        <v>80.389088286075449</v>
      </c>
      <c r="F146" s="4">
        <f t="shared" si="36"/>
        <v>0.51843458491197225</v>
      </c>
      <c r="G146" s="4">
        <f t="shared" si="37"/>
        <v>0</v>
      </c>
      <c r="H146" s="4">
        <f t="shared" si="38"/>
        <v>17.211230936450072</v>
      </c>
      <c r="I146" s="5">
        <f>vals_co2_excLUC!$R146</f>
        <v>62.987420345088452</v>
      </c>
      <c r="J146" s="5">
        <f>vals_co2_excLUC!$X146</f>
        <v>62.504651617201681</v>
      </c>
      <c r="K146" s="5">
        <f>vals_co2_excLUC!$AD146</f>
        <v>63.023086202113653</v>
      </c>
      <c r="L146" s="5"/>
      <c r="M146" s="5">
        <f>vals_co2_excLUC!$S146</f>
        <v>80.343594058022376</v>
      </c>
      <c r="N146" s="5">
        <f>vals_co2_excLUC!$Y146</f>
        <v>80.234317138563725</v>
      </c>
      <c r="O146" s="5">
        <f>vals_co2_excLUC!$AE146</f>
        <v>80.389088286075449</v>
      </c>
      <c r="P146" s="5"/>
      <c r="Q146" s="9">
        <f t="shared" si="39"/>
        <v>0.15477114751172394</v>
      </c>
      <c r="R146" s="9">
        <v>62.98</v>
      </c>
      <c r="S146" s="9">
        <v>80.340999999999994</v>
      </c>
    </row>
    <row r="147" spans="1:19" x14ac:dyDescent="0.35">
      <c r="A147" s="6">
        <f>vals_co2_excLUC!$A147</f>
        <v>1994</v>
      </c>
      <c r="B147" s="7">
        <f t="shared" si="32"/>
        <v>62.154606142448756</v>
      </c>
      <c r="C147" s="7">
        <f t="shared" si="33"/>
        <v>62.642061191602608</v>
      </c>
      <c r="D147" s="7">
        <f t="shared" si="34"/>
        <v>79.797117000732385</v>
      </c>
      <c r="E147" s="7">
        <f t="shared" si="35"/>
        <v>79.925733420404981</v>
      </c>
      <c r="F147" s="7">
        <f t="shared" si="36"/>
        <v>0.48745504915385141</v>
      </c>
      <c r="G147" s="7">
        <f t="shared" si="37"/>
        <v>0</v>
      </c>
      <c r="H147" s="7">
        <f t="shared" si="38"/>
        <v>17.155055809129777</v>
      </c>
      <c r="I147" s="8">
        <f>vals_co2_excLUC!$R147</f>
        <v>62.607514804967501</v>
      </c>
      <c r="J147" s="8">
        <f>vals_co2_excLUC!$X147</f>
        <v>62.154606142448756</v>
      </c>
      <c r="K147" s="8">
        <f>vals_co2_excLUC!$AD147</f>
        <v>62.642061191602608</v>
      </c>
      <c r="L147" s="8"/>
      <c r="M147" s="8">
        <f>vals_co2_excLUC!$S147</f>
        <v>79.881654651558392</v>
      </c>
      <c r="N147" s="8">
        <f>vals_co2_excLUC!$Y147</f>
        <v>79.797117000732385</v>
      </c>
      <c r="O147" s="8">
        <f>vals_co2_excLUC!$AE147</f>
        <v>79.925733420404981</v>
      </c>
      <c r="P147" s="8"/>
      <c r="Q147" s="9">
        <f t="shared" si="39"/>
        <v>0.12861641967259629</v>
      </c>
      <c r="R147" s="9">
        <v>62.600999999999999</v>
      </c>
      <c r="S147" s="9">
        <v>79.879000000000005</v>
      </c>
    </row>
    <row r="148" spans="1:19" x14ac:dyDescent="0.35">
      <c r="A148" s="3">
        <f>vals_co2_excLUC!$A148</f>
        <v>1995</v>
      </c>
      <c r="B148" s="4">
        <f t="shared" si="32"/>
        <v>61.8000459560647</v>
      </c>
      <c r="C148" s="4">
        <f t="shared" si="33"/>
        <v>62.259854512039325</v>
      </c>
      <c r="D148" s="4">
        <f t="shared" si="34"/>
        <v>79.344669491990302</v>
      </c>
      <c r="E148" s="4">
        <f t="shared" si="35"/>
        <v>79.450441237218186</v>
      </c>
      <c r="F148" s="4">
        <f t="shared" si="36"/>
        <v>0.45980855597462522</v>
      </c>
      <c r="G148" s="4">
        <f t="shared" si="37"/>
        <v>0</v>
      </c>
      <c r="H148" s="4">
        <f t="shared" si="38"/>
        <v>17.084814979950977</v>
      </c>
      <c r="I148" s="5">
        <f>vals_co2_excLUC!$R148</f>
        <v>62.226392277729268</v>
      </c>
      <c r="J148" s="5">
        <f>vals_co2_excLUC!$X148</f>
        <v>61.8000459560647</v>
      </c>
      <c r="K148" s="5">
        <f>vals_co2_excLUC!$AD148</f>
        <v>62.259854512039325</v>
      </c>
      <c r="L148" s="5"/>
      <c r="M148" s="5">
        <f>vals_co2_excLUC!$S148</f>
        <v>79.407738976936699</v>
      </c>
      <c r="N148" s="5">
        <f>vals_co2_excLUC!$Y148</f>
        <v>79.344669491990302</v>
      </c>
      <c r="O148" s="5">
        <f>vals_co2_excLUC!$AE148</f>
        <v>79.450441237218186</v>
      </c>
      <c r="P148" s="5"/>
      <c r="Q148" s="9">
        <f t="shared" si="39"/>
        <v>0.10577174522788368</v>
      </c>
      <c r="R148" s="9">
        <v>62.22</v>
      </c>
      <c r="S148" s="9">
        <v>79.405000000000001</v>
      </c>
    </row>
    <row r="149" spans="1:19" x14ac:dyDescent="0.35">
      <c r="A149" s="6">
        <f>vals_co2_excLUC!$A149</f>
        <v>1996</v>
      </c>
      <c r="B149" s="7">
        <f t="shared" si="32"/>
        <v>61.446677650791415</v>
      </c>
      <c r="C149" s="7">
        <f t="shared" si="33"/>
        <v>61.883965652119699</v>
      </c>
      <c r="D149" s="7">
        <f t="shared" si="34"/>
        <v>78.882599659041986</v>
      </c>
      <c r="E149" s="7">
        <f t="shared" si="35"/>
        <v>78.971171170570031</v>
      </c>
      <c r="F149" s="7">
        <f t="shared" si="36"/>
        <v>0.43728800132828383</v>
      </c>
      <c r="G149" s="7">
        <f t="shared" si="37"/>
        <v>0</v>
      </c>
      <c r="H149" s="7">
        <f t="shared" si="38"/>
        <v>16.998634006922288</v>
      </c>
      <c r="I149" s="8">
        <f>vals_co2_excLUC!$R149</f>
        <v>61.851553663928591</v>
      </c>
      <c r="J149" s="8">
        <f>vals_co2_excLUC!$X149</f>
        <v>61.446677650791415</v>
      </c>
      <c r="K149" s="8">
        <f>vals_co2_excLUC!$AD149</f>
        <v>61.883965652119699</v>
      </c>
      <c r="L149" s="8"/>
      <c r="M149" s="8">
        <f>vals_co2_excLUC!$S149</f>
        <v>78.929809055366604</v>
      </c>
      <c r="N149" s="8">
        <f>vals_co2_excLUC!$Y149</f>
        <v>78.882599659041986</v>
      </c>
      <c r="O149" s="8">
        <f>vals_co2_excLUC!$AE149</f>
        <v>78.971171170570031</v>
      </c>
      <c r="P149" s="8"/>
      <c r="Q149" s="9">
        <f t="shared" si="39"/>
        <v>8.8571511528044766E-2</v>
      </c>
      <c r="R149" s="9">
        <v>61.844999999999999</v>
      </c>
      <c r="S149" s="9">
        <v>78.927000000000007</v>
      </c>
    </row>
    <row r="150" spans="1:19" x14ac:dyDescent="0.35">
      <c r="A150" s="3">
        <f>vals_co2_excLUC!$A150</f>
        <v>1997</v>
      </c>
      <c r="B150" s="4">
        <f t="shared" si="32"/>
        <v>61.102509972654808</v>
      </c>
      <c r="C150" s="4">
        <f t="shared" si="33"/>
        <v>61.522292680330196</v>
      </c>
      <c r="D150" s="4">
        <f t="shared" si="34"/>
        <v>78.418736238690073</v>
      </c>
      <c r="E150" s="4">
        <f t="shared" si="35"/>
        <v>78.495285702402455</v>
      </c>
      <c r="F150" s="4">
        <f t="shared" si="36"/>
        <v>0.41978270767538817</v>
      </c>
      <c r="G150" s="4">
        <f t="shared" si="37"/>
        <v>0</v>
      </c>
      <c r="H150" s="4">
        <f t="shared" si="38"/>
        <v>16.896443558359877</v>
      </c>
      <c r="I150" s="5">
        <f>vals_co2_excLUC!$R150</f>
        <v>61.490875208164688</v>
      </c>
      <c r="J150" s="5">
        <f>vals_co2_excLUC!$X150</f>
        <v>61.102509972654808</v>
      </c>
      <c r="K150" s="5">
        <f>vals_co2_excLUC!$AD150</f>
        <v>61.522292680330196</v>
      </c>
      <c r="L150" s="5"/>
      <c r="M150" s="5">
        <f>vals_co2_excLUC!$S150</f>
        <v>78.455200049018231</v>
      </c>
      <c r="N150" s="5">
        <f>vals_co2_excLUC!$Y150</f>
        <v>78.418736238690073</v>
      </c>
      <c r="O150" s="5">
        <f>vals_co2_excLUC!$AE150</f>
        <v>78.495285702402455</v>
      </c>
      <c r="P150" s="5"/>
      <c r="Q150" s="9">
        <f t="shared" si="39"/>
        <v>7.6549463712382249E-2</v>
      </c>
      <c r="R150" s="9">
        <v>61.484999999999999</v>
      </c>
      <c r="S150" s="9">
        <v>78.453000000000003</v>
      </c>
    </row>
    <row r="151" spans="1:19" x14ac:dyDescent="0.35">
      <c r="A151" s="6">
        <f>vals_co2_excLUC!$A151</f>
        <v>1998</v>
      </c>
      <c r="B151" s="7">
        <f t="shared" si="32"/>
        <v>60.787881026095057</v>
      </c>
      <c r="C151" s="7">
        <f t="shared" si="33"/>
        <v>61.195845058410612</v>
      </c>
      <c r="D151" s="7">
        <f t="shared" si="34"/>
        <v>77.983394656449263</v>
      </c>
      <c r="E151" s="7">
        <f t="shared" si="35"/>
        <v>78.054128937711482</v>
      </c>
      <c r="F151" s="7">
        <f t="shared" si="36"/>
        <v>0.40796403231555445</v>
      </c>
      <c r="G151" s="7">
        <f t="shared" si="37"/>
        <v>0</v>
      </c>
      <c r="H151" s="7">
        <f t="shared" si="38"/>
        <v>16.787549598038652</v>
      </c>
      <c r="I151" s="8">
        <f>vals_co2_excLUC!$R151</f>
        <v>61.16535204851953</v>
      </c>
      <c r="J151" s="8">
        <f>vals_co2_excLUC!$X151</f>
        <v>60.787881026095057</v>
      </c>
      <c r="K151" s="8">
        <f>vals_co2_excLUC!$AD151</f>
        <v>61.195845058410612</v>
      </c>
      <c r="L151" s="8"/>
      <c r="M151" s="8">
        <f>vals_co2_excLUC!$S151</f>
        <v>78.015235087188955</v>
      </c>
      <c r="N151" s="8">
        <f>vals_co2_excLUC!$Y151</f>
        <v>77.983394656449263</v>
      </c>
      <c r="O151" s="8">
        <f>vals_co2_excLUC!$AE151</f>
        <v>78.054128937711482</v>
      </c>
      <c r="P151" s="8"/>
      <c r="Q151" s="9">
        <f t="shared" si="39"/>
        <v>7.0734281262218701E-2</v>
      </c>
      <c r="R151" s="9">
        <v>61.158999999999999</v>
      </c>
      <c r="S151" s="9">
        <v>78.013000000000005</v>
      </c>
    </row>
    <row r="152" spans="1:19" x14ac:dyDescent="0.35">
      <c r="A152" s="3">
        <f>vals_co2_excLUC!$A152</f>
        <v>1999</v>
      </c>
      <c r="B152" s="4">
        <f t="shared" si="32"/>
        <v>60.466294885344837</v>
      </c>
      <c r="C152" s="4">
        <f t="shared" si="33"/>
        <v>60.864418150909302</v>
      </c>
      <c r="D152" s="4">
        <f t="shared" si="34"/>
        <v>77.53247906486439</v>
      </c>
      <c r="E152" s="4">
        <f t="shared" si="35"/>
        <v>77.599346395254614</v>
      </c>
      <c r="F152" s="4">
        <f t="shared" si="36"/>
        <v>0.39812326556446465</v>
      </c>
      <c r="G152" s="4">
        <f t="shared" si="37"/>
        <v>0</v>
      </c>
      <c r="H152" s="4">
        <f t="shared" si="38"/>
        <v>16.668060913955088</v>
      </c>
      <c r="I152" s="5">
        <f>vals_co2_excLUC!$R152</f>
        <v>60.834823566812815</v>
      </c>
      <c r="J152" s="5">
        <f>vals_co2_excLUC!$X152</f>
        <v>60.466294885344837</v>
      </c>
      <c r="K152" s="5">
        <f>vals_co2_excLUC!$AD152</f>
        <v>60.864418150909302</v>
      </c>
      <c r="L152" s="5"/>
      <c r="M152" s="5">
        <f>vals_co2_excLUC!$S152</f>
        <v>77.561614070111702</v>
      </c>
      <c r="N152" s="5">
        <f>vals_co2_excLUC!$Y152</f>
        <v>77.53247906486439</v>
      </c>
      <c r="O152" s="5">
        <f>vals_co2_excLUC!$AE152</f>
        <v>77.599346395254614</v>
      </c>
      <c r="P152" s="5"/>
      <c r="Q152" s="9">
        <f t="shared" si="39"/>
        <v>6.6867330390223856E-2</v>
      </c>
      <c r="R152" s="9">
        <v>60.829000000000001</v>
      </c>
      <c r="S152" s="9">
        <v>77.558999999999997</v>
      </c>
    </row>
    <row r="153" spans="1:19" x14ac:dyDescent="0.35">
      <c r="A153" s="6">
        <f>vals_co2_excLUC!$A153</f>
        <v>2000</v>
      </c>
      <c r="B153" s="7">
        <f t="shared" si="32"/>
        <v>60.147969181675485</v>
      </c>
      <c r="C153" s="7">
        <f t="shared" si="33"/>
        <v>60.538514485493565</v>
      </c>
      <c r="D153" s="7">
        <f t="shared" si="34"/>
        <v>77.078343442324524</v>
      </c>
      <c r="E153" s="7">
        <f t="shared" si="35"/>
        <v>77.143689294874235</v>
      </c>
      <c r="F153" s="7">
        <f t="shared" si="36"/>
        <v>0.3905453038180795</v>
      </c>
      <c r="G153" s="7">
        <f t="shared" si="37"/>
        <v>0</v>
      </c>
      <c r="H153" s="7">
        <f t="shared" si="38"/>
        <v>16.539828956830959</v>
      </c>
      <c r="I153" s="8">
        <f>vals_co2_excLUC!$R153</f>
        <v>60.509792038672259</v>
      </c>
      <c r="J153" s="8">
        <f>vals_co2_excLUC!$X153</f>
        <v>60.147969181675485</v>
      </c>
      <c r="K153" s="8">
        <f>vals_co2_excLUC!$AD153</f>
        <v>60.538514485493565</v>
      </c>
      <c r="L153" s="8"/>
      <c r="M153" s="8">
        <f>vals_co2_excLUC!$S153</f>
        <v>77.107087965907311</v>
      </c>
      <c r="N153" s="8">
        <f>vals_co2_excLUC!$Y153</f>
        <v>77.078343442324524</v>
      </c>
      <c r="O153" s="8">
        <f>vals_co2_excLUC!$AE153</f>
        <v>77.143689294874235</v>
      </c>
      <c r="P153" s="8"/>
      <c r="Q153" s="9">
        <f t="shared" si="39"/>
        <v>6.5345852549711481E-2</v>
      </c>
      <c r="R153" s="9">
        <v>60.503999999999998</v>
      </c>
      <c r="S153" s="9">
        <v>77.105000000000004</v>
      </c>
    </row>
    <row r="154" spans="1:19" x14ac:dyDescent="0.35">
      <c r="A154" s="3">
        <f>vals_co2_excLUC!$A154</f>
        <v>2001</v>
      </c>
      <c r="B154" s="4">
        <f t="shared" si="32"/>
        <v>59.822851053299964</v>
      </c>
      <c r="C154" s="4">
        <f t="shared" si="33"/>
        <v>60.209941540370615</v>
      </c>
      <c r="D154" s="4">
        <f t="shared" si="34"/>
        <v>76.624251206861743</v>
      </c>
      <c r="E154" s="4">
        <f t="shared" si="35"/>
        <v>76.693494414270376</v>
      </c>
      <c r="F154" s="4">
        <f t="shared" si="36"/>
        <v>0.38709048707065108</v>
      </c>
      <c r="G154" s="4">
        <f t="shared" si="37"/>
        <v>0</v>
      </c>
      <c r="H154" s="4">
        <f t="shared" si="38"/>
        <v>16.414309666491128</v>
      </c>
      <c r="I154" s="5">
        <f>vals_co2_excLUC!$R154</f>
        <v>60.182056177682242</v>
      </c>
      <c r="J154" s="5">
        <f>vals_co2_excLUC!$X154</f>
        <v>59.822851053299964</v>
      </c>
      <c r="K154" s="5">
        <f>vals_co2_excLUC!$AD154</f>
        <v>60.209941540370615</v>
      </c>
      <c r="L154" s="5"/>
      <c r="M154" s="5">
        <f>vals_co2_excLUC!$S154</f>
        <v>76.657974279712406</v>
      </c>
      <c r="N154" s="5">
        <f>vals_co2_excLUC!$Y154</f>
        <v>76.624251206861743</v>
      </c>
      <c r="O154" s="5">
        <f>vals_co2_excLUC!$AE154</f>
        <v>76.693494414270376</v>
      </c>
      <c r="P154" s="5"/>
      <c r="Q154" s="9">
        <f t="shared" si="39"/>
        <v>6.9243207408632657E-2</v>
      </c>
      <c r="R154" s="9">
        <v>60.177</v>
      </c>
      <c r="S154" s="9">
        <v>76.656000000000006</v>
      </c>
    </row>
    <row r="155" spans="1:19" x14ac:dyDescent="0.35">
      <c r="A155" s="6">
        <f>vals_co2_excLUC!$A155</f>
        <v>2002</v>
      </c>
      <c r="B155" s="7">
        <f t="shared" si="32"/>
        <v>59.485492261574812</v>
      </c>
      <c r="C155" s="7">
        <f t="shared" si="33"/>
        <v>59.873052161950469</v>
      </c>
      <c r="D155" s="7">
        <f t="shared" si="34"/>
        <v>76.152019481066517</v>
      </c>
      <c r="E155" s="7">
        <f t="shared" si="35"/>
        <v>76.229871160680489</v>
      </c>
      <c r="F155" s="7">
        <f t="shared" si="36"/>
        <v>0.38755990037565624</v>
      </c>
      <c r="G155" s="7">
        <f t="shared" si="37"/>
        <v>0</v>
      </c>
      <c r="H155" s="7">
        <f t="shared" si="38"/>
        <v>16.278967319116049</v>
      </c>
      <c r="I155" s="8">
        <f>vals_co2_excLUC!$R155</f>
        <v>59.845982585994676</v>
      </c>
      <c r="J155" s="8">
        <f>vals_co2_excLUC!$X155</f>
        <v>59.485492261574812</v>
      </c>
      <c r="K155" s="8">
        <f>vals_co2_excLUC!$AD155</f>
        <v>59.873052161950469</v>
      </c>
      <c r="L155" s="8"/>
      <c r="M155" s="8">
        <f>vals_co2_excLUC!$S155</f>
        <v>76.195405764806949</v>
      </c>
      <c r="N155" s="8">
        <f>vals_co2_excLUC!$Y155</f>
        <v>76.152019481066517</v>
      </c>
      <c r="O155" s="8">
        <f>vals_co2_excLUC!$AE155</f>
        <v>76.229871160680489</v>
      </c>
      <c r="P155" s="8"/>
      <c r="Q155" s="9">
        <f t="shared" si="39"/>
        <v>7.7851679613971214E-2</v>
      </c>
      <c r="R155" s="9">
        <v>59.841000000000001</v>
      </c>
      <c r="S155" s="9">
        <v>76.194000000000003</v>
      </c>
    </row>
    <row r="156" spans="1:19" x14ac:dyDescent="0.35">
      <c r="A156" s="3">
        <f>vals_co2_excLUC!$A156</f>
        <v>2003</v>
      </c>
      <c r="B156" s="4">
        <f t="shared" si="32"/>
        <v>59.106403360562155</v>
      </c>
      <c r="C156" s="4">
        <f t="shared" si="33"/>
        <v>59.492339205873279</v>
      </c>
      <c r="D156" s="4">
        <f t="shared" si="34"/>
        <v>75.632385010006971</v>
      </c>
      <c r="E156" s="4">
        <f t="shared" si="35"/>
        <v>75.716566689867747</v>
      </c>
      <c r="F156" s="4">
        <f t="shared" si="36"/>
        <v>0.38593584531112413</v>
      </c>
      <c r="G156" s="4">
        <f t="shared" si="37"/>
        <v>0</v>
      </c>
      <c r="H156" s="4">
        <f t="shared" si="38"/>
        <v>16.140045804133692</v>
      </c>
      <c r="I156" s="5">
        <f>vals_co2_excLUC!$R156</f>
        <v>59.466099440731277</v>
      </c>
      <c r="J156" s="5">
        <f>vals_co2_excLUC!$X156</f>
        <v>59.106403360562155</v>
      </c>
      <c r="K156" s="5">
        <f>vals_co2_excLUC!$AD156</f>
        <v>59.492339205873279</v>
      </c>
      <c r="L156" s="5"/>
      <c r="M156" s="5">
        <f>vals_co2_excLUC!$S156</f>
        <v>75.683170309148892</v>
      </c>
      <c r="N156" s="5">
        <f>vals_co2_excLUC!$Y156</f>
        <v>75.632385010006971</v>
      </c>
      <c r="O156" s="5">
        <f>vals_co2_excLUC!$AE156</f>
        <v>75.716566689867747</v>
      </c>
      <c r="P156" s="5"/>
      <c r="Q156" s="9">
        <f t="shared" si="39"/>
        <v>8.4181679860776626E-2</v>
      </c>
      <c r="R156" s="9">
        <v>59.460999999999999</v>
      </c>
      <c r="S156" s="9">
        <v>75.680999999999997</v>
      </c>
    </row>
    <row r="157" spans="1:19" x14ac:dyDescent="0.35">
      <c r="A157" s="6">
        <f>vals_co2_excLUC!$A157</f>
        <v>2004</v>
      </c>
      <c r="B157" s="7">
        <f t="shared" si="32"/>
        <v>58.704126701698954</v>
      </c>
      <c r="C157" s="7">
        <f t="shared" si="33"/>
        <v>59.093342851503728</v>
      </c>
      <c r="D157" s="7">
        <f t="shared" si="34"/>
        <v>75.084125476659054</v>
      </c>
      <c r="E157" s="7">
        <f t="shared" si="35"/>
        <v>75.180866950966646</v>
      </c>
      <c r="F157" s="7">
        <f t="shared" si="36"/>
        <v>0.38921614980477415</v>
      </c>
      <c r="G157" s="7">
        <f t="shared" si="37"/>
        <v>0</v>
      </c>
      <c r="H157" s="7">
        <f t="shared" si="38"/>
        <v>15.990782625155326</v>
      </c>
      <c r="I157" s="8">
        <f>vals_co2_excLUC!$R157</f>
        <v>59.067920835029106</v>
      </c>
      <c r="J157" s="8">
        <f>vals_co2_excLUC!$X157</f>
        <v>58.704126701698954</v>
      </c>
      <c r="K157" s="8">
        <f>vals_co2_excLUC!$AD157</f>
        <v>59.093342851503728</v>
      </c>
      <c r="L157" s="8"/>
      <c r="M157" s="8">
        <f>vals_co2_excLUC!$S157</f>
        <v>75.14852334590833</v>
      </c>
      <c r="N157" s="8">
        <f>vals_co2_excLUC!$Y157</f>
        <v>75.084125476659054</v>
      </c>
      <c r="O157" s="8">
        <f>vals_co2_excLUC!$AE157</f>
        <v>75.180866950966646</v>
      </c>
      <c r="P157" s="8"/>
      <c r="Q157" s="9">
        <f t="shared" si="39"/>
        <v>9.6741474307592057E-2</v>
      </c>
      <c r="R157" s="9">
        <v>59.063000000000002</v>
      </c>
      <c r="S157" s="9">
        <v>75.147000000000006</v>
      </c>
    </row>
    <row r="158" spans="1:19" x14ac:dyDescent="0.35">
      <c r="A158" s="3">
        <f>vals_co2_excLUC!$A158</f>
        <v>2005</v>
      </c>
      <c r="B158" s="4">
        <f t="shared" si="32"/>
        <v>58.269832687648794</v>
      </c>
      <c r="C158" s="4">
        <f t="shared" si="33"/>
        <v>58.666079859464695</v>
      </c>
      <c r="D158" s="4">
        <f t="shared" si="34"/>
        <v>74.499462808952032</v>
      </c>
      <c r="E158" s="4">
        <f t="shared" si="35"/>
        <v>74.613681639390634</v>
      </c>
      <c r="F158" s="4">
        <f t="shared" si="36"/>
        <v>0.39624717181590086</v>
      </c>
      <c r="G158" s="4">
        <f t="shared" si="37"/>
        <v>0</v>
      </c>
      <c r="H158" s="4">
        <f t="shared" si="38"/>
        <v>15.833382949487337</v>
      </c>
      <c r="I158" s="5">
        <f>vals_co2_excLUC!$R158</f>
        <v>58.641468396382677</v>
      </c>
      <c r="J158" s="5">
        <f>vals_co2_excLUC!$X158</f>
        <v>58.269832687648794</v>
      </c>
      <c r="K158" s="5">
        <f>vals_co2_excLUC!$AD158</f>
        <v>58.666079859464695</v>
      </c>
      <c r="L158" s="5"/>
      <c r="M158" s="5">
        <f>vals_co2_excLUC!$S158</f>
        <v>74.582379259397413</v>
      </c>
      <c r="N158" s="5">
        <f>vals_co2_excLUC!$Y158</f>
        <v>74.499462808952032</v>
      </c>
      <c r="O158" s="5">
        <f>vals_co2_excLUC!$AE158</f>
        <v>74.613681639390634</v>
      </c>
      <c r="P158" s="5"/>
      <c r="Q158" s="9">
        <f t="shared" si="39"/>
        <v>0.11421883043860248</v>
      </c>
      <c r="R158" s="9">
        <v>58.637</v>
      </c>
      <c r="S158" s="9">
        <v>74.581000000000003</v>
      </c>
    </row>
    <row r="159" spans="1:19" x14ac:dyDescent="0.35">
      <c r="A159" s="6">
        <f>vals_co2_excLUC!$A159</f>
        <v>2006</v>
      </c>
      <c r="B159" s="7">
        <f t="shared" si="32"/>
        <v>57.80959221986619</v>
      </c>
      <c r="C159" s="7">
        <f t="shared" si="33"/>
        <v>58.20404864350833</v>
      </c>
      <c r="D159" s="7">
        <f t="shared" si="34"/>
        <v>73.894955231726854</v>
      </c>
      <c r="E159" s="7">
        <f t="shared" si="35"/>
        <v>74.01587040319572</v>
      </c>
      <c r="F159" s="7">
        <f t="shared" si="36"/>
        <v>0.39445642364213995</v>
      </c>
      <c r="G159" s="7">
        <f t="shared" si="37"/>
        <v>0</v>
      </c>
      <c r="H159" s="7">
        <f t="shared" si="38"/>
        <v>15.690906588218525</v>
      </c>
      <c r="I159" s="8">
        <f>vals_co2_excLUC!$R159</f>
        <v>58.180241773212352</v>
      </c>
      <c r="J159" s="8">
        <f>vals_co2_excLUC!$X159</f>
        <v>57.80959221986619</v>
      </c>
      <c r="K159" s="8">
        <f>vals_co2_excLUC!$AD159</f>
        <v>58.20404864350833</v>
      </c>
      <c r="L159" s="8"/>
      <c r="M159" s="8">
        <f>vals_co2_excLUC!$S159</f>
        <v>73.985595514448306</v>
      </c>
      <c r="N159" s="8">
        <f>vals_co2_excLUC!$Y159</f>
        <v>73.894955231726854</v>
      </c>
      <c r="O159" s="8">
        <f>vals_co2_excLUC!$AE159</f>
        <v>74.01587040319572</v>
      </c>
      <c r="P159" s="8"/>
      <c r="Q159" s="9">
        <f t="shared" si="39"/>
        <v>0.12091517146886588</v>
      </c>
      <c r="R159" s="9">
        <v>58.176000000000002</v>
      </c>
      <c r="S159" s="9">
        <v>73.983999999999995</v>
      </c>
    </row>
    <row r="160" spans="1:19" x14ac:dyDescent="0.35">
      <c r="A160" s="3">
        <f>vals_co2_excLUC!$A160</f>
        <v>2007</v>
      </c>
      <c r="B160" s="4">
        <f t="shared" si="32"/>
        <v>57.341122687578995</v>
      </c>
      <c r="C160" s="4">
        <f t="shared" si="33"/>
        <v>57.73001400184372</v>
      </c>
      <c r="D160" s="4">
        <f t="shared" si="34"/>
        <v>73.282913853753342</v>
      </c>
      <c r="E160" s="4">
        <f t="shared" si="35"/>
        <v>73.405657735535414</v>
      </c>
      <c r="F160" s="4">
        <f t="shared" si="36"/>
        <v>0.38889131426472545</v>
      </c>
      <c r="G160" s="4">
        <f t="shared" si="37"/>
        <v>0</v>
      </c>
      <c r="H160" s="4">
        <f t="shared" si="38"/>
        <v>15.552899851909622</v>
      </c>
      <c r="I160" s="5">
        <f>vals_co2_excLUC!$R160</f>
        <v>57.70699309466584</v>
      </c>
      <c r="J160" s="5">
        <f>vals_co2_excLUC!$X160</f>
        <v>57.341122687578995</v>
      </c>
      <c r="K160" s="5">
        <f>vals_co2_excLUC!$AD160</f>
        <v>57.73001400184372</v>
      </c>
      <c r="L160" s="5"/>
      <c r="M160" s="5">
        <f>vals_co2_excLUC!$S160</f>
        <v>73.376385397245727</v>
      </c>
      <c r="N160" s="5">
        <f>vals_co2_excLUC!$Y160</f>
        <v>73.282913853753342</v>
      </c>
      <c r="O160" s="5">
        <f>vals_co2_excLUC!$AE160</f>
        <v>73.405657735535414</v>
      </c>
      <c r="P160" s="5"/>
      <c r="Q160" s="9">
        <f t="shared" si="39"/>
        <v>0.12274388178207118</v>
      </c>
      <c r="R160" s="9">
        <v>57.703000000000003</v>
      </c>
      <c r="S160" s="9">
        <v>73.375</v>
      </c>
    </row>
    <row r="161" spans="1:19" x14ac:dyDescent="0.35">
      <c r="A161" s="6">
        <f>vals_co2_excLUC!$A161</f>
        <v>2008</v>
      </c>
      <c r="B161" s="7">
        <f t="shared" si="32"/>
        <v>56.850804417376146</v>
      </c>
      <c r="C161" s="7">
        <f t="shared" si="33"/>
        <v>57.225946475510966</v>
      </c>
      <c r="D161" s="7">
        <f t="shared" si="34"/>
        <v>72.65088708453456</v>
      </c>
      <c r="E161" s="7">
        <f t="shared" si="35"/>
        <v>72.765116024096599</v>
      </c>
      <c r="F161" s="7">
        <f t="shared" si="36"/>
        <v>0.37514205813481993</v>
      </c>
      <c r="G161" s="7">
        <f t="shared" si="37"/>
        <v>0</v>
      </c>
      <c r="H161" s="7">
        <f t="shared" si="38"/>
        <v>15.424940609023594</v>
      </c>
      <c r="I161" s="8">
        <f>vals_co2_excLUC!$R161</f>
        <v>57.203694946788531</v>
      </c>
      <c r="J161" s="8">
        <f>vals_co2_excLUC!$X161</f>
        <v>56.850804417376146</v>
      </c>
      <c r="K161" s="8">
        <f>vals_co2_excLUC!$AD161</f>
        <v>57.225946475510966</v>
      </c>
      <c r="L161" s="8"/>
      <c r="M161" s="8">
        <f>vals_co2_excLUC!$S161</f>
        <v>72.736821833949264</v>
      </c>
      <c r="N161" s="8">
        <f>vals_co2_excLUC!$Y161</f>
        <v>72.65088708453456</v>
      </c>
      <c r="O161" s="8">
        <f>vals_co2_excLUC!$AE161</f>
        <v>72.765116024096599</v>
      </c>
      <c r="P161" s="8"/>
      <c r="Q161" s="9">
        <f t="shared" si="39"/>
        <v>0.1142289395620395</v>
      </c>
      <c r="R161" s="9">
        <v>57.2</v>
      </c>
      <c r="S161" s="9">
        <v>72.736000000000004</v>
      </c>
    </row>
    <row r="162" spans="1:19" x14ac:dyDescent="0.35">
      <c r="A162" s="3">
        <f>vals_co2_excLUC!$A162</f>
        <v>2009</v>
      </c>
      <c r="B162" s="4">
        <f t="shared" si="32"/>
        <v>56.345562109794635</v>
      </c>
      <c r="C162" s="4">
        <f t="shared" si="33"/>
        <v>56.704371865109152</v>
      </c>
      <c r="D162" s="4">
        <f t="shared" si="34"/>
        <v>72.000419302209735</v>
      </c>
      <c r="E162" s="4">
        <f t="shared" si="35"/>
        <v>72.102300690350731</v>
      </c>
      <c r="F162" s="4">
        <f t="shared" si="36"/>
        <v>0.35880975531451753</v>
      </c>
      <c r="G162" s="4">
        <f t="shared" si="37"/>
        <v>0</v>
      </c>
      <c r="H162" s="4">
        <f t="shared" si="38"/>
        <v>15.296047437100583</v>
      </c>
      <c r="I162" s="5">
        <f>vals_co2_excLUC!$R162</f>
        <v>56.682850651315029</v>
      </c>
      <c r="J162" s="5">
        <f>vals_co2_excLUC!$X162</f>
        <v>56.345562109794635</v>
      </c>
      <c r="K162" s="5">
        <f>vals_co2_excLUC!$AD162</f>
        <v>56.704371865109152</v>
      </c>
      <c r="L162" s="5"/>
      <c r="M162" s="5">
        <f>vals_co2_excLUC!$S162</f>
        <v>72.074934989236198</v>
      </c>
      <c r="N162" s="5">
        <f>vals_co2_excLUC!$Y162</f>
        <v>72.000419302209735</v>
      </c>
      <c r="O162" s="5">
        <f>vals_co2_excLUC!$AE162</f>
        <v>72.102300690350731</v>
      </c>
      <c r="P162" s="5"/>
      <c r="Q162" s="9">
        <f t="shared" si="39"/>
        <v>0.10188138814099545</v>
      </c>
      <c r="R162" s="9">
        <v>56.679000000000002</v>
      </c>
      <c r="S162" s="9">
        <v>72.073999999999998</v>
      </c>
    </row>
    <row r="163" spans="1:19" x14ac:dyDescent="0.35">
      <c r="A163" s="6">
        <f>vals_co2_excLUC!$A163</f>
        <v>2010</v>
      </c>
      <c r="B163" s="7">
        <f t="shared" ref="B163:B177" si="40">IFERROR(_xlfn.AGGREGATE(5,6,I163:L163),"")</f>
        <v>55.826674279175073</v>
      </c>
      <c r="C163" s="7">
        <f t="shared" ref="C163:C177" si="41">IFERROR(_xlfn.AGGREGATE(4,6,I163:L163),"")</f>
        <v>56.15763952217192</v>
      </c>
      <c r="D163" s="7">
        <f t="shared" ref="D163:D177" si="42">IFERROR(_xlfn.AGGREGATE(5,6,M163:P163),"")</f>
        <v>71.335653582173862</v>
      </c>
      <c r="E163" s="7">
        <f t="shared" ref="E163:E177" si="43">IFERROR(_xlfn.AGGREGATE(4,6,M163:P163),"")</f>
        <v>71.410720571796261</v>
      </c>
      <c r="F163" s="7">
        <f t="shared" ref="F163:F177" si="44">IFERROR(MIN(C163,D163)-B163,"")</f>
        <v>0.3309652429968466</v>
      </c>
      <c r="G163" s="7">
        <f t="shared" ref="G163:G177" si="45">IFERROR(MAX(0,C163-D163),"")</f>
        <v>0</v>
      </c>
      <c r="H163" s="7">
        <f t="shared" ref="H163:H177" si="46">IFERROR(MAX(0,D163-C163),"")</f>
        <v>15.178014060001942</v>
      </c>
      <c r="I163" s="8">
        <f>vals_co2_excLUC!$R163</f>
        <v>56.136851680289823</v>
      </c>
      <c r="J163" s="8">
        <f>vals_co2_excLUC!$X163</f>
        <v>55.826674279175073</v>
      </c>
      <c r="K163" s="8">
        <f>vals_co2_excLUC!$AD163</f>
        <v>56.15763952217192</v>
      </c>
      <c r="L163" s="8"/>
      <c r="M163" s="8">
        <f>vals_co2_excLUC!$S163</f>
        <v>71.384286060584103</v>
      </c>
      <c r="N163" s="8">
        <f>vals_co2_excLUC!$Y163</f>
        <v>71.335653582173862</v>
      </c>
      <c r="O163" s="8">
        <f>vals_co2_excLUC!$AE163</f>
        <v>71.410720571796261</v>
      </c>
      <c r="P163" s="8"/>
      <c r="Q163" s="9">
        <f t="shared" ref="Q163:Q177" si="47">IFERROR(MAX(0,$E163-MAX($C163,$D163)),"")</f>
        <v>7.506698962239966E-2</v>
      </c>
      <c r="R163" s="9">
        <v>56.133000000000003</v>
      </c>
      <c r="S163" s="9">
        <v>71.382999999999996</v>
      </c>
    </row>
    <row r="164" spans="1:19" x14ac:dyDescent="0.35">
      <c r="A164" s="3">
        <f>vals_co2_excLUC!$A164</f>
        <v>2011</v>
      </c>
      <c r="B164" s="4">
        <f t="shared" si="40"/>
        <v>55.268833268163874</v>
      </c>
      <c r="C164" s="4">
        <f t="shared" si="41"/>
        <v>55.573634540635965</v>
      </c>
      <c r="D164" s="4">
        <f t="shared" si="42"/>
        <v>70.63255066514067</v>
      </c>
      <c r="E164" s="4">
        <f t="shared" si="43"/>
        <v>70.683346559483567</v>
      </c>
      <c r="F164" s="4">
        <f t="shared" si="44"/>
        <v>0.30480127247209055</v>
      </c>
      <c r="G164" s="4">
        <f t="shared" si="45"/>
        <v>0</v>
      </c>
      <c r="H164" s="4">
        <f t="shared" si="46"/>
        <v>15.058916124504705</v>
      </c>
      <c r="I164" s="5">
        <f>vals_co2_excLUC!$R164</f>
        <v>55.553575078379872</v>
      </c>
      <c r="J164" s="5">
        <f>vals_co2_excLUC!$X164</f>
        <v>55.268833268163874</v>
      </c>
      <c r="K164" s="5">
        <f>vals_co2_excLUC!$AD164</f>
        <v>55.573634540635965</v>
      </c>
      <c r="L164" s="5"/>
      <c r="M164" s="5">
        <f>vals_co2_excLUC!$S164</f>
        <v>70.657832769610934</v>
      </c>
      <c r="N164" s="5">
        <f>vals_co2_excLUC!$Y164</f>
        <v>70.63255066514067</v>
      </c>
      <c r="O164" s="5">
        <f>vals_co2_excLUC!$AE164</f>
        <v>70.683346559483567</v>
      </c>
      <c r="P164" s="5"/>
      <c r="Q164" s="9">
        <f t="shared" si="47"/>
        <v>5.0795894342897441E-2</v>
      </c>
      <c r="R164" s="9">
        <v>55.55</v>
      </c>
      <c r="S164" s="9">
        <v>70.656999999999996</v>
      </c>
    </row>
    <row r="165" spans="1:19" x14ac:dyDescent="0.35">
      <c r="A165" s="6">
        <f>vals_co2_excLUC!$A165</f>
        <v>2012</v>
      </c>
      <c r="B165" s="7">
        <f t="shared" si="40"/>
        <v>54.705423433859323</v>
      </c>
      <c r="C165" s="7">
        <f t="shared" si="41"/>
        <v>54.984955202674449</v>
      </c>
      <c r="D165" s="7">
        <f t="shared" si="42"/>
        <v>69.925385873580041</v>
      </c>
      <c r="E165" s="7">
        <f t="shared" si="43"/>
        <v>69.952850561394584</v>
      </c>
      <c r="F165" s="7">
        <f t="shared" si="44"/>
        <v>0.27953176881512576</v>
      </c>
      <c r="G165" s="7">
        <f t="shared" si="45"/>
        <v>0</v>
      </c>
      <c r="H165" s="7">
        <f t="shared" si="46"/>
        <v>14.940430670905592</v>
      </c>
      <c r="I165" s="8">
        <f>vals_co2_excLUC!$R165</f>
        <v>54.965597234961869</v>
      </c>
      <c r="J165" s="8">
        <f>vals_co2_excLUC!$X165</f>
        <v>54.705423433859323</v>
      </c>
      <c r="K165" s="8">
        <f>vals_co2_excLUC!$AD165</f>
        <v>54.984955202674449</v>
      </c>
      <c r="L165" s="8"/>
      <c r="M165" s="8">
        <f>vals_co2_excLUC!$S165</f>
        <v>69.928222582885851</v>
      </c>
      <c r="N165" s="8">
        <f>vals_co2_excLUC!$Y165</f>
        <v>69.925385873580041</v>
      </c>
      <c r="O165" s="8">
        <f>vals_co2_excLUC!$AE165</f>
        <v>69.952850561394584</v>
      </c>
      <c r="P165" s="8"/>
      <c r="Q165" s="9">
        <f t="shared" si="47"/>
        <v>2.7464687814543254E-2</v>
      </c>
      <c r="R165" s="9">
        <v>54.962000000000003</v>
      </c>
      <c r="S165" s="9">
        <v>69.927000000000007</v>
      </c>
    </row>
    <row r="166" spans="1:19" x14ac:dyDescent="0.35">
      <c r="A166" s="3">
        <f>vals_co2_excLUC!$A166</f>
        <v>2013</v>
      </c>
      <c r="B166" s="4">
        <f t="shared" si="40"/>
        <v>54.160892045929351</v>
      </c>
      <c r="C166" s="4">
        <f t="shared" si="41"/>
        <v>54.419223130618519</v>
      </c>
      <c r="D166" s="4">
        <f t="shared" si="42"/>
        <v>69.217578274295974</v>
      </c>
      <c r="E166" s="4">
        <f t="shared" si="43"/>
        <v>69.241364444426281</v>
      </c>
      <c r="F166" s="4">
        <f t="shared" si="44"/>
        <v>0.25833108468916777</v>
      </c>
      <c r="G166" s="4">
        <f t="shared" si="45"/>
        <v>0</v>
      </c>
      <c r="H166" s="4">
        <f t="shared" si="46"/>
        <v>14.798355143677455</v>
      </c>
      <c r="I166" s="5">
        <f>vals_co2_excLUC!$R166</f>
        <v>54.400529123498643</v>
      </c>
      <c r="J166" s="5">
        <f>vals_co2_excLUC!$X166</f>
        <v>54.160892045929351</v>
      </c>
      <c r="K166" s="5">
        <f>vals_co2_excLUC!$AD166</f>
        <v>54.419223130618519</v>
      </c>
      <c r="L166" s="5"/>
      <c r="M166" s="5">
        <f>vals_co2_excLUC!$S166</f>
        <v>69.217578274295974</v>
      </c>
      <c r="N166" s="5">
        <f>vals_co2_excLUC!$Y166</f>
        <v>69.232777601503699</v>
      </c>
      <c r="O166" s="5">
        <f>vals_co2_excLUC!$AE166</f>
        <v>69.241364444426281</v>
      </c>
      <c r="P166" s="5"/>
      <c r="Q166" s="9">
        <f t="shared" si="47"/>
        <v>2.3786170130307482E-2</v>
      </c>
      <c r="R166" s="9">
        <v>54.396999999999998</v>
      </c>
      <c r="S166" s="9">
        <v>69.216999999999999</v>
      </c>
    </row>
    <row r="167" spans="1:19" x14ac:dyDescent="0.35">
      <c r="A167" s="6">
        <f>vals_co2_excLUC!$A167</f>
        <v>2014</v>
      </c>
      <c r="B167" s="7">
        <f t="shared" si="40"/>
        <v>53.617720987131122</v>
      </c>
      <c r="C167" s="7">
        <f t="shared" si="41"/>
        <v>53.861933159759602</v>
      </c>
      <c r="D167" s="7">
        <f t="shared" si="42"/>
        <v>68.517544206411799</v>
      </c>
      <c r="E167" s="7">
        <f t="shared" si="43"/>
        <v>68.542132596755806</v>
      </c>
      <c r="F167" s="7">
        <f t="shared" si="44"/>
        <v>0.24421217262847961</v>
      </c>
      <c r="G167" s="7">
        <f t="shared" si="45"/>
        <v>0</v>
      </c>
      <c r="H167" s="7">
        <f t="shared" si="46"/>
        <v>14.655611046652197</v>
      </c>
      <c r="I167" s="8">
        <f>vals_co2_excLUC!$R167</f>
        <v>53.843871100875198</v>
      </c>
      <c r="J167" s="8">
        <f>vals_co2_excLUC!$X167</f>
        <v>53.617720987131122</v>
      </c>
      <c r="K167" s="8">
        <f>vals_co2_excLUC!$AD167</f>
        <v>53.861933159759602</v>
      </c>
      <c r="L167" s="8"/>
      <c r="M167" s="8">
        <f>vals_co2_excLUC!$S167</f>
        <v>68.517544206411799</v>
      </c>
      <c r="N167" s="8">
        <f>vals_co2_excLUC!$Y167</f>
        <v>68.542132596755806</v>
      </c>
      <c r="O167" s="8">
        <f>vals_co2_excLUC!$AE167</f>
        <v>68.540529057684552</v>
      </c>
      <c r="P167" s="8"/>
      <c r="Q167" s="9">
        <f t="shared" si="47"/>
        <v>2.4588390344007394E-2</v>
      </c>
      <c r="R167" s="9">
        <v>53.841000000000001</v>
      </c>
      <c r="S167" s="9">
        <v>68.516999999999996</v>
      </c>
    </row>
    <row r="168" spans="1:19" x14ac:dyDescent="0.35">
      <c r="A168" s="3">
        <f>vals_co2_excLUC!$A168</f>
        <v>2015</v>
      </c>
      <c r="B168" s="4">
        <f t="shared" si="40"/>
        <v>53.082872102892779</v>
      </c>
      <c r="C168" s="4">
        <f t="shared" si="41"/>
        <v>53.323104401982235</v>
      </c>
      <c r="D168" s="4">
        <f t="shared" si="42"/>
        <v>67.842613185382888</v>
      </c>
      <c r="E168" s="4">
        <f t="shared" si="43"/>
        <v>67.864843666738537</v>
      </c>
      <c r="F168" s="4">
        <f t="shared" si="44"/>
        <v>0.24023229908945609</v>
      </c>
      <c r="G168" s="4">
        <f t="shared" si="45"/>
        <v>0</v>
      </c>
      <c r="H168" s="4">
        <f t="shared" si="46"/>
        <v>14.519508783400653</v>
      </c>
      <c r="I168" s="5">
        <f>vals_co2_excLUC!$R168</f>
        <v>53.30563771967789</v>
      </c>
      <c r="J168" s="5">
        <f>vals_co2_excLUC!$X168</f>
        <v>53.082872102892779</v>
      </c>
      <c r="K168" s="5">
        <f>vals_co2_excLUC!$AD168</f>
        <v>53.323104401982235</v>
      </c>
      <c r="L168" s="5"/>
      <c r="M168" s="5">
        <f>vals_co2_excLUC!$S168</f>
        <v>67.842613185382888</v>
      </c>
      <c r="N168" s="5">
        <f>vals_co2_excLUC!$Y168</f>
        <v>67.864022642665248</v>
      </c>
      <c r="O168" s="5">
        <f>vals_co2_excLUC!$AE168</f>
        <v>67.864843666738537</v>
      </c>
      <c r="P168" s="5"/>
      <c r="Q168" s="9">
        <f t="shared" si="47"/>
        <v>2.223048135564909E-2</v>
      </c>
      <c r="R168" s="9">
        <v>53.302</v>
      </c>
      <c r="S168" s="9">
        <v>67.841999999999999</v>
      </c>
    </row>
    <row r="169" spans="1:19" x14ac:dyDescent="0.35">
      <c r="A169" s="6">
        <f>vals_co2_excLUC!$A169</f>
        <v>2016</v>
      </c>
      <c r="B169" s="7">
        <f t="shared" si="40"/>
        <v>52.556945428153746</v>
      </c>
      <c r="C169" s="7">
        <f t="shared" si="41"/>
        <v>52.797689114450463</v>
      </c>
      <c r="D169" s="7">
        <f t="shared" si="42"/>
        <v>67.189731968166512</v>
      </c>
      <c r="E169" s="7">
        <f t="shared" si="43"/>
        <v>67.211249777047158</v>
      </c>
      <c r="F169" s="7">
        <f t="shared" si="44"/>
        <v>0.24074368629671739</v>
      </c>
      <c r="G169" s="7">
        <f t="shared" si="45"/>
        <v>0</v>
      </c>
      <c r="H169" s="7">
        <f t="shared" si="46"/>
        <v>14.392042853716049</v>
      </c>
      <c r="I169" s="8">
        <f>vals_co2_excLUC!$R169</f>
        <v>52.780786188754966</v>
      </c>
      <c r="J169" s="8">
        <f>vals_co2_excLUC!$X169</f>
        <v>52.556945428153746</v>
      </c>
      <c r="K169" s="8">
        <f>vals_co2_excLUC!$AD169</f>
        <v>52.797689114450463</v>
      </c>
      <c r="L169" s="8"/>
      <c r="M169" s="8">
        <f>vals_co2_excLUC!$S169</f>
        <v>67.189731968166512</v>
      </c>
      <c r="N169" s="8">
        <f>vals_co2_excLUC!$Y169</f>
        <v>67.202415773235501</v>
      </c>
      <c r="O169" s="8">
        <f>vals_co2_excLUC!$AE169</f>
        <v>67.211249777047158</v>
      </c>
      <c r="P169" s="8"/>
      <c r="Q169" s="9">
        <f t="shared" si="47"/>
        <v>2.1517808880645362E-2</v>
      </c>
      <c r="R169" s="9">
        <v>52.777999999999999</v>
      </c>
      <c r="S169" s="9">
        <v>67.188999999999993</v>
      </c>
    </row>
    <row r="170" spans="1:19" x14ac:dyDescent="0.35">
      <c r="A170" s="3">
        <f>vals_co2_excLUC!$A170</f>
        <v>2017</v>
      </c>
      <c r="B170" s="4">
        <f t="shared" si="40"/>
        <v>52.02670707811582</v>
      </c>
      <c r="C170" s="4">
        <f t="shared" si="41"/>
        <v>52.272934654414769</v>
      </c>
      <c r="D170" s="4">
        <f t="shared" si="42"/>
        <v>66.540370165343944</v>
      </c>
      <c r="E170" s="4">
        <f t="shared" si="43"/>
        <v>66.563602129966341</v>
      </c>
      <c r="F170" s="4">
        <f t="shared" si="44"/>
        <v>0.2462275762989492</v>
      </c>
      <c r="G170" s="4">
        <f t="shared" si="45"/>
        <v>0</v>
      </c>
      <c r="H170" s="4">
        <f t="shared" si="46"/>
        <v>14.267435510929175</v>
      </c>
      <c r="I170" s="5">
        <f>vals_co2_excLUC!$R170</f>
        <v>52.256576129374508</v>
      </c>
      <c r="J170" s="5">
        <f>vals_co2_excLUC!$X170</f>
        <v>52.02670707811582</v>
      </c>
      <c r="K170" s="5">
        <f>vals_co2_excLUC!$AD170</f>
        <v>52.272934654414769</v>
      </c>
      <c r="L170" s="5"/>
      <c r="M170" s="5">
        <f>vals_co2_excLUC!$S170</f>
        <v>66.542770978646558</v>
      </c>
      <c r="N170" s="5">
        <f>vals_co2_excLUC!$Y170</f>
        <v>66.540370165343944</v>
      </c>
      <c r="O170" s="5">
        <f>vals_co2_excLUC!$AE170</f>
        <v>66.563602129966341</v>
      </c>
      <c r="P170" s="5"/>
      <c r="Q170" s="9">
        <f t="shared" si="47"/>
        <v>2.3231964622397072E-2</v>
      </c>
      <c r="R170" s="9">
        <v>52.253999999999998</v>
      </c>
      <c r="S170" s="9">
        <v>66.542000000000002</v>
      </c>
    </row>
    <row r="171" spans="1:19" x14ac:dyDescent="0.35">
      <c r="A171" s="6">
        <f>vals_co2_excLUC!$A171</f>
        <v>2018</v>
      </c>
      <c r="B171" s="7">
        <f t="shared" si="40"/>
        <v>51.503660826587719</v>
      </c>
      <c r="C171" s="7">
        <f t="shared" si="41"/>
        <v>51.751310524933523</v>
      </c>
      <c r="D171" s="7">
        <f t="shared" si="42"/>
        <v>65.888610751102888</v>
      </c>
      <c r="E171" s="7">
        <f t="shared" si="43"/>
        <v>65.920935474354337</v>
      </c>
      <c r="F171" s="7">
        <f t="shared" si="44"/>
        <v>0.24764969834580342</v>
      </c>
      <c r="G171" s="7">
        <f t="shared" si="45"/>
        <v>0</v>
      </c>
      <c r="H171" s="7">
        <f t="shared" si="46"/>
        <v>14.137300226169366</v>
      </c>
      <c r="I171" s="8">
        <f>vals_co2_excLUC!$R171</f>
        <v>51.735478744052557</v>
      </c>
      <c r="J171" s="8">
        <f>vals_co2_excLUC!$X171</f>
        <v>51.503660826587719</v>
      </c>
      <c r="K171" s="8">
        <f>vals_co2_excLUC!$AD171</f>
        <v>51.751310524933523</v>
      </c>
      <c r="L171" s="8"/>
      <c r="M171" s="8">
        <f>vals_co2_excLUC!$S171</f>
        <v>65.900768485028038</v>
      </c>
      <c r="N171" s="8">
        <f>vals_co2_excLUC!$Y171</f>
        <v>65.888610751102888</v>
      </c>
      <c r="O171" s="8">
        <f>vals_co2_excLUC!$AE171</f>
        <v>65.920935474354337</v>
      </c>
      <c r="P171" s="8"/>
      <c r="Q171" s="9">
        <f t="shared" si="47"/>
        <v>3.2324723251448972E-2</v>
      </c>
      <c r="R171" s="9">
        <v>51.732999999999997</v>
      </c>
      <c r="S171" s="9">
        <v>65.900000000000006</v>
      </c>
    </row>
    <row r="172" spans="1:19" x14ac:dyDescent="0.35">
      <c r="A172" s="3">
        <f>vals_co2_excLUC!$A172</f>
        <v>2019</v>
      </c>
      <c r="B172" s="4">
        <f t="shared" si="40"/>
        <v>50.985130807460763</v>
      </c>
      <c r="C172" s="4">
        <f t="shared" si="41"/>
        <v>51.22410002250006</v>
      </c>
      <c r="D172" s="4">
        <f t="shared" si="42"/>
        <v>65.24242981808122</v>
      </c>
      <c r="E172" s="4">
        <f t="shared" si="43"/>
        <v>65.270706051044669</v>
      </c>
      <c r="F172" s="4">
        <f t="shared" si="44"/>
        <v>0.23896921503929747</v>
      </c>
      <c r="G172" s="4">
        <f t="shared" si="45"/>
        <v>0</v>
      </c>
      <c r="H172" s="4">
        <f t="shared" si="46"/>
        <v>14.01832979558116</v>
      </c>
      <c r="I172" s="5">
        <f>vals_co2_excLUC!$R172</f>
        <v>51.208776809765396</v>
      </c>
      <c r="J172" s="5">
        <f>vals_co2_excLUC!$X172</f>
        <v>50.985130807460763</v>
      </c>
      <c r="K172" s="5">
        <f>vals_co2_excLUC!$AD172</f>
        <v>51.22410002250006</v>
      </c>
      <c r="L172" s="5"/>
      <c r="M172" s="5">
        <f>vals_co2_excLUC!$S172</f>
        <v>65.251180505028415</v>
      </c>
      <c r="N172" s="5">
        <f>vals_co2_excLUC!$Y172</f>
        <v>65.24242981808122</v>
      </c>
      <c r="O172" s="5">
        <f>vals_co2_excLUC!$AE172</f>
        <v>65.270706051044669</v>
      </c>
      <c r="P172" s="5"/>
      <c r="Q172" s="9">
        <f t="shared" si="47"/>
        <v>2.8276232963449388E-2</v>
      </c>
      <c r="R172" s="9">
        <v>51.206000000000003</v>
      </c>
      <c r="S172" s="9">
        <v>65.251000000000005</v>
      </c>
    </row>
    <row r="173" spans="1:19" x14ac:dyDescent="0.35">
      <c r="A173" s="6">
        <f>vals_co2_excLUC!$A173</f>
        <v>2020</v>
      </c>
      <c r="B173" s="7">
        <f t="shared" si="40"/>
        <v>50.47844888902592</v>
      </c>
      <c r="C173" s="7">
        <f t="shared" si="41"/>
        <v>50.708507880586907</v>
      </c>
      <c r="D173" s="7">
        <f t="shared" si="42"/>
        <v>64.619062823134982</v>
      </c>
      <c r="E173" s="7">
        <f t="shared" si="43"/>
        <v>64.642742077386657</v>
      </c>
      <c r="F173" s="7">
        <f t="shared" si="44"/>
        <v>0.23005899156098764</v>
      </c>
      <c r="G173" s="7">
        <f t="shared" si="45"/>
        <v>0</v>
      </c>
      <c r="H173" s="7">
        <f t="shared" si="46"/>
        <v>13.910554942548075</v>
      </c>
      <c r="I173" s="8">
        <f>vals_co2_excLUC!$R173</f>
        <v>50.693654081146867</v>
      </c>
      <c r="J173" s="8">
        <f>vals_co2_excLUC!$X173</f>
        <v>50.47844888902592</v>
      </c>
      <c r="K173" s="8">
        <f>vals_co2_excLUC!$AD173</f>
        <v>50.708507880586907</v>
      </c>
      <c r="L173" s="8"/>
      <c r="M173" s="8">
        <f>vals_co2_excLUC!$S173</f>
        <v>64.623806176538764</v>
      </c>
      <c r="N173" s="8">
        <f>vals_co2_excLUC!$Y173</f>
        <v>64.619062823134982</v>
      </c>
      <c r="O173" s="8">
        <f>vals_co2_excLUC!$AE173</f>
        <v>64.642742077386657</v>
      </c>
      <c r="P173" s="8"/>
      <c r="Q173" s="9">
        <f t="shared" si="47"/>
        <v>2.3679254251675275E-2</v>
      </c>
      <c r="R173" s="9">
        <v>50.691000000000003</v>
      </c>
      <c r="S173" s="9">
        <v>64.623999999999995</v>
      </c>
    </row>
    <row r="174" spans="1:19" x14ac:dyDescent="0.35">
      <c r="A174" s="3">
        <f>vals_co2_excLUC!$A174</f>
        <v>2021</v>
      </c>
      <c r="B174" s="4">
        <f t="shared" si="40"/>
        <v>49.973357560028994</v>
      </c>
      <c r="C174" s="4">
        <f t="shared" si="41"/>
        <v>50.193656718385306</v>
      </c>
      <c r="D174" s="4">
        <f t="shared" si="42"/>
        <v>63.996341137979066</v>
      </c>
      <c r="E174" s="4">
        <f t="shared" si="43"/>
        <v>64.014693243591196</v>
      </c>
      <c r="F174" s="4">
        <f t="shared" si="44"/>
        <v>0.22029915835631186</v>
      </c>
      <c r="G174" s="4">
        <f t="shared" si="45"/>
        <v>0</v>
      </c>
      <c r="H174" s="4">
        <f t="shared" si="46"/>
        <v>13.80268441959376</v>
      </c>
      <c r="I174" s="5">
        <f>vals_co2_excLUC!$R174</f>
        <v>50.179267225268987</v>
      </c>
      <c r="J174" s="5">
        <f>vals_co2_excLUC!$X174</f>
        <v>49.973357560028994</v>
      </c>
      <c r="K174" s="5">
        <f>vals_co2_excLUC!$AD174</f>
        <v>50.193656718385306</v>
      </c>
      <c r="L174" s="5"/>
      <c r="M174" s="5">
        <f>vals_co2_excLUC!$S174</f>
        <v>63.996341137979066</v>
      </c>
      <c r="N174" s="5">
        <f>vals_co2_excLUC!$Y174</f>
        <v>63.996722953411819</v>
      </c>
      <c r="O174" s="5">
        <f>vals_co2_excLUC!$AE174</f>
        <v>64.014693243591196</v>
      </c>
      <c r="P174" s="5"/>
      <c r="Q174" s="9">
        <f t="shared" si="47"/>
        <v>1.8352105612130742E-2</v>
      </c>
      <c r="R174" s="9">
        <v>50.177</v>
      </c>
      <c r="S174" s="9">
        <v>63.996000000000002</v>
      </c>
    </row>
    <row r="175" spans="1:19" x14ac:dyDescent="0.35">
      <c r="A175" s="6">
        <f>vals_co2_excLUC!$A175</f>
        <v>2022</v>
      </c>
      <c r="B175" s="7">
        <f t="shared" si="40"/>
        <v>49.478882150808495</v>
      </c>
      <c r="C175" s="7">
        <f t="shared" si="41"/>
        <v>49.679946235188496</v>
      </c>
      <c r="D175" s="7">
        <f t="shared" si="42"/>
        <v>63.36390222562833</v>
      </c>
      <c r="E175" s="7">
        <f t="shared" si="43"/>
        <v>63.381752461946853</v>
      </c>
      <c r="F175" s="7">
        <f t="shared" si="44"/>
        <v>0.20106408438000045</v>
      </c>
      <c r="G175" s="7">
        <f t="shared" si="45"/>
        <v>0</v>
      </c>
      <c r="H175" s="7">
        <f t="shared" si="46"/>
        <v>13.683955990439834</v>
      </c>
      <c r="I175" s="8">
        <f>vals_co2_excLUC!$R175</f>
        <v>49.666005956446746</v>
      </c>
      <c r="J175" s="8">
        <f>vals_co2_excLUC!$X175</f>
        <v>49.478882150808495</v>
      </c>
      <c r="K175" s="8">
        <f>vals_co2_excLUC!$AD175</f>
        <v>49.679946235188496</v>
      </c>
      <c r="L175" s="8"/>
      <c r="M175" s="8">
        <f>vals_co2_excLUC!$S175</f>
        <v>63.36390222562833</v>
      </c>
      <c r="N175" s="8">
        <f>vals_co2_excLUC!$Y175</f>
        <v>63.381752461946853</v>
      </c>
      <c r="O175" s="8">
        <f>vals_co2_excLUC!$AE175</f>
        <v>63.381687558627775</v>
      </c>
      <c r="P175" s="8"/>
      <c r="Q175" s="9">
        <f t="shared" si="47"/>
        <v>1.7850236318523116E-2</v>
      </c>
      <c r="R175" s="9">
        <v>49.664000000000001</v>
      </c>
      <c r="S175" s="9">
        <v>63.363999999999997</v>
      </c>
    </row>
    <row r="176" spans="1:19" x14ac:dyDescent="0.35">
      <c r="A176" s="3">
        <f>vals_co2_excLUC!$A176</f>
        <v>2023</v>
      </c>
      <c r="B176" s="4">
        <f t="shared" si="40"/>
        <v>48.971768350528372</v>
      </c>
      <c r="C176" s="4">
        <f t="shared" si="41"/>
        <v>49.154011322927602</v>
      </c>
      <c r="D176" s="4">
        <f t="shared" si="42"/>
        <v>62.722166464080168</v>
      </c>
      <c r="E176" s="4">
        <f t="shared" si="43"/>
        <v>62.754824926679561</v>
      </c>
      <c r="F176" s="4">
        <f t="shared" si="44"/>
        <v>0.18224297239923004</v>
      </c>
      <c r="G176" s="4">
        <f t="shared" si="45"/>
        <v>0</v>
      </c>
      <c r="H176" s="4">
        <f t="shared" si="46"/>
        <v>13.568155141152566</v>
      </c>
      <c r="I176" s="5">
        <f>vals_co2_excLUC!$R176</f>
        <v>49.140508491639388</v>
      </c>
      <c r="J176" s="5">
        <f>vals_co2_excLUC!$X176</f>
        <v>48.971768350528372</v>
      </c>
      <c r="K176" s="5">
        <f>vals_co2_excLUC!$AD176</f>
        <v>49.154011322927602</v>
      </c>
      <c r="L176" s="5"/>
      <c r="M176" s="5">
        <f>vals_co2_excLUC!$S176</f>
        <v>62.722166464080168</v>
      </c>
      <c r="N176" s="5">
        <f>vals_co2_excLUC!$Y176</f>
        <v>62.754824926679561</v>
      </c>
      <c r="O176" s="5">
        <f>vals_co2_excLUC!$AE176</f>
        <v>62.739401579357605</v>
      </c>
      <c r="P176" s="5"/>
      <c r="Q176" s="9">
        <f t="shared" si="47"/>
        <v>3.265846259939309E-2</v>
      </c>
      <c r="R176" s="9">
        <v>49.137999999999998</v>
      </c>
      <c r="S176" s="9">
        <v>62.722000000000001</v>
      </c>
    </row>
    <row r="177" spans="1:19" x14ac:dyDescent="0.35">
      <c r="A177" s="6">
        <f>vals_co2_excLUC!$A177</f>
        <v>2024</v>
      </c>
      <c r="B177" s="7">
        <f t="shared" si="40"/>
        <v>48.501612141772895</v>
      </c>
      <c r="C177" s="7">
        <f t="shared" si="41"/>
        <v>48.634529780665289</v>
      </c>
      <c r="D177" s="7">
        <f t="shared" si="42"/>
        <v>62.091743207812513</v>
      </c>
      <c r="E177" s="7">
        <f t="shared" si="43"/>
        <v>62.172529548298364</v>
      </c>
      <c r="F177" s="7">
        <f t="shared" si="44"/>
        <v>0.13291763889239405</v>
      </c>
      <c r="G177" s="7">
        <f t="shared" si="45"/>
        <v>0</v>
      </c>
      <c r="H177" s="7">
        <f t="shared" si="46"/>
        <v>13.457213427147224</v>
      </c>
      <c r="I177" s="8">
        <f>vals_co2_excLUC!$R177</f>
        <v>48.621447498541478</v>
      </c>
      <c r="J177" s="8">
        <f>vals_co2_excLUC!$X177</f>
        <v>48.501612141772895</v>
      </c>
      <c r="K177" s="8">
        <f>vals_co2_excLUC!$AD177</f>
        <v>48.634529780665289</v>
      </c>
      <c r="L177" s="8"/>
      <c r="M177" s="8">
        <f>vals_co2_excLUC!$S177</f>
        <v>62.091743207812513</v>
      </c>
      <c r="N177" s="8">
        <f>vals_co2_excLUC!$Y177</f>
        <v>62.172529548298364</v>
      </c>
      <c r="O177" s="8">
        <f>vals_co2_excLUC!$AE177</f>
        <v>62.108450170722151</v>
      </c>
      <c r="P177" s="8"/>
      <c r="Q177" s="9">
        <f t="shared" si="47"/>
        <v>8.0786340485850872E-2</v>
      </c>
      <c r="R177" s="9">
        <v>48.619</v>
      </c>
      <c r="S177" s="9">
        <v>62.091999999999999</v>
      </c>
    </row>
  </sheetData>
  <mergeCells count="1">
    <mergeCell ref="A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59D8-709D-41C5-94A1-A8DFD66EF2BA}">
  <dimension ref="A2:AE177"/>
  <sheetViews>
    <sheetView workbookViewId="0"/>
  </sheetViews>
  <sheetFormatPr defaultRowHeight="14.5" x14ac:dyDescent="0.35"/>
  <sheetData>
    <row r="2" spans="1:3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</row>
    <row r="3" spans="1:31" x14ac:dyDescent="0.35">
      <c r="A3">
        <v>1850</v>
      </c>
      <c r="B3">
        <v>193.43799999999999</v>
      </c>
      <c r="C3">
        <v>196.738</v>
      </c>
      <c r="D3">
        <v>0.11</v>
      </c>
      <c r="E3">
        <v>200.25800000000001</v>
      </c>
      <c r="F3">
        <v>203.64099999999999</v>
      </c>
      <c r="G3">
        <v>4.2999999999999997E-2</v>
      </c>
      <c r="H3">
        <v>193.43799999999999</v>
      </c>
      <c r="I3">
        <v>196.738</v>
      </c>
      <c r="J3">
        <v>0.11</v>
      </c>
      <c r="N3">
        <f>IFERROR(SUM($B$3:$B3),"")</f>
        <v>193.43799999999999</v>
      </c>
      <c r="O3">
        <f>IFERROR(SUM($C$3:$C3),"")</f>
        <v>196.738</v>
      </c>
      <c r="P3">
        <f>IFERROR(SUM($D$3:$D3),"")</f>
        <v>0.11</v>
      </c>
      <c r="Q3">
        <f t="shared" ref="Q3:Q34" si="0">IFERROR(O3+P3,"")</f>
        <v>196.84800000000001</v>
      </c>
      <c r="R3">
        <f t="shared" ref="R3:R34" si="1">IFERROR(N3/Q3*100,NA())</f>
        <v>98.267698935219045</v>
      </c>
      <c r="S3">
        <f t="shared" ref="S3:S34" si="2">IFERROR(O3/Q3*100,NA())</f>
        <v>99.944119320490927</v>
      </c>
      <c r="T3">
        <f>IFERROR(SUM($E$3:$E3),"")</f>
        <v>200.25800000000001</v>
      </c>
      <c r="U3">
        <f>IFERROR(SUM($F$3:$F3),"")</f>
        <v>203.64099999999999</v>
      </c>
      <c r="V3">
        <f>IFERROR(SUM($G$3:$G3),"")</f>
        <v>4.2999999999999997E-2</v>
      </c>
      <c r="W3">
        <f t="shared" ref="W3:W34" si="3">IFERROR(U3+V3,"")</f>
        <v>203.684</v>
      </c>
      <c r="X3">
        <f t="shared" ref="X3:X34" si="4">IFERROR(T3/W3*100,NA())</f>
        <v>98.317982757604923</v>
      </c>
      <c r="Y3">
        <f t="shared" ref="Y3:Y34" si="5">IFERROR(U3/W3*100,NA())</f>
        <v>99.978888867068591</v>
      </c>
      <c r="Z3">
        <f>IFERROR(SUM($H$3:$H3),"")</f>
        <v>193.43799999999999</v>
      </c>
      <c r="AA3">
        <f>IFERROR(SUM($I$3:$I3),"")</f>
        <v>196.738</v>
      </c>
      <c r="AB3">
        <f>IFERROR(SUM($J$3:$J3),"")</f>
        <v>0.11</v>
      </c>
      <c r="AC3">
        <f t="shared" ref="AC3:AC34" si="6">IFERROR(AA3+AB3,"")</f>
        <v>196.84800000000001</v>
      </c>
      <c r="AD3">
        <f t="shared" ref="AD3:AD34" si="7">IFERROR(Z3/AC3*100,NA())</f>
        <v>98.267698935219045</v>
      </c>
      <c r="AE3">
        <f t="shared" ref="AE3:AE34" si="8">IFERROR(AA3/AC3*100,NA())</f>
        <v>99.944119320490927</v>
      </c>
    </row>
    <row r="4" spans="1:31" x14ac:dyDescent="0.35">
      <c r="A4">
        <v>1851</v>
      </c>
      <c r="B4">
        <v>194.934</v>
      </c>
      <c r="C4">
        <v>198.66800000000001</v>
      </c>
      <c r="D4">
        <v>0.11</v>
      </c>
      <c r="E4">
        <v>202.58699999999999</v>
      </c>
      <c r="F4">
        <v>206.49299999999999</v>
      </c>
      <c r="G4">
        <v>4.4999999999999998E-2</v>
      </c>
      <c r="H4">
        <v>194.934</v>
      </c>
      <c r="I4">
        <v>198.66800000000001</v>
      </c>
      <c r="J4">
        <v>0.11</v>
      </c>
      <c r="N4">
        <f>IFERROR(SUM($B$3:$B4),"")</f>
        <v>388.37199999999996</v>
      </c>
      <c r="O4">
        <f>IFERROR(SUM($C$3:$C4),"")</f>
        <v>395.40600000000001</v>
      </c>
      <c r="P4">
        <f>IFERROR(SUM($D$3:$D4),"")</f>
        <v>0.22</v>
      </c>
      <c r="Q4">
        <f t="shared" si="0"/>
        <v>395.62600000000003</v>
      </c>
      <c r="R4">
        <f t="shared" si="1"/>
        <v>98.166450132195536</v>
      </c>
      <c r="S4">
        <f t="shared" si="2"/>
        <v>99.944391925707606</v>
      </c>
      <c r="T4">
        <f>IFERROR(SUM($E$3:$E4),"")</f>
        <v>402.84500000000003</v>
      </c>
      <c r="U4">
        <f>IFERROR(SUM($F$3:$F4),"")</f>
        <v>410.13400000000001</v>
      </c>
      <c r="V4">
        <f>IFERROR(SUM($G$3:$G4),"")</f>
        <v>8.7999999999999995E-2</v>
      </c>
      <c r="W4">
        <f t="shared" si="3"/>
        <v>410.22200000000004</v>
      </c>
      <c r="X4">
        <f t="shared" si="4"/>
        <v>98.201705418041939</v>
      </c>
      <c r="Y4">
        <f t="shared" si="5"/>
        <v>99.97854820073033</v>
      </c>
      <c r="Z4">
        <f>IFERROR(SUM($H$3:$H4),"")</f>
        <v>388.37199999999996</v>
      </c>
      <c r="AA4">
        <f>IFERROR(SUM($I$3:$I4),"")</f>
        <v>395.40600000000001</v>
      </c>
      <c r="AB4">
        <f>IFERROR(SUM($J$3:$J4),"")</f>
        <v>0.22</v>
      </c>
      <c r="AC4">
        <f t="shared" si="6"/>
        <v>395.62600000000003</v>
      </c>
      <c r="AD4">
        <f t="shared" si="7"/>
        <v>98.166450132195536</v>
      </c>
      <c r="AE4">
        <f t="shared" si="8"/>
        <v>99.944391925707606</v>
      </c>
    </row>
    <row r="5" spans="1:31" x14ac:dyDescent="0.35">
      <c r="A5">
        <v>1852</v>
      </c>
      <c r="B5">
        <v>202.94</v>
      </c>
      <c r="C5">
        <v>207.41399999999999</v>
      </c>
      <c r="D5">
        <v>0.18099999999999999</v>
      </c>
      <c r="E5">
        <v>211.279</v>
      </c>
      <c r="F5">
        <v>215.97</v>
      </c>
      <c r="G5">
        <v>5.0999999999999997E-2</v>
      </c>
      <c r="H5">
        <v>202.94</v>
      </c>
      <c r="I5">
        <v>207.41399999999999</v>
      </c>
      <c r="J5">
        <v>0.18099999999999999</v>
      </c>
      <c r="N5">
        <f>IFERROR(SUM($B$3:$B5),"")</f>
        <v>591.3119999999999</v>
      </c>
      <c r="O5">
        <f>IFERROR(SUM($C$3:$C5),"")</f>
        <v>602.81999999999994</v>
      </c>
      <c r="P5">
        <f>IFERROR(SUM($D$3:$D5),"")</f>
        <v>0.40100000000000002</v>
      </c>
      <c r="Q5">
        <f t="shared" si="0"/>
        <v>603.22099999999989</v>
      </c>
      <c r="R5">
        <f t="shared" si="1"/>
        <v>98.025765018127686</v>
      </c>
      <c r="S5">
        <f t="shared" si="2"/>
        <v>99.933523534492338</v>
      </c>
      <c r="T5">
        <f>IFERROR(SUM($E$3:$E5),"")</f>
        <v>614.12400000000002</v>
      </c>
      <c r="U5">
        <f>IFERROR(SUM($F$3:$F5),"")</f>
        <v>626.10400000000004</v>
      </c>
      <c r="V5">
        <f>IFERROR(SUM($G$3:$G5),"")</f>
        <v>0.13899999999999998</v>
      </c>
      <c r="W5">
        <f t="shared" si="3"/>
        <v>626.24300000000005</v>
      </c>
      <c r="X5">
        <f t="shared" si="4"/>
        <v>98.064808708440651</v>
      </c>
      <c r="Y5">
        <f t="shared" si="5"/>
        <v>99.977804143120167</v>
      </c>
      <c r="Z5">
        <f>IFERROR(SUM($H$3:$H5),"")</f>
        <v>591.3119999999999</v>
      </c>
      <c r="AA5">
        <f>IFERROR(SUM($I$3:$I5),"")</f>
        <v>602.81999999999994</v>
      </c>
      <c r="AB5">
        <f>IFERROR(SUM($J$3:$J5),"")</f>
        <v>0.40100000000000002</v>
      </c>
      <c r="AC5">
        <f t="shared" si="6"/>
        <v>603.22099999999989</v>
      </c>
      <c r="AD5">
        <f t="shared" si="7"/>
        <v>98.025765018127686</v>
      </c>
      <c r="AE5">
        <f t="shared" si="8"/>
        <v>99.933523534492338</v>
      </c>
    </row>
    <row r="6" spans="1:31" x14ac:dyDescent="0.35">
      <c r="A6">
        <v>1853</v>
      </c>
      <c r="B6">
        <v>212.46</v>
      </c>
      <c r="C6">
        <v>217.12</v>
      </c>
      <c r="D6">
        <v>0.11700000000000001</v>
      </c>
      <c r="E6">
        <v>221.48099999999999</v>
      </c>
      <c r="F6">
        <v>226.41</v>
      </c>
      <c r="G6">
        <v>0.06</v>
      </c>
      <c r="H6">
        <v>212.46</v>
      </c>
      <c r="I6">
        <v>217.12</v>
      </c>
      <c r="J6">
        <v>0.11700000000000001</v>
      </c>
      <c r="N6">
        <f>IFERROR(SUM($B$3:$B6),"")</f>
        <v>803.77199999999993</v>
      </c>
      <c r="O6">
        <f>IFERROR(SUM($C$3:$C6),"")</f>
        <v>819.93999999999994</v>
      </c>
      <c r="P6">
        <f>IFERROR(SUM($D$3:$D6),"")</f>
        <v>0.51800000000000002</v>
      </c>
      <c r="Q6">
        <f t="shared" si="0"/>
        <v>820.45799999999997</v>
      </c>
      <c r="R6">
        <f t="shared" si="1"/>
        <v>97.966257870603982</v>
      </c>
      <c r="S6">
        <f t="shared" si="2"/>
        <v>99.936864531761529</v>
      </c>
      <c r="T6">
        <f>IFERROR(SUM($E$3:$E6),"")</f>
        <v>835.60500000000002</v>
      </c>
      <c r="U6">
        <f>IFERROR(SUM($F$3:$F6),"")</f>
        <v>852.51400000000001</v>
      </c>
      <c r="V6">
        <f>IFERROR(SUM($G$3:$G6),"")</f>
        <v>0.19899999999999998</v>
      </c>
      <c r="W6">
        <f t="shared" si="3"/>
        <v>852.71299999999997</v>
      </c>
      <c r="X6">
        <f t="shared" si="4"/>
        <v>97.993697762318632</v>
      </c>
      <c r="Y6">
        <f t="shared" si="5"/>
        <v>99.976662722393115</v>
      </c>
      <c r="Z6">
        <f>IFERROR(SUM($H$3:$H6),"")</f>
        <v>803.77199999999993</v>
      </c>
      <c r="AA6">
        <f>IFERROR(SUM($I$3:$I6),"")</f>
        <v>819.93999999999994</v>
      </c>
      <c r="AB6">
        <f>IFERROR(SUM($J$3:$J6),"")</f>
        <v>0.51800000000000002</v>
      </c>
      <c r="AC6">
        <f t="shared" si="6"/>
        <v>820.45799999999997</v>
      </c>
      <c r="AD6">
        <f t="shared" si="7"/>
        <v>97.966257870603982</v>
      </c>
      <c r="AE6">
        <f t="shared" si="8"/>
        <v>99.936864531761529</v>
      </c>
    </row>
    <row r="7" spans="1:31" x14ac:dyDescent="0.35">
      <c r="A7">
        <v>1854</v>
      </c>
      <c r="B7">
        <v>249.81899999999999</v>
      </c>
      <c r="C7">
        <v>255.03299999999999</v>
      </c>
      <c r="D7">
        <v>5.0000000000000001E-3</v>
      </c>
      <c r="E7">
        <v>260.35700000000003</v>
      </c>
      <c r="F7">
        <v>265.89</v>
      </c>
      <c r="G7">
        <v>7.0999999999999994E-2</v>
      </c>
      <c r="H7">
        <v>249.81899999999999</v>
      </c>
      <c r="I7">
        <v>255.03299999999999</v>
      </c>
      <c r="J7">
        <v>5.0000000000000001E-3</v>
      </c>
      <c r="N7">
        <f>IFERROR(SUM($B$3:$B7),"")</f>
        <v>1053.5909999999999</v>
      </c>
      <c r="O7">
        <f>IFERROR(SUM($C$3:$C7),"")</f>
        <v>1074.973</v>
      </c>
      <c r="P7">
        <f>IFERROR(SUM($D$3:$D7),"")</f>
        <v>0.52300000000000002</v>
      </c>
      <c r="Q7">
        <f t="shared" si="0"/>
        <v>1075.4959999999999</v>
      </c>
      <c r="R7">
        <f t="shared" si="1"/>
        <v>97.963265321302913</v>
      </c>
      <c r="S7">
        <f t="shared" si="2"/>
        <v>99.951371274277179</v>
      </c>
      <c r="T7">
        <f>IFERROR(SUM($E$3:$E7),"")</f>
        <v>1095.962</v>
      </c>
      <c r="U7">
        <f>IFERROR(SUM($F$3:$F7),"")</f>
        <v>1118.404</v>
      </c>
      <c r="V7">
        <f>IFERROR(SUM($G$3:$G7),"")</f>
        <v>0.26999999999999996</v>
      </c>
      <c r="W7">
        <f t="shared" si="3"/>
        <v>1118.674</v>
      </c>
      <c r="X7">
        <f t="shared" si="4"/>
        <v>97.969739173342731</v>
      </c>
      <c r="Y7">
        <f t="shared" si="5"/>
        <v>99.975864282176943</v>
      </c>
      <c r="Z7">
        <f>IFERROR(SUM($H$3:$H7),"")</f>
        <v>1053.5909999999999</v>
      </c>
      <c r="AA7">
        <f>IFERROR(SUM($I$3:$I7),"")</f>
        <v>1074.973</v>
      </c>
      <c r="AB7">
        <f>IFERROR(SUM($J$3:$J7),"")</f>
        <v>0.52300000000000002</v>
      </c>
      <c r="AC7">
        <f t="shared" si="6"/>
        <v>1075.4959999999999</v>
      </c>
      <c r="AD7">
        <f t="shared" si="7"/>
        <v>97.963265321302913</v>
      </c>
      <c r="AE7">
        <f t="shared" si="8"/>
        <v>99.951371274277179</v>
      </c>
    </row>
    <row r="8" spans="1:31" x14ac:dyDescent="0.35">
      <c r="A8">
        <v>1855</v>
      </c>
      <c r="B8">
        <v>253.69</v>
      </c>
      <c r="C8">
        <v>260.06099999999998</v>
      </c>
      <c r="D8">
        <v>0.19900000000000001</v>
      </c>
      <c r="E8">
        <v>264.88099999999997</v>
      </c>
      <c r="F8">
        <v>271.36399999999998</v>
      </c>
      <c r="G8">
        <v>0.08</v>
      </c>
      <c r="H8">
        <v>253.69</v>
      </c>
      <c r="I8">
        <v>260.06099999999998</v>
      </c>
      <c r="J8">
        <v>0.19900000000000001</v>
      </c>
      <c r="N8">
        <f>IFERROR(SUM($B$3:$B8),"")</f>
        <v>1307.2809999999999</v>
      </c>
      <c r="O8">
        <f>IFERROR(SUM($C$3:$C8),"")</f>
        <v>1335.0339999999999</v>
      </c>
      <c r="P8">
        <f>IFERROR(SUM($D$3:$D8),"")</f>
        <v>0.72199999999999998</v>
      </c>
      <c r="Q8">
        <f t="shared" si="0"/>
        <v>1335.7559999999999</v>
      </c>
      <c r="R8">
        <f t="shared" si="1"/>
        <v>97.868248392670523</v>
      </c>
      <c r="S8">
        <f t="shared" si="2"/>
        <v>99.945948212098628</v>
      </c>
      <c r="T8">
        <f>IFERROR(SUM($E$3:$E8),"")</f>
        <v>1360.8429999999998</v>
      </c>
      <c r="U8">
        <f>IFERROR(SUM($F$3:$F8),"")</f>
        <v>1389.768</v>
      </c>
      <c r="V8">
        <f>IFERROR(SUM($G$3:$G8),"")</f>
        <v>0.35</v>
      </c>
      <c r="W8">
        <f t="shared" si="3"/>
        <v>1390.1179999999999</v>
      </c>
      <c r="X8">
        <f t="shared" si="4"/>
        <v>97.894063669415104</v>
      </c>
      <c r="Y8">
        <f t="shared" si="5"/>
        <v>99.974822281273973</v>
      </c>
      <c r="Z8">
        <f>IFERROR(SUM($H$3:$H8),"")</f>
        <v>1307.2809999999999</v>
      </c>
      <c r="AA8">
        <f>IFERROR(SUM($I$3:$I8),"")</f>
        <v>1335.0339999999999</v>
      </c>
      <c r="AB8">
        <f>IFERROR(SUM($J$3:$J8),"")</f>
        <v>0.72199999999999998</v>
      </c>
      <c r="AC8">
        <f t="shared" si="6"/>
        <v>1335.7559999999999</v>
      </c>
      <c r="AD8">
        <f t="shared" si="7"/>
        <v>97.868248392670523</v>
      </c>
      <c r="AE8">
        <f t="shared" si="8"/>
        <v>99.945948212098628</v>
      </c>
    </row>
    <row r="9" spans="1:31" x14ac:dyDescent="0.35">
      <c r="A9">
        <v>1856</v>
      </c>
      <c r="B9">
        <v>270.50299999999999</v>
      </c>
      <c r="C9">
        <v>277.29599999999999</v>
      </c>
      <c r="D9">
        <v>0.94899999999999995</v>
      </c>
      <c r="E9">
        <v>282.54000000000002</v>
      </c>
      <c r="F9">
        <v>289.76900000000001</v>
      </c>
      <c r="G9">
        <v>8.6999999999999994E-2</v>
      </c>
      <c r="H9">
        <v>270.50299999999999</v>
      </c>
      <c r="I9">
        <v>277.29599999999999</v>
      </c>
      <c r="J9">
        <v>0.94899999999999995</v>
      </c>
      <c r="N9">
        <f>IFERROR(SUM($B$3:$B9),"")</f>
        <v>1577.7839999999999</v>
      </c>
      <c r="O9">
        <f>IFERROR(SUM($C$3:$C9),"")</f>
        <v>1612.33</v>
      </c>
      <c r="P9">
        <f>IFERROR(SUM($D$3:$D9),"")</f>
        <v>1.6709999999999998</v>
      </c>
      <c r="Q9">
        <f t="shared" si="0"/>
        <v>1614.001</v>
      </c>
      <c r="R9">
        <f t="shared" si="1"/>
        <v>97.756073261416816</v>
      </c>
      <c r="S9">
        <f t="shared" si="2"/>
        <v>99.896468465632921</v>
      </c>
      <c r="T9">
        <f>IFERROR(SUM($E$3:$E9),"")</f>
        <v>1643.3829999999998</v>
      </c>
      <c r="U9">
        <f>IFERROR(SUM($F$3:$F9),"")</f>
        <v>1679.537</v>
      </c>
      <c r="V9">
        <f>IFERROR(SUM($G$3:$G9),"")</f>
        <v>0.43699999999999994</v>
      </c>
      <c r="W9">
        <f t="shared" si="3"/>
        <v>1679.9739999999999</v>
      </c>
      <c r="X9">
        <f t="shared" si="4"/>
        <v>97.821930577497028</v>
      </c>
      <c r="Y9">
        <f t="shared" si="5"/>
        <v>99.973987692666682</v>
      </c>
      <c r="Z9">
        <f>IFERROR(SUM($H$3:$H9),"")</f>
        <v>1577.7839999999999</v>
      </c>
      <c r="AA9">
        <f>IFERROR(SUM($I$3:$I9),"")</f>
        <v>1612.33</v>
      </c>
      <c r="AB9">
        <f>IFERROR(SUM($J$3:$J9),"")</f>
        <v>1.6709999999999998</v>
      </c>
      <c r="AC9">
        <f t="shared" si="6"/>
        <v>1614.001</v>
      </c>
      <c r="AD9">
        <f t="shared" si="7"/>
        <v>97.756073261416816</v>
      </c>
      <c r="AE9">
        <f t="shared" si="8"/>
        <v>99.896468465632921</v>
      </c>
    </row>
    <row r="10" spans="1:31" x14ac:dyDescent="0.35">
      <c r="A10">
        <v>1857</v>
      </c>
      <c r="B10">
        <v>272.67</v>
      </c>
      <c r="C10">
        <v>279.93200000000002</v>
      </c>
      <c r="D10">
        <v>1.2490000000000001</v>
      </c>
      <c r="E10">
        <v>285.185</v>
      </c>
      <c r="F10">
        <v>292.92700000000002</v>
      </c>
      <c r="G10">
        <v>9.4E-2</v>
      </c>
      <c r="H10">
        <v>272.67</v>
      </c>
      <c r="I10">
        <v>279.93200000000002</v>
      </c>
      <c r="J10">
        <v>1.2490000000000001</v>
      </c>
      <c r="N10">
        <f>IFERROR(SUM($B$3:$B10),"")</f>
        <v>1850.454</v>
      </c>
      <c r="O10">
        <f>IFERROR(SUM($C$3:$C10),"")</f>
        <v>1892.2619999999999</v>
      </c>
      <c r="P10">
        <f>IFERROR(SUM($D$3:$D10),"")</f>
        <v>2.92</v>
      </c>
      <c r="Q10">
        <f t="shared" si="0"/>
        <v>1895.182</v>
      </c>
      <c r="R10">
        <f t="shared" si="1"/>
        <v>97.639910045578731</v>
      </c>
      <c r="S10">
        <f t="shared" si="2"/>
        <v>99.845925087933509</v>
      </c>
      <c r="T10">
        <f>IFERROR(SUM($E$3:$E10),"")</f>
        <v>1928.5679999999998</v>
      </c>
      <c r="U10">
        <f>IFERROR(SUM($F$3:$F10),"")</f>
        <v>1972.4639999999999</v>
      </c>
      <c r="V10">
        <f>IFERROR(SUM($G$3:$G10),"")</f>
        <v>0.53099999999999992</v>
      </c>
      <c r="W10">
        <f t="shared" si="3"/>
        <v>1972.9949999999999</v>
      </c>
      <c r="X10">
        <f t="shared" si="4"/>
        <v>97.748245687394032</v>
      </c>
      <c r="Y10">
        <f t="shared" si="5"/>
        <v>99.973086601841359</v>
      </c>
      <c r="Z10">
        <f>IFERROR(SUM($H$3:$H10),"")</f>
        <v>1850.454</v>
      </c>
      <c r="AA10">
        <f>IFERROR(SUM($I$3:$I10),"")</f>
        <v>1892.2619999999999</v>
      </c>
      <c r="AB10">
        <f>IFERROR(SUM($J$3:$J10),"")</f>
        <v>2.92</v>
      </c>
      <c r="AC10">
        <f t="shared" si="6"/>
        <v>1895.182</v>
      </c>
      <c r="AD10">
        <f t="shared" si="7"/>
        <v>97.639910045578731</v>
      </c>
      <c r="AE10">
        <f t="shared" si="8"/>
        <v>99.845925087933509</v>
      </c>
    </row>
    <row r="11" spans="1:31" x14ac:dyDescent="0.35">
      <c r="A11">
        <v>1858</v>
      </c>
      <c r="B11">
        <v>275.26299999999998</v>
      </c>
      <c r="C11">
        <v>283.77</v>
      </c>
      <c r="D11">
        <v>1.7789999999999999</v>
      </c>
      <c r="E11">
        <v>288.35899999999998</v>
      </c>
      <c r="F11">
        <v>297.03899999999999</v>
      </c>
      <c r="G11">
        <v>0.52500000000000002</v>
      </c>
      <c r="H11">
        <v>275.26299999999998</v>
      </c>
      <c r="I11">
        <v>283.77</v>
      </c>
      <c r="J11">
        <v>1.7789999999999999</v>
      </c>
      <c r="N11">
        <f>IFERROR(SUM($B$3:$B11),"")</f>
        <v>2125.7170000000001</v>
      </c>
      <c r="O11">
        <f>IFERROR(SUM($C$3:$C11),"")</f>
        <v>2176.0320000000002</v>
      </c>
      <c r="P11">
        <f>IFERROR(SUM($D$3:$D11),"")</f>
        <v>4.6989999999999998</v>
      </c>
      <c r="Q11">
        <f t="shared" si="0"/>
        <v>2180.7310000000002</v>
      </c>
      <c r="R11">
        <f t="shared" si="1"/>
        <v>97.477267943639077</v>
      </c>
      <c r="S11">
        <f t="shared" si="2"/>
        <v>99.784521795673101</v>
      </c>
      <c r="T11">
        <f>IFERROR(SUM($E$3:$E11),"")</f>
        <v>2216.9269999999997</v>
      </c>
      <c r="U11">
        <f>IFERROR(SUM($F$3:$F11),"")</f>
        <v>2269.5029999999997</v>
      </c>
      <c r="V11">
        <f>IFERROR(SUM($G$3:$G11),"")</f>
        <v>1.056</v>
      </c>
      <c r="W11">
        <f t="shared" si="3"/>
        <v>2270.5589999999997</v>
      </c>
      <c r="X11">
        <f t="shared" si="4"/>
        <v>97.637938498845429</v>
      </c>
      <c r="Y11">
        <f t="shared" si="5"/>
        <v>99.953491629153874</v>
      </c>
      <c r="Z11">
        <f>IFERROR(SUM($H$3:$H11),"")</f>
        <v>2125.7170000000001</v>
      </c>
      <c r="AA11">
        <f>IFERROR(SUM($I$3:$I11),"")</f>
        <v>2176.0320000000002</v>
      </c>
      <c r="AB11">
        <f>IFERROR(SUM($J$3:$J11),"")</f>
        <v>4.6989999999999998</v>
      </c>
      <c r="AC11">
        <f t="shared" si="6"/>
        <v>2180.7310000000002</v>
      </c>
      <c r="AD11">
        <f t="shared" si="7"/>
        <v>97.477267943639077</v>
      </c>
      <c r="AE11">
        <f t="shared" si="8"/>
        <v>99.784521795673101</v>
      </c>
    </row>
    <row r="12" spans="1:31" x14ac:dyDescent="0.35">
      <c r="A12">
        <v>1859</v>
      </c>
      <c r="B12">
        <v>292.45400000000001</v>
      </c>
      <c r="C12">
        <v>300.77999999999997</v>
      </c>
      <c r="D12">
        <v>1.792</v>
      </c>
      <c r="E12">
        <v>305.76100000000002</v>
      </c>
      <c r="F12">
        <v>314.214</v>
      </c>
      <c r="G12">
        <v>0.79</v>
      </c>
      <c r="H12">
        <v>292.45400000000001</v>
      </c>
      <c r="I12">
        <v>300.77999999999997</v>
      </c>
      <c r="J12">
        <v>1.792</v>
      </c>
      <c r="N12">
        <f>IFERROR(SUM($B$3:$B12),"")</f>
        <v>2418.1710000000003</v>
      </c>
      <c r="O12">
        <f>IFERROR(SUM($C$3:$C12),"")</f>
        <v>2476.8119999999999</v>
      </c>
      <c r="P12">
        <f>IFERROR(SUM($D$3:$D12),"")</f>
        <v>6.4909999999999997</v>
      </c>
      <c r="Q12">
        <f t="shared" si="0"/>
        <v>2483.3029999999999</v>
      </c>
      <c r="R12">
        <f t="shared" si="1"/>
        <v>97.37720286247793</v>
      </c>
      <c r="S12">
        <f t="shared" si="2"/>
        <v>99.73861425689897</v>
      </c>
      <c r="T12">
        <f>IFERROR(SUM($E$3:$E12),"")</f>
        <v>2522.6879999999996</v>
      </c>
      <c r="U12">
        <f>IFERROR(SUM($F$3:$F12),"")</f>
        <v>2583.7169999999996</v>
      </c>
      <c r="V12">
        <f>IFERROR(SUM($G$3:$G12),"")</f>
        <v>1.8460000000000001</v>
      </c>
      <c r="W12">
        <f t="shared" si="3"/>
        <v>2585.5629999999996</v>
      </c>
      <c r="X12">
        <f t="shared" si="4"/>
        <v>97.568227886924433</v>
      </c>
      <c r="Y12">
        <f t="shared" si="5"/>
        <v>99.928603557523061</v>
      </c>
      <c r="Z12">
        <f>IFERROR(SUM($H$3:$H12),"")</f>
        <v>2418.1710000000003</v>
      </c>
      <c r="AA12">
        <f>IFERROR(SUM($I$3:$I12),"")</f>
        <v>2476.8119999999999</v>
      </c>
      <c r="AB12">
        <f>IFERROR(SUM($J$3:$J12),"")</f>
        <v>6.4909999999999997</v>
      </c>
      <c r="AC12">
        <f t="shared" si="6"/>
        <v>2483.3029999999999</v>
      </c>
      <c r="AD12">
        <f t="shared" si="7"/>
        <v>97.37720286247793</v>
      </c>
      <c r="AE12">
        <f t="shared" si="8"/>
        <v>99.73861425689897</v>
      </c>
    </row>
    <row r="13" spans="1:31" x14ac:dyDescent="0.35">
      <c r="A13">
        <v>1860</v>
      </c>
      <c r="B13">
        <v>320.98</v>
      </c>
      <c r="C13">
        <v>330.22500000000002</v>
      </c>
      <c r="D13">
        <v>2.073</v>
      </c>
      <c r="E13">
        <v>335.12200000000001</v>
      </c>
      <c r="F13">
        <v>344.52499999999998</v>
      </c>
      <c r="G13">
        <v>0.82499999999999996</v>
      </c>
      <c r="H13">
        <v>320.98</v>
      </c>
      <c r="I13">
        <v>330.22500000000002</v>
      </c>
      <c r="J13">
        <v>2.073</v>
      </c>
      <c r="N13">
        <f>IFERROR(SUM($B$3:$B13),"")</f>
        <v>2739.1510000000003</v>
      </c>
      <c r="O13">
        <f>IFERROR(SUM($C$3:$C13),"")</f>
        <v>2807.0369999999998</v>
      </c>
      <c r="P13">
        <f>IFERROR(SUM($D$3:$D13),"")</f>
        <v>8.5640000000000001</v>
      </c>
      <c r="Q13">
        <f t="shared" si="0"/>
        <v>2815.6009999999997</v>
      </c>
      <c r="R13">
        <f t="shared" si="1"/>
        <v>97.284771528352238</v>
      </c>
      <c r="S13">
        <f t="shared" si="2"/>
        <v>99.695837584941899</v>
      </c>
      <c r="T13">
        <f>IFERROR(SUM($E$3:$E13),"")</f>
        <v>2857.8099999999995</v>
      </c>
      <c r="U13">
        <f>IFERROR(SUM($F$3:$F13),"")</f>
        <v>2928.2419999999997</v>
      </c>
      <c r="V13">
        <f>IFERROR(SUM($G$3:$G13),"")</f>
        <v>2.6710000000000003</v>
      </c>
      <c r="W13">
        <f t="shared" si="3"/>
        <v>2930.9129999999996</v>
      </c>
      <c r="X13">
        <f t="shared" si="4"/>
        <v>97.50579426956719</v>
      </c>
      <c r="Y13">
        <f t="shared" si="5"/>
        <v>99.908867987552014</v>
      </c>
      <c r="Z13">
        <f>IFERROR(SUM($H$3:$H13),"")</f>
        <v>2739.1510000000003</v>
      </c>
      <c r="AA13">
        <f>IFERROR(SUM($I$3:$I13),"")</f>
        <v>2807.0369999999998</v>
      </c>
      <c r="AB13">
        <f>IFERROR(SUM($J$3:$J13),"")</f>
        <v>8.5640000000000001</v>
      </c>
      <c r="AC13">
        <f t="shared" si="6"/>
        <v>2815.6009999999997</v>
      </c>
      <c r="AD13">
        <f t="shared" si="7"/>
        <v>97.284771528352238</v>
      </c>
      <c r="AE13">
        <f t="shared" si="8"/>
        <v>99.695837584941899</v>
      </c>
    </row>
    <row r="14" spans="1:31" x14ac:dyDescent="0.35">
      <c r="A14">
        <v>1861</v>
      </c>
      <c r="B14">
        <v>336.91199999999998</v>
      </c>
      <c r="C14">
        <v>347.16899999999998</v>
      </c>
      <c r="D14">
        <v>2.0219999999999998</v>
      </c>
      <c r="E14">
        <v>352.73099999999999</v>
      </c>
      <c r="F14">
        <v>363.21600000000001</v>
      </c>
      <c r="G14">
        <v>0.69899999999999995</v>
      </c>
      <c r="H14">
        <v>336.91199999999998</v>
      </c>
      <c r="I14">
        <v>347.16899999999998</v>
      </c>
      <c r="J14">
        <v>2.0219999999999998</v>
      </c>
      <c r="N14">
        <f>IFERROR(SUM($B$3:$B14),"")</f>
        <v>3076.0630000000001</v>
      </c>
      <c r="O14">
        <f>IFERROR(SUM($C$3:$C14),"")</f>
        <v>3154.2059999999997</v>
      </c>
      <c r="P14">
        <f>IFERROR(SUM($D$3:$D14),"")</f>
        <v>10.586</v>
      </c>
      <c r="Q14">
        <f t="shared" si="0"/>
        <v>3164.7919999999995</v>
      </c>
      <c r="R14">
        <f t="shared" si="1"/>
        <v>97.196371831071389</v>
      </c>
      <c r="S14">
        <f t="shared" si="2"/>
        <v>99.665507243446015</v>
      </c>
      <c r="T14">
        <f>IFERROR(SUM($E$3:$E14),"")</f>
        <v>3210.5409999999993</v>
      </c>
      <c r="U14">
        <f>IFERROR(SUM($F$3:$F14),"")</f>
        <v>3291.4579999999996</v>
      </c>
      <c r="V14">
        <f>IFERROR(SUM($G$3:$G14),"")</f>
        <v>3.37</v>
      </c>
      <c r="W14">
        <f t="shared" si="3"/>
        <v>3294.8279999999995</v>
      </c>
      <c r="X14">
        <f t="shared" si="4"/>
        <v>97.441839149114912</v>
      </c>
      <c r="Y14">
        <f t="shared" si="5"/>
        <v>99.897718484849591</v>
      </c>
      <c r="Z14">
        <f>IFERROR(SUM($H$3:$H14),"")</f>
        <v>3076.0630000000001</v>
      </c>
      <c r="AA14">
        <f>IFERROR(SUM($I$3:$I14),"")</f>
        <v>3154.2059999999997</v>
      </c>
      <c r="AB14">
        <f>IFERROR(SUM($J$3:$J14),"")</f>
        <v>10.586</v>
      </c>
      <c r="AC14">
        <f t="shared" si="6"/>
        <v>3164.7919999999995</v>
      </c>
      <c r="AD14">
        <f t="shared" si="7"/>
        <v>97.196371831071389</v>
      </c>
      <c r="AE14">
        <f t="shared" si="8"/>
        <v>99.665507243446015</v>
      </c>
    </row>
    <row r="15" spans="1:31" x14ac:dyDescent="0.35">
      <c r="A15">
        <v>1862</v>
      </c>
      <c r="B15">
        <v>341.69400000000002</v>
      </c>
      <c r="C15">
        <v>353.83</v>
      </c>
      <c r="D15">
        <v>2.161</v>
      </c>
      <c r="E15">
        <v>357.80900000000003</v>
      </c>
      <c r="F15">
        <v>370.23</v>
      </c>
      <c r="G15">
        <v>0.74399999999999999</v>
      </c>
      <c r="H15">
        <v>341.69400000000002</v>
      </c>
      <c r="I15">
        <v>353.83</v>
      </c>
      <c r="J15">
        <v>2.161</v>
      </c>
      <c r="N15">
        <f>IFERROR(SUM($B$3:$B15),"")</f>
        <v>3417.7570000000001</v>
      </c>
      <c r="O15">
        <f>IFERROR(SUM($C$3:$C15),"")</f>
        <v>3508.0359999999996</v>
      </c>
      <c r="P15">
        <f>IFERROR(SUM($D$3:$D15),"")</f>
        <v>12.747</v>
      </c>
      <c r="Q15">
        <f t="shared" si="0"/>
        <v>3520.7829999999994</v>
      </c>
      <c r="R15">
        <f t="shared" si="1"/>
        <v>97.073775918595402</v>
      </c>
      <c r="S15">
        <f t="shared" si="2"/>
        <v>99.637949853768333</v>
      </c>
      <c r="T15">
        <f>IFERROR(SUM($E$3:$E15),"")</f>
        <v>3568.3499999999995</v>
      </c>
      <c r="U15">
        <f>IFERROR(SUM($F$3:$F15),"")</f>
        <v>3661.6879999999996</v>
      </c>
      <c r="V15">
        <f>IFERROR(SUM($G$3:$G15),"")</f>
        <v>4.1139999999999999</v>
      </c>
      <c r="W15">
        <f t="shared" si="3"/>
        <v>3665.8019999999997</v>
      </c>
      <c r="X15">
        <f t="shared" si="4"/>
        <v>97.341591280707462</v>
      </c>
      <c r="Y15">
        <f t="shared" si="5"/>
        <v>99.887773534959052</v>
      </c>
      <c r="Z15">
        <f>IFERROR(SUM($H$3:$H15),"")</f>
        <v>3417.7570000000001</v>
      </c>
      <c r="AA15">
        <f>IFERROR(SUM($I$3:$I15),"")</f>
        <v>3508.0359999999996</v>
      </c>
      <c r="AB15">
        <f>IFERROR(SUM($J$3:$J15),"")</f>
        <v>12.747</v>
      </c>
      <c r="AC15">
        <f t="shared" si="6"/>
        <v>3520.7829999999994</v>
      </c>
      <c r="AD15">
        <f t="shared" si="7"/>
        <v>97.073775918595402</v>
      </c>
      <c r="AE15">
        <f t="shared" si="8"/>
        <v>99.637949853768333</v>
      </c>
    </row>
    <row r="16" spans="1:31" x14ac:dyDescent="0.35">
      <c r="A16">
        <v>1863</v>
      </c>
      <c r="B16">
        <v>363.37200000000001</v>
      </c>
      <c r="C16">
        <v>377.45699999999999</v>
      </c>
      <c r="D16">
        <v>2.0779999999999998</v>
      </c>
      <c r="E16">
        <v>380.03899999999999</v>
      </c>
      <c r="F16">
        <v>394.49</v>
      </c>
      <c r="G16">
        <v>0.81499999999999995</v>
      </c>
      <c r="H16">
        <v>363.37200000000001</v>
      </c>
      <c r="I16">
        <v>377.45699999999999</v>
      </c>
      <c r="J16">
        <v>2.0779999999999998</v>
      </c>
      <c r="N16">
        <f>IFERROR(SUM($B$3:$B16),"")</f>
        <v>3781.1289999999999</v>
      </c>
      <c r="O16">
        <f>IFERROR(SUM($C$3:$C16),"")</f>
        <v>3885.4929999999995</v>
      </c>
      <c r="P16">
        <f>IFERROR(SUM($D$3:$D16),"")</f>
        <v>14.824999999999999</v>
      </c>
      <c r="Q16">
        <f t="shared" si="0"/>
        <v>3900.3179999999993</v>
      </c>
      <c r="R16">
        <f t="shared" si="1"/>
        <v>96.944120966546848</v>
      </c>
      <c r="S16">
        <f t="shared" si="2"/>
        <v>99.61990278741375</v>
      </c>
      <c r="T16">
        <f>IFERROR(SUM($E$3:$E16),"")</f>
        <v>3948.3889999999992</v>
      </c>
      <c r="U16">
        <f>IFERROR(SUM($F$3:$F16),"")</f>
        <v>4056.1779999999999</v>
      </c>
      <c r="V16">
        <f>IFERROR(SUM($G$3:$G16),"")</f>
        <v>4.9290000000000003</v>
      </c>
      <c r="W16">
        <f t="shared" si="3"/>
        <v>4061.107</v>
      </c>
      <c r="X16">
        <f t="shared" si="4"/>
        <v>97.224451362645681</v>
      </c>
      <c r="Y16">
        <f t="shared" si="5"/>
        <v>99.878629152100643</v>
      </c>
      <c r="Z16">
        <f>IFERROR(SUM($H$3:$H16),"")</f>
        <v>3781.1289999999999</v>
      </c>
      <c r="AA16">
        <f>IFERROR(SUM($I$3:$I16),"")</f>
        <v>3885.4929999999995</v>
      </c>
      <c r="AB16">
        <f>IFERROR(SUM($J$3:$J16),"")</f>
        <v>14.824999999999999</v>
      </c>
      <c r="AC16">
        <f t="shared" si="6"/>
        <v>3900.3179999999993</v>
      </c>
      <c r="AD16">
        <f t="shared" si="7"/>
        <v>96.944120966546848</v>
      </c>
      <c r="AE16">
        <f t="shared" si="8"/>
        <v>99.61990278741375</v>
      </c>
    </row>
    <row r="17" spans="1:31" x14ac:dyDescent="0.35">
      <c r="A17">
        <v>1864</v>
      </c>
      <c r="B17">
        <v>391.06799999999998</v>
      </c>
      <c r="C17">
        <v>407.02199999999999</v>
      </c>
      <c r="D17">
        <v>2.5030000000000001</v>
      </c>
      <c r="E17">
        <v>408.69200000000001</v>
      </c>
      <c r="F17">
        <v>425.10199999999998</v>
      </c>
      <c r="G17">
        <v>0.79800000000000004</v>
      </c>
      <c r="H17">
        <v>391.06799999999998</v>
      </c>
      <c r="I17">
        <v>407.02199999999999</v>
      </c>
      <c r="J17">
        <v>2.5030000000000001</v>
      </c>
      <c r="N17">
        <f>IFERROR(SUM($B$3:$B17),"")</f>
        <v>4172.1970000000001</v>
      </c>
      <c r="O17">
        <f>IFERROR(SUM($C$3:$C17),"")</f>
        <v>4292.5149999999994</v>
      </c>
      <c r="P17">
        <f>IFERROR(SUM($D$3:$D17),"")</f>
        <v>17.327999999999999</v>
      </c>
      <c r="Q17">
        <f t="shared" si="0"/>
        <v>4309.8429999999998</v>
      </c>
      <c r="R17">
        <f t="shared" si="1"/>
        <v>96.806240969798679</v>
      </c>
      <c r="S17">
        <f t="shared" si="2"/>
        <v>99.597943590984627</v>
      </c>
      <c r="T17">
        <f>IFERROR(SUM($E$3:$E17),"")</f>
        <v>4357.0809999999992</v>
      </c>
      <c r="U17">
        <f>IFERROR(SUM($F$3:$F17),"")</f>
        <v>4481.28</v>
      </c>
      <c r="V17">
        <f>IFERROR(SUM($G$3:$G17),"")</f>
        <v>5.7270000000000003</v>
      </c>
      <c r="W17">
        <f t="shared" si="3"/>
        <v>4487.0069999999996</v>
      </c>
      <c r="X17">
        <f t="shared" si="4"/>
        <v>97.104394978657254</v>
      </c>
      <c r="Y17">
        <f t="shared" si="5"/>
        <v>99.87236480798893</v>
      </c>
      <c r="Z17">
        <f>IFERROR(SUM($H$3:$H17),"")</f>
        <v>4172.1970000000001</v>
      </c>
      <c r="AA17">
        <f>IFERROR(SUM($I$3:$I17),"")</f>
        <v>4292.5149999999994</v>
      </c>
      <c r="AB17">
        <f>IFERROR(SUM($J$3:$J17),"")</f>
        <v>17.327999999999999</v>
      </c>
      <c r="AC17">
        <f t="shared" si="6"/>
        <v>4309.8429999999998</v>
      </c>
      <c r="AD17">
        <f t="shared" si="7"/>
        <v>96.806240969798679</v>
      </c>
      <c r="AE17">
        <f t="shared" si="8"/>
        <v>99.597943590984627</v>
      </c>
    </row>
    <row r="18" spans="1:31" x14ac:dyDescent="0.35">
      <c r="A18">
        <v>1865</v>
      </c>
      <c r="B18">
        <v>414.23599999999999</v>
      </c>
      <c r="C18">
        <v>432.17099999999999</v>
      </c>
      <c r="D18">
        <v>2.681</v>
      </c>
      <c r="E18">
        <v>433.00799999999998</v>
      </c>
      <c r="F18">
        <v>451.47500000000002</v>
      </c>
      <c r="G18">
        <v>0.78500000000000003</v>
      </c>
      <c r="H18">
        <v>414.23599999999999</v>
      </c>
      <c r="I18">
        <v>432.17099999999999</v>
      </c>
      <c r="J18">
        <v>2.681</v>
      </c>
      <c r="N18">
        <f>IFERROR(SUM($B$3:$B18),"")</f>
        <v>4586.433</v>
      </c>
      <c r="O18">
        <f>IFERROR(SUM($C$3:$C18),"")</f>
        <v>4724.6859999999997</v>
      </c>
      <c r="P18">
        <f>IFERROR(SUM($D$3:$D18),"")</f>
        <v>20.009</v>
      </c>
      <c r="Q18">
        <f t="shared" si="0"/>
        <v>4744.6949999999997</v>
      </c>
      <c r="R18">
        <f t="shared" si="1"/>
        <v>96.664443130696498</v>
      </c>
      <c r="S18">
        <f t="shared" si="2"/>
        <v>99.578286907799125</v>
      </c>
      <c r="T18">
        <f>IFERROR(SUM($E$3:$E18),"")</f>
        <v>4790.088999999999</v>
      </c>
      <c r="U18">
        <f>IFERROR(SUM($F$3:$F18),"")</f>
        <v>4932.7550000000001</v>
      </c>
      <c r="V18">
        <f>IFERROR(SUM($G$3:$G18),"")</f>
        <v>6.5120000000000005</v>
      </c>
      <c r="W18">
        <f t="shared" si="3"/>
        <v>4939.2669999999998</v>
      </c>
      <c r="X18">
        <f t="shared" si="4"/>
        <v>96.979754283378469</v>
      </c>
      <c r="Y18">
        <f t="shared" si="5"/>
        <v>99.868158574946449</v>
      </c>
      <c r="Z18">
        <f>IFERROR(SUM($H$3:$H18),"")</f>
        <v>4586.433</v>
      </c>
      <c r="AA18">
        <f>IFERROR(SUM($I$3:$I18),"")</f>
        <v>4724.6859999999997</v>
      </c>
      <c r="AB18">
        <f>IFERROR(SUM($J$3:$J18),"")</f>
        <v>20.009</v>
      </c>
      <c r="AC18">
        <f t="shared" si="6"/>
        <v>4744.6949999999997</v>
      </c>
      <c r="AD18">
        <f t="shared" si="7"/>
        <v>96.664443130696498</v>
      </c>
      <c r="AE18">
        <f t="shared" si="8"/>
        <v>99.578286907799125</v>
      </c>
    </row>
    <row r="19" spans="1:31" x14ac:dyDescent="0.35">
      <c r="A19">
        <v>1866</v>
      </c>
      <c r="B19">
        <v>425.392</v>
      </c>
      <c r="C19">
        <v>445.53</v>
      </c>
      <c r="D19">
        <v>3.5369999999999999</v>
      </c>
      <c r="E19">
        <v>444.34</v>
      </c>
      <c r="F19">
        <v>465.15100000000001</v>
      </c>
      <c r="G19">
        <v>1.141</v>
      </c>
      <c r="H19">
        <v>425.392</v>
      </c>
      <c r="I19">
        <v>445.53</v>
      </c>
      <c r="J19">
        <v>3.5369999999999999</v>
      </c>
      <c r="N19">
        <f>IFERROR(SUM($B$3:$B19),"")</f>
        <v>5011.8249999999998</v>
      </c>
      <c r="O19">
        <f>IFERROR(SUM($C$3:$C19),"")</f>
        <v>5170.2159999999994</v>
      </c>
      <c r="P19">
        <f>IFERROR(SUM($D$3:$D19),"")</f>
        <v>23.545999999999999</v>
      </c>
      <c r="Q19">
        <f t="shared" si="0"/>
        <v>5193.7619999999997</v>
      </c>
      <c r="R19">
        <f t="shared" si="1"/>
        <v>96.497009296921959</v>
      </c>
      <c r="S19">
        <f t="shared" si="2"/>
        <v>99.546648460210534</v>
      </c>
      <c r="T19">
        <f>IFERROR(SUM($E$3:$E19),"")</f>
        <v>5234.4289999999992</v>
      </c>
      <c r="U19">
        <f>IFERROR(SUM($F$3:$F19),"")</f>
        <v>5397.9059999999999</v>
      </c>
      <c r="V19">
        <f>IFERROR(SUM($G$3:$G19),"")</f>
        <v>7.6530000000000005</v>
      </c>
      <c r="W19">
        <f t="shared" si="3"/>
        <v>5405.5590000000002</v>
      </c>
      <c r="X19">
        <f t="shared" si="4"/>
        <v>96.834184956634445</v>
      </c>
      <c r="Y19">
        <f t="shared" si="5"/>
        <v>99.858423522895592</v>
      </c>
      <c r="Z19">
        <f>IFERROR(SUM($H$3:$H19),"")</f>
        <v>5011.8249999999998</v>
      </c>
      <c r="AA19">
        <f>IFERROR(SUM($I$3:$I19),"")</f>
        <v>5170.2159999999994</v>
      </c>
      <c r="AB19">
        <f>IFERROR(SUM($J$3:$J19),"")</f>
        <v>23.545999999999999</v>
      </c>
      <c r="AC19">
        <f t="shared" si="6"/>
        <v>5193.7619999999997</v>
      </c>
      <c r="AD19">
        <f t="shared" si="7"/>
        <v>96.497009296921959</v>
      </c>
      <c r="AE19">
        <f t="shared" si="8"/>
        <v>99.546648460210534</v>
      </c>
    </row>
    <row r="20" spans="1:31" x14ac:dyDescent="0.35">
      <c r="A20">
        <v>1867</v>
      </c>
      <c r="B20">
        <v>455.19799999999998</v>
      </c>
      <c r="C20">
        <v>477.72</v>
      </c>
      <c r="D20">
        <v>3.0939999999999999</v>
      </c>
      <c r="E20">
        <v>476.27600000000001</v>
      </c>
      <c r="F20">
        <v>499.548</v>
      </c>
      <c r="G20">
        <v>1.268</v>
      </c>
      <c r="H20">
        <v>455.19799999999998</v>
      </c>
      <c r="I20">
        <v>477.72</v>
      </c>
      <c r="J20">
        <v>3.0939999999999999</v>
      </c>
      <c r="N20">
        <f>IFERROR(SUM($B$3:$B20),"")</f>
        <v>5467.0230000000001</v>
      </c>
      <c r="O20">
        <f>IFERROR(SUM($C$3:$C20),"")</f>
        <v>5647.9359999999997</v>
      </c>
      <c r="P20">
        <f>IFERROR(SUM($D$3:$D20),"")</f>
        <v>26.64</v>
      </c>
      <c r="Q20">
        <f t="shared" si="0"/>
        <v>5674.576</v>
      </c>
      <c r="R20">
        <f t="shared" si="1"/>
        <v>96.342405141811483</v>
      </c>
      <c r="S20">
        <f t="shared" si="2"/>
        <v>99.530537611973116</v>
      </c>
      <c r="T20">
        <f>IFERROR(SUM($E$3:$E20),"")</f>
        <v>5710.704999999999</v>
      </c>
      <c r="U20">
        <f>IFERROR(SUM($F$3:$F20),"")</f>
        <v>5897.4539999999997</v>
      </c>
      <c r="V20">
        <f>IFERROR(SUM($G$3:$G20),"")</f>
        <v>8.9210000000000012</v>
      </c>
      <c r="W20">
        <f t="shared" si="3"/>
        <v>5906.375</v>
      </c>
      <c r="X20">
        <f t="shared" si="4"/>
        <v>96.68713889653128</v>
      </c>
      <c r="Y20">
        <f t="shared" si="5"/>
        <v>99.848959810374382</v>
      </c>
      <c r="Z20">
        <f>IFERROR(SUM($H$3:$H20),"")</f>
        <v>5467.0230000000001</v>
      </c>
      <c r="AA20">
        <f>IFERROR(SUM($I$3:$I20),"")</f>
        <v>5647.9359999999997</v>
      </c>
      <c r="AB20">
        <f>IFERROR(SUM($J$3:$J20),"")</f>
        <v>26.64</v>
      </c>
      <c r="AC20">
        <f t="shared" si="6"/>
        <v>5674.576</v>
      </c>
      <c r="AD20">
        <f t="shared" si="7"/>
        <v>96.342405141811483</v>
      </c>
      <c r="AE20">
        <f t="shared" si="8"/>
        <v>99.530537611973116</v>
      </c>
    </row>
    <row r="21" spans="1:31" x14ac:dyDescent="0.35">
      <c r="A21">
        <v>1868</v>
      </c>
      <c r="B21">
        <v>466.61099999999999</v>
      </c>
      <c r="C21">
        <v>491.185</v>
      </c>
      <c r="D21">
        <v>3.3079999999999998</v>
      </c>
      <c r="E21">
        <v>488.53199999999998</v>
      </c>
      <c r="F21">
        <v>513.91800000000001</v>
      </c>
      <c r="G21">
        <v>1.3</v>
      </c>
      <c r="H21">
        <v>466.61099999999999</v>
      </c>
      <c r="I21">
        <v>491.185</v>
      </c>
      <c r="J21">
        <v>3.3079999999999998</v>
      </c>
      <c r="N21">
        <f>IFERROR(SUM($B$3:$B21),"")</f>
        <v>5933.634</v>
      </c>
      <c r="O21">
        <f>IFERROR(SUM($C$3:$C21),"")</f>
        <v>6139.1210000000001</v>
      </c>
      <c r="P21">
        <f>IFERROR(SUM($D$3:$D21),"")</f>
        <v>29.948</v>
      </c>
      <c r="Q21">
        <f t="shared" si="0"/>
        <v>6169.0690000000004</v>
      </c>
      <c r="R21">
        <f t="shared" si="1"/>
        <v>96.183621872279275</v>
      </c>
      <c r="S21">
        <f t="shared" si="2"/>
        <v>99.514545873939809</v>
      </c>
      <c r="T21">
        <f>IFERROR(SUM($E$3:$E21),"")</f>
        <v>6199.2369999999992</v>
      </c>
      <c r="U21">
        <f>IFERROR(SUM($F$3:$F21),"")</f>
        <v>6411.3719999999994</v>
      </c>
      <c r="V21">
        <f>IFERROR(SUM($G$3:$G21),"")</f>
        <v>10.221000000000002</v>
      </c>
      <c r="W21">
        <f t="shared" si="3"/>
        <v>6421.5929999999989</v>
      </c>
      <c r="X21">
        <f t="shared" si="4"/>
        <v>96.537370088699177</v>
      </c>
      <c r="Y21">
        <f t="shared" si="5"/>
        <v>99.840833886544971</v>
      </c>
      <c r="Z21">
        <f>IFERROR(SUM($H$3:$H21),"")</f>
        <v>5933.634</v>
      </c>
      <c r="AA21">
        <f>IFERROR(SUM($I$3:$I21),"")</f>
        <v>6139.1210000000001</v>
      </c>
      <c r="AB21">
        <f>IFERROR(SUM($J$3:$J21),"")</f>
        <v>29.948</v>
      </c>
      <c r="AC21">
        <f t="shared" si="6"/>
        <v>6169.0690000000004</v>
      </c>
      <c r="AD21">
        <f t="shared" si="7"/>
        <v>96.183621872279275</v>
      </c>
      <c r="AE21">
        <f t="shared" si="8"/>
        <v>99.514545873939809</v>
      </c>
    </row>
    <row r="22" spans="1:31" x14ac:dyDescent="0.35">
      <c r="A22">
        <v>1869</v>
      </c>
      <c r="B22">
        <v>494.71600000000001</v>
      </c>
      <c r="C22">
        <v>521.45699999999999</v>
      </c>
      <c r="D22">
        <v>3.274</v>
      </c>
      <c r="E22">
        <v>517.41099999999994</v>
      </c>
      <c r="F22">
        <v>545.06799999999998</v>
      </c>
      <c r="G22">
        <v>1.5589999999999999</v>
      </c>
      <c r="H22">
        <v>494.71600000000001</v>
      </c>
      <c r="I22">
        <v>521.45699999999999</v>
      </c>
      <c r="J22">
        <v>3.274</v>
      </c>
      <c r="N22">
        <f>IFERROR(SUM($B$3:$B22),"")</f>
        <v>6428.35</v>
      </c>
      <c r="O22">
        <f>IFERROR(SUM($C$3:$C22),"")</f>
        <v>6660.5780000000004</v>
      </c>
      <c r="P22">
        <f>IFERROR(SUM($D$3:$D22),"")</f>
        <v>33.222000000000001</v>
      </c>
      <c r="Q22">
        <f t="shared" si="0"/>
        <v>6693.8</v>
      </c>
      <c r="R22">
        <f t="shared" si="1"/>
        <v>96.034390032567458</v>
      </c>
      <c r="S22">
        <f t="shared" si="2"/>
        <v>99.503689981774173</v>
      </c>
      <c r="T22">
        <f>IFERROR(SUM($E$3:$E22),"")</f>
        <v>6716.6479999999992</v>
      </c>
      <c r="U22">
        <f>IFERROR(SUM($F$3:$F22),"")</f>
        <v>6956.44</v>
      </c>
      <c r="V22">
        <f>IFERROR(SUM($G$3:$G22),"")</f>
        <v>11.780000000000001</v>
      </c>
      <c r="W22">
        <f t="shared" si="3"/>
        <v>6968.2199999999993</v>
      </c>
      <c r="X22">
        <f t="shared" si="4"/>
        <v>96.389723630999029</v>
      </c>
      <c r="Y22">
        <f t="shared" si="5"/>
        <v>99.830946784114175</v>
      </c>
      <c r="Z22">
        <f>IFERROR(SUM($H$3:$H22),"")</f>
        <v>6428.35</v>
      </c>
      <c r="AA22">
        <f>IFERROR(SUM($I$3:$I22),"")</f>
        <v>6660.5780000000004</v>
      </c>
      <c r="AB22">
        <f>IFERROR(SUM($J$3:$J22),"")</f>
        <v>33.222000000000001</v>
      </c>
      <c r="AC22">
        <f t="shared" si="6"/>
        <v>6693.8</v>
      </c>
      <c r="AD22">
        <f t="shared" si="7"/>
        <v>96.034390032567458</v>
      </c>
      <c r="AE22">
        <f t="shared" si="8"/>
        <v>99.503689981774173</v>
      </c>
    </row>
    <row r="23" spans="1:31" x14ac:dyDescent="0.35">
      <c r="A23">
        <v>1870</v>
      </c>
      <c r="B23">
        <v>504.07</v>
      </c>
      <c r="C23">
        <v>532.79899999999998</v>
      </c>
      <c r="D23">
        <v>3.3250000000000002</v>
      </c>
      <c r="E23">
        <v>527.90800000000002</v>
      </c>
      <c r="F23">
        <v>557.63499999999999</v>
      </c>
      <c r="G23">
        <v>1.732</v>
      </c>
      <c r="H23">
        <v>504.07</v>
      </c>
      <c r="I23">
        <v>532.79899999999998</v>
      </c>
      <c r="J23">
        <v>3.3250000000000002</v>
      </c>
      <c r="N23">
        <f>IFERROR(SUM($B$3:$B23),"")</f>
        <v>6932.42</v>
      </c>
      <c r="O23">
        <f>IFERROR(SUM($C$3:$C23),"")</f>
        <v>7193.3770000000004</v>
      </c>
      <c r="P23">
        <f>IFERROR(SUM($D$3:$D23),"")</f>
        <v>36.547000000000004</v>
      </c>
      <c r="Q23">
        <f t="shared" si="0"/>
        <v>7229.924</v>
      </c>
      <c r="R23">
        <f t="shared" si="1"/>
        <v>95.885101973409405</v>
      </c>
      <c r="S23">
        <f t="shared" si="2"/>
        <v>99.494503676663825</v>
      </c>
      <c r="T23">
        <f>IFERROR(SUM($E$3:$E23),"")</f>
        <v>7244.5559999999996</v>
      </c>
      <c r="U23">
        <f>IFERROR(SUM($F$3:$F23),"")</f>
        <v>7514.0749999999998</v>
      </c>
      <c r="V23">
        <f>IFERROR(SUM($G$3:$G23),"")</f>
        <v>13.512</v>
      </c>
      <c r="W23">
        <f t="shared" si="3"/>
        <v>7527.5869999999995</v>
      </c>
      <c r="X23">
        <f t="shared" si="4"/>
        <v>96.240083309565208</v>
      </c>
      <c r="Y23">
        <f t="shared" si="5"/>
        <v>99.820500247954627</v>
      </c>
      <c r="Z23">
        <f>IFERROR(SUM($H$3:$H23),"")</f>
        <v>6932.42</v>
      </c>
      <c r="AA23">
        <f>IFERROR(SUM($I$3:$I23),"")</f>
        <v>7193.3770000000004</v>
      </c>
      <c r="AB23">
        <f>IFERROR(SUM($J$3:$J23),"")</f>
        <v>36.547000000000004</v>
      </c>
      <c r="AC23">
        <f t="shared" si="6"/>
        <v>7229.924</v>
      </c>
      <c r="AD23">
        <f t="shared" si="7"/>
        <v>95.885101973409405</v>
      </c>
      <c r="AE23">
        <f t="shared" si="8"/>
        <v>99.494503676663825</v>
      </c>
    </row>
    <row r="24" spans="1:31" x14ac:dyDescent="0.35">
      <c r="A24">
        <v>1871</v>
      </c>
      <c r="B24">
        <v>532.79100000000005</v>
      </c>
      <c r="C24">
        <v>566.16300000000001</v>
      </c>
      <c r="D24">
        <v>3.6139999999999999</v>
      </c>
      <c r="E24">
        <v>558.33699999999999</v>
      </c>
      <c r="F24">
        <v>592.846</v>
      </c>
      <c r="G24">
        <v>2.0619999999999998</v>
      </c>
      <c r="H24">
        <v>532.79100000000005</v>
      </c>
      <c r="I24">
        <v>566.16300000000001</v>
      </c>
      <c r="J24">
        <v>3.6139999999999999</v>
      </c>
      <c r="N24">
        <f>IFERROR(SUM($B$3:$B24),"")</f>
        <v>7465.2110000000002</v>
      </c>
      <c r="O24">
        <f>IFERROR(SUM($C$3:$C24),"")</f>
        <v>7759.5400000000009</v>
      </c>
      <c r="P24">
        <f>IFERROR(SUM($D$3:$D24),"")</f>
        <v>40.161000000000001</v>
      </c>
      <c r="Q24">
        <f t="shared" si="0"/>
        <v>7799.7010000000009</v>
      </c>
      <c r="R24">
        <f t="shared" si="1"/>
        <v>95.711502274253832</v>
      </c>
      <c r="S24">
        <f t="shared" si="2"/>
        <v>99.485095646615179</v>
      </c>
      <c r="T24">
        <f>IFERROR(SUM($E$3:$E24),"")</f>
        <v>7802.893</v>
      </c>
      <c r="U24">
        <f>IFERROR(SUM($F$3:$F24),"")</f>
        <v>8106.9210000000003</v>
      </c>
      <c r="V24">
        <f>IFERROR(SUM($G$3:$G24),"")</f>
        <v>15.574</v>
      </c>
      <c r="W24">
        <f t="shared" si="3"/>
        <v>8122.4949999999999</v>
      </c>
      <c r="X24">
        <f t="shared" si="4"/>
        <v>96.065223801307354</v>
      </c>
      <c r="Y24">
        <f t="shared" si="5"/>
        <v>99.808260885356049</v>
      </c>
      <c r="Z24">
        <f>IFERROR(SUM($H$3:$H24),"")</f>
        <v>7465.2110000000002</v>
      </c>
      <c r="AA24">
        <f>IFERROR(SUM($I$3:$I24),"")</f>
        <v>7759.5400000000009</v>
      </c>
      <c r="AB24">
        <f>IFERROR(SUM($J$3:$J24),"")</f>
        <v>40.161000000000001</v>
      </c>
      <c r="AC24">
        <f t="shared" si="6"/>
        <v>7799.7010000000009</v>
      </c>
      <c r="AD24">
        <f t="shared" si="7"/>
        <v>95.711502274253832</v>
      </c>
      <c r="AE24">
        <f t="shared" si="8"/>
        <v>99.485095646615179</v>
      </c>
    </row>
    <row r="25" spans="1:31" x14ac:dyDescent="0.35">
      <c r="A25">
        <v>1872</v>
      </c>
      <c r="B25">
        <v>590.577</v>
      </c>
      <c r="C25">
        <v>626.553</v>
      </c>
      <c r="D25">
        <v>4.4080000000000004</v>
      </c>
      <c r="E25">
        <v>619.19500000000005</v>
      </c>
      <c r="F25">
        <v>656.39599999999996</v>
      </c>
      <c r="G25">
        <v>2.2149999999999999</v>
      </c>
      <c r="H25">
        <v>590.577</v>
      </c>
      <c r="I25">
        <v>626.553</v>
      </c>
      <c r="J25">
        <v>4.4080000000000004</v>
      </c>
      <c r="N25">
        <f>IFERROR(SUM($B$3:$B25),"")</f>
        <v>8055.7880000000005</v>
      </c>
      <c r="O25">
        <f>IFERROR(SUM($C$3:$C25),"")</f>
        <v>8386.0930000000008</v>
      </c>
      <c r="P25">
        <f>IFERROR(SUM($D$3:$D25),"")</f>
        <v>44.569000000000003</v>
      </c>
      <c r="Q25">
        <f t="shared" si="0"/>
        <v>8430.6620000000003</v>
      </c>
      <c r="R25">
        <f t="shared" si="1"/>
        <v>95.553445269185261</v>
      </c>
      <c r="S25">
        <f t="shared" si="2"/>
        <v>99.471346378255959</v>
      </c>
      <c r="T25">
        <f>IFERROR(SUM($E$3:$E25),"")</f>
        <v>8422.0879999999997</v>
      </c>
      <c r="U25">
        <f>IFERROR(SUM($F$3:$F25),"")</f>
        <v>8763.3170000000009</v>
      </c>
      <c r="V25">
        <f>IFERROR(SUM($G$3:$G25),"")</f>
        <v>17.789000000000001</v>
      </c>
      <c r="W25">
        <f t="shared" si="3"/>
        <v>8781.1060000000016</v>
      </c>
      <c r="X25">
        <f t="shared" si="4"/>
        <v>95.911471743992138</v>
      </c>
      <c r="Y25">
        <f t="shared" si="5"/>
        <v>99.797417318501786</v>
      </c>
      <c r="Z25">
        <f>IFERROR(SUM($H$3:$H25),"")</f>
        <v>8055.7880000000005</v>
      </c>
      <c r="AA25">
        <f>IFERROR(SUM($I$3:$I25),"")</f>
        <v>8386.0930000000008</v>
      </c>
      <c r="AB25">
        <f>IFERROR(SUM($J$3:$J25),"")</f>
        <v>44.569000000000003</v>
      </c>
      <c r="AC25">
        <f t="shared" si="6"/>
        <v>8430.6620000000003</v>
      </c>
      <c r="AD25">
        <f t="shared" si="7"/>
        <v>95.553445269185261</v>
      </c>
      <c r="AE25">
        <f t="shared" si="8"/>
        <v>99.471346378255959</v>
      </c>
    </row>
    <row r="26" spans="1:31" x14ac:dyDescent="0.35">
      <c r="A26">
        <v>1873</v>
      </c>
      <c r="B26">
        <v>627.63599999999997</v>
      </c>
      <c r="C26">
        <v>665.779</v>
      </c>
      <c r="D26">
        <v>4.6879999999999997</v>
      </c>
      <c r="E26">
        <v>657.92399999999998</v>
      </c>
      <c r="F26">
        <v>697.36099999999999</v>
      </c>
      <c r="G26">
        <v>2.2930000000000001</v>
      </c>
      <c r="H26">
        <v>627.63499999999999</v>
      </c>
      <c r="I26">
        <v>665.779</v>
      </c>
      <c r="J26">
        <v>4.6879999999999997</v>
      </c>
      <c r="N26">
        <f>IFERROR(SUM($B$3:$B26),"")</f>
        <v>8683.4240000000009</v>
      </c>
      <c r="O26">
        <f>IFERROR(SUM($C$3:$C26),"")</f>
        <v>9051.8720000000012</v>
      </c>
      <c r="P26">
        <f>IFERROR(SUM($D$3:$D26),"")</f>
        <v>49.257000000000005</v>
      </c>
      <c r="Q26">
        <f t="shared" si="0"/>
        <v>9101.1290000000008</v>
      </c>
      <c r="R26">
        <f t="shared" si="1"/>
        <v>95.410404577278271</v>
      </c>
      <c r="S26">
        <f t="shared" si="2"/>
        <v>99.458781432501397</v>
      </c>
      <c r="T26">
        <f>IFERROR(SUM($E$3:$E26),"")</f>
        <v>9080.0119999999988</v>
      </c>
      <c r="U26">
        <f>IFERROR(SUM($F$3:$F26),"")</f>
        <v>9460.6780000000017</v>
      </c>
      <c r="V26">
        <f>IFERROR(SUM($G$3:$G26),"")</f>
        <v>20.082000000000001</v>
      </c>
      <c r="W26">
        <f t="shared" si="3"/>
        <v>9480.760000000002</v>
      </c>
      <c r="X26">
        <f t="shared" si="4"/>
        <v>95.773039292208608</v>
      </c>
      <c r="Y26">
        <f t="shared" si="5"/>
        <v>99.788181538188908</v>
      </c>
      <c r="Z26">
        <f>IFERROR(SUM($H$3:$H26),"")</f>
        <v>8683.4230000000007</v>
      </c>
      <c r="AA26">
        <f>IFERROR(SUM($I$3:$I26),"")</f>
        <v>9051.8720000000012</v>
      </c>
      <c r="AB26">
        <f>IFERROR(SUM($J$3:$J26),"")</f>
        <v>49.257000000000005</v>
      </c>
      <c r="AC26">
        <f t="shared" si="6"/>
        <v>9101.1290000000008</v>
      </c>
      <c r="AD26">
        <f t="shared" si="7"/>
        <v>95.410393589630473</v>
      </c>
      <c r="AE26">
        <f t="shared" si="8"/>
        <v>99.458781432501397</v>
      </c>
    </row>
    <row r="27" spans="1:31" x14ac:dyDescent="0.35">
      <c r="A27">
        <v>1874</v>
      </c>
      <c r="B27">
        <v>581.88800000000003</v>
      </c>
      <c r="C27">
        <v>623.38</v>
      </c>
      <c r="D27">
        <v>5.282</v>
      </c>
      <c r="E27">
        <v>609.18600000000004</v>
      </c>
      <c r="F27">
        <v>652.19100000000003</v>
      </c>
      <c r="G27">
        <v>2.5609999999999999</v>
      </c>
      <c r="H27">
        <v>581.88800000000003</v>
      </c>
      <c r="I27">
        <v>623.38</v>
      </c>
      <c r="J27">
        <v>5.282</v>
      </c>
      <c r="N27">
        <f>IFERROR(SUM($B$3:$B27),"")</f>
        <v>9265.3120000000017</v>
      </c>
      <c r="O27">
        <f>IFERROR(SUM($C$3:$C27),"")</f>
        <v>9675.2520000000004</v>
      </c>
      <c r="P27">
        <f>IFERROR(SUM($D$3:$D27),"")</f>
        <v>54.539000000000001</v>
      </c>
      <c r="Q27">
        <f t="shared" si="0"/>
        <v>9729.7910000000011</v>
      </c>
      <c r="R27">
        <f t="shared" si="1"/>
        <v>95.226218117120922</v>
      </c>
      <c r="S27">
        <f t="shared" si="2"/>
        <v>99.439463807598742</v>
      </c>
      <c r="T27">
        <f>IFERROR(SUM($E$3:$E27),"")</f>
        <v>9689.1979999999985</v>
      </c>
      <c r="U27">
        <f>IFERROR(SUM($F$3:$F27),"")</f>
        <v>10112.869000000002</v>
      </c>
      <c r="V27">
        <f>IFERROR(SUM($G$3:$G27),"")</f>
        <v>22.643000000000001</v>
      </c>
      <c r="W27">
        <f t="shared" si="3"/>
        <v>10135.512000000002</v>
      </c>
      <c r="X27">
        <f t="shared" si="4"/>
        <v>95.596532271877294</v>
      </c>
      <c r="Y27">
        <f t="shared" si="5"/>
        <v>99.776597373669929</v>
      </c>
      <c r="Z27">
        <f>IFERROR(SUM($H$3:$H27),"")</f>
        <v>9265.3110000000015</v>
      </c>
      <c r="AA27">
        <f>IFERROR(SUM($I$3:$I27),"")</f>
        <v>9675.2520000000004</v>
      </c>
      <c r="AB27">
        <f>IFERROR(SUM($J$3:$J27),"")</f>
        <v>54.539000000000001</v>
      </c>
      <c r="AC27">
        <f t="shared" si="6"/>
        <v>9729.7910000000011</v>
      </c>
      <c r="AD27">
        <f t="shared" si="7"/>
        <v>95.226207839407863</v>
      </c>
      <c r="AE27">
        <f t="shared" si="8"/>
        <v>99.439463807598742</v>
      </c>
    </row>
    <row r="28" spans="1:31" x14ac:dyDescent="0.35">
      <c r="A28">
        <v>1875</v>
      </c>
      <c r="B28">
        <v>633.49400000000003</v>
      </c>
      <c r="C28">
        <v>676.13300000000004</v>
      </c>
      <c r="D28">
        <v>4.915</v>
      </c>
      <c r="E28">
        <v>664.91700000000003</v>
      </c>
      <c r="F28">
        <v>709.15800000000002</v>
      </c>
      <c r="G28">
        <v>2.798</v>
      </c>
      <c r="H28">
        <v>633.49400000000003</v>
      </c>
      <c r="I28">
        <v>676.13300000000004</v>
      </c>
      <c r="J28">
        <v>4.915</v>
      </c>
      <c r="N28">
        <f>IFERROR(SUM($B$3:$B28),"")</f>
        <v>9898.8060000000023</v>
      </c>
      <c r="O28">
        <f>IFERROR(SUM($C$3:$C28),"")</f>
        <v>10351.385</v>
      </c>
      <c r="P28">
        <f>IFERROR(SUM($D$3:$D28),"")</f>
        <v>59.454000000000001</v>
      </c>
      <c r="Q28">
        <f t="shared" si="0"/>
        <v>10410.839</v>
      </c>
      <c r="R28">
        <f t="shared" si="1"/>
        <v>95.081731645259353</v>
      </c>
      <c r="S28">
        <f t="shared" si="2"/>
        <v>99.428922107046319</v>
      </c>
      <c r="T28">
        <f>IFERROR(SUM($E$3:$E28),"")</f>
        <v>10354.114999999998</v>
      </c>
      <c r="U28">
        <f>IFERROR(SUM($F$3:$F28),"")</f>
        <v>10822.027000000002</v>
      </c>
      <c r="V28">
        <f>IFERROR(SUM($G$3:$G28),"")</f>
        <v>25.441000000000003</v>
      </c>
      <c r="W28">
        <f t="shared" si="3"/>
        <v>10847.468000000003</v>
      </c>
      <c r="X28">
        <f t="shared" si="4"/>
        <v>95.451906380364477</v>
      </c>
      <c r="Y28">
        <f t="shared" si="5"/>
        <v>99.765466005523123</v>
      </c>
      <c r="Z28">
        <f>IFERROR(SUM($H$3:$H28),"")</f>
        <v>9898.8050000000021</v>
      </c>
      <c r="AA28">
        <f>IFERROR(SUM($I$3:$I28),"")</f>
        <v>10351.385</v>
      </c>
      <c r="AB28">
        <f>IFERROR(SUM($J$3:$J28),"")</f>
        <v>59.454000000000001</v>
      </c>
      <c r="AC28">
        <f t="shared" si="6"/>
        <v>10410.839</v>
      </c>
      <c r="AD28">
        <f t="shared" si="7"/>
        <v>95.081722039885562</v>
      </c>
      <c r="AE28">
        <f t="shared" si="8"/>
        <v>99.428922107046319</v>
      </c>
    </row>
    <row r="29" spans="1:31" x14ac:dyDescent="0.35">
      <c r="A29">
        <v>1876</v>
      </c>
      <c r="B29">
        <v>633.96400000000006</v>
      </c>
      <c r="C29">
        <v>685.56200000000001</v>
      </c>
      <c r="D29">
        <v>5.0199999999999996</v>
      </c>
      <c r="E29">
        <v>665.89099999999996</v>
      </c>
      <c r="F29">
        <v>719.85699999999997</v>
      </c>
      <c r="G29">
        <v>3.1280000000000001</v>
      </c>
      <c r="H29">
        <v>633.96400000000006</v>
      </c>
      <c r="I29">
        <v>685.56200000000001</v>
      </c>
      <c r="J29">
        <v>5.0199999999999996</v>
      </c>
      <c r="N29">
        <f>IFERROR(SUM($B$3:$B29),"")</f>
        <v>10532.770000000002</v>
      </c>
      <c r="O29">
        <f>IFERROR(SUM($C$3:$C29),"")</f>
        <v>11036.947</v>
      </c>
      <c r="P29">
        <f>IFERROR(SUM($D$3:$D29),"")</f>
        <v>64.474000000000004</v>
      </c>
      <c r="Q29">
        <f t="shared" si="0"/>
        <v>11101.421</v>
      </c>
      <c r="R29">
        <f t="shared" si="1"/>
        <v>94.877673768069897</v>
      </c>
      <c r="S29">
        <f t="shared" si="2"/>
        <v>99.419227502497193</v>
      </c>
      <c r="T29">
        <f>IFERROR(SUM($E$3:$E29),"")</f>
        <v>11020.005999999998</v>
      </c>
      <c r="U29">
        <f>IFERROR(SUM($F$3:$F29),"")</f>
        <v>11541.884000000002</v>
      </c>
      <c r="V29">
        <f>IFERROR(SUM($G$3:$G29),"")</f>
        <v>28.569000000000003</v>
      </c>
      <c r="W29">
        <f t="shared" si="3"/>
        <v>11570.453000000001</v>
      </c>
      <c r="X29">
        <f t="shared" si="4"/>
        <v>95.242649531526524</v>
      </c>
      <c r="Y29">
        <f t="shared" si="5"/>
        <v>99.753086590473174</v>
      </c>
      <c r="Z29">
        <f>IFERROR(SUM($H$3:$H29),"")</f>
        <v>10532.769000000002</v>
      </c>
      <c r="AA29">
        <f>IFERROR(SUM($I$3:$I29),"")</f>
        <v>11036.947</v>
      </c>
      <c r="AB29">
        <f>IFERROR(SUM($J$3:$J29),"")</f>
        <v>64.474000000000004</v>
      </c>
      <c r="AC29">
        <f t="shared" si="6"/>
        <v>11101.421</v>
      </c>
      <c r="AD29">
        <f t="shared" si="7"/>
        <v>94.877664760214046</v>
      </c>
      <c r="AE29">
        <f t="shared" si="8"/>
        <v>99.419227502497193</v>
      </c>
    </row>
    <row r="30" spans="1:31" x14ac:dyDescent="0.35">
      <c r="A30">
        <v>1877</v>
      </c>
      <c r="B30">
        <v>647.73400000000004</v>
      </c>
      <c r="C30">
        <v>699.16200000000003</v>
      </c>
      <c r="D30">
        <v>4.8710000000000004</v>
      </c>
      <c r="E30">
        <v>680.28899999999999</v>
      </c>
      <c r="F30">
        <v>734.11400000000003</v>
      </c>
      <c r="G30">
        <v>3.21</v>
      </c>
      <c r="H30">
        <v>647.73400000000004</v>
      </c>
      <c r="I30">
        <v>699.16200000000003</v>
      </c>
      <c r="J30">
        <v>4.8710000000000004</v>
      </c>
      <c r="N30">
        <f>IFERROR(SUM($B$3:$B30),"")</f>
        <v>11180.504000000003</v>
      </c>
      <c r="O30">
        <f>IFERROR(SUM($C$3:$C30),"")</f>
        <v>11736.109</v>
      </c>
      <c r="P30">
        <f>IFERROR(SUM($D$3:$D30),"")</f>
        <v>69.344999999999999</v>
      </c>
      <c r="Q30">
        <f t="shared" si="0"/>
        <v>11805.454</v>
      </c>
      <c r="R30">
        <f t="shared" si="1"/>
        <v>94.706260343736062</v>
      </c>
      <c r="S30">
        <f t="shared" si="2"/>
        <v>99.41260200581867</v>
      </c>
      <c r="T30">
        <f>IFERROR(SUM($E$3:$E30),"")</f>
        <v>11700.294999999998</v>
      </c>
      <c r="U30">
        <f>IFERROR(SUM($F$3:$F30),"")</f>
        <v>12275.998000000001</v>
      </c>
      <c r="V30">
        <f>IFERROR(SUM($G$3:$G30),"")</f>
        <v>31.779000000000003</v>
      </c>
      <c r="W30">
        <f t="shared" si="3"/>
        <v>12307.777000000002</v>
      </c>
      <c r="X30">
        <f t="shared" si="4"/>
        <v>95.064242714179798</v>
      </c>
      <c r="Y30">
        <f t="shared" si="5"/>
        <v>99.741797401756628</v>
      </c>
      <c r="Z30">
        <f>IFERROR(SUM($H$3:$H30),"")</f>
        <v>11180.503000000002</v>
      </c>
      <c r="AA30">
        <f>IFERROR(SUM($I$3:$I30),"")</f>
        <v>11736.109</v>
      </c>
      <c r="AB30">
        <f>IFERROR(SUM($J$3:$J30),"")</f>
        <v>69.344999999999999</v>
      </c>
      <c r="AC30">
        <f t="shared" si="6"/>
        <v>11805.454</v>
      </c>
      <c r="AD30">
        <f t="shared" si="7"/>
        <v>94.706251873074962</v>
      </c>
      <c r="AE30">
        <f t="shared" si="8"/>
        <v>99.41260200581867</v>
      </c>
    </row>
    <row r="31" spans="1:31" x14ac:dyDescent="0.35">
      <c r="A31">
        <v>1878</v>
      </c>
      <c r="B31">
        <v>646.90200000000004</v>
      </c>
      <c r="C31">
        <v>702.58199999999999</v>
      </c>
      <c r="D31">
        <v>7.0670000000000002</v>
      </c>
      <c r="E31">
        <v>678.654</v>
      </c>
      <c r="F31">
        <v>736.98500000000001</v>
      </c>
      <c r="G31">
        <v>3.7090000000000001</v>
      </c>
      <c r="H31">
        <v>646.90200000000004</v>
      </c>
      <c r="I31">
        <v>702.58199999999999</v>
      </c>
      <c r="J31">
        <v>7.0670000000000002</v>
      </c>
      <c r="N31">
        <f>IFERROR(SUM($B$3:$B31),"")</f>
        <v>11827.406000000003</v>
      </c>
      <c r="O31">
        <f>IFERROR(SUM($C$3:$C31),"")</f>
        <v>12438.691000000001</v>
      </c>
      <c r="P31">
        <f>IFERROR(SUM($D$3:$D31),"")</f>
        <v>76.412000000000006</v>
      </c>
      <c r="Q31">
        <f t="shared" si="0"/>
        <v>12515.103000000001</v>
      </c>
      <c r="R31">
        <f t="shared" si="1"/>
        <v>94.505063202436304</v>
      </c>
      <c r="S31">
        <f t="shared" si="2"/>
        <v>99.389441700959239</v>
      </c>
      <c r="T31">
        <f>IFERROR(SUM($E$3:$E31),"")</f>
        <v>12378.948999999999</v>
      </c>
      <c r="U31">
        <f>IFERROR(SUM($F$3:$F31),"")</f>
        <v>13012.983000000002</v>
      </c>
      <c r="V31">
        <f>IFERROR(SUM($G$3:$G31),"")</f>
        <v>35.488000000000007</v>
      </c>
      <c r="W31">
        <f t="shared" si="3"/>
        <v>13048.471000000001</v>
      </c>
      <c r="X31">
        <f t="shared" si="4"/>
        <v>94.868962041606224</v>
      </c>
      <c r="Y31">
        <f t="shared" si="5"/>
        <v>99.728029437318753</v>
      </c>
      <c r="Z31">
        <f>IFERROR(SUM($H$3:$H31),"")</f>
        <v>11827.405000000002</v>
      </c>
      <c r="AA31">
        <f>IFERROR(SUM($I$3:$I31),"")</f>
        <v>12438.691000000001</v>
      </c>
      <c r="AB31">
        <f>IFERROR(SUM($J$3:$J31),"")</f>
        <v>76.412000000000006</v>
      </c>
      <c r="AC31">
        <f t="shared" si="6"/>
        <v>12515.103000000001</v>
      </c>
      <c r="AD31">
        <f t="shared" si="7"/>
        <v>94.505055212090554</v>
      </c>
      <c r="AE31">
        <f t="shared" si="8"/>
        <v>99.389441700959239</v>
      </c>
    </row>
    <row r="32" spans="1:31" x14ac:dyDescent="0.35">
      <c r="A32">
        <v>1879</v>
      </c>
      <c r="B32">
        <v>693.40300000000002</v>
      </c>
      <c r="C32">
        <v>752.64</v>
      </c>
      <c r="D32">
        <v>7.1550000000000002</v>
      </c>
      <c r="E32">
        <v>728.45899999999995</v>
      </c>
      <c r="F32">
        <v>790.548</v>
      </c>
      <c r="G32">
        <v>3.6739999999999999</v>
      </c>
      <c r="H32">
        <v>693.40300000000002</v>
      </c>
      <c r="I32">
        <v>752.64</v>
      </c>
      <c r="J32">
        <v>7.1550000000000002</v>
      </c>
      <c r="N32">
        <f>IFERROR(SUM($B$3:$B32),"")</f>
        <v>12520.809000000003</v>
      </c>
      <c r="O32">
        <f>IFERROR(SUM($C$3:$C32),"")</f>
        <v>13191.331</v>
      </c>
      <c r="P32">
        <f>IFERROR(SUM($D$3:$D32),"")</f>
        <v>83.567000000000007</v>
      </c>
      <c r="Q32">
        <f t="shared" si="0"/>
        <v>13274.898000000001</v>
      </c>
      <c r="R32">
        <f t="shared" si="1"/>
        <v>94.319436578721749</v>
      </c>
      <c r="S32">
        <f t="shared" si="2"/>
        <v>99.370488571738917</v>
      </c>
      <c r="T32">
        <f>IFERROR(SUM($E$3:$E32),"")</f>
        <v>13107.407999999999</v>
      </c>
      <c r="U32">
        <f>IFERROR(SUM($F$3:$F32),"")</f>
        <v>13803.531000000003</v>
      </c>
      <c r="V32">
        <f>IFERROR(SUM($G$3:$G32),"")</f>
        <v>39.162000000000006</v>
      </c>
      <c r="W32">
        <f t="shared" si="3"/>
        <v>13842.693000000003</v>
      </c>
      <c r="X32">
        <f t="shared" si="4"/>
        <v>94.688280669086538</v>
      </c>
      <c r="Y32">
        <f t="shared" si="5"/>
        <v>99.717092620633863</v>
      </c>
      <c r="Z32">
        <f>IFERROR(SUM($H$3:$H32),"")</f>
        <v>12520.808000000003</v>
      </c>
      <c r="AA32">
        <f>IFERROR(SUM($I$3:$I32),"")</f>
        <v>13191.331</v>
      </c>
      <c r="AB32">
        <f>IFERROR(SUM($J$3:$J32),"")</f>
        <v>83.567000000000007</v>
      </c>
      <c r="AC32">
        <f t="shared" si="6"/>
        <v>13274.898000000001</v>
      </c>
      <c r="AD32">
        <f t="shared" si="7"/>
        <v>94.319429045707182</v>
      </c>
      <c r="AE32">
        <f t="shared" si="8"/>
        <v>99.370488571738917</v>
      </c>
    </row>
    <row r="33" spans="1:31" x14ac:dyDescent="0.35">
      <c r="A33">
        <v>1880</v>
      </c>
      <c r="B33">
        <v>787.75599999999997</v>
      </c>
      <c r="C33">
        <v>850.24699999999996</v>
      </c>
      <c r="D33">
        <v>7.9809999999999999</v>
      </c>
      <c r="E33">
        <v>831.26900000000001</v>
      </c>
      <c r="F33">
        <v>896.803</v>
      </c>
      <c r="G33">
        <v>4.2080000000000002</v>
      </c>
      <c r="H33">
        <v>787.75599999999997</v>
      </c>
      <c r="I33">
        <v>850.24699999999996</v>
      </c>
      <c r="J33">
        <v>7.9809999999999999</v>
      </c>
      <c r="N33">
        <f>IFERROR(SUM($B$3:$B33),"")</f>
        <v>13308.565000000002</v>
      </c>
      <c r="O33">
        <f>IFERROR(SUM($C$3:$C33),"")</f>
        <v>14041.578</v>
      </c>
      <c r="P33">
        <f>IFERROR(SUM($D$3:$D33),"")</f>
        <v>91.548000000000002</v>
      </c>
      <c r="Q33">
        <f t="shared" si="0"/>
        <v>14133.126</v>
      </c>
      <c r="R33">
        <f t="shared" si="1"/>
        <v>94.165756393879178</v>
      </c>
      <c r="S33">
        <f t="shared" si="2"/>
        <v>99.352245214540645</v>
      </c>
      <c r="T33">
        <f>IFERROR(SUM($E$3:$E33),"")</f>
        <v>13938.677</v>
      </c>
      <c r="U33">
        <f>IFERROR(SUM($F$3:$F33),"")</f>
        <v>14700.334000000003</v>
      </c>
      <c r="V33">
        <f>IFERROR(SUM($G$3:$G33),"")</f>
        <v>43.370000000000005</v>
      </c>
      <c r="W33">
        <f t="shared" si="3"/>
        <v>14743.704000000003</v>
      </c>
      <c r="X33">
        <f t="shared" si="4"/>
        <v>94.539859183282545</v>
      </c>
      <c r="Y33">
        <f t="shared" si="5"/>
        <v>99.705840540477482</v>
      </c>
      <c r="Z33">
        <f>IFERROR(SUM($H$3:$H33),"")</f>
        <v>13308.564000000002</v>
      </c>
      <c r="AA33">
        <f>IFERROR(SUM($I$3:$I33),"")</f>
        <v>14041.578</v>
      </c>
      <c r="AB33">
        <f>IFERROR(SUM($J$3:$J33),"")</f>
        <v>91.548000000000002</v>
      </c>
      <c r="AC33">
        <f t="shared" si="6"/>
        <v>14133.126</v>
      </c>
      <c r="AD33">
        <f t="shared" si="7"/>
        <v>94.165749318303696</v>
      </c>
      <c r="AE33">
        <f t="shared" si="8"/>
        <v>99.352245214540645</v>
      </c>
    </row>
    <row r="34" spans="1:31" x14ac:dyDescent="0.35">
      <c r="A34">
        <v>1881</v>
      </c>
      <c r="B34">
        <v>815.39200000000005</v>
      </c>
      <c r="C34">
        <v>879.85299999999995</v>
      </c>
      <c r="D34">
        <v>8.3190000000000008</v>
      </c>
      <c r="E34">
        <v>856.41200000000003</v>
      </c>
      <c r="F34">
        <v>924.06799999999998</v>
      </c>
      <c r="G34">
        <v>4.2939999999999996</v>
      </c>
      <c r="H34">
        <v>815.39200000000005</v>
      </c>
      <c r="I34">
        <v>879.85299999999995</v>
      </c>
      <c r="J34">
        <v>8.3190000000000008</v>
      </c>
      <c r="N34">
        <f>IFERROR(SUM($B$3:$B34),"")</f>
        <v>14123.957000000002</v>
      </c>
      <c r="O34">
        <f>IFERROR(SUM($C$3:$C34),"")</f>
        <v>14921.430999999999</v>
      </c>
      <c r="P34">
        <f>IFERROR(SUM($D$3:$D34),"")</f>
        <v>99.867000000000004</v>
      </c>
      <c r="Q34">
        <f t="shared" si="0"/>
        <v>15021.297999999999</v>
      </c>
      <c r="R34">
        <f t="shared" si="1"/>
        <v>94.026208653872672</v>
      </c>
      <c r="S34">
        <f t="shared" si="2"/>
        <v>99.335163978505719</v>
      </c>
      <c r="T34">
        <f>IFERROR(SUM($E$3:$E34),"")</f>
        <v>14795.089</v>
      </c>
      <c r="U34">
        <f>IFERROR(SUM($F$3:$F34),"")</f>
        <v>15624.402000000002</v>
      </c>
      <c r="V34">
        <f>IFERROR(SUM($G$3:$G34),"")</f>
        <v>47.664000000000001</v>
      </c>
      <c r="W34">
        <f t="shared" si="3"/>
        <v>15672.066000000003</v>
      </c>
      <c r="X34">
        <f t="shared" si="4"/>
        <v>94.40420299404046</v>
      </c>
      <c r="Y34">
        <f t="shared" si="5"/>
        <v>99.695866518173162</v>
      </c>
      <c r="Z34">
        <f>IFERROR(SUM($H$3:$H34),"")</f>
        <v>14123.956000000002</v>
      </c>
      <c r="AA34">
        <f>IFERROR(SUM($I$3:$I34),"")</f>
        <v>14921.430999999999</v>
      </c>
      <c r="AB34">
        <f>IFERROR(SUM($J$3:$J34),"")</f>
        <v>99.867000000000004</v>
      </c>
      <c r="AC34">
        <f t="shared" si="6"/>
        <v>15021.297999999999</v>
      </c>
      <c r="AD34">
        <f t="shared" si="7"/>
        <v>94.026201996658358</v>
      </c>
      <c r="AE34">
        <f t="shared" si="8"/>
        <v>99.335163978505719</v>
      </c>
    </row>
    <row r="35" spans="1:31" x14ac:dyDescent="0.35">
      <c r="A35">
        <v>1882</v>
      </c>
      <c r="B35">
        <v>862.44399999999996</v>
      </c>
      <c r="C35">
        <v>929.26499999999999</v>
      </c>
      <c r="D35">
        <v>8.8930000000000007</v>
      </c>
      <c r="E35">
        <v>906.86400000000003</v>
      </c>
      <c r="F35">
        <v>977.00800000000004</v>
      </c>
      <c r="G35">
        <v>4.8</v>
      </c>
      <c r="H35">
        <v>862.44399999999996</v>
      </c>
      <c r="I35">
        <v>929.26499999999999</v>
      </c>
      <c r="J35">
        <v>8.8930000000000007</v>
      </c>
      <c r="N35">
        <f>IFERROR(SUM($B$3:$B35),"")</f>
        <v>14986.401000000002</v>
      </c>
      <c r="O35">
        <f>IFERROR(SUM($C$3:$C35),"")</f>
        <v>15850.695999999998</v>
      </c>
      <c r="P35">
        <f>IFERROR(SUM($D$3:$D35),"")</f>
        <v>108.76</v>
      </c>
      <c r="Q35">
        <f t="shared" ref="Q35:Q66" si="9">IFERROR(O35+P35,"")</f>
        <v>15959.455999999998</v>
      </c>
      <c r="R35">
        <f t="shared" ref="R35:R66" si="10">IFERROR(N35/Q35*100,NA())</f>
        <v>93.902956341369048</v>
      </c>
      <c r="S35">
        <f t="shared" ref="S35:S66" si="11">IFERROR(O35/Q35*100,NA())</f>
        <v>99.318523137630748</v>
      </c>
      <c r="T35">
        <f>IFERROR(SUM($E$3:$E35),"")</f>
        <v>15701.953</v>
      </c>
      <c r="U35">
        <f>IFERROR(SUM($F$3:$F35),"")</f>
        <v>16601.410000000003</v>
      </c>
      <c r="V35">
        <f>IFERROR(SUM($G$3:$G35),"")</f>
        <v>52.463999999999999</v>
      </c>
      <c r="W35">
        <f t="shared" ref="W35:W66" si="12">IFERROR(U35+V35,"")</f>
        <v>16653.874000000003</v>
      </c>
      <c r="X35">
        <f t="shared" ref="X35:X66" si="13">IFERROR(T35/W35*100,NA())</f>
        <v>94.284086693582509</v>
      </c>
      <c r="Y35">
        <f t="shared" ref="Y35:Y66" si="14">IFERROR(U35/W35*100,NA())</f>
        <v>99.684974198796027</v>
      </c>
      <c r="Z35">
        <f>IFERROR(SUM($H$3:$H35),"")</f>
        <v>14986.400000000001</v>
      </c>
      <c r="AA35">
        <f>IFERROR(SUM($I$3:$I35),"")</f>
        <v>15850.695999999998</v>
      </c>
      <c r="AB35">
        <f>IFERROR(SUM($J$3:$J35),"")</f>
        <v>108.76</v>
      </c>
      <c r="AC35">
        <f t="shared" ref="AC35:AC66" si="15">IFERROR(AA35+AB35,"")</f>
        <v>15959.455999999998</v>
      </c>
      <c r="AD35">
        <f t="shared" ref="AD35:AD66" si="16">IFERROR(Z35/AC35*100,NA())</f>
        <v>93.902950075491304</v>
      </c>
      <c r="AE35">
        <f t="shared" ref="AE35:AE66" si="17">IFERROR(AA35/AC35*100,NA())</f>
        <v>99.318523137630748</v>
      </c>
    </row>
    <row r="36" spans="1:31" x14ac:dyDescent="0.35">
      <c r="A36">
        <v>1883</v>
      </c>
      <c r="B36">
        <v>914.63599999999997</v>
      </c>
      <c r="C36">
        <v>988.19200000000001</v>
      </c>
      <c r="D36">
        <v>9.6709999999999994</v>
      </c>
      <c r="E36">
        <v>961.88199999999995</v>
      </c>
      <c r="F36">
        <v>1039.0609999999999</v>
      </c>
      <c r="G36">
        <v>5.4059999999999997</v>
      </c>
      <c r="H36">
        <v>914.63599999999997</v>
      </c>
      <c r="I36">
        <v>988.19200000000001</v>
      </c>
      <c r="J36">
        <v>9.6709999999999994</v>
      </c>
      <c r="N36">
        <f>IFERROR(SUM($B$3:$B36),"")</f>
        <v>15901.037000000002</v>
      </c>
      <c r="O36">
        <f>IFERROR(SUM($C$3:$C36),"")</f>
        <v>16838.887999999999</v>
      </c>
      <c r="P36">
        <f>IFERROR(SUM($D$3:$D36),"")</f>
        <v>118.43100000000001</v>
      </c>
      <c r="Q36">
        <f t="shared" si="9"/>
        <v>16957.319</v>
      </c>
      <c r="R36">
        <f t="shared" si="10"/>
        <v>93.770937493126141</v>
      </c>
      <c r="S36">
        <f t="shared" si="11"/>
        <v>99.301593606866746</v>
      </c>
      <c r="T36">
        <f>IFERROR(SUM($E$3:$E36),"")</f>
        <v>16663.834999999999</v>
      </c>
      <c r="U36">
        <f>IFERROR(SUM($F$3:$F36),"")</f>
        <v>17640.471000000005</v>
      </c>
      <c r="V36">
        <f>IFERROR(SUM($G$3:$G36),"")</f>
        <v>57.87</v>
      </c>
      <c r="W36">
        <f t="shared" si="12"/>
        <v>17698.341000000004</v>
      </c>
      <c r="X36">
        <f t="shared" si="13"/>
        <v>94.154785468310251</v>
      </c>
      <c r="Y36">
        <f t="shared" si="14"/>
        <v>99.67302020002893</v>
      </c>
      <c r="Z36">
        <f>IFERROR(SUM($H$3:$H36),"")</f>
        <v>15901.036000000002</v>
      </c>
      <c r="AA36">
        <f>IFERROR(SUM($I$3:$I36),"")</f>
        <v>16838.887999999999</v>
      </c>
      <c r="AB36">
        <f>IFERROR(SUM($J$3:$J36),"")</f>
        <v>118.43100000000001</v>
      </c>
      <c r="AC36">
        <f t="shared" si="15"/>
        <v>16957.319</v>
      </c>
      <c r="AD36">
        <f t="shared" si="16"/>
        <v>93.770931595967511</v>
      </c>
      <c r="AE36">
        <f t="shared" si="17"/>
        <v>99.301593606866746</v>
      </c>
    </row>
    <row r="37" spans="1:31" x14ac:dyDescent="0.35">
      <c r="A37">
        <v>1884</v>
      </c>
      <c r="B37">
        <v>923.02300000000002</v>
      </c>
      <c r="C37">
        <v>999.20399999999995</v>
      </c>
      <c r="D37">
        <v>10.558</v>
      </c>
      <c r="E37">
        <v>971.20299999999997</v>
      </c>
      <c r="F37">
        <v>1051.135</v>
      </c>
      <c r="G37">
        <v>5.8209999999999997</v>
      </c>
      <c r="H37">
        <v>923.02300000000002</v>
      </c>
      <c r="I37">
        <v>999.20399999999995</v>
      </c>
      <c r="J37">
        <v>10.558</v>
      </c>
      <c r="N37">
        <f>IFERROR(SUM($B$3:$B37),"")</f>
        <v>16824.060000000001</v>
      </c>
      <c r="O37">
        <f>IFERROR(SUM($C$3:$C37),"")</f>
        <v>17838.092000000001</v>
      </c>
      <c r="P37">
        <f>IFERROR(SUM($D$3:$D37),"")</f>
        <v>128.989</v>
      </c>
      <c r="Q37">
        <f t="shared" si="9"/>
        <v>17967.081000000002</v>
      </c>
      <c r="R37">
        <f t="shared" si="10"/>
        <v>93.638248750590037</v>
      </c>
      <c r="S37">
        <f t="shared" si="11"/>
        <v>99.282081491144822</v>
      </c>
      <c r="T37">
        <f>IFERROR(SUM($E$3:$E37),"")</f>
        <v>17635.038</v>
      </c>
      <c r="U37">
        <f>IFERROR(SUM($F$3:$F37),"")</f>
        <v>18691.606000000003</v>
      </c>
      <c r="V37">
        <f>IFERROR(SUM($G$3:$G37),"")</f>
        <v>63.690999999999995</v>
      </c>
      <c r="W37">
        <f t="shared" si="12"/>
        <v>18755.297000000002</v>
      </c>
      <c r="X37">
        <f t="shared" si="13"/>
        <v>94.026972753350677</v>
      </c>
      <c r="Y37">
        <f t="shared" si="14"/>
        <v>99.660410602935272</v>
      </c>
      <c r="Z37">
        <f>IFERROR(SUM($H$3:$H37),"")</f>
        <v>16824.059000000001</v>
      </c>
      <c r="AA37">
        <f>IFERROR(SUM($I$3:$I37),"")</f>
        <v>17838.092000000001</v>
      </c>
      <c r="AB37">
        <f>IFERROR(SUM($J$3:$J37),"")</f>
        <v>128.989</v>
      </c>
      <c r="AC37">
        <f t="shared" si="15"/>
        <v>17967.081000000002</v>
      </c>
      <c r="AD37">
        <f t="shared" si="16"/>
        <v>93.638243184855668</v>
      </c>
      <c r="AE37">
        <f t="shared" si="17"/>
        <v>99.282081491144822</v>
      </c>
    </row>
    <row r="38" spans="1:31" x14ac:dyDescent="0.35">
      <c r="A38">
        <v>1885</v>
      </c>
      <c r="B38">
        <v>926.5</v>
      </c>
      <c r="C38">
        <v>1006.731</v>
      </c>
      <c r="D38">
        <v>10.757999999999999</v>
      </c>
      <c r="E38">
        <v>976.27300000000002</v>
      </c>
      <c r="F38">
        <v>1060.52</v>
      </c>
      <c r="G38">
        <v>5.8410000000000002</v>
      </c>
      <c r="H38">
        <v>926.5</v>
      </c>
      <c r="I38">
        <v>1006.731</v>
      </c>
      <c r="J38">
        <v>10.757999999999999</v>
      </c>
      <c r="N38">
        <f>IFERROR(SUM($B$3:$B38),"")</f>
        <v>17750.560000000001</v>
      </c>
      <c r="O38">
        <f>IFERROR(SUM($C$3:$C38),"")</f>
        <v>18844.823</v>
      </c>
      <c r="P38">
        <f>IFERROR(SUM($D$3:$D38),"")</f>
        <v>139.74700000000001</v>
      </c>
      <c r="Q38">
        <f t="shared" si="9"/>
        <v>18984.57</v>
      </c>
      <c r="R38">
        <f t="shared" si="10"/>
        <v>93.499931786708899</v>
      </c>
      <c r="S38">
        <f t="shared" si="11"/>
        <v>99.263891676240235</v>
      </c>
      <c r="T38">
        <f>IFERROR(SUM($E$3:$E38),"")</f>
        <v>18611.311000000002</v>
      </c>
      <c r="U38">
        <f>IFERROR(SUM($F$3:$F38),"")</f>
        <v>19752.126000000004</v>
      </c>
      <c r="V38">
        <f>IFERROR(SUM($G$3:$G38),"")</f>
        <v>69.531999999999996</v>
      </c>
      <c r="W38">
        <f t="shared" si="12"/>
        <v>19821.658000000003</v>
      </c>
      <c r="X38">
        <f t="shared" si="13"/>
        <v>93.893815542574686</v>
      </c>
      <c r="Y38">
        <f t="shared" si="14"/>
        <v>99.649211988220159</v>
      </c>
      <c r="Z38">
        <f>IFERROR(SUM($H$3:$H38),"")</f>
        <v>17750.559000000001</v>
      </c>
      <c r="AA38">
        <f>IFERROR(SUM($I$3:$I38),"")</f>
        <v>18844.823</v>
      </c>
      <c r="AB38">
        <f>IFERROR(SUM($J$3:$J38),"")</f>
        <v>139.74700000000001</v>
      </c>
      <c r="AC38">
        <f t="shared" si="15"/>
        <v>18984.57</v>
      </c>
      <c r="AD38">
        <f t="shared" si="16"/>
        <v>93.499926519273288</v>
      </c>
      <c r="AE38">
        <f t="shared" si="17"/>
        <v>99.263891676240235</v>
      </c>
    </row>
    <row r="39" spans="1:31" x14ac:dyDescent="0.35">
      <c r="A39">
        <v>1886</v>
      </c>
      <c r="B39">
        <v>939.66600000000005</v>
      </c>
      <c r="C39">
        <v>1022.164</v>
      </c>
      <c r="D39">
        <v>10.823</v>
      </c>
      <c r="E39">
        <v>989.56200000000001</v>
      </c>
      <c r="F39">
        <v>1076.271</v>
      </c>
      <c r="G39">
        <v>6.2690000000000001</v>
      </c>
      <c r="H39">
        <v>939.66600000000005</v>
      </c>
      <c r="I39">
        <v>1022.164</v>
      </c>
      <c r="J39">
        <v>10.823</v>
      </c>
      <c r="N39">
        <f>IFERROR(SUM($B$3:$B39),"")</f>
        <v>18690.226000000002</v>
      </c>
      <c r="O39">
        <f>IFERROR(SUM($C$3:$C39),"")</f>
        <v>19866.987000000001</v>
      </c>
      <c r="P39">
        <f>IFERROR(SUM($D$3:$D39),"")</f>
        <v>150.57000000000002</v>
      </c>
      <c r="Q39">
        <f t="shared" si="9"/>
        <v>20017.557000000001</v>
      </c>
      <c r="R39">
        <f t="shared" si="10"/>
        <v>93.369165877734233</v>
      </c>
      <c r="S39">
        <f t="shared" si="11"/>
        <v>99.247810309719625</v>
      </c>
      <c r="T39">
        <f>IFERROR(SUM($E$3:$E39),"")</f>
        <v>19600.873000000003</v>
      </c>
      <c r="U39">
        <f>IFERROR(SUM($F$3:$F39),"")</f>
        <v>20828.397000000004</v>
      </c>
      <c r="V39">
        <f>IFERROR(SUM($G$3:$G39),"")</f>
        <v>75.801000000000002</v>
      </c>
      <c r="W39">
        <f t="shared" si="12"/>
        <v>20904.198000000004</v>
      </c>
      <c r="X39">
        <f t="shared" si="13"/>
        <v>93.765247535447187</v>
      </c>
      <c r="Y39">
        <f t="shared" si="14"/>
        <v>99.637388624045755</v>
      </c>
      <c r="Z39">
        <f>IFERROR(SUM($H$3:$H39),"")</f>
        <v>18690.225000000002</v>
      </c>
      <c r="AA39">
        <f>IFERROR(SUM($I$3:$I39),"")</f>
        <v>19866.987000000001</v>
      </c>
      <c r="AB39">
        <f>IFERROR(SUM($J$3:$J39),"")</f>
        <v>150.57000000000002</v>
      </c>
      <c r="AC39">
        <f t="shared" si="15"/>
        <v>20017.557000000001</v>
      </c>
      <c r="AD39">
        <f t="shared" si="16"/>
        <v>93.369160882119644</v>
      </c>
      <c r="AE39">
        <f t="shared" si="17"/>
        <v>99.247810309719625</v>
      </c>
    </row>
    <row r="40" spans="1:31" x14ac:dyDescent="0.35">
      <c r="A40">
        <v>1887</v>
      </c>
      <c r="B40">
        <v>986.875</v>
      </c>
      <c r="C40">
        <v>1072.134</v>
      </c>
      <c r="D40">
        <v>12.148999999999999</v>
      </c>
      <c r="E40">
        <v>1038.9390000000001</v>
      </c>
      <c r="F40">
        <v>1128.653</v>
      </c>
      <c r="G40">
        <v>8.0139999999999993</v>
      </c>
      <c r="H40">
        <v>986.875</v>
      </c>
      <c r="I40">
        <v>1072.134</v>
      </c>
      <c r="J40">
        <v>12.148999999999999</v>
      </c>
      <c r="N40">
        <f>IFERROR(SUM($B$3:$B40),"")</f>
        <v>19677.101000000002</v>
      </c>
      <c r="O40">
        <f>IFERROR(SUM($C$3:$C40),"")</f>
        <v>20939.120999999999</v>
      </c>
      <c r="P40">
        <f>IFERROR(SUM($D$3:$D40),"")</f>
        <v>162.71900000000002</v>
      </c>
      <c r="Q40">
        <f t="shared" si="9"/>
        <v>21101.84</v>
      </c>
      <c r="R40">
        <f t="shared" si="10"/>
        <v>93.248271240801756</v>
      </c>
      <c r="S40">
        <f t="shared" si="11"/>
        <v>99.228887149177496</v>
      </c>
      <c r="T40">
        <f>IFERROR(SUM($E$3:$E40),"")</f>
        <v>20639.812000000002</v>
      </c>
      <c r="U40">
        <f>IFERROR(SUM($F$3:$F40),"")</f>
        <v>21957.050000000003</v>
      </c>
      <c r="V40">
        <f>IFERROR(SUM($G$3:$G40),"")</f>
        <v>83.814999999999998</v>
      </c>
      <c r="W40">
        <f t="shared" si="12"/>
        <v>22040.865000000002</v>
      </c>
      <c r="X40">
        <f t="shared" si="13"/>
        <v>93.643384685673638</v>
      </c>
      <c r="Y40">
        <f t="shared" si="14"/>
        <v>99.619729080505692</v>
      </c>
      <c r="Z40">
        <f>IFERROR(SUM($H$3:$H40),"")</f>
        <v>19677.100000000002</v>
      </c>
      <c r="AA40">
        <f>IFERROR(SUM($I$3:$I40),"")</f>
        <v>20939.120999999999</v>
      </c>
      <c r="AB40">
        <f>IFERROR(SUM($J$3:$J40),"")</f>
        <v>162.71900000000002</v>
      </c>
      <c r="AC40">
        <f t="shared" si="15"/>
        <v>21101.84</v>
      </c>
      <c r="AD40">
        <f t="shared" si="16"/>
        <v>93.248266501878518</v>
      </c>
      <c r="AE40">
        <f t="shared" si="17"/>
        <v>99.228887149177496</v>
      </c>
    </row>
    <row r="41" spans="1:31" x14ac:dyDescent="0.35">
      <c r="A41">
        <v>1888</v>
      </c>
      <c r="B41">
        <v>1095.0250000000001</v>
      </c>
      <c r="C41">
        <v>1187.414</v>
      </c>
      <c r="D41">
        <v>13.927</v>
      </c>
      <c r="E41">
        <v>1152.9839999999999</v>
      </c>
      <c r="F41">
        <v>1250.1479999999999</v>
      </c>
      <c r="G41">
        <v>8.3710000000000004</v>
      </c>
      <c r="H41">
        <v>1095.0250000000001</v>
      </c>
      <c r="I41">
        <v>1187.414</v>
      </c>
      <c r="J41">
        <v>13.927</v>
      </c>
      <c r="N41">
        <f>IFERROR(SUM($B$3:$B41),"")</f>
        <v>20772.126000000004</v>
      </c>
      <c r="O41">
        <f>IFERROR(SUM($C$3:$C41),"")</f>
        <v>22126.535</v>
      </c>
      <c r="P41">
        <f>IFERROR(SUM($D$3:$D41),"")</f>
        <v>176.64600000000002</v>
      </c>
      <c r="Q41">
        <f t="shared" si="9"/>
        <v>22303.181</v>
      </c>
      <c r="R41">
        <f t="shared" si="10"/>
        <v>93.135261736879613</v>
      </c>
      <c r="S41">
        <f t="shared" si="11"/>
        <v>99.207978449352126</v>
      </c>
      <c r="T41">
        <f>IFERROR(SUM($E$3:$E41),"")</f>
        <v>21792.796000000002</v>
      </c>
      <c r="U41">
        <f>IFERROR(SUM($F$3:$F41),"")</f>
        <v>23207.198000000004</v>
      </c>
      <c r="V41">
        <f>IFERROR(SUM($G$3:$G41),"")</f>
        <v>92.185999999999993</v>
      </c>
      <c r="W41">
        <f t="shared" si="12"/>
        <v>23299.384000000005</v>
      </c>
      <c r="X41">
        <f t="shared" si="13"/>
        <v>93.533786129281353</v>
      </c>
      <c r="Y41">
        <f t="shared" si="14"/>
        <v>99.604341471001973</v>
      </c>
      <c r="Z41">
        <f>IFERROR(SUM($H$3:$H41),"")</f>
        <v>20772.125000000004</v>
      </c>
      <c r="AA41">
        <f>IFERROR(SUM($I$3:$I41),"")</f>
        <v>22126.535</v>
      </c>
      <c r="AB41">
        <f>IFERROR(SUM($J$3:$J41),"")</f>
        <v>176.64600000000002</v>
      </c>
      <c r="AC41">
        <f t="shared" si="15"/>
        <v>22303.181</v>
      </c>
      <c r="AD41">
        <f t="shared" si="16"/>
        <v>93.135257253214249</v>
      </c>
      <c r="AE41">
        <f t="shared" si="17"/>
        <v>99.207978449352126</v>
      </c>
    </row>
    <row r="42" spans="1:31" x14ac:dyDescent="0.35">
      <c r="A42">
        <v>1889</v>
      </c>
      <c r="B42">
        <v>1086.749</v>
      </c>
      <c r="C42">
        <v>1185.9480000000001</v>
      </c>
      <c r="D42">
        <v>16.149999999999999</v>
      </c>
      <c r="E42">
        <v>1145.8879999999999</v>
      </c>
      <c r="F42">
        <v>1250.171</v>
      </c>
      <c r="G42">
        <v>10.297000000000001</v>
      </c>
      <c r="H42">
        <v>1086.749</v>
      </c>
      <c r="I42">
        <v>1185.9480000000001</v>
      </c>
      <c r="J42">
        <v>16.149999999999999</v>
      </c>
      <c r="N42">
        <f>IFERROR(SUM($B$3:$B42),"")</f>
        <v>21858.875000000004</v>
      </c>
      <c r="O42">
        <f>IFERROR(SUM($C$3:$C42),"")</f>
        <v>23312.483</v>
      </c>
      <c r="P42">
        <f>IFERROR(SUM($D$3:$D42),"")</f>
        <v>192.79600000000002</v>
      </c>
      <c r="Q42">
        <f t="shared" si="9"/>
        <v>23505.278999999999</v>
      </c>
      <c r="R42">
        <f t="shared" si="10"/>
        <v>92.99559898863572</v>
      </c>
      <c r="S42">
        <f t="shared" si="11"/>
        <v>99.179775743142642</v>
      </c>
      <c r="T42">
        <f>IFERROR(SUM($E$3:$E42),"")</f>
        <v>22938.684000000001</v>
      </c>
      <c r="U42">
        <f>IFERROR(SUM($F$3:$F42),"")</f>
        <v>24457.369000000002</v>
      </c>
      <c r="V42">
        <f>IFERROR(SUM($G$3:$G42),"")</f>
        <v>102.48299999999999</v>
      </c>
      <c r="W42">
        <f t="shared" si="12"/>
        <v>24559.852000000003</v>
      </c>
      <c r="X42">
        <f t="shared" si="13"/>
        <v>93.399113317132361</v>
      </c>
      <c r="Y42">
        <f t="shared" si="14"/>
        <v>99.582721426822928</v>
      </c>
      <c r="Z42">
        <f>IFERROR(SUM($H$3:$H42),"")</f>
        <v>21858.874000000003</v>
      </c>
      <c r="AA42">
        <f>IFERROR(SUM($I$3:$I42),"")</f>
        <v>23312.483</v>
      </c>
      <c r="AB42">
        <f>IFERROR(SUM($J$3:$J42),"")</f>
        <v>192.79600000000002</v>
      </c>
      <c r="AC42">
        <f t="shared" si="15"/>
        <v>23505.278999999999</v>
      </c>
      <c r="AD42">
        <f t="shared" si="16"/>
        <v>92.995594734272274</v>
      </c>
      <c r="AE42">
        <f t="shared" si="17"/>
        <v>99.179775743142642</v>
      </c>
    </row>
    <row r="43" spans="1:31" x14ac:dyDescent="0.35">
      <c r="A43">
        <v>1890</v>
      </c>
      <c r="B43">
        <v>1184.876</v>
      </c>
      <c r="C43">
        <v>1291.0530000000001</v>
      </c>
      <c r="D43">
        <v>16.202000000000002</v>
      </c>
      <c r="E43">
        <v>1249.345</v>
      </c>
      <c r="F43">
        <v>1361.0319999999999</v>
      </c>
      <c r="G43">
        <v>11.061</v>
      </c>
      <c r="H43">
        <v>1184.876</v>
      </c>
      <c r="I43">
        <v>1291.0530000000001</v>
      </c>
      <c r="J43">
        <v>16.202000000000002</v>
      </c>
      <c r="N43">
        <f>IFERROR(SUM($B$3:$B43),"")</f>
        <v>23043.751000000004</v>
      </c>
      <c r="O43">
        <f>IFERROR(SUM($C$3:$C43),"")</f>
        <v>24603.536</v>
      </c>
      <c r="P43">
        <f>IFERROR(SUM($D$3:$D43),"")</f>
        <v>208.99800000000002</v>
      </c>
      <c r="Q43">
        <f t="shared" si="9"/>
        <v>24812.534</v>
      </c>
      <c r="R43">
        <f t="shared" si="10"/>
        <v>92.871413294587342</v>
      </c>
      <c r="S43">
        <f t="shared" si="11"/>
        <v>99.15769183429633</v>
      </c>
      <c r="T43">
        <f>IFERROR(SUM($E$3:$E43),"")</f>
        <v>24188.029000000002</v>
      </c>
      <c r="U43">
        <f>IFERROR(SUM($F$3:$F43),"")</f>
        <v>25818.401000000002</v>
      </c>
      <c r="V43">
        <f>IFERROR(SUM($G$3:$G43),"")</f>
        <v>113.54399999999998</v>
      </c>
      <c r="W43">
        <f t="shared" si="12"/>
        <v>25931.945000000003</v>
      </c>
      <c r="X43">
        <f t="shared" si="13"/>
        <v>93.275028155427592</v>
      </c>
      <c r="Y43">
        <f t="shared" si="14"/>
        <v>99.562146225437388</v>
      </c>
      <c r="Z43">
        <f>IFERROR(SUM($H$3:$H43),"")</f>
        <v>23043.750000000004</v>
      </c>
      <c r="AA43">
        <f>IFERROR(SUM($I$3:$I43),"")</f>
        <v>24603.536</v>
      </c>
      <c r="AB43">
        <f>IFERROR(SUM($J$3:$J43),"")</f>
        <v>208.99800000000002</v>
      </c>
      <c r="AC43">
        <f t="shared" si="15"/>
        <v>24812.534</v>
      </c>
      <c r="AD43">
        <f t="shared" si="16"/>
        <v>92.871409264366164</v>
      </c>
      <c r="AE43">
        <f t="shared" si="17"/>
        <v>99.15769183429633</v>
      </c>
    </row>
    <row r="44" spans="1:31" x14ac:dyDescent="0.35">
      <c r="A44">
        <v>1891</v>
      </c>
      <c r="B44">
        <v>1237.6759999999999</v>
      </c>
      <c r="C44">
        <v>1351.5840000000001</v>
      </c>
      <c r="D44">
        <v>18.015000000000001</v>
      </c>
      <c r="E44">
        <v>1305.3869999999999</v>
      </c>
      <c r="F44">
        <v>1425.2080000000001</v>
      </c>
      <c r="G44">
        <v>12.18</v>
      </c>
      <c r="H44">
        <v>1237.6759999999999</v>
      </c>
      <c r="I44">
        <v>1351.5840000000001</v>
      </c>
      <c r="J44">
        <v>18.015000000000001</v>
      </c>
      <c r="N44">
        <f>IFERROR(SUM($B$3:$B44),"")</f>
        <v>24281.427000000003</v>
      </c>
      <c r="O44">
        <f>IFERROR(SUM($C$3:$C44),"")</f>
        <v>25955.119999999999</v>
      </c>
      <c r="P44">
        <f>IFERROR(SUM($D$3:$D44),"")</f>
        <v>227.01300000000003</v>
      </c>
      <c r="Q44">
        <f t="shared" si="9"/>
        <v>26182.132999999998</v>
      </c>
      <c r="R44">
        <f t="shared" si="10"/>
        <v>92.740446318869445</v>
      </c>
      <c r="S44">
        <f t="shared" si="11"/>
        <v>99.132946884044941</v>
      </c>
      <c r="T44">
        <f>IFERROR(SUM($E$3:$E44),"")</f>
        <v>25493.416000000001</v>
      </c>
      <c r="U44">
        <f>IFERROR(SUM($F$3:$F44),"")</f>
        <v>27243.609</v>
      </c>
      <c r="V44">
        <f>IFERROR(SUM($G$3:$G44),"")</f>
        <v>125.72399999999999</v>
      </c>
      <c r="W44">
        <f t="shared" si="12"/>
        <v>27369.332999999999</v>
      </c>
      <c r="X44">
        <f t="shared" si="13"/>
        <v>93.145916270593816</v>
      </c>
      <c r="Y44">
        <f t="shared" si="14"/>
        <v>99.540639152587318</v>
      </c>
      <c r="Z44">
        <f>IFERROR(SUM($H$3:$H44),"")</f>
        <v>24281.426000000003</v>
      </c>
      <c r="AA44">
        <f>IFERROR(SUM($I$3:$I44),"")</f>
        <v>25955.119999999999</v>
      </c>
      <c r="AB44">
        <f>IFERROR(SUM($J$3:$J44),"")</f>
        <v>227.01300000000003</v>
      </c>
      <c r="AC44">
        <f t="shared" si="15"/>
        <v>26182.132999999998</v>
      </c>
      <c r="AD44">
        <f t="shared" si="16"/>
        <v>92.74044249947093</v>
      </c>
      <c r="AE44">
        <f t="shared" si="17"/>
        <v>99.132946884044941</v>
      </c>
    </row>
    <row r="45" spans="1:31" x14ac:dyDescent="0.35">
      <c r="A45">
        <v>1892</v>
      </c>
      <c r="B45">
        <v>1246.539</v>
      </c>
      <c r="C45">
        <v>1360.43</v>
      </c>
      <c r="D45">
        <v>20.106000000000002</v>
      </c>
      <c r="E45">
        <v>1314.8620000000001</v>
      </c>
      <c r="F45">
        <v>1434.749</v>
      </c>
      <c r="G45">
        <v>14.156000000000001</v>
      </c>
      <c r="H45">
        <v>1246.539</v>
      </c>
      <c r="I45">
        <v>1360.43</v>
      </c>
      <c r="J45">
        <v>20.106000000000002</v>
      </c>
      <c r="N45">
        <f>IFERROR(SUM($B$3:$B45),"")</f>
        <v>25527.966000000004</v>
      </c>
      <c r="O45">
        <f>IFERROR(SUM($C$3:$C45),"")</f>
        <v>27315.55</v>
      </c>
      <c r="P45">
        <f>IFERROR(SUM($D$3:$D45),"")</f>
        <v>247.11900000000003</v>
      </c>
      <c r="Q45">
        <f t="shared" si="9"/>
        <v>27562.668999999998</v>
      </c>
      <c r="R45">
        <f t="shared" si="10"/>
        <v>92.6179028598428</v>
      </c>
      <c r="S45">
        <f t="shared" si="11"/>
        <v>99.103428626596354</v>
      </c>
      <c r="T45">
        <f>IFERROR(SUM($E$3:$E45),"")</f>
        <v>26808.278000000002</v>
      </c>
      <c r="U45">
        <f>IFERROR(SUM($F$3:$F45),"")</f>
        <v>28678.358</v>
      </c>
      <c r="V45">
        <f>IFERROR(SUM($G$3:$G45),"")</f>
        <v>139.88</v>
      </c>
      <c r="W45">
        <f t="shared" si="12"/>
        <v>28818.238000000001</v>
      </c>
      <c r="X45">
        <f t="shared" si="13"/>
        <v>93.025388991512941</v>
      </c>
      <c r="Y45">
        <f t="shared" si="14"/>
        <v>99.514612933656792</v>
      </c>
      <c r="Z45">
        <f>IFERROR(SUM($H$3:$H45),"")</f>
        <v>25527.965000000004</v>
      </c>
      <c r="AA45">
        <f>IFERROR(SUM($I$3:$I45),"")</f>
        <v>27315.55</v>
      </c>
      <c r="AB45">
        <f>IFERROR(SUM($J$3:$J45),"")</f>
        <v>247.11900000000003</v>
      </c>
      <c r="AC45">
        <f t="shared" si="15"/>
        <v>27562.668999999998</v>
      </c>
      <c r="AD45">
        <f t="shared" si="16"/>
        <v>92.617899231747131</v>
      </c>
      <c r="AE45">
        <f t="shared" si="17"/>
        <v>99.103428626596354</v>
      </c>
    </row>
    <row r="46" spans="1:31" x14ac:dyDescent="0.35">
      <c r="A46">
        <v>1893</v>
      </c>
      <c r="B46">
        <v>1218.2840000000001</v>
      </c>
      <c r="C46">
        <v>1340.2850000000001</v>
      </c>
      <c r="D46">
        <v>22.895</v>
      </c>
      <c r="E46">
        <v>1287.6969999999999</v>
      </c>
      <c r="F46">
        <v>1416.162</v>
      </c>
      <c r="G46">
        <v>17.506</v>
      </c>
      <c r="H46">
        <v>1218.2840000000001</v>
      </c>
      <c r="I46">
        <v>1340.2850000000001</v>
      </c>
      <c r="J46">
        <v>22.895</v>
      </c>
      <c r="N46">
        <f>IFERROR(SUM($B$3:$B46),"")</f>
        <v>26746.250000000004</v>
      </c>
      <c r="O46">
        <f>IFERROR(SUM($C$3:$C46),"")</f>
        <v>28655.834999999999</v>
      </c>
      <c r="P46">
        <f>IFERROR(SUM($D$3:$D46),"")</f>
        <v>270.01400000000001</v>
      </c>
      <c r="Q46">
        <f t="shared" si="9"/>
        <v>28925.848999999998</v>
      </c>
      <c r="R46">
        <f t="shared" si="10"/>
        <v>92.464874583283645</v>
      </c>
      <c r="S46">
        <f t="shared" si="11"/>
        <v>99.066530424050825</v>
      </c>
      <c r="T46">
        <f>IFERROR(SUM($E$3:$E46),"")</f>
        <v>28095.975000000002</v>
      </c>
      <c r="U46">
        <f>IFERROR(SUM($F$3:$F46),"")</f>
        <v>30094.52</v>
      </c>
      <c r="V46">
        <f>IFERROR(SUM($G$3:$G46),"")</f>
        <v>157.386</v>
      </c>
      <c r="W46">
        <f t="shared" si="12"/>
        <v>30251.905999999999</v>
      </c>
      <c r="X46">
        <f t="shared" si="13"/>
        <v>92.873404406320731</v>
      </c>
      <c r="Y46">
        <f t="shared" si="14"/>
        <v>99.479748482624544</v>
      </c>
      <c r="Z46">
        <f>IFERROR(SUM($H$3:$H46),"")</f>
        <v>26746.249000000003</v>
      </c>
      <c r="AA46">
        <f>IFERROR(SUM($I$3:$I46),"")</f>
        <v>28655.834999999999</v>
      </c>
      <c r="AB46">
        <f>IFERROR(SUM($J$3:$J46),"")</f>
        <v>270.01400000000001</v>
      </c>
      <c r="AC46">
        <f t="shared" si="15"/>
        <v>28925.848999999998</v>
      </c>
      <c r="AD46">
        <f t="shared" si="16"/>
        <v>92.464871126168163</v>
      </c>
      <c r="AE46">
        <f t="shared" si="17"/>
        <v>99.066530424050825</v>
      </c>
    </row>
    <row r="47" spans="1:31" x14ac:dyDescent="0.35">
      <c r="A47">
        <v>1894</v>
      </c>
      <c r="B47">
        <v>1262.067</v>
      </c>
      <c r="C47">
        <v>1386.73</v>
      </c>
      <c r="D47">
        <v>25.497</v>
      </c>
      <c r="E47">
        <v>1334.7560000000001</v>
      </c>
      <c r="F47">
        <v>1465.9570000000001</v>
      </c>
      <c r="G47">
        <v>18.850999999999999</v>
      </c>
      <c r="H47">
        <v>1262.067</v>
      </c>
      <c r="I47">
        <v>1386.73</v>
      </c>
      <c r="J47">
        <v>25.497</v>
      </c>
      <c r="N47">
        <f>IFERROR(SUM($B$3:$B47),"")</f>
        <v>28008.317000000003</v>
      </c>
      <c r="O47">
        <f>IFERROR(SUM($C$3:$C47),"")</f>
        <v>30042.564999999999</v>
      </c>
      <c r="P47">
        <f>IFERROR(SUM($D$3:$D47),"")</f>
        <v>295.51100000000002</v>
      </c>
      <c r="Q47">
        <f t="shared" si="9"/>
        <v>30338.075999999997</v>
      </c>
      <c r="R47">
        <f t="shared" si="10"/>
        <v>92.320676499063438</v>
      </c>
      <c r="S47">
        <f t="shared" si="11"/>
        <v>99.025940207942</v>
      </c>
      <c r="T47">
        <f>IFERROR(SUM($E$3:$E47),"")</f>
        <v>29430.731000000003</v>
      </c>
      <c r="U47">
        <f>IFERROR(SUM($F$3:$F47),"")</f>
        <v>31560.476999999999</v>
      </c>
      <c r="V47">
        <f>IFERROR(SUM($G$3:$G47),"")</f>
        <v>176.23699999999999</v>
      </c>
      <c r="W47">
        <f t="shared" si="12"/>
        <v>31736.714</v>
      </c>
      <c r="X47">
        <f t="shared" si="13"/>
        <v>92.734020919746143</v>
      </c>
      <c r="Y47">
        <f t="shared" si="14"/>
        <v>99.444690461652712</v>
      </c>
      <c r="Z47">
        <f>IFERROR(SUM($H$3:$H47),"")</f>
        <v>28008.316000000003</v>
      </c>
      <c r="AA47">
        <f>IFERROR(SUM($I$3:$I47),"")</f>
        <v>30042.564999999999</v>
      </c>
      <c r="AB47">
        <f>IFERROR(SUM($J$3:$J47),"")</f>
        <v>295.51100000000002</v>
      </c>
      <c r="AC47">
        <f t="shared" si="15"/>
        <v>30338.075999999997</v>
      </c>
      <c r="AD47">
        <f t="shared" si="16"/>
        <v>92.320673202875497</v>
      </c>
      <c r="AE47">
        <f t="shared" si="17"/>
        <v>99.025940207942</v>
      </c>
    </row>
    <row r="48" spans="1:31" x14ac:dyDescent="0.35">
      <c r="A48">
        <v>1895</v>
      </c>
      <c r="B48">
        <v>1332.797</v>
      </c>
      <c r="C48">
        <v>1467.0889999999999</v>
      </c>
      <c r="D48">
        <v>28.875</v>
      </c>
      <c r="E48">
        <v>1409.4449999999999</v>
      </c>
      <c r="F48">
        <v>1550.9269999999999</v>
      </c>
      <c r="G48">
        <v>23.312999999999999</v>
      </c>
      <c r="H48">
        <v>1332.797</v>
      </c>
      <c r="I48">
        <v>1467.0889999999999</v>
      </c>
      <c r="J48">
        <v>28.875</v>
      </c>
      <c r="N48">
        <f>IFERROR(SUM($B$3:$B48),"")</f>
        <v>29341.114000000001</v>
      </c>
      <c r="O48">
        <f>IFERROR(SUM($C$3:$C48),"")</f>
        <v>31509.653999999999</v>
      </c>
      <c r="P48">
        <f>IFERROR(SUM($D$3:$D48),"")</f>
        <v>324.38600000000002</v>
      </c>
      <c r="Q48">
        <f t="shared" si="9"/>
        <v>31834.039999999997</v>
      </c>
      <c r="R48">
        <f t="shared" si="10"/>
        <v>92.168992688329865</v>
      </c>
      <c r="S48">
        <f t="shared" si="11"/>
        <v>98.981009007967586</v>
      </c>
      <c r="T48">
        <f>IFERROR(SUM($E$3:$E48),"")</f>
        <v>30840.176000000003</v>
      </c>
      <c r="U48">
        <f>IFERROR(SUM($F$3:$F48),"")</f>
        <v>33111.404000000002</v>
      </c>
      <c r="V48">
        <f>IFERROR(SUM($G$3:$G48),"")</f>
        <v>199.54999999999998</v>
      </c>
      <c r="W48">
        <f t="shared" si="12"/>
        <v>33310.954000000005</v>
      </c>
      <c r="X48">
        <f t="shared" si="13"/>
        <v>92.582686163836669</v>
      </c>
      <c r="Y48">
        <f t="shared" si="14"/>
        <v>99.400947808339552</v>
      </c>
      <c r="Z48">
        <f>IFERROR(SUM($H$3:$H48),"")</f>
        <v>29341.113000000001</v>
      </c>
      <c r="AA48">
        <f>IFERROR(SUM($I$3:$I48),"")</f>
        <v>31509.653999999999</v>
      </c>
      <c r="AB48">
        <f>IFERROR(SUM($J$3:$J48),"")</f>
        <v>324.38600000000002</v>
      </c>
      <c r="AC48">
        <f t="shared" si="15"/>
        <v>31834.039999999997</v>
      </c>
      <c r="AD48">
        <f t="shared" si="16"/>
        <v>92.168989547038336</v>
      </c>
      <c r="AE48">
        <f t="shared" si="17"/>
        <v>98.981009007967586</v>
      </c>
    </row>
    <row r="49" spans="1:31" x14ac:dyDescent="0.35">
      <c r="A49">
        <v>1896</v>
      </c>
      <c r="B49">
        <v>1373.6990000000001</v>
      </c>
      <c r="C49">
        <v>1514.0260000000001</v>
      </c>
      <c r="D49">
        <v>31.425000000000001</v>
      </c>
      <c r="E49">
        <v>1452.633</v>
      </c>
      <c r="F49">
        <v>1600.403</v>
      </c>
      <c r="G49">
        <v>25.541</v>
      </c>
      <c r="H49">
        <v>1373.6990000000001</v>
      </c>
      <c r="I49">
        <v>1514.0260000000001</v>
      </c>
      <c r="J49">
        <v>31.425000000000001</v>
      </c>
      <c r="N49">
        <f>IFERROR(SUM($B$3:$B49),"")</f>
        <v>30714.813000000002</v>
      </c>
      <c r="O49">
        <f>IFERROR(SUM($C$3:$C49),"")</f>
        <v>33023.68</v>
      </c>
      <c r="P49">
        <f>IFERROR(SUM($D$3:$D49),"")</f>
        <v>355.81100000000004</v>
      </c>
      <c r="Q49">
        <f t="shared" si="9"/>
        <v>33379.491000000002</v>
      </c>
      <c r="R49">
        <f t="shared" si="10"/>
        <v>92.017020271519428</v>
      </c>
      <c r="S49">
        <f t="shared" si="11"/>
        <v>98.934043062549989</v>
      </c>
      <c r="T49">
        <f>IFERROR(SUM($E$3:$E49),"")</f>
        <v>32292.809000000005</v>
      </c>
      <c r="U49">
        <f>IFERROR(SUM($F$3:$F49),"")</f>
        <v>34711.807000000001</v>
      </c>
      <c r="V49">
        <f>IFERROR(SUM($G$3:$G49),"")</f>
        <v>225.09099999999998</v>
      </c>
      <c r="W49">
        <f t="shared" si="12"/>
        <v>34936.898000000001</v>
      </c>
      <c r="X49">
        <f t="shared" si="13"/>
        <v>92.431815211527947</v>
      </c>
      <c r="Y49">
        <f t="shared" si="14"/>
        <v>99.355721277830682</v>
      </c>
      <c r="Z49">
        <f>IFERROR(SUM($H$3:$H49),"")</f>
        <v>30714.812000000002</v>
      </c>
      <c r="AA49">
        <f>IFERROR(SUM($I$3:$I49),"")</f>
        <v>33023.68</v>
      </c>
      <c r="AB49">
        <f>IFERROR(SUM($J$3:$J49),"")</f>
        <v>355.81100000000004</v>
      </c>
      <c r="AC49">
        <f t="shared" si="15"/>
        <v>33379.491000000002</v>
      </c>
      <c r="AD49">
        <f t="shared" si="16"/>
        <v>92.017017275667868</v>
      </c>
      <c r="AE49">
        <f t="shared" si="17"/>
        <v>98.934043062549989</v>
      </c>
    </row>
    <row r="50" spans="1:31" x14ac:dyDescent="0.35">
      <c r="A50">
        <v>1897</v>
      </c>
      <c r="B50">
        <v>1433.442</v>
      </c>
      <c r="C50">
        <v>1584.5440000000001</v>
      </c>
      <c r="D50">
        <v>33.860999999999997</v>
      </c>
      <c r="E50">
        <v>1517.1020000000001</v>
      </c>
      <c r="F50">
        <v>1676.373</v>
      </c>
      <c r="G50">
        <v>28.189</v>
      </c>
      <c r="H50">
        <v>1433.442</v>
      </c>
      <c r="I50">
        <v>1584.5440000000001</v>
      </c>
      <c r="J50">
        <v>33.860999999999997</v>
      </c>
      <c r="N50">
        <f>IFERROR(SUM($B$3:$B50),"")</f>
        <v>32148.255000000001</v>
      </c>
      <c r="O50">
        <f>IFERROR(SUM($C$3:$C50),"")</f>
        <v>34608.224000000002</v>
      </c>
      <c r="P50">
        <f>IFERROR(SUM($D$3:$D50),"")</f>
        <v>389.67200000000003</v>
      </c>
      <c r="Q50">
        <f t="shared" si="9"/>
        <v>34997.896000000001</v>
      </c>
      <c r="R50">
        <f t="shared" si="10"/>
        <v>91.857679101623717</v>
      </c>
      <c r="S50">
        <f t="shared" si="11"/>
        <v>98.886584496393723</v>
      </c>
      <c r="T50">
        <f>IFERROR(SUM($E$3:$E50),"")</f>
        <v>33809.911000000007</v>
      </c>
      <c r="U50">
        <f>IFERROR(SUM($F$3:$F50),"")</f>
        <v>36388.18</v>
      </c>
      <c r="V50">
        <f>IFERROR(SUM($G$3:$G50),"")</f>
        <v>253.27999999999997</v>
      </c>
      <c r="W50">
        <f t="shared" si="12"/>
        <v>36641.46</v>
      </c>
      <c r="X50">
        <f t="shared" si="13"/>
        <v>92.272281180935494</v>
      </c>
      <c r="Y50">
        <f t="shared" si="14"/>
        <v>99.308761168359567</v>
      </c>
      <c r="Z50">
        <f>IFERROR(SUM($H$3:$H50),"")</f>
        <v>32148.254000000001</v>
      </c>
      <c r="AA50">
        <f>IFERROR(SUM($I$3:$I50),"")</f>
        <v>34608.224000000002</v>
      </c>
      <c r="AB50">
        <f>IFERROR(SUM($J$3:$J50),"")</f>
        <v>389.67200000000003</v>
      </c>
      <c r="AC50">
        <f t="shared" si="15"/>
        <v>34997.896000000001</v>
      </c>
      <c r="AD50">
        <f t="shared" si="16"/>
        <v>91.85767624430909</v>
      </c>
      <c r="AE50">
        <f t="shared" si="17"/>
        <v>98.886584496393723</v>
      </c>
    </row>
    <row r="51" spans="1:31" x14ac:dyDescent="0.35">
      <c r="A51">
        <v>1898</v>
      </c>
      <c r="B51">
        <v>1504.634</v>
      </c>
      <c r="C51">
        <v>1668.5640000000001</v>
      </c>
      <c r="D51">
        <v>38.402000000000001</v>
      </c>
      <c r="E51">
        <v>1592.796</v>
      </c>
      <c r="F51">
        <v>1765.415</v>
      </c>
      <c r="G51">
        <v>32.625999999999998</v>
      </c>
      <c r="H51">
        <v>1504.634</v>
      </c>
      <c r="I51">
        <v>1668.5640000000001</v>
      </c>
      <c r="J51">
        <v>38.402000000000001</v>
      </c>
      <c r="N51">
        <f>IFERROR(SUM($B$3:$B51),"")</f>
        <v>33652.889000000003</v>
      </c>
      <c r="O51">
        <f>IFERROR(SUM($C$3:$C51),"")</f>
        <v>36276.788</v>
      </c>
      <c r="P51">
        <f>IFERROR(SUM($D$3:$D51),"")</f>
        <v>428.07400000000001</v>
      </c>
      <c r="Q51">
        <f t="shared" si="9"/>
        <v>36704.862000000001</v>
      </c>
      <c r="R51">
        <f t="shared" si="10"/>
        <v>91.685098829686382</v>
      </c>
      <c r="S51">
        <f t="shared" si="11"/>
        <v>98.83374033663442</v>
      </c>
      <c r="T51">
        <f>IFERROR(SUM($E$3:$E51),"")</f>
        <v>35402.707000000009</v>
      </c>
      <c r="U51">
        <f>IFERROR(SUM($F$3:$F51),"")</f>
        <v>38153.595000000001</v>
      </c>
      <c r="V51">
        <f>IFERROR(SUM($G$3:$G51),"")</f>
        <v>285.90599999999995</v>
      </c>
      <c r="W51">
        <f t="shared" si="12"/>
        <v>38439.501000000004</v>
      </c>
      <c r="X51">
        <f t="shared" si="13"/>
        <v>92.099808995959663</v>
      </c>
      <c r="Y51">
        <f t="shared" si="14"/>
        <v>99.256218232385478</v>
      </c>
      <c r="Z51">
        <f>IFERROR(SUM($H$3:$H51),"")</f>
        <v>33652.887999999999</v>
      </c>
      <c r="AA51">
        <f>IFERROR(SUM($I$3:$I51),"")</f>
        <v>36276.788</v>
      </c>
      <c r="AB51">
        <f>IFERROR(SUM($J$3:$J51),"")</f>
        <v>428.07400000000001</v>
      </c>
      <c r="AC51">
        <f t="shared" si="15"/>
        <v>36704.862000000001</v>
      </c>
      <c r="AD51">
        <f t="shared" si="16"/>
        <v>91.68509610525166</v>
      </c>
      <c r="AE51">
        <f t="shared" si="17"/>
        <v>98.83374033663442</v>
      </c>
    </row>
    <row r="52" spans="1:31" x14ac:dyDescent="0.35">
      <c r="A52">
        <v>1899</v>
      </c>
      <c r="B52">
        <v>1648.3879999999999</v>
      </c>
      <c r="C52">
        <v>1823.2270000000001</v>
      </c>
      <c r="D52">
        <v>41.197000000000003</v>
      </c>
      <c r="E52">
        <v>1746.1959999999999</v>
      </c>
      <c r="F52">
        <v>1930.45</v>
      </c>
      <c r="G52">
        <v>35.130000000000003</v>
      </c>
      <c r="H52">
        <v>1648.3879999999999</v>
      </c>
      <c r="I52">
        <v>1823.2270000000001</v>
      </c>
      <c r="J52">
        <v>41.197000000000003</v>
      </c>
      <c r="N52">
        <f>IFERROR(SUM($B$3:$B52),"")</f>
        <v>35301.277000000002</v>
      </c>
      <c r="O52">
        <f>IFERROR(SUM($C$3:$C52),"")</f>
        <v>38100.014999999999</v>
      </c>
      <c r="P52">
        <f>IFERROR(SUM($D$3:$D52),"")</f>
        <v>469.27100000000002</v>
      </c>
      <c r="Q52">
        <f t="shared" si="9"/>
        <v>38569.286</v>
      </c>
      <c r="R52">
        <f t="shared" si="10"/>
        <v>91.526913409804905</v>
      </c>
      <c r="S52">
        <f t="shared" si="11"/>
        <v>98.783303896266062</v>
      </c>
      <c r="T52">
        <f>IFERROR(SUM($E$3:$E52),"")</f>
        <v>37148.903000000006</v>
      </c>
      <c r="U52">
        <f>IFERROR(SUM($F$3:$F52),"")</f>
        <v>40084.044999999998</v>
      </c>
      <c r="V52">
        <f>IFERROR(SUM($G$3:$G52),"")</f>
        <v>321.03599999999994</v>
      </c>
      <c r="W52">
        <f t="shared" si="12"/>
        <v>40405.080999999998</v>
      </c>
      <c r="X52">
        <f t="shared" si="13"/>
        <v>91.94116700322914</v>
      </c>
      <c r="Y52">
        <f t="shared" si="14"/>
        <v>99.205456363272731</v>
      </c>
      <c r="Z52">
        <f>IFERROR(SUM($H$3:$H52),"")</f>
        <v>35301.275999999998</v>
      </c>
      <c r="AA52">
        <f>IFERROR(SUM($I$3:$I52),"")</f>
        <v>38100.014999999999</v>
      </c>
      <c r="AB52">
        <f>IFERROR(SUM($J$3:$J52),"")</f>
        <v>469.27100000000002</v>
      </c>
      <c r="AC52">
        <f t="shared" si="15"/>
        <v>38569.286</v>
      </c>
      <c r="AD52">
        <f t="shared" si="16"/>
        <v>91.52691081706827</v>
      </c>
      <c r="AE52">
        <f t="shared" si="17"/>
        <v>98.783303896266062</v>
      </c>
    </row>
    <row r="53" spans="1:31" x14ac:dyDescent="0.35">
      <c r="A53">
        <v>1900</v>
      </c>
      <c r="B53">
        <v>1737.3140000000001</v>
      </c>
      <c r="C53">
        <v>1922.241</v>
      </c>
      <c r="D53">
        <v>40.643000000000001</v>
      </c>
      <c r="E53">
        <v>1844.5119999999999</v>
      </c>
      <c r="F53">
        <v>2039.3330000000001</v>
      </c>
      <c r="G53">
        <v>34.926000000000002</v>
      </c>
      <c r="H53">
        <v>1737.3140000000001</v>
      </c>
      <c r="I53">
        <v>1922.241</v>
      </c>
      <c r="J53">
        <v>40.643000000000001</v>
      </c>
      <c r="N53">
        <f>IFERROR(SUM($B$3:$B53),"")</f>
        <v>37038.591</v>
      </c>
      <c r="O53">
        <f>IFERROR(SUM($C$3:$C53),"")</f>
        <v>40022.256000000001</v>
      </c>
      <c r="P53">
        <f>IFERROR(SUM($D$3:$D53),"")</f>
        <v>509.91399999999999</v>
      </c>
      <c r="Q53">
        <f t="shared" si="9"/>
        <v>40532.17</v>
      </c>
      <c r="R53">
        <f t="shared" si="10"/>
        <v>91.380725482992901</v>
      </c>
      <c r="S53">
        <f t="shared" si="11"/>
        <v>98.741952380047763</v>
      </c>
      <c r="T53">
        <f>IFERROR(SUM($E$3:$E53),"")</f>
        <v>38993.415000000008</v>
      </c>
      <c r="U53">
        <f>IFERROR(SUM($F$3:$F53),"")</f>
        <v>42123.377999999997</v>
      </c>
      <c r="V53">
        <f>IFERROR(SUM($G$3:$G53),"")</f>
        <v>355.96199999999993</v>
      </c>
      <c r="W53">
        <f t="shared" si="12"/>
        <v>42479.34</v>
      </c>
      <c r="X53">
        <f t="shared" si="13"/>
        <v>91.793834367483143</v>
      </c>
      <c r="Y53">
        <f t="shared" si="14"/>
        <v>99.1620350033687</v>
      </c>
      <c r="Z53">
        <f>IFERROR(SUM($H$3:$H53),"")</f>
        <v>37038.589999999997</v>
      </c>
      <c r="AA53">
        <f>IFERROR(SUM($I$3:$I53),"")</f>
        <v>40022.256000000001</v>
      </c>
      <c r="AB53">
        <f>IFERROR(SUM($J$3:$J53),"")</f>
        <v>509.91399999999999</v>
      </c>
      <c r="AC53">
        <f t="shared" si="15"/>
        <v>40532.17</v>
      </c>
      <c r="AD53">
        <f t="shared" si="16"/>
        <v>91.380723015816812</v>
      </c>
      <c r="AE53">
        <f t="shared" si="17"/>
        <v>98.741952380047763</v>
      </c>
    </row>
    <row r="54" spans="1:31" x14ac:dyDescent="0.35">
      <c r="A54">
        <v>1901</v>
      </c>
      <c r="B54">
        <v>1786.6420000000001</v>
      </c>
      <c r="C54">
        <v>1979.2629999999999</v>
      </c>
      <c r="D54">
        <v>46.365000000000002</v>
      </c>
      <c r="E54">
        <v>1893.808</v>
      </c>
      <c r="F54">
        <v>2096.8180000000002</v>
      </c>
      <c r="G54">
        <v>44.545999999999999</v>
      </c>
      <c r="H54">
        <v>1786.6420000000001</v>
      </c>
      <c r="I54">
        <v>1979.2629999999999</v>
      </c>
      <c r="J54">
        <v>46.365000000000002</v>
      </c>
      <c r="N54">
        <f>IFERROR(SUM($B$3:$B54),"")</f>
        <v>38825.233</v>
      </c>
      <c r="O54">
        <f>IFERROR(SUM($C$3:$C54),"")</f>
        <v>42001.519</v>
      </c>
      <c r="P54">
        <f>IFERROR(SUM($D$3:$D54),"")</f>
        <v>556.279</v>
      </c>
      <c r="Q54">
        <f t="shared" si="9"/>
        <v>42557.798000000003</v>
      </c>
      <c r="R54">
        <f t="shared" si="10"/>
        <v>91.229421691413634</v>
      </c>
      <c r="S54">
        <f t="shared" si="11"/>
        <v>98.692885849028173</v>
      </c>
      <c r="T54">
        <f>IFERROR(SUM($E$3:$E54),"")</f>
        <v>40887.223000000005</v>
      </c>
      <c r="U54">
        <f>IFERROR(SUM($F$3:$F54),"")</f>
        <v>44220.195999999996</v>
      </c>
      <c r="V54">
        <f>IFERROR(SUM($G$3:$G54),"")</f>
        <v>400.50799999999992</v>
      </c>
      <c r="W54">
        <f t="shared" si="12"/>
        <v>44620.703999999998</v>
      </c>
      <c r="X54">
        <f t="shared" si="13"/>
        <v>91.632850526069703</v>
      </c>
      <c r="Y54">
        <f t="shared" si="14"/>
        <v>99.102416671866038</v>
      </c>
      <c r="Z54">
        <f>IFERROR(SUM($H$3:$H54),"")</f>
        <v>38825.231999999996</v>
      </c>
      <c r="AA54">
        <f>IFERROR(SUM($I$3:$I54),"")</f>
        <v>42001.519</v>
      </c>
      <c r="AB54">
        <f>IFERROR(SUM($J$3:$J54),"")</f>
        <v>556.279</v>
      </c>
      <c r="AC54">
        <f t="shared" si="15"/>
        <v>42557.798000000003</v>
      </c>
      <c r="AD54">
        <f t="shared" si="16"/>
        <v>91.229419341667992</v>
      </c>
      <c r="AE54">
        <f t="shared" si="17"/>
        <v>98.692885849028173</v>
      </c>
    </row>
    <row r="55" spans="1:31" x14ac:dyDescent="0.35">
      <c r="A55">
        <v>1902</v>
      </c>
      <c r="B55">
        <v>1838.635</v>
      </c>
      <c r="C55">
        <v>2027.4780000000001</v>
      </c>
      <c r="D55">
        <v>49.478000000000002</v>
      </c>
      <c r="E55">
        <v>1947.749</v>
      </c>
      <c r="F55">
        <v>2146.9270000000001</v>
      </c>
      <c r="G55">
        <v>48.182000000000002</v>
      </c>
      <c r="H55">
        <v>1838.635</v>
      </c>
      <c r="I55">
        <v>2027.4780000000001</v>
      </c>
      <c r="J55">
        <v>49.478000000000002</v>
      </c>
      <c r="N55">
        <f>IFERROR(SUM($B$3:$B55),"")</f>
        <v>40663.868000000002</v>
      </c>
      <c r="O55">
        <f>IFERROR(SUM($C$3:$C55),"")</f>
        <v>44028.997000000003</v>
      </c>
      <c r="P55">
        <f>IFERROR(SUM($D$3:$D55),"")</f>
        <v>605.75699999999995</v>
      </c>
      <c r="Q55">
        <f t="shared" si="9"/>
        <v>44634.754000000001</v>
      </c>
      <c r="R55">
        <f t="shared" si="10"/>
        <v>91.103600570981087</v>
      </c>
      <c r="S55">
        <f t="shared" si="11"/>
        <v>98.642857984609932</v>
      </c>
      <c r="T55">
        <f>IFERROR(SUM($E$3:$E55),"")</f>
        <v>42834.972000000009</v>
      </c>
      <c r="U55">
        <f>IFERROR(SUM($F$3:$F55),"")</f>
        <v>46367.123</v>
      </c>
      <c r="V55">
        <f>IFERROR(SUM($G$3:$G55),"")</f>
        <v>448.68999999999994</v>
      </c>
      <c r="W55">
        <f t="shared" si="12"/>
        <v>46815.813000000002</v>
      </c>
      <c r="X55">
        <f t="shared" si="13"/>
        <v>91.496802586767018</v>
      </c>
      <c r="Y55">
        <f t="shared" si="14"/>
        <v>99.041584517607333</v>
      </c>
      <c r="Z55">
        <f>IFERROR(SUM($H$3:$H55),"")</f>
        <v>40663.866999999998</v>
      </c>
      <c r="AA55">
        <f>IFERROR(SUM($I$3:$I55),"")</f>
        <v>44028.997000000003</v>
      </c>
      <c r="AB55">
        <f>IFERROR(SUM($J$3:$J55),"")</f>
        <v>605.75699999999995</v>
      </c>
      <c r="AC55">
        <f t="shared" si="15"/>
        <v>44634.754000000001</v>
      </c>
      <c r="AD55">
        <f t="shared" si="16"/>
        <v>91.103598330574414</v>
      </c>
      <c r="AE55">
        <f t="shared" si="17"/>
        <v>98.642857984609932</v>
      </c>
    </row>
    <row r="56" spans="1:31" x14ac:dyDescent="0.35">
      <c r="A56">
        <v>1903</v>
      </c>
      <c r="B56">
        <v>2018.0139999999999</v>
      </c>
      <c r="C56">
        <v>2210.0970000000002</v>
      </c>
      <c r="D56">
        <v>54.494999999999997</v>
      </c>
      <c r="E56">
        <v>2136.3119999999999</v>
      </c>
      <c r="F56">
        <v>2338.75</v>
      </c>
      <c r="G56">
        <v>54.465000000000003</v>
      </c>
      <c r="H56">
        <v>2018.0139999999999</v>
      </c>
      <c r="I56">
        <v>2210.0970000000002</v>
      </c>
      <c r="J56">
        <v>54.494999999999997</v>
      </c>
      <c r="N56">
        <f>IFERROR(SUM($B$3:$B56),"")</f>
        <v>42681.882000000005</v>
      </c>
      <c r="O56">
        <f>IFERROR(SUM($C$3:$C56),"")</f>
        <v>46239.094000000005</v>
      </c>
      <c r="P56">
        <f>IFERROR(SUM($D$3:$D56),"")</f>
        <v>660.25199999999995</v>
      </c>
      <c r="Q56">
        <f t="shared" si="9"/>
        <v>46899.346000000005</v>
      </c>
      <c r="R56">
        <f t="shared" si="10"/>
        <v>91.007414047948558</v>
      </c>
      <c r="S56">
        <f t="shared" si="11"/>
        <v>98.592193588371146</v>
      </c>
      <c r="T56">
        <f>IFERROR(SUM($E$3:$E56),"")</f>
        <v>44971.284000000007</v>
      </c>
      <c r="U56">
        <f>IFERROR(SUM($F$3:$F56),"")</f>
        <v>48705.873</v>
      </c>
      <c r="V56">
        <f>IFERROR(SUM($G$3:$G56),"")</f>
        <v>503.15499999999997</v>
      </c>
      <c r="W56">
        <f t="shared" si="12"/>
        <v>49209.027999999998</v>
      </c>
      <c r="X56">
        <f t="shared" si="13"/>
        <v>91.388279402714488</v>
      </c>
      <c r="Y56">
        <f t="shared" si="14"/>
        <v>98.977514857639534</v>
      </c>
      <c r="Z56">
        <f>IFERROR(SUM($H$3:$H56),"")</f>
        <v>42681.881000000001</v>
      </c>
      <c r="AA56">
        <f>IFERROR(SUM($I$3:$I56),"")</f>
        <v>46239.094000000005</v>
      </c>
      <c r="AB56">
        <f>IFERROR(SUM($J$3:$J56),"")</f>
        <v>660.25199999999995</v>
      </c>
      <c r="AC56">
        <f t="shared" si="15"/>
        <v>46899.346000000005</v>
      </c>
      <c r="AD56">
        <f t="shared" si="16"/>
        <v>91.007411915722656</v>
      </c>
      <c r="AE56">
        <f t="shared" si="17"/>
        <v>98.592193588371146</v>
      </c>
    </row>
    <row r="57" spans="1:31" x14ac:dyDescent="0.35">
      <c r="A57">
        <v>1904</v>
      </c>
      <c r="B57">
        <v>2029.0329999999999</v>
      </c>
      <c r="C57">
        <v>2230.2370000000001</v>
      </c>
      <c r="D57">
        <v>60.018000000000001</v>
      </c>
      <c r="E57">
        <v>2146.8820000000001</v>
      </c>
      <c r="F57">
        <v>2359.0790000000002</v>
      </c>
      <c r="G57">
        <v>60.863</v>
      </c>
      <c r="H57">
        <v>2029.0329999999999</v>
      </c>
      <c r="I57">
        <v>2230.2370000000001</v>
      </c>
      <c r="J57">
        <v>60.018000000000001</v>
      </c>
      <c r="N57">
        <f>IFERROR(SUM($B$3:$B57),"")</f>
        <v>44710.915000000008</v>
      </c>
      <c r="O57">
        <f>IFERROR(SUM($C$3:$C57),"")</f>
        <v>48469.331000000006</v>
      </c>
      <c r="P57">
        <f>IFERROR(SUM($D$3:$D57),"")</f>
        <v>720.27</v>
      </c>
      <c r="Q57">
        <f t="shared" si="9"/>
        <v>49189.601000000002</v>
      </c>
      <c r="R57">
        <f t="shared" si="10"/>
        <v>90.895055237386472</v>
      </c>
      <c r="S57">
        <f t="shared" si="11"/>
        <v>98.535727094025432</v>
      </c>
      <c r="T57">
        <f>IFERROR(SUM($E$3:$E57),"")</f>
        <v>47118.166000000005</v>
      </c>
      <c r="U57">
        <f>IFERROR(SUM($F$3:$F57),"")</f>
        <v>51064.951999999997</v>
      </c>
      <c r="V57">
        <f>IFERROR(SUM($G$3:$G57),"")</f>
        <v>564.01800000000003</v>
      </c>
      <c r="W57">
        <f t="shared" si="12"/>
        <v>51628.97</v>
      </c>
      <c r="X57">
        <f t="shared" si="13"/>
        <v>91.263037011972159</v>
      </c>
      <c r="Y57">
        <f t="shared" si="14"/>
        <v>98.907555196239628</v>
      </c>
      <c r="Z57">
        <f>IFERROR(SUM($H$3:$H57),"")</f>
        <v>44710.914000000004</v>
      </c>
      <c r="AA57">
        <f>IFERROR(SUM($I$3:$I57),"")</f>
        <v>48469.331000000006</v>
      </c>
      <c r="AB57">
        <f>IFERROR(SUM($J$3:$J57),"")</f>
        <v>720.27</v>
      </c>
      <c r="AC57">
        <f t="shared" si="15"/>
        <v>49189.601000000002</v>
      </c>
      <c r="AD57">
        <f t="shared" si="16"/>
        <v>90.895053204436451</v>
      </c>
      <c r="AE57">
        <f t="shared" si="17"/>
        <v>98.535727094025432</v>
      </c>
    </row>
    <row r="58" spans="1:31" x14ac:dyDescent="0.35">
      <c r="A58">
        <v>1905</v>
      </c>
      <c r="B58">
        <v>2175.154</v>
      </c>
      <c r="C58">
        <v>2376.6619999999998</v>
      </c>
      <c r="D58">
        <v>63.908999999999999</v>
      </c>
      <c r="E58">
        <v>2299.511</v>
      </c>
      <c r="F58">
        <v>2511.4989999999998</v>
      </c>
      <c r="G58">
        <v>63.024000000000001</v>
      </c>
      <c r="H58">
        <v>2175.154</v>
      </c>
      <c r="I58">
        <v>2376.6619999999998</v>
      </c>
      <c r="J58">
        <v>63.908999999999999</v>
      </c>
      <c r="N58">
        <f>IFERROR(SUM($B$3:$B58),"")</f>
        <v>46886.06900000001</v>
      </c>
      <c r="O58">
        <f>IFERROR(SUM($C$3:$C58),"")</f>
        <v>50845.993000000002</v>
      </c>
      <c r="P58">
        <f>IFERROR(SUM($D$3:$D58),"")</f>
        <v>784.17899999999997</v>
      </c>
      <c r="Q58">
        <f t="shared" si="9"/>
        <v>51630.171999999999</v>
      </c>
      <c r="R58">
        <f t="shared" si="10"/>
        <v>90.811374790694117</v>
      </c>
      <c r="S58">
        <f t="shared" si="11"/>
        <v>98.481161364327832</v>
      </c>
      <c r="T58">
        <f>IFERROR(SUM($E$3:$E58),"")</f>
        <v>49417.677000000003</v>
      </c>
      <c r="U58">
        <f>IFERROR(SUM($F$3:$F58),"")</f>
        <v>53576.451000000001</v>
      </c>
      <c r="V58">
        <f>IFERROR(SUM($G$3:$G58),"")</f>
        <v>627.04200000000003</v>
      </c>
      <c r="W58">
        <f t="shared" si="12"/>
        <v>54203.493000000002</v>
      </c>
      <c r="X58">
        <f t="shared" si="13"/>
        <v>91.170650201454734</v>
      </c>
      <c r="Y58">
        <f t="shared" si="14"/>
        <v>98.843170494565726</v>
      </c>
      <c r="Z58">
        <f>IFERROR(SUM($H$3:$H58),"")</f>
        <v>46886.068000000007</v>
      </c>
      <c r="AA58">
        <f>IFERROR(SUM($I$3:$I58),"")</f>
        <v>50845.993000000002</v>
      </c>
      <c r="AB58">
        <f>IFERROR(SUM($J$3:$J58),"")</f>
        <v>784.17899999999997</v>
      </c>
      <c r="AC58">
        <f t="shared" si="15"/>
        <v>51630.171999999999</v>
      </c>
      <c r="AD58">
        <f t="shared" si="16"/>
        <v>90.811372853842144</v>
      </c>
      <c r="AE58">
        <f t="shared" si="17"/>
        <v>98.481161364327832</v>
      </c>
    </row>
    <row r="59" spans="1:31" x14ac:dyDescent="0.35">
      <c r="A59">
        <v>1906</v>
      </c>
      <c r="B59">
        <v>2257.6930000000002</v>
      </c>
      <c r="C59">
        <v>2475.7249999999999</v>
      </c>
      <c r="D59">
        <v>73.253</v>
      </c>
      <c r="E59">
        <v>2387.1790000000001</v>
      </c>
      <c r="F59">
        <v>2616.4859999999999</v>
      </c>
      <c r="G59">
        <v>88.668000000000006</v>
      </c>
      <c r="H59">
        <v>2257.6930000000002</v>
      </c>
      <c r="I59">
        <v>2475.7249999999999</v>
      </c>
      <c r="J59">
        <v>73.253</v>
      </c>
      <c r="N59">
        <f>IFERROR(SUM($B$3:$B59),"")</f>
        <v>49143.76200000001</v>
      </c>
      <c r="O59">
        <f>IFERROR(SUM($C$3:$C59),"")</f>
        <v>53321.718000000001</v>
      </c>
      <c r="P59">
        <f>IFERROR(SUM($D$3:$D59),"")</f>
        <v>857.43200000000002</v>
      </c>
      <c r="Q59">
        <f t="shared" si="9"/>
        <v>54179.15</v>
      </c>
      <c r="R59">
        <f t="shared" si="10"/>
        <v>90.706040977017935</v>
      </c>
      <c r="S59">
        <f t="shared" si="11"/>
        <v>98.41741334074085</v>
      </c>
      <c r="T59">
        <f>IFERROR(SUM($E$3:$E59),"")</f>
        <v>51804.856</v>
      </c>
      <c r="U59">
        <f>IFERROR(SUM($F$3:$F59),"")</f>
        <v>56192.936999999998</v>
      </c>
      <c r="V59">
        <f>IFERROR(SUM($G$3:$G59),"")</f>
        <v>715.71</v>
      </c>
      <c r="W59">
        <f t="shared" si="12"/>
        <v>56908.646999999997</v>
      </c>
      <c r="X59">
        <f t="shared" si="13"/>
        <v>91.031607200220392</v>
      </c>
      <c r="Y59">
        <f t="shared" si="14"/>
        <v>98.742352809758415</v>
      </c>
      <c r="Z59">
        <f>IFERROR(SUM($H$3:$H59),"")</f>
        <v>49143.761000000006</v>
      </c>
      <c r="AA59">
        <f>IFERROR(SUM($I$3:$I59),"")</f>
        <v>53321.718000000001</v>
      </c>
      <c r="AB59">
        <f>IFERROR(SUM($J$3:$J59),"")</f>
        <v>857.43200000000002</v>
      </c>
      <c r="AC59">
        <f t="shared" si="15"/>
        <v>54179.15</v>
      </c>
      <c r="AD59">
        <f t="shared" si="16"/>
        <v>90.706039131289444</v>
      </c>
      <c r="AE59">
        <f t="shared" si="17"/>
        <v>98.41741334074085</v>
      </c>
    </row>
    <row r="60" spans="1:31" x14ac:dyDescent="0.35">
      <c r="A60">
        <v>1907</v>
      </c>
      <c r="B60">
        <v>2563.8319999999999</v>
      </c>
      <c r="C60">
        <v>2803.0169999999998</v>
      </c>
      <c r="D60">
        <v>101.932</v>
      </c>
      <c r="E60">
        <v>2714.1950000000002</v>
      </c>
      <c r="F60">
        <v>2965.933</v>
      </c>
      <c r="G60">
        <v>95.777000000000001</v>
      </c>
      <c r="H60">
        <v>2563.8319999999999</v>
      </c>
      <c r="I60">
        <v>2803.0169999999998</v>
      </c>
      <c r="J60">
        <v>101.932</v>
      </c>
      <c r="N60">
        <f>IFERROR(SUM($B$3:$B60),"")</f>
        <v>51707.594000000012</v>
      </c>
      <c r="O60">
        <f>IFERROR(SUM($C$3:$C60),"")</f>
        <v>56124.735000000001</v>
      </c>
      <c r="P60">
        <f>IFERROR(SUM($D$3:$D60),"")</f>
        <v>959.36400000000003</v>
      </c>
      <c r="Q60">
        <f t="shared" si="9"/>
        <v>57084.099000000002</v>
      </c>
      <c r="R60">
        <f t="shared" si="10"/>
        <v>90.581431442055361</v>
      </c>
      <c r="S60">
        <f t="shared" si="11"/>
        <v>98.319384878090133</v>
      </c>
      <c r="T60">
        <f>IFERROR(SUM($E$3:$E60),"")</f>
        <v>54519.050999999999</v>
      </c>
      <c r="U60">
        <f>IFERROR(SUM($F$3:$F60),"")</f>
        <v>59158.869999999995</v>
      </c>
      <c r="V60">
        <f>IFERROR(SUM($G$3:$G60),"")</f>
        <v>811.48700000000008</v>
      </c>
      <c r="W60">
        <f t="shared" si="12"/>
        <v>59970.356999999996</v>
      </c>
      <c r="X60">
        <f t="shared" si="13"/>
        <v>90.909999085047971</v>
      </c>
      <c r="Y60">
        <f t="shared" si="14"/>
        <v>98.646853144462682</v>
      </c>
      <c r="Z60">
        <f>IFERROR(SUM($H$3:$H60),"")</f>
        <v>51707.593000000008</v>
      </c>
      <c r="AA60">
        <f>IFERROR(SUM($I$3:$I60),"")</f>
        <v>56124.735000000001</v>
      </c>
      <c r="AB60">
        <f>IFERROR(SUM($J$3:$J60),"")</f>
        <v>959.36400000000003</v>
      </c>
      <c r="AC60">
        <f t="shared" si="15"/>
        <v>57084.099000000002</v>
      </c>
      <c r="AD60">
        <f t="shared" si="16"/>
        <v>90.581429690254041</v>
      </c>
      <c r="AE60">
        <f t="shared" si="17"/>
        <v>98.319384878090133</v>
      </c>
    </row>
    <row r="61" spans="1:31" x14ac:dyDescent="0.35">
      <c r="A61">
        <v>1908</v>
      </c>
      <c r="B61">
        <v>2433.6660000000002</v>
      </c>
      <c r="C61">
        <v>2680.5859999999998</v>
      </c>
      <c r="D61">
        <v>109.809</v>
      </c>
      <c r="E61">
        <v>2586.4549999999999</v>
      </c>
      <c r="F61">
        <v>2846.47</v>
      </c>
      <c r="G61">
        <v>110.419</v>
      </c>
      <c r="H61">
        <v>2433.6660000000002</v>
      </c>
      <c r="I61">
        <v>2680.5859999999998</v>
      </c>
      <c r="J61">
        <v>109.809</v>
      </c>
      <c r="N61">
        <f>IFERROR(SUM($B$3:$B61),"")</f>
        <v>54141.260000000009</v>
      </c>
      <c r="O61">
        <f>IFERROR(SUM($C$3:$C61),"")</f>
        <v>58805.321000000004</v>
      </c>
      <c r="P61">
        <f>IFERROR(SUM($D$3:$D61),"")</f>
        <v>1069.173</v>
      </c>
      <c r="Q61">
        <f t="shared" si="9"/>
        <v>59874.494000000006</v>
      </c>
      <c r="R61">
        <f t="shared" si="10"/>
        <v>90.424580456579733</v>
      </c>
      <c r="S61">
        <f t="shared" si="11"/>
        <v>98.214309752663638</v>
      </c>
      <c r="T61">
        <f>IFERROR(SUM($E$3:$E61),"")</f>
        <v>57105.506000000001</v>
      </c>
      <c r="U61">
        <f>IFERROR(SUM($F$3:$F61),"")</f>
        <v>62005.34</v>
      </c>
      <c r="V61">
        <f>IFERROR(SUM($G$3:$G61),"")</f>
        <v>921.90600000000006</v>
      </c>
      <c r="W61">
        <f t="shared" si="12"/>
        <v>62927.245999999999</v>
      </c>
      <c r="X61">
        <f t="shared" si="13"/>
        <v>90.748458942569968</v>
      </c>
      <c r="Y61">
        <f t="shared" si="14"/>
        <v>98.534965283559359</v>
      </c>
      <c r="Z61">
        <f>IFERROR(SUM($H$3:$H61),"")</f>
        <v>54141.259000000005</v>
      </c>
      <c r="AA61">
        <f>IFERROR(SUM($I$3:$I61),"")</f>
        <v>58805.321000000004</v>
      </c>
      <c r="AB61">
        <f>IFERROR(SUM($J$3:$J61),"")</f>
        <v>1069.173</v>
      </c>
      <c r="AC61">
        <f t="shared" si="15"/>
        <v>59874.494000000006</v>
      </c>
      <c r="AD61">
        <f t="shared" si="16"/>
        <v>90.424578786419474</v>
      </c>
      <c r="AE61">
        <f t="shared" si="17"/>
        <v>98.214309752663638</v>
      </c>
    </row>
    <row r="62" spans="1:31" x14ac:dyDescent="0.35">
      <c r="A62">
        <v>1909</v>
      </c>
      <c r="B62">
        <v>2537.627</v>
      </c>
      <c r="C62">
        <v>2792.9850000000001</v>
      </c>
      <c r="D62">
        <v>114.126</v>
      </c>
      <c r="E62">
        <v>2688.9609999999998</v>
      </c>
      <c r="F62">
        <v>2957.8339999999998</v>
      </c>
      <c r="G62">
        <v>110.2</v>
      </c>
      <c r="H62">
        <v>2537.6280000000002</v>
      </c>
      <c r="I62">
        <v>2792.9859999999999</v>
      </c>
      <c r="J62">
        <v>114.126</v>
      </c>
      <c r="N62">
        <f>IFERROR(SUM($B$3:$B62),"")</f>
        <v>56678.88700000001</v>
      </c>
      <c r="O62">
        <f>IFERROR(SUM($C$3:$C62),"")</f>
        <v>61598.306000000004</v>
      </c>
      <c r="P62">
        <f>IFERROR(SUM($D$3:$D62),"")</f>
        <v>1183.299</v>
      </c>
      <c r="Q62">
        <f t="shared" si="9"/>
        <v>62781.605000000003</v>
      </c>
      <c r="R62">
        <f t="shared" si="10"/>
        <v>90.279448892713091</v>
      </c>
      <c r="S62">
        <f t="shared" si="11"/>
        <v>98.115213843290562</v>
      </c>
      <c r="T62">
        <f>IFERROR(SUM($E$3:$E62),"")</f>
        <v>59794.467000000004</v>
      </c>
      <c r="U62">
        <f>IFERROR(SUM($F$3:$F62),"")</f>
        <v>64963.173999999999</v>
      </c>
      <c r="V62">
        <f>IFERROR(SUM($G$3:$G62),"")</f>
        <v>1032.106</v>
      </c>
      <c r="W62">
        <f t="shared" si="12"/>
        <v>65995.28</v>
      </c>
      <c r="X62">
        <f t="shared" si="13"/>
        <v>90.604156842731783</v>
      </c>
      <c r="Y62">
        <f t="shared" si="14"/>
        <v>98.436091187127317</v>
      </c>
      <c r="Z62">
        <f>IFERROR(SUM($H$3:$H62),"")</f>
        <v>56678.887000000002</v>
      </c>
      <c r="AA62">
        <f>IFERROR(SUM($I$3:$I62),"")</f>
        <v>61598.307000000001</v>
      </c>
      <c r="AB62">
        <f>IFERROR(SUM($J$3:$J62),"")</f>
        <v>1183.299</v>
      </c>
      <c r="AC62">
        <f t="shared" si="15"/>
        <v>62781.606</v>
      </c>
      <c r="AD62">
        <f t="shared" si="16"/>
        <v>90.279447454721065</v>
      </c>
      <c r="AE62">
        <f t="shared" si="17"/>
        <v>98.115213873311873</v>
      </c>
    </row>
    <row r="63" spans="1:31" x14ac:dyDescent="0.35">
      <c r="A63">
        <v>1910</v>
      </c>
      <c r="B63">
        <v>2678.8359999999998</v>
      </c>
      <c r="C63">
        <v>2930.7280000000001</v>
      </c>
      <c r="D63">
        <v>119.545</v>
      </c>
      <c r="E63">
        <v>2838.2330000000002</v>
      </c>
      <c r="F63">
        <v>3103.3330000000001</v>
      </c>
      <c r="G63">
        <v>115.015</v>
      </c>
      <c r="H63">
        <v>2678.8359999999998</v>
      </c>
      <c r="I63">
        <v>2930.7280000000001</v>
      </c>
      <c r="J63">
        <v>119.545</v>
      </c>
      <c r="N63">
        <f>IFERROR(SUM($B$3:$B63),"")</f>
        <v>59357.723000000013</v>
      </c>
      <c r="O63">
        <f>IFERROR(SUM($C$3:$C63),"")</f>
        <v>64529.034000000007</v>
      </c>
      <c r="P63">
        <f>IFERROR(SUM($D$3:$D63),"")</f>
        <v>1302.8440000000001</v>
      </c>
      <c r="Q63">
        <f t="shared" si="9"/>
        <v>65831.878000000012</v>
      </c>
      <c r="R63">
        <f t="shared" si="10"/>
        <v>90.165623104356825</v>
      </c>
      <c r="S63">
        <f t="shared" si="11"/>
        <v>98.020952706225387</v>
      </c>
      <c r="T63">
        <f>IFERROR(SUM($E$3:$E63),"")</f>
        <v>62632.700000000004</v>
      </c>
      <c r="U63">
        <f>IFERROR(SUM($F$3:$F63),"")</f>
        <v>68066.506999999998</v>
      </c>
      <c r="V63">
        <f>IFERROR(SUM($G$3:$G63),"")</f>
        <v>1147.1210000000001</v>
      </c>
      <c r="W63">
        <f t="shared" si="12"/>
        <v>69213.627999999997</v>
      </c>
      <c r="X63">
        <f t="shared" si="13"/>
        <v>90.491860938137805</v>
      </c>
      <c r="Y63">
        <f t="shared" si="14"/>
        <v>98.342637088753676</v>
      </c>
      <c r="Z63">
        <f>IFERROR(SUM($H$3:$H63),"")</f>
        <v>59357.723000000005</v>
      </c>
      <c r="AA63">
        <f>IFERROR(SUM($I$3:$I63),"")</f>
        <v>64529.035000000003</v>
      </c>
      <c r="AB63">
        <f>IFERROR(SUM($J$3:$J63),"")</f>
        <v>1302.8440000000001</v>
      </c>
      <c r="AC63">
        <f t="shared" si="15"/>
        <v>65831.879000000001</v>
      </c>
      <c r="AD63">
        <f t="shared" si="16"/>
        <v>90.16562173472218</v>
      </c>
      <c r="AE63">
        <f t="shared" si="17"/>
        <v>98.020952736287541</v>
      </c>
    </row>
    <row r="64" spans="1:31" x14ac:dyDescent="0.35">
      <c r="A64">
        <v>1911</v>
      </c>
      <c r="B64">
        <v>2706.087</v>
      </c>
      <c r="C64">
        <v>2968.7</v>
      </c>
      <c r="D64">
        <v>128.50700000000001</v>
      </c>
      <c r="E64">
        <v>2865.3020000000001</v>
      </c>
      <c r="F64">
        <v>3141.2289999999998</v>
      </c>
      <c r="G64">
        <v>132.90100000000001</v>
      </c>
      <c r="H64">
        <v>2706.087</v>
      </c>
      <c r="I64">
        <v>2968.7</v>
      </c>
      <c r="J64">
        <v>128.50700000000001</v>
      </c>
      <c r="N64">
        <f>IFERROR(SUM($B$3:$B64),"")</f>
        <v>62063.810000000012</v>
      </c>
      <c r="O64">
        <f>IFERROR(SUM($C$3:$C64),"")</f>
        <v>67497.734000000011</v>
      </c>
      <c r="P64">
        <f>IFERROR(SUM($D$3:$D64),"")</f>
        <v>1431.3510000000001</v>
      </c>
      <c r="Q64">
        <f t="shared" si="9"/>
        <v>68929.085000000006</v>
      </c>
      <c r="R64">
        <f t="shared" si="10"/>
        <v>90.040089753113662</v>
      </c>
      <c r="S64">
        <f t="shared" si="11"/>
        <v>97.923444072991842</v>
      </c>
      <c r="T64">
        <f>IFERROR(SUM($E$3:$E64),"")</f>
        <v>65498.002000000008</v>
      </c>
      <c r="U64">
        <f>IFERROR(SUM($F$3:$F64),"")</f>
        <v>71207.736000000004</v>
      </c>
      <c r="V64">
        <f>IFERROR(SUM($G$3:$G64),"")</f>
        <v>1280.0220000000002</v>
      </c>
      <c r="W64">
        <f t="shared" si="12"/>
        <v>72487.758000000002</v>
      </c>
      <c r="X64">
        <f t="shared" si="13"/>
        <v>90.357329026509561</v>
      </c>
      <c r="Y64">
        <f t="shared" si="14"/>
        <v>98.234154241603122</v>
      </c>
      <c r="Z64">
        <f>IFERROR(SUM($H$3:$H64),"")</f>
        <v>62063.810000000005</v>
      </c>
      <c r="AA64">
        <f>IFERROR(SUM($I$3:$I64),"")</f>
        <v>67497.735000000001</v>
      </c>
      <c r="AB64">
        <f>IFERROR(SUM($J$3:$J64),"")</f>
        <v>1431.3510000000001</v>
      </c>
      <c r="AC64">
        <f t="shared" si="15"/>
        <v>68929.085999999996</v>
      </c>
      <c r="AD64">
        <f t="shared" si="16"/>
        <v>90.040088446842333</v>
      </c>
      <c r="AE64">
        <f t="shared" si="17"/>
        <v>97.923444103117802</v>
      </c>
    </row>
    <row r="65" spans="1:31" x14ac:dyDescent="0.35">
      <c r="A65">
        <v>1912</v>
      </c>
      <c r="B65">
        <v>2836.694</v>
      </c>
      <c r="C65">
        <v>3125.9520000000002</v>
      </c>
      <c r="D65">
        <v>127.977</v>
      </c>
      <c r="E65">
        <v>3009.4659999999999</v>
      </c>
      <c r="F65">
        <v>3313.123</v>
      </c>
      <c r="G65">
        <v>122.404</v>
      </c>
      <c r="H65">
        <v>2836.694</v>
      </c>
      <c r="I65">
        <v>3125.9520000000002</v>
      </c>
      <c r="J65">
        <v>127.977</v>
      </c>
      <c r="N65">
        <f>IFERROR(SUM($B$3:$B65),"")</f>
        <v>64900.504000000015</v>
      </c>
      <c r="O65">
        <f>IFERROR(SUM($C$3:$C65),"")</f>
        <v>70623.686000000016</v>
      </c>
      <c r="P65">
        <f>IFERROR(SUM($D$3:$D65),"")</f>
        <v>1559.3280000000002</v>
      </c>
      <c r="Q65">
        <f t="shared" si="9"/>
        <v>72183.01400000001</v>
      </c>
      <c r="R65">
        <f t="shared" si="10"/>
        <v>89.911047493805128</v>
      </c>
      <c r="S65">
        <f t="shared" si="11"/>
        <v>97.839757702553129</v>
      </c>
      <c r="T65">
        <f>IFERROR(SUM($E$3:$E65),"")</f>
        <v>68507.468000000008</v>
      </c>
      <c r="U65">
        <f>IFERROR(SUM($F$3:$F65),"")</f>
        <v>74520.859000000011</v>
      </c>
      <c r="V65">
        <f>IFERROR(SUM($G$3:$G65),"")</f>
        <v>1402.4260000000002</v>
      </c>
      <c r="W65">
        <f t="shared" si="12"/>
        <v>75923.285000000018</v>
      </c>
      <c r="X65">
        <f t="shared" si="13"/>
        <v>90.232486647541648</v>
      </c>
      <c r="Y65">
        <f t="shared" si="14"/>
        <v>98.152838091765915</v>
      </c>
      <c r="Z65">
        <f>IFERROR(SUM($H$3:$H65),"")</f>
        <v>64900.504000000008</v>
      </c>
      <c r="AA65">
        <f>IFERROR(SUM($I$3:$I65),"")</f>
        <v>70623.687000000005</v>
      </c>
      <c r="AB65">
        <f>IFERROR(SUM($J$3:$J65),"")</f>
        <v>1559.3280000000002</v>
      </c>
      <c r="AC65">
        <f t="shared" si="15"/>
        <v>72183.014999999999</v>
      </c>
      <c r="AD65">
        <f t="shared" si="16"/>
        <v>89.911046248206745</v>
      </c>
      <c r="AE65">
        <f t="shared" si="17"/>
        <v>97.839757732480422</v>
      </c>
    </row>
    <row r="66" spans="1:31" x14ac:dyDescent="0.35">
      <c r="A66">
        <v>1913</v>
      </c>
      <c r="B66">
        <v>3068.6469999999999</v>
      </c>
      <c r="C66">
        <v>3376.7280000000001</v>
      </c>
      <c r="D66">
        <v>148.11799999999999</v>
      </c>
      <c r="E66">
        <v>3253.4250000000002</v>
      </c>
      <c r="F66">
        <v>3576.5610000000001</v>
      </c>
      <c r="G66">
        <v>138.119</v>
      </c>
      <c r="H66">
        <v>3068.6480000000001</v>
      </c>
      <c r="I66">
        <v>3376.7280000000001</v>
      </c>
      <c r="J66">
        <v>148.11799999999999</v>
      </c>
      <c r="N66">
        <f>IFERROR(SUM($B$3:$B66),"")</f>
        <v>67969.151000000013</v>
      </c>
      <c r="O66">
        <f>IFERROR(SUM($C$3:$C66),"")</f>
        <v>74000.414000000019</v>
      </c>
      <c r="P66">
        <f>IFERROR(SUM($D$3:$D66),"")</f>
        <v>1707.4460000000001</v>
      </c>
      <c r="Q66">
        <f t="shared" si="9"/>
        <v>75707.860000000015</v>
      </c>
      <c r="R66">
        <f t="shared" si="10"/>
        <v>89.77819608162217</v>
      </c>
      <c r="S66">
        <f t="shared" si="11"/>
        <v>97.744691238135644</v>
      </c>
      <c r="T66">
        <f>IFERROR(SUM($E$3:$E66),"")</f>
        <v>71760.893000000011</v>
      </c>
      <c r="U66">
        <f>IFERROR(SUM($F$3:$F66),"")</f>
        <v>78097.420000000013</v>
      </c>
      <c r="V66">
        <f>IFERROR(SUM($G$3:$G66),"")</f>
        <v>1540.5450000000001</v>
      </c>
      <c r="W66">
        <f t="shared" si="12"/>
        <v>79637.965000000011</v>
      </c>
      <c r="X66">
        <f t="shared" si="13"/>
        <v>90.108898438075357</v>
      </c>
      <c r="Y66">
        <f t="shared" si="14"/>
        <v>98.065564583424504</v>
      </c>
      <c r="Z66">
        <f>IFERROR(SUM($H$3:$H66),"")</f>
        <v>67969.152000000002</v>
      </c>
      <c r="AA66">
        <f>IFERROR(SUM($I$3:$I66),"")</f>
        <v>74000.415000000008</v>
      </c>
      <c r="AB66">
        <f>IFERROR(SUM($J$3:$J66),"")</f>
        <v>1707.4460000000001</v>
      </c>
      <c r="AC66">
        <f t="shared" si="15"/>
        <v>75707.861000000004</v>
      </c>
      <c r="AD66">
        <f t="shared" si="16"/>
        <v>89.778196216638577</v>
      </c>
      <c r="AE66">
        <f t="shared" si="17"/>
        <v>97.744691267925276</v>
      </c>
    </row>
    <row r="67" spans="1:31" x14ac:dyDescent="0.35">
      <c r="A67">
        <v>1914</v>
      </c>
      <c r="B67">
        <v>2787.6089999999999</v>
      </c>
      <c r="C67">
        <v>3056.8470000000002</v>
      </c>
      <c r="D67">
        <v>140.90299999999999</v>
      </c>
      <c r="E67">
        <v>2956.114</v>
      </c>
      <c r="F67">
        <v>3239.6329999999998</v>
      </c>
      <c r="G67">
        <v>135.32900000000001</v>
      </c>
      <c r="H67">
        <v>2787.6089999999999</v>
      </c>
      <c r="I67">
        <v>3056.8470000000002</v>
      </c>
      <c r="J67">
        <v>140.90299999999999</v>
      </c>
      <c r="N67">
        <f>IFERROR(SUM($B$3:$B67),"")</f>
        <v>70756.760000000009</v>
      </c>
      <c r="O67">
        <f>IFERROR(SUM($C$3:$C67),"")</f>
        <v>77057.261000000013</v>
      </c>
      <c r="P67">
        <f>IFERROR(SUM($D$3:$D67),"")</f>
        <v>1848.3490000000002</v>
      </c>
      <c r="Q67">
        <f t="shared" ref="Q67:Q98" si="18">IFERROR(O67+P67,"")</f>
        <v>78905.610000000015</v>
      </c>
      <c r="R67">
        <f t="shared" ref="R67:R98" si="19">IFERROR(N67/Q67*100,NA())</f>
        <v>89.672660790531879</v>
      </c>
      <c r="S67">
        <f t="shared" ref="S67:S98" si="20">IFERROR(O67/Q67*100,NA())</f>
        <v>97.657518901381025</v>
      </c>
      <c r="T67">
        <f>IFERROR(SUM($E$3:$E67),"")</f>
        <v>74717.007000000012</v>
      </c>
      <c r="U67">
        <f>IFERROR(SUM($F$3:$F67),"")</f>
        <v>81337.053000000014</v>
      </c>
      <c r="V67">
        <f>IFERROR(SUM($G$3:$G67),"")</f>
        <v>1675.874</v>
      </c>
      <c r="W67">
        <f t="shared" ref="W67:W98" si="21">IFERROR(U67+V67,"")</f>
        <v>83012.927000000011</v>
      </c>
      <c r="X67">
        <f t="shared" ref="X67:X98" si="22">IFERROR(T67/W67*100,NA())</f>
        <v>90.006472124516222</v>
      </c>
      <c r="Y67">
        <f t="shared" ref="Y67:Y98" si="23">IFERROR(U67/W67*100,NA())</f>
        <v>97.981189122508596</v>
      </c>
      <c r="Z67">
        <f>IFERROR(SUM($H$3:$H67),"")</f>
        <v>70756.760999999999</v>
      </c>
      <c r="AA67">
        <f>IFERROR(SUM($I$3:$I67),"")</f>
        <v>77057.262000000002</v>
      </c>
      <c r="AB67">
        <f>IFERROR(SUM($J$3:$J67),"")</f>
        <v>1848.3490000000002</v>
      </c>
      <c r="AC67">
        <f t="shared" ref="AC67:AC98" si="24">IFERROR(AA67+AB67,"")</f>
        <v>78905.611000000004</v>
      </c>
      <c r="AD67">
        <f t="shared" ref="AD67:AD98" si="25">IFERROR(Z67/AC67*100,NA())</f>
        <v>89.672660921414064</v>
      </c>
      <c r="AE67">
        <f t="shared" ref="AE67:AE98" si="26">IFERROR(AA67/AC67*100,NA())</f>
        <v>97.657518931068154</v>
      </c>
    </row>
    <row r="68" spans="1:31" x14ac:dyDescent="0.35">
      <c r="A68">
        <v>1915</v>
      </c>
      <c r="B68">
        <v>2751.989</v>
      </c>
      <c r="C68">
        <v>3009.4760000000001</v>
      </c>
      <c r="D68">
        <v>138.554</v>
      </c>
      <c r="E68">
        <v>2915.5610000000001</v>
      </c>
      <c r="F68">
        <v>3186.6819999999998</v>
      </c>
      <c r="G68">
        <v>138.41300000000001</v>
      </c>
      <c r="H68">
        <v>2751.989</v>
      </c>
      <c r="I68">
        <v>3009.4760000000001</v>
      </c>
      <c r="J68">
        <v>138.554</v>
      </c>
      <c r="N68">
        <f>IFERROR(SUM($B$3:$B68),"")</f>
        <v>73508.749000000011</v>
      </c>
      <c r="O68">
        <f>IFERROR(SUM($C$3:$C68),"")</f>
        <v>80066.737000000008</v>
      </c>
      <c r="P68">
        <f>IFERROR(SUM($D$3:$D68),"")</f>
        <v>1986.9030000000002</v>
      </c>
      <c r="Q68">
        <f t="shared" si="18"/>
        <v>82053.640000000014</v>
      </c>
      <c r="R68">
        <f t="shared" si="19"/>
        <v>89.586213359943571</v>
      </c>
      <c r="S68">
        <f t="shared" si="20"/>
        <v>97.578531555699414</v>
      </c>
      <c r="T68">
        <f>IFERROR(SUM($E$3:$E68),"")</f>
        <v>77632.568000000014</v>
      </c>
      <c r="U68">
        <f>IFERROR(SUM($F$3:$F68),"")</f>
        <v>84523.735000000015</v>
      </c>
      <c r="V68">
        <f>IFERROR(SUM($G$3:$G68),"")</f>
        <v>1814.287</v>
      </c>
      <c r="W68">
        <f t="shared" si="21"/>
        <v>86338.022000000012</v>
      </c>
      <c r="X68">
        <f t="shared" si="22"/>
        <v>89.917010144151789</v>
      </c>
      <c r="Y68">
        <f t="shared" si="23"/>
        <v>97.898623389820074</v>
      </c>
      <c r="Z68">
        <f>IFERROR(SUM($H$3:$H68),"")</f>
        <v>73508.75</v>
      </c>
      <c r="AA68">
        <f>IFERROR(SUM($I$3:$I68),"")</f>
        <v>80066.737999999998</v>
      </c>
      <c r="AB68">
        <f>IFERROR(SUM($J$3:$J68),"")</f>
        <v>1986.9030000000002</v>
      </c>
      <c r="AC68">
        <f t="shared" si="24"/>
        <v>82053.641000000003</v>
      </c>
      <c r="AD68">
        <f t="shared" si="25"/>
        <v>89.586213486857943</v>
      </c>
      <c r="AE68">
        <f t="shared" si="26"/>
        <v>97.5785315852102</v>
      </c>
    </row>
    <row r="69" spans="1:31" x14ac:dyDescent="0.35">
      <c r="A69">
        <v>1916</v>
      </c>
      <c r="B69">
        <v>2969.3020000000001</v>
      </c>
      <c r="C69">
        <v>3247.779</v>
      </c>
      <c r="D69">
        <v>152.453</v>
      </c>
      <c r="E69">
        <v>3134.4830000000002</v>
      </c>
      <c r="F69">
        <v>3427.8609999999999</v>
      </c>
      <c r="G69">
        <v>148.64699999999999</v>
      </c>
      <c r="H69">
        <v>2969.3020000000001</v>
      </c>
      <c r="I69">
        <v>3247.779</v>
      </c>
      <c r="J69">
        <v>152.453</v>
      </c>
      <c r="N69">
        <f>IFERROR(SUM($B$3:$B69),"")</f>
        <v>76478.051000000007</v>
      </c>
      <c r="O69">
        <f>IFERROR(SUM($C$3:$C69),"")</f>
        <v>83314.516000000003</v>
      </c>
      <c r="P69">
        <f>IFERROR(SUM($D$3:$D69),"")</f>
        <v>2139.3560000000002</v>
      </c>
      <c r="Q69">
        <f t="shared" si="18"/>
        <v>85453.872000000003</v>
      </c>
      <c r="R69">
        <f t="shared" si="19"/>
        <v>89.496296902731345</v>
      </c>
      <c r="S69">
        <f t="shared" si="20"/>
        <v>97.496478567992796</v>
      </c>
      <c r="T69">
        <f>IFERROR(SUM($E$3:$E69),"")</f>
        <v>80767.051000000007</v>
      </c>
      <c r="U69">
        <f>IFERROR(SUM($F$3:$F69),"")</f>
        <v>87951.59600000002</v>
      </c>
      <c r="V69">
        <f>IFERROR(SUM($G$3:$G69),"")</f>
        <v>1962.934</v>
      </c>
      <c r="W69">
        <f t="shared" si="21"/>
        <v>89914.530000000013</v>
      </c>
      <c r="X69">
        <f t="shared" si="22"/>
        <v>89.826472984955814</v>
      </c>
      <c r="Y69">
        <f t="shared" si="23"/>
        <v>97.816888994470645</v>
      </c>
      <c r="Z69">
        <f>IFERROR(SUM($H$3:$H69),"")</f>
        <v>76478.051999999996</v>
      </c>
      <c r="AA69">
        <f>IFERROR(SUM($I$3:$I69),"")</f>
        <v>83314.516999999993</v>
      </c>
      <c r="AB69">
        <f>IFERROR(SUM($J$3:$J69),"")</f>
        <v>2139.3560000000002</v>
      </c>
      <c r="AC69">
        <f t="shared" si="24"/>
        <v>85453.872999999992</v>
      </c>
      <c r="AD69">
        <f t="shared" si="25"/>
        <v>89.496297025647991</v>
      </c>
      <c r="AE69">
        <f t="shared" si="26"/>
        <v>97.496478597289553</v>
      </c>
    </row>
    <row r="70" spans="1:31" x14ac:dyDescent="0.35">
      <c r="A70">
        <v>1917</v>
      </c>
      <c r="B70">
        <v>3111.7530000000002</v>
      </c>
      <c r="C70">
        <v>3390.8069999999998</v>
      </c>
      <c r="D70">
        <v>165.691</v>
      </c>
      <c r="E70">
        <v>3257.07</v>
      </c>
      <c r="F70">
        <v>3550.366</v>
      </c>
      <c r="G70">
        <v>159.30500000000001</v>
      </c>
      <c r="H70">
        <v>3111.7530000000002</v>
      </c>
      <c r="I70">
        <v>3390.8069999999998</v>
      </c>
      <c r="J70">
        <v>165.691</v>
      </c>
      <c r="N70">
        <f>IFERROR(SUM($B$3:$B70),"")</f>
        <v>79589.804000000004</v>
      </c>
      <c r="O70">
        <f>IFERROR(SUM($C$3:$C70),"")</f>
        <v>86705.323000000004</v>
      </c>
      <c r="P70">
        <f>IFERROR(SUM($D$3:$D70),"")</f>
        <v>2305.047</v>
      </c>
      <c r="Q70">
        <f t="shared" si="18"/>
        <v>89010.37000000001</v>
      </c>
      <c r="R70">
        <f t="shared" si="19"/>
        <v>89.416327558238436</v>
      </c>
      <c r="S70">
        <f t="shared" si="20"/>
        <v>97.410361287117439</v>
      </c>
      <c r="T70">
        <f>IFERROR(SUM($E$3:$E70),"")</f>
        <v>84024.121000000014</v>
      </c>
      <c r="U70">
        <f>IFERROR(SUM($F$3:$F70),"")</f>
        <v>91501.962000000014</v>
      </c>
      <c r="V70">
        <f>IFERROR(SUM($G$3:$G70),"")</f>
        <v>2122.239</v>
      </c>
      <c r="W70">
        <f t="shared" si="21"/>
        <v>93624.201000000015</v>
      </c>
      <c r="X70">
        <f t="shared" si="22"/>
        <v>89.746155483879647</v>
      </c>
      <c r="Y70">
        <f t="shared" si="23"/>
        <v>97.733236730105716</v>
      </c>
      <c r="Z70">
        <f>IFERROR(SUM($H$3:$H70),"")</f>
        <v>79589.804999999993</v>
      </c>
      <c r="AA70">
        <f>IFERROR(SUM($I$3:$I70),"")</f>
        <v>86705.323999999993</v>
      </c>
      <c r="AB70">
        <f>IFERROR(SUM($J$3:$J70),"")</f>
        <v>2305.047</v>
      </c>
      <c r="AC70">
        <f t="shared" si="24"/>
        <v>89010.370999999999</v>
      </c>
      <c r="AD70">
        <f t="shared" si="25"/>
        <v>89.416327677142249</v>
      </c>
      <c r="AE70">
        <f t="shared" si="26"/>
        <v>97.410361316211109</v>
      </c>
    </row>
    <row r="71" spans="1:31" x14ac:dyDescent="0.35">
      <c r="A71">
        <v>1918</v>
      </c>
      <c r="B71">
        <v>3137.6390000000001</v>
      </c>
      <c r="C71">
        <v>3337.2559999999999</v>
      </c>
      <c r="D71">
        <v>168.82900000000001</v>
      </c>
      <c r="E71">
        <v>3291.721</v>
      </c>
      <c r="F71">
        <v>3500.3969999999999</v>
      </c>
      <c r="G71">
        <v>161.05600000000001</v>
      </c>
      <c r="H71">
        <v>3137.6390000000001</v>
      </c>
      <c r="I71">
        <v>3337.2559999999999</v>
      </c>
      <c r="J71">
        <v>168.82900000000001</v>
      </c>
      <c r="N71">
        <f>IFERROR(SUM($B$3:$B71),"")</f>
        <v>82727.442999999999</v>
      </c>
      <c r="O71">
        <f>IFERROR(SUM($C$3:$C71),"")</f>
        <v>90042.578999999998</v>
      </c>
      <c r="P71">
        <f>IFERROR(SUM($D$3:$D71),"")</f>
        <v>2473.8760000000002</v>
      </c>
      <c r="Q71">
        <f t="shared" si="18"/>
        <v>92516.455000000002</v>
      </c>
      <c r="R71">
        <f t="shared" si="19"/>
        <v>89.419166568801188</v>
      </c>
      <c r="S71">
        <f t="shared" si="20"/>
        <v>97.326015139685154</v>
      </c>
      <c r="T71">
        <f>IFERROR(SUM($E$3:$E71),"")</f>
        <v>87315.842000000019</v>
      </c>
      <c r="U71">
        <f>IFERROR(SUM($F$3:$F71),"")</f>
        <v>95002.359000000011</v>
      </c>
      <c r="V71">
        <f>IFERROR(SUM($G$3:$G71),"")</f>
        <v>2283.2950000000001</v>
      </c>
      <c r="W71">
        <f t="shared" si="21"/>
        <v>97285.65400000001</v>
      </c>
      <c r="X71">
        <f t="shared" si="22"/>
        <v>89.75202243076869</v>
      </c>
      <c r="Y71">
        <f t="shared" si="23"/>
        <v>97.652999279832159</v>
      </c>
      <c r="Z71">
        <f>IFERROR(SUM($H$3:$H71),"")</f>
        <v>82727.443999999989</v>
      </c>
      <c r="AA71">
        <f>IFERROR(SUM($I$3:$I71),"")</f>
        <v>90042.579999999987</v>
      </c>
      <c r="AB71">
        <f>IFERROR(SUM($J$3:$J71),"")</f>
        <v>2473.8760000000002</v>
      </c>
      <c r="AC71">
        <f t="shared" si="24"/>
        <v>92516.455999999991</v>
      </c>
      <c r="AD71">
        <f t="shared" si="25"/>
        <v>89.419166683168228</v>
      </c>
      <c r="AE71">
        <f t="shared" si="26"/>
        <v>97.326015168587958</v>
      </c>
    </row>
    <row r="72" spans="1:31" x14ac:dyDescent="0.35">
      <c r="A72">
        <v>1919</v>
      </c>
      <c r="B72">
        <v>2760.8159999999998</v>
      </c>
      <c r="C72">
        <v>2850.3339999999998</v>
      </c>
      <c r="D72">
        <v>190.779</v>
      </c>
      <c r="E72">
        <v>2895.7469999999998</v>
      </c>
      <c r="F72">
        <v>2991.5149999999999</v>
      </c>
      <c r="G72">
        <v>183.261</v>
      </c>
      <c r="H72">
        <v>2760.8159999999998</v>
      </c>
      <c r="I72">
        <v>2850.3339999999998</v>
      </c>
      <c r="J72">
        <v>190.779</v>
      </c>
      <c r="N72">
        <f>IFERROR(SUM($B$3:$B72),"")</f>
        <v>85488.259000000005</v>
      </c>
      <c r="O72">
        <f>IFERROR(SUM($C$3:$C72),"")</f>
        <v>92892.913</v>
      </c>
      <c r="P72">
        <f>IFERROR(SUM($D$3:$D72),"")</f>
        <v>2664.6550000000002</v>
      </c>
      <c r="Q72">
        <f t="shared" si="18"/>
        <v>95557.567999999999</v>
      </c>
      <c r="R72">
        <f t="shared" si="19"/>
        <v>89.462572969626024</v>
      </c>
      <c r="S72">
        <f t="shared" si="20"/>
        <v>97.211466285956547</v>
      </c>
      <c r="T72">
        <f>IFERROR(SUM($E$3:$E72),"")</f>
        <v>90211.589000000022</v>
      </c>
      <c r="U72">
        <f>IFERROR(SUM($F$3:$F72),"")</f>
        <v>97993.874000000011</v>
      </c>
      <c r="V72">
        <f>IFERROR(SUM($G$3:$G72),"")</f>
        <v>2466.556</v>
      </c>
      <c r="W72">
        <f t="shared" si="21"/>
        <v>100460.43000000001</v>
      </c>
      <c r="X72">
        <f t="shared" si="22"/>
        <v>89.79813146330352</v>
      </c>
      <c r="Y72">
        <f t="shared" si="23"/>
        <v>97.544748713498436</v>
      </c>
      <c r="Z72">
        <f>IFERROR(SUM($H$3:$H72),"")</f>
        <v>85488.26</v>
      </c>
      <c r="AA72">
        <f>IFERROR(SUM($I$3:$I72),"")</f>
        <v>92892.91399999999</v>
      </c>
      <c r="AB72">
        <f>IFERROR(SUM($J$3:$J72),"")</f>
        <v>2664.6550000000002</v>
      </c>
      <c r="AC72">
        <f t="shared" si="24"/>
        <v>95557.568999999989</v>
      </c>
      <c r="AD72">
        <f t="shared" si="25"/>
        <v>89.462573079899101</v>
      </c>
      <c r="AE72">
        <f t="shared" si="26"/>
        <v>97.211466315138267</v>
      </c>
    </row>
    <row r="73" spans="1:31" x14ac:dyDescent="0.35">
      <c r="A73">
        <v>1920</v>
      </c>
      <c r="B73">
        <v>3154.5430000000001</v>
      </c>
      <c r="C73">
        <v>3317.4250000000002</v>
      </c>
      <c r="D73">
        <v>229.333</v>
      </c>
      <c r="E73">
        <v>3301.5410000000002</v>
      </c>
      <c r="F73">
        <v>3471.7910000000002</v>
      </c>
      <c r="G73">
        <v>217.744</v>
      </c>
      <c r="H73">
        <v>3154.5430000000001</v>
      </c>
      <c r="I73">
        <v>3317.4250000000002</v>
      </c>
      <c r="J73">
        <v>229.333</v>
      </c>
      <c r="N73">
        <f>IFERROR(SUM($B$3:$B73),"")</f>
        <v>88642.802000000011</v>
      </c>
      <c r="O73">
        <f>IFERROR(SUM($C$3:$C73),"")</f>
        <v>96210.338000000003</v>
      </c>
      <c r="P73">
        <f>IFERROR(SUM($D$3:$D73),"")</f>
        <v>2893.9880000000003</v>
      </c>
      <c r="Q73">
        <f t="shared" si="18"/>
        <v>99104.326000000001</v>
      </c>
      <c r="R73">
        <f t="shared" si="19"/>
        <v>89.443928007744091</v>
      </c>
      <c r="S73">
        <f t="shared" si="20"/>
        <v>97.07985703873311</v>
      </c>
      <c r="T73">
        <f>IFERROR(SUM($E$3:$E73),"")</f>
        <v>93513.130000000019</v>
      </c>
      <c r="U73">
        <f>IFERROR(SUM($F$3:$F73),"")</f>
        <v>101465.66500000001</v>
      </c>
      <c r="V73">
        <f>IFERROR(SUM($G$3:$G73),"")</f>
        <v>2684.3</v>
      </c>
      <c r="W73">
        <f t="shared" si="21"/>
        <v>104149.96500000001</v>
      </c>
      <c r="X73">
        <f t="shared" si="22"/>
        <v>89.787000888574482</v>
      </c>
      <c r="Y73">
        <f t="shared" si="23"/>
        <v>97.422658759414844</v>
      </c>
      <c r="Z73">
        <f>IFERROR(SUM($H$3:$H73),"")</f>
        <v>88642.803</v>
      </c>
      <c r="AA73">
        <f>IFERROR(SUM($I$3:$I73),"")</f>
        <v>96210.338999999993</v>
      </c>
      <c r="AB73">
        <f>IFERROR(SUM($J$3:$J73),"")</f>
        <v>2893.9880000000003</v>
      </c>
      <c r="AC73">
        <f t="shared" si="24"/>
        <v>99104.32699999999</v>
      </c>
      <c r="AD73">
        <f t="shared" si="25"/>
        <v>89.443928114258824</v>
      </c>
      <c r="AE73">
        <f t="shared" si="26"/>
        <v>97.07985706819845</v>
      </c>
    </row>
    <row r="74" spans="1:31" x14ac:dyDescent="0.35">
      <c r="A74">
        <v>1921</v>
      </c>
      <c r="B74">
        <v>2704.346</v>
      </c>
      <c r="C74">
        <v>2870.1329999999998</v>
      </c>
      <c r="D74">
        <v>244.86099999999999</v>
      </c>
      <c r="E74">
        <v>2828.77</v>
      </c>
      <c r="F74">
        <v>3001.4830000000002</v>
      </c>
      <c r="G74">
        <v>234.78299999999999</v>
      </c>
      <c r="H74">
        <v>2704.346</v>
      </c>
      <c r="I74">
        <v>2870.1329999999998</v>
      </c>
      <c r="J74">
        <v>244.86099999999999</v>
      </c>
      <c r="N74">
        <f>IFERROR(SUM($B$3:$B74),"")</f>
        <v>91347.148000000016</v>
      </c>
      <c r="O74">
        <f>IFERROR(SUM($C$3:$C74),"")</f>
        <v>99080.471000000005</v>
      </c>
      <c r="P74">
        <f>IFERROR(SUM($D$3:$D74),"")</f>
        <v>3138.8490000000002</v>
      </c>
      <c r="Q74">
        <f t="shared" si="18"/>
        <v>102219.32</v>
      </c>
      <c r="R74">
        <f t="shared" si="19"/>
        <v>89.363877591829038</v>
      </c>
      <c r="S74">
        <f t="shared" si="20"/>
        <v>96.929299666638357</v>
      </c>
      <c r="T74">
        <f>IFERROR(SUM($E$3:$E74),"")</f>
        <v>96341.900000000023</v>
      </c>
      <c r="U74">
        <f>IFERROR(SUM($F$3:$F74),"")</f>
        <v>104467.14800000002</v>
      </c>
      <c r="V74">
        <f>IFERROR(SUM($G$3:$G74),"")</f>
        <v>2919.0830000000001</v>
      </c>
      <c r="W74">
        <f t="shared" si="21"/>
        <v>107386.23100000001</v>
      </c>
      <c r="X74">
        <f t="shared" si="22"/>
        <v>89.715319275894885</v>
      </c>
      <c r="Y74">
        <f t="shared" si="23"/>
        <v>97.281697129308881</v>
      </c>
      <c r="Z74">
        <f>IFERROR(SUM($H$3:$H74),"")</f>
        <v>91347.149000000005</v>
      </c>
      <c r="AA74">
        <f>IFERROR(SUM($I$3:$I74),"")</f>
        <v>99080.471999999994</v>
      </c>
      <c r="AB74">
        <f>IFERROR(SUM($J$3:$J74),"")</f>
        <v>3138.8490000000002</v>
      </c>
      <c r="AC74">
        <f t="shared" si="24"/>
        <v>102219.321</v>
      </c>
      <c r="AD74">
        <f t="shared" si="25"/>
        <v>89.363877695881001</v>
      </c>
      <c r="AE74">
        <f t="shared" si="26"/>
        <v>96.929299696678669</v>
      </c>
    </row>
    <row r="75" spans="1:31" x14ac:dyDescent="0.35">
      <c r="A75">
        <v>1922</v>
      </c>
      <c r="B75">
        <v>2852.5239999999999</v>
      </c>
      <c r="C75">
        <v>3020.723</v>
      </c>
      <c r="D75">
        <v>243.994</v>
      </c>
      <c r="E75">
        <v>2993.5529999999999</v>
      </c>
      <c r="F75">
        <v>3168.3809999999999</v>
      </c>
      <c r="G75">
        <v>237.285</v>
      </c>
      <c r="H75">
        <v>2852.5239999999999</v>
      </c>
      <c r="I75">
        <v>3020.723</v>
      </c>
      <c r="J75">
        <v>243.994</v>
      </c>
      <c r="N75">
        <f>IFERROR(SUM($B$3:$B75),"")</f>
        <v>94199.67200000002</v>
      </c>
      <c r="O75">
        <f>IFERROR(SUM($C$3:$C75),"")</f>
        <v>102101.194</v>
      </c>
      <c r="P75">
        <f>IFERROR(SUM($D$3:$D75),"")</f>
        <v>3382.8430000000003</v>
      </c>
      <c r="Q75">
        <f t="shared" si="18"/>
        <v>105484.037</v>
      </c>
      <c r="R75">
        <f t="shared" si="19"/>
        <v>89.302300783198149</v>
      </c>
      <c r="S75">
        <f t="shared" si="20"/>
        <v>96.793028503450245</v>
      </c>
      <c r="T75">
        <f>IFERROR(SUM($E$3:$E75),"")</f>
        <v>99335.453000000023</v>
      </c>
      <c r="U75">
        <f>IFERROR(SUM($F$3:$F75),"")</f>
        <v>107635.52900000001</v>
      </c>
      <c r="V75">
        <f>IFERROR(SUM($G$3:$G75),"")</f>
        <v>3156.3679999999999</v>
      </c>
      <c r="W75">
        <f t="shared" si="21"/>
        <v>110791.89700000001</v>
      </c>
      <c r="X75">
        <f t="shared" si="22"/>
        <v>89.659492877895218</v>
      </c>
      <c r="Y75">
        <f t="shared" si="23"/>
        <v>97.151084072511182</v>
      </c>
      <c r="Z75">
        <f>IFERROR(SUM($H$3:$H75),"")</f>
        <v>94199.67300000001</v>
      </c>
      <c r="AA75">
        <f>IFERROR(SUM($I$3:$I75),"")</f>
        <v>102101.19499999999</v>
      </c>
      <c r="AB75">
        <f>IFERROR(SUM($J$3:$J75),"")</f>
        <v>3382.8430000000003</v>
      </c>
      <c r="AC75">
        <f t="shared" si="24"/>
        <v>105484.03799999999</v>
      </c>
      <c r="AD75">
        <f t="shared" si="25"/>
        <v>89.302300884613487</v>
      </c>
      <c r="AE75">
        <f t="shared" si="26"/>
        <v>96.793028533852691</v>
      </c>
    </row>
    <row r="76" spans="1:31" x14ac:dyDescent="0.35">
      <c r="A76">
        <v>1923</v>
      </c>
      <c r="B76">
        <v>3292.88</v>
      </c>
      <c r="C76">
        <v>3450.66</v>
      </c>
      <c r="D76">
        <v>252.33600000000001</v>
      </c>
      <c r="E76">
        <v>3448.4290000000001</v>
      </c>
      <c r="F76">
        <v>3612.855</v>
      </c>
      <c r="G76">
        <v>247.339</v>
      </c>
      <c r="H76">
        <v>3292.88</v>
      </c>
      <c r="I76">
        <v>3450.66</v>
      </c>
      <c r="J76">
        <v>252.33600000000001</v>
      </c>
      <c r="N76">
        <f>IFERROR(SUM($B$3:$B76),"")</f>
        <v>97492.552000000025</v>
      </c>
      <c r="O76">
        <f>IFERROR(SUM($C$3:$C76),"")</f>
        <v>105551.85400000001</v>
      </c>
      <c r="P76">
        <f>IFERROR(SUM($D$3:$D76),"")</f>
        <v>3635.1790000000001</v>
      </c>
      <c r="Q76">
        <f t="shared" si="18"/>
        <v>109187.03300000001</v>
      </c>
      <c r="R76">
        <f t="shared" si="19"/>
        <v>89.289496491767494</v>
      </c>
      <c r="S76">
        <f t="shared" si="20"/>
        <v>96.670686161057233</v>
      </c>
      <c r="T76">
        <f>IFERROR(SUM($E$3:$E76),"")</f>
        <v>102783.88200000003</v>
      </c>
      <c r="U76">
        <f>IFERROR(SUM($F$3:$F76),"")</f>
        <v>111248.38400000001</v>
      </c>
      <c r="V76">
        <f>IFERROR(SUM($G$3:$G76),"")</f>
        <v>3403.7069999999999</v>
      </c>
      <c r="W76">
        <f t="shared" si="21"/>
        <v>114652.091</v>
      </c>
      <c r="X76">
        <f t="shared" si="22"/>
        <v>89.648501918730844</v>
      </c>
      <c r="Y76">
        <f t="shared" si="23"/>
        <v>97.031273507257708</v>
      </c>
      <c r="Z76">
        <f>IFERROR(SUM($H$3:$H76),"")</f>
        <v>97492.553000000014</v>
      </c>
      <c r="AA76">
        <f>IFERROR(SUM($I$3:$I76),"")</f>
        <v>105551.855</v>
      </c>
      <c r="AB76">
        <f>IFERROR(SUM($J$3:$J76),"")</f>
        <v>3635.1790000000001</v>
      </c>
      <c r="AC76">
        <f t="shared" si="24"/>
        <v>109187.034</v>
      </c>
      <c r="AD76">
        <f t="shared" si="25"/>
        <v>89.289496589860676</v>
      </c>
      <c r="AE76">
        <f t="shared" si="26"/>
        <v>96.67068619154908</v>
      </c>
    </row>
    <row r="77" spans="1:31" x14ac:dyDescent="0.35">
      <c r="A77">
        <v>1924</v>
      </c>
      <c r="B77">
        <v>3279.4810000000002</v>
      </c>
      <c r="C77">
        <v>3451.5010000000002</v>
      </c>
      <c r="D77">
        <v>264.642</v>
      </c>
      <c r="E77">
        <v>3439.422</v>
      </c>
      <c r="F77">
        <v>3619.328</v>
      </c>
      <c r="G77">
        <v>262.10700000000003</v>
      </c>
      <c r="H77">
        <v>3279.4810000000002</v>
      </c>
      <c r="I77">
        <v>3451.5010000000002</v>
      </c>
      <c r="J77">
        <v>264.642</v>
      </c>
      <c r="N77">
        <f>IFERROR(SUM($B$3:$B77),"")</f>
        <v>100772.03300000002</v>
      </c>
      <c r="O77">
        <f>IFERROR(SUM($C$3:$C77),"")</f>
        <v>109003.35500000001</v>
      </c>
      <c r="P77">
        <f>IFERROR(SUM($D$3:$D77),"")</f>
        <v>3899.8209999999999</v>
      </c>
      <c r="Q77">
        <f t="shared" si="18"/>
        <v>112903.17600000001</v>
      </c>
      <c r="R77">
        <f t="shared" si="19"/>
        <v>89.255268602895654</v>
      </c>
      <c r="S77">
        <f t="shared" si="20"/>
        <v>96.545871304807235</v>
      </c>
      <c r="T77">
        <f>IFERROR(SUM($E$3:$E77),"")</f>
        <v>106223.30400000003</v>
      </c>
      <c r="U77">
        <f>IFERROR(SUM($F$3:$F77),"")</f>
        <v>114867.712</v>
      </c>
      <c r="V77">
        <f>IFERROR(SUM($G$3:$G77),"")</f>
        <v>3665.8139999999999</v>
      </c>
      <c r="W77">
        <f t="shared" si="21"/>
        <v>118533.526</v>
      </c>
      <c r="X77">
        <f t="shared" si="22"/>
        <v>89.614565249666185</v>
      </c>
      <c r="Y77">
        <f t="shared" si="23"/>
        <v>96.907361044840599</v>
      </c>
      <c r="Z77">
        <f>IFERROR(SUM($H$3:$H77),"")</f>
        <v>100772.03400000001</v>
      </c>
      <c r="AA77">
        <f>IFERROR(SUM($I$3:$I77),"")</f>
        <v>109003.356</v>
      </c>
      <c r="AB77">
        <f>IFERROR(SUM($J$3:$J77),"")</f>
        <v>3899.8209999999999</v>
      </c>
      <c r="AC77">
        <f t="shared" si="24"/>
        <v>112903.177</v>
      </c>
      <c r="AD77">
        <f t="shared" si="25"/>
        <v>89.255268698063318</v>
      </c>
      <c r="AE77">
        <f t="shared" si="26"/>
        <v>96.54587133540096</v>
      </c>
    </row>
    <row r="78" spans="1:31" x14ac:dyDescent="0.35">
      <c r="A78">
        <v>1925</v>
      </c>
      <c r="B78">
        <v>3314.5189999999998</v>
      </c>
      <c r="C78">
        <v>3483.8739999999998</v>
      </c>
      <c r="D78">
        <v>256.75900000000001</v>
      </c>
      <c r="E78">
        <v>3498.4389999999999</v>
      </c>
      <c r="F78">
        <v>3675.4110000000001</v>
      </c>
      <c r="G78">
        <v>257.62</v>
      </c>
      <c r="H78">
        <v>3314.5189999999998</v>
      </c>
      <c r="I78">
        <v>3483.8739999999998</v>
      </c>
      <c r="J78">
        <v>256.75900000000001</v>
      </c>
      <c r="N78">
        <f>IFERROR(SUM($B$3:$B78),"")</f>
        <v>104086.55200000003</v>
      </c>
      <c r="O78">
        <f>IFERROR(SUM($C$3:$C78),"")</f>
        <v>112487.22900000001</v>
      </c>
      <c r="P78">
        <f>IFERROR(SUM($D$3:$D78),"")</f>
        <v>4156.58</v>
      </c>
      <c r="Q78">
        <f t="shared" si="18"/>
        <v>116643.80900000001</v>
      </c>
      <c r="R78">
        <f t="shared" si="19"/>
        <v>89.234527655042555</v>
      </c>
      <c r="S78">
        <f t="shared" si="20"/>
        <v>96.436518975473433</v>
      </c>
      <c r="T78">
        <f>IFERROR(SUM($E$3:$E78),"")</f>
        <v>109721.74300000003</v>
      </c>
      <c r="U78">
        <f>IFERROR(SUM($F$3:$F78),"")</f>
        <v>118543.12299999999</v>
      </c>
      <c r="V78">
        <f>IFERROR(SUM($G$3:$G78),"")</f>
        <v>3923.4339999999997</v>
      </c>
      <c r="W78">
        <f t="shared" si="21"/>
        <v>122466.55699999999</v>
      </c>
      <c r="X78">
        <f t="shared" si="22"/>
        <v>89.593229113152944</v>
      </c>
      <c r="Y78">
        <f t="shared" si="23"/>
        <v>96.796322117555746</v>
      </c>
      <c r="Z78">
        <f>IFERROR(SUM($H$3:$H78),"")</f>
        <v>104086.55300000001</v>
      </c>
      <c r="AA78">
        <f>IFERROR(SUM($I$3:$I78),"")</f>
        <v>112487.23</v>
      </c>
      <c r="AB78">
        <f>IFERROR(SUM($J$3:$J78),"")</f>
        <v>4156.58</v>
      </c>
      <c r="AC78">
        <f t="shared" si="24"/>
        <v>116643.81</v>
      </c>
      <c r="AD78">
        <f t="shared" si="25"/>
        <v>89.234527747336116</v>
      </c>
      <c r="AE78">
        <f t="shared" si="26"/>
        <v>96.436519006023545</v>
      </c>
    </row>
    <row r="79" spans="1:31" x14ac:dyDescent="0.35">
      <c r="A79">
        <v>1926</v>
      </c>
      <c r="B79">
        <v>3231.8629999999998</v>
      </c>
      <c r="C79">
        <v>3427.5259999999998</v>
      </c>
      <c r="D79">
        <v>249.88</v>
      </c>
      <c r="E79">
        <v>3409.0619999999999</v>
      </c>
      <c r="F79">
        <v>3613.5909999999999</v>
      </c>
      <c r="G79">
        <v>261.85700000000003</v>
      </c>
      <c r="H79">
        <v>3231.8629999999998</v>
      </c>
      <c r="I79">
        <v>3427.5259999999998</v>
      </c>
      <c r="J79">
        <v>249.88</v>
      </c>
      <c r="N79">
        <f>IFERROR(SUM($B$3:$B79),"")</f>
        <v>107318.41500000002</v>
      </c>
      <c r="O79">
        <f>IFERROR(SUM($C$3:$C79),"")</f>
        <v>115914.755</v>
      </c>
      <c r="P79">
        <f>IFERROR(SUM($D$3:$D79),"")</f>
        <v>4406.46</v>
      </c>
      <c r="Q79">
        <f t="shared" si="18"/>
        <v>120321.21500000001</v>
      </c>
      <c r="R79">
        <f t="shared" si="19"/>
        <v>89.193260722973918</v>
      </c>
      <c r="S79">
        <f t="shared" si="20"/>
        <v>96.337753072057978</v>
      </c>
      <c r="T79">
        <f>IFERROR(SUM($E$3:$E79),"")</f>
        <v>113130.80500000004</v>
      </c>
      <c r="U79">
        <f>IFERROR(SUM($F$3:$F79),"")</f>
        <v>122156.71399999999</v>
      </c>
      <c r="V79">
        <f>IFERROR(SUM($G$3:$G79),"")</f>
        <v>4185.2910000000002</v>
      </c>
      <c r="W79">
        <f t="shared" si="21"/>
        <v>126342.00499999999</v>
      </c>
      <c r="X79">
        <f t="shared" si="22"/>
        <v>89.543303511765586</v>
      </c>
      <c r="Y79">
        <f t="shared" si="23"/>
        <v>96.687332134708484</v>
      </c>
      <c r="Z79">
        <f>IFERROR(SUM($H$3:$H79),"")</f>
        <v>107318.41600000001</v>
      </c>
      <c r="AA79">
        <f>IFERROR(SUM($I$3:$I79),"")</f>
        <v>115914.75599999999</v>
      </c>
      <c r="AB79">
        <f>IFERROR(SUM($J$3:$J79),"")</f>
        <v>4406.46</v>
      </c>
      <c r="AC79">
        <f t="shared" si="24"/>
        <v>120321.216</v>
      </c>
      <c r="AD79">
        <f t="shared" si="25"/>
        <v>89.19326081278966</v>
      </c>
      <c r="AE79">
        <f t="shared" si="26"/>
        <v>96.337753102495242</v>
      </c>
    </row>
    <row r="80" spans="1:31" x14ac:dyDescent="0.35">
      <c r="A80">
        <v>1927</v>
      </c>
      <c r="B80">
        <v>3530.0419999999999</v>
      </c>
      <c r="C80">
        <v>3761.45</v>
      </c>
      <c r="D80">
        <v>251.49700000000001</v>
      </c>
      <c r="E80">
        <v>3735.9659999999999</v>
      </c>
      <c r="F80">
        <v>3981.0520000000001</v>
      </c>
      <c r="G80">
        <v>268.71199999999999</v>
      </c>
      <c r="H80">
        <v>3530.0419999999999</v>
      </c>
      <c r="I80">
        <v>3761.45</v>
      </c>
      <c r="J80">
        <v>251.49700000000001</v>
      </c>
      <c r="N80">
        <f>IFERROR(SUM($B$3:$B80),"")</f>
        <v>110848.45700000002</v>
      </c>
      <c r="O80">
        <f>IFERROR(SUM($C$3:$C80),"")</f>
        <v>119676.205</v>
      </c>
      <c r="P80">
        <f>IFERROR(SUM($D$3:$D80),"")</f>
        <v>4657.9570000000003</v>
      </c>
      <c r="Q80">
        <f t="shared" si="18"/>
        <v>124334.162</v>
      </c>
      <c r="R80">
        <f t="shared" si="19"/>
        <v>89.153660761392374</v>
      </c>
      <c r="S80">
        <f t="shared" si="20"/>
        <v>96.253678856177928</v>
      </c>
      <c r="T80">
        <f>IFERROR(SUM($E$3:$E80),"")</f>
        <v>116866.77100000004</v>
      </c>
      <c r="U80">
        <f>IFERROR(SUM($F$3:$F80),"")</f>
        <v>126137.76599999999</v>
      </c>
      <c r="V80">
        <f>IFERROR(SUM($G$3:$G80),"")</f>
        <v>4454.0030000000006</v>
      </c>
      <c r="W80">
        <f t="shared" si="21"/>
        <v>130591.76899999999</v>
      </c>
      <c r="X80">
        <f t="shared" si="22"/>
        <v>89.490150791969171</v>
      </c>
      <c r="Y80">
        <f t="shared" si="23"/>
        <v>96.589369273342186</v>
      </c>
      <c r="Z80">
        <f>IFERROR(SUM($H$3:$H80),"")</f>
        <v>110848.45800000001</v>
      </c>
      <c r="AA80">
        <f>IFERROR(SUM($I$3:$I80),"")</f>
        <v>119676.20599999999</v>
      </c>
      <c r="AB80">
        <f>IFERROR(SUM($J$3:$J80),"")</f>
        <v>4657.9570000000003</v>
      </c>
      <c r="AC80">
        <f t="shared" si="24"/>
        <v>124334.16299999999</v>
      </c>
      <c r="AD80">
        <f t="shared" si="25"/>
        <v>89.153660848627752</v>
      </c>
      <c r="AE80">
        <f t="shared" si="26"/>
        <v>96.25367888630899</v>
      </c>
    </row>
    <row r="81" spans="1:31" x14ac:dyDescent="0.35">
      <c r="A81">
        <v>1928</v>
      </c>
      <c r="B81">
        <v>3491.248</v>
      </c>
      <c r="C81">
        <v>3740.0320000000002</v>
      </c>
      <c r="D81">
        <v>256.279</v>
      </c>
      <c r="E81">
        <v>3683.21</v>
      </c>
      <c r="F81">
        <v>3944.6179999999999</v>
      </c>
      <c r="G81">
        <v>290.52699999999999</v>
      </c>
      <c r="H81">
        <v>3491.248</v>
      </c>
      <c r="I81">
        <v>3740.0320000000002</v>
      </c>
      <c r="J81">
        <v>256.279</v>
      </c>
      <c r="N81">
        <f>IFERROR(SUM($B$3:$B81),"")</f>
        <v>114339.70500000003</v>
      </c>
      <c r="O81">
        <f>IFERROR(SUM($C$3:$C81),"")</f>
        <v>123416.23700000001</v>
      </c>
      <c r="P81">
        <f>IFERROR(SUM($D$3:$D81),"")</f>
        <v>4914.2360000000008</v>
      </c>
      <c r="Q81">
        <f t="shared" si="18"/>
        <v>128330.47300000001</v>
      </c>
      <c r="R81">
        <f t="shared" si="19"/>
        <v>89.097859866845525</v>
      </c>
      <c r="S81">
        <f t="shared" si="20"/>
        <v>96.170639844832479</v>
      </c>
      <c r="T81">
        <f>IFERROR(SUM($E$3:$E81),"")</f>
        <v>120549.98100000004</v>
      </c>
      <c r="U81">
        <f>IFERROR(SUM($F$3:$F81),"")</f>
        <v>130082.38399999999</v>
      </c>
      <c r="V81">
        <f>IFERROR(SUM($G$3:$G81),"")</f>
        <v>4744.5300000000007</v>
      </c>
      <c r="W81">
        <f t="shared" si="21"/>
        <v>134826.91399999999</v>
      </c>
      <c r="X81">
        <f t="shared" si="22"/>
        <v>89.410917615454764</v>
      </c>
      <c r="Y81">
        <f t="shared" si="23"/>
        <v>96.481021585942401</v>
      </c>
      <c r="Z81">
        <f>IFERROR(SUM($H$3:$H81),"")</f>
        <v>114339.70600000002</v>
      </c>
      <c r="AA81">
        <f>IFERROR(SUM($I$3:$I81),"")</f>
        <v>123416.238</v>
      </c>
      <c r="AB81">
        <f>IFERROR(SUM($J$3:$J81),"")</f>
        <v>4914.2360000000008</v>
      </c>
      <c r="AC81">
        <f t="shared" si="24"/>
        <v>128330.474</v>
      </c>
      <c r="AD81">
        <f t="shared" si="25"/>
        <v>89.097859951799151</v>
      </c>
      <c r="AE81">
        <f t="shared" si="26"/>
        <v>96.170639874672332</v>
      </c>
    </row>
    <row r="82" spans="1:31" x14ac:dyDescent="0.35">
      <c r="A82">
        <v>1929</v>
      </c>
      <c r="B82">
        <v>3745.6320000000001</v>
      </c>
      <c r="C82">
        <v>4022.3220000000001</v>
      </c>
      <c r="D82">
        <v>265.88799999999998</v>
      </c>
      <c r="E82">
        <v>3954.39</v>
      </c>
      <c r="F82">
        <v>4244.4189999999999</v>
      </c>
      <c r="G82">
        <v>311.21899999999999</v>
      </c>
      <c r="H82">
        <v>3745.6320000000001</v>
      </c>
      <c r="I82">
        <v>4022.3220000000001</v>
      </c>
      <c r="J82">
        <v>265.88799999999998</v>
      </c>
      <c r="N82">
        <f>IFERROR(SUM($B$3:$B82),"")</f>
        <v>118085.33700000003</v>
      </c>
      <c r="O82">
        <f>IFERROR(SUM($C$3:$C82),"")</f>
        <v>127438.55900000001</v>
      </c>
      <c r="P82">
        <f>IFERROR(SUM($D$3:$D82),"")</f>
        <v>5180.1240000000007</v>
      </c>
      <c r="Q82">
        <f t="shared" si="18"/>
        <v>132618.68300000002</v>
      </c>
      <c r="R82">
        <f t="shared" si="19"/>
        <v>89.041252958303033</v>
      </c>
      <c r="S82">
        <f t="shared" si="20"/>
        <v>96.093971163927165</v>
      </c>
      <c r="T82">
        <f>IFERROR(SUM($E$3:$E82),"")</f>
        <v>124504.37100000004</v>
      </c>
      <c r="U82">
        <f>IFERROR(SUM($F$3:$F82),"")</f>
        <v>134326.80299999999</v>
      </c>
      <c r="V82">
        <f>IFERROR(SUM($G$3:$G82),"")</f>
        <v>5055.7490000000007</v>
      </c>
      <c r="W82">
        <f t="shared" si="21"/>
        <v>139382.552</v>
      </c>
      <c r="X82">
        <f t="shared" si="22"/>
        <v>89.325650315256127</v>
      </c>
      <c r="Y82">
        <f t="shared" si="23"/>
        <v>96.372753312767571</v>
      </c>
      <c r="Z82">
        <f>IFERROR(SUM($H$3:$H82),"")</f>
        <v>118085.33800000002</v>
      </c>
      <c r="AA82">
        <f>IFERROR(SUM($I$3:$I82),"")</f>
        <v>127438.56</v>
      </c>
      <c r="AB82">
        <f>IFERROR(SUM($J$3:$J82),"")</f>
        <v>5180.1240000000007</v>
      </c>
      <c r="AC82">
        <f t="shared" si="24"/>
        <v>132618.68400000001</v>
      </c>
      <c r="AD82">
        <f t="shared" si="25"/>
        <v>89.041253040936525</v>
      </c>
      <c r="AE82">
        <f t="shared" si="26"/>
        <v>96.093971193380256</v>
      </c>
    </row>
    <row r="83" spans="1:31" x14ac:dyDescent="0.35">
      <c r="A83">
        <v>1930</v>
      </c>
      <c r="B83">
        <v>3403.625</v>
      </c>
      <c r="C83">
        <v>3692.9180000000001</v>
      </c>
      <c r="D83">
        <v>265.17700000000002</v>
      </c>
      <c r="E83">
        <v>3588.0920000000001</v>
      </c>
      <c r="F83">
        <v>3893.1309999999999</v>
      </c>
      <c r="G83">
        <v>320.66899999999998</v>
      </c>
      <c r="H83">
        <v>3403.625</v>
      </c>
      <c r="I83">
        <v>3692.9180000000001</v>
      </c>
      <c r="J83">
        <v>265.17700000000002</v>
      </c>
      <c r="N83">
        <f>IFERROR(SUM($B$3:$B83),"")</f>
        <v>121488.96200000003</v>
      </c>
      <c r="O83">
        <f>IFERROR(SUM($C$3:$C83),"")</f>
        <v>131131.47700000001</v>
      </c>
      <c r="P83">
        <f>IFERROR(SUM($D$3:$D83),"")</f>
        <v>5445.3010000000004</v>
      </c>
      <c r="Q83">
        <f t="shared" si="18"/>
        <v>136576.77800000002</v>
      </c>
      <c r="R83">
        <f t="shared" si="19"/>
        <v>88.952868693387984</v>
      </c>
      <c r="S83">
        <f t="shared" si="20"/>
        <v>96.013011084505152</v>
      </c>
      <c r="T83">
        <f>IFERROR(SUM($E$3:$E83),"")</f>
        <v>128092.46300000005</v>
      </c>
      <c r="U83">
        <f>IFERROR(SUM($F$3:$F83),"")</f>
        <v>138219.93399999998</v>
      </c>
      <c r="V83">
        <f>IFERROR(SUM($G$3:$G83),"")</f>
        <v>5376.4180000000006</v>
      </c>
      <c r="W83">
        <f t="shared" si="21"/>
        <v>143596.35199999998</v>
      </c>
      <c r="X83">
        <f t="shared" si="22"/>
        <v>89.20314563422896</v>
      </c>
      <c r="Y83">
        <f t="shared" si="23"/>
        <v>96.255881207901425</v>
      </c>
      <c r="Z83">
        <f>IFERROR(SUM($H$3:$H83),"")</f>
        <v>121488.96300000002</v>
      </c>
      <c r="AA83">
        <f>IFERROR(SUM($I$3:$I83),"")</f>
        <v>131131.478</v>
      </c>
      <c r="AB83">
        <f>IFERROR(SUM($J$3:$J83),"")</f>
        <v>5445.3010000000004</v>
      </c>
      <c r="AC83">
        <f t="shared" si="24"/>
        <v>136576.77900000001</v>
      </c>
      <c r="AD83">
        <f t="shared" si="25"/>
        <v>88.952868774273853</v>
      </c>
      <c r="AE83">
        <f t="shared" si="26"/>
        <v>96.013011113697445</v>
      </c>
    </row>
    <row r="84" spans="1:31" x14ac:dyDescent="0.35">
      <c r="A84">
        <v>1931</v>
      </c>
      <c r="B84">
        <v>2974.7719999999999</v>
      </c>
      <c r="C84">
        <v>3286.8589999999999</v>
      </c>
      <c r="D84">
        <v>252.46</v>
      </c>
      <c r="E84">
        <v>3137.3440000000001</v>
      </c>
      <c r="F84">
        <v>3466.8820000000001</v>
      </c>
      <c r="G84">
        <v>301.03500000000003</v>
      </c>
      <c r="H84">
        <v>2974.7719999999999</v>
      </c>
      <c r="I84">
        <v>3286.8589999999999</v>
      </c>
      <c r="J84">
        <v>252.46</v>
      </c>
      <c r="N84">
        <f>IFERROR(SUM($B$3:$B84),"")</f>
        <v>124463.73400000003</v>
      </c>
      <c r="O84">
        <f>IFERROR(SUM($C$3:$C84),"")</f>
        <v>134418.33600000001</v>
      </c>
      <c r="P84">
        <f>IFERROR(SUM($D$3:$D84),"")</f>
        <v>5697.7610000000004</v>
      </c>
      <c r="Q84">
        <f t="shared" si="18"/>
        <v>140116.09700000001</v>
      </c>
      <c r="R84">
        <f t="shared" si="19"/>
        <v>88.829004421954465</v>
      </c>
      <c r="S84">
        <f t="shared" si="20"/>
        <v>95.933542881943112</v>
      </c>
      <c r="T84">
        <f>IFERROR(SUM($E$3:$E84),"")</f>
        <v>131229.80700000006</v>
      </c>
      <c r="U84">
        <f>IFERROR(SUM($F$3:$F84),"")</f>
        <v>141686.81599999999</v>
      </c>
      <c r="V84">
        <f>IFERROR(SUM($G$3:$G84),"")</f>
        <v>5677.4530000000004</v>
      </c>
      <c r="W84">
        <f t="shared" si="21"/>
        <v>147364.269</v>
      </c>
      <c r="X84">
        <f t="shared" si="22"/>
        <v>89.051306595902204</v>
      </c>
      <c r="Y84">
        <f t="shared" si="23"/>
        <v>96.147334059655932</v>
      </c>
      <c r="Z84">
        <f>IFERROR(SUM($H$3:$H84),"")</f>
        <v>124463.73500000002</v>
      </c>
      <c r="AA84">
        <f>IFERROR(SUM($I$3:$I84),"")</f>
        <v>134418.337</v>
      </c>
      <c r="AB84">
        <f>IFERROR(SUM($J$3:$J84),"")</f>
        <v>5697.7610000000004</v>
      </c>
      <c r="AC84">
        <f t="shared" si="24"/>
        <v>140116.098</v>
      </c>
      <c r="AD84">
        <f t="shared" si="25"/>
        <v>88.829004501681183</v>
      </c>
      <c r="AE84">
        <f t="shared" si="26"/>
        <v>95.933542910965159</v>
      </c>
    </row>
    <row r="85" spans="1:31" x14ac:dyDescent="0.35">
      <c r="A85">
        <v>1932</v>
      </c>
      <c r="B85">
        <v>2626.5079999999998</v>
      </c>
      <c r="C85">
        <v>2940.5410000000002</v>
      </c>
      <c r="D85">
        <v>252.04900000000001</v>
      </c>
      <c r="E85">
        <v>2770.1640000000002</v>
      </c>
      <c r="F85">
        <v>3101.7260000000001</v>
      </c>
      <c r="G85">
        <v>298.14</v>
      </c>
      <c r="H85">
        <v>2626.5079999999998</v>
      </c>
      <c r="I85">
        <v>2940.5410000000002</v>
      </c>
      <c r="J85">
        <v>252.04900000000001</v>
      </c>
      <c r="N85">
        <f>IFERROR(SUM($B$3:$B85),"")</f>
        <v>127090.24200000003</v>
      </c>
      <c r="O85">
        <f>IFERROR(SUM($C$3:$C85),"")</f>
        <v>137358.87700000001</v>
      </c>
      <c r="P85">
        <f>IFERROR(SUM($D$3:$D85),"")</f>
        <v>5949.81</v>
      </c>
      <c r="Q85">
        <f t="shared" si="18"/>
        <v>143308.68700000001</v>
      </c>
      <c r="R85">
        <f t="shared" si="19"/>
        <v>88.682859818539839</v>
      </c>
      <c r="S85">
        <f t="shared" si="20"/>
        <v>95.848255870211148</v>
      </c>
      <c r="T85">
        <f>IFERROR(SUM($E$3:$E85),"")</f>
        <v>133999.97100000005</v>
      </c>
      <c r="U85">
        <f>IFERROR(SUM($F$3:$F85),"")</f>
        <v>144788.54199999999</v>
      </c>
      <c r="V85">
        <f>IFERROR(SUM($G$3:$G85),"")</f>
        <v>5975.5930000000008</v>
      </c>
      <c r="W85">
        <f t="shared" si="21"/>
        <v>150764.13499999998</v>
      </c>
      <c r="X85">
        <f t="shared" si="22"/>
        <v>88.880535811783133</v>
      </c>
      <c r="Y85">
        <f t="shared" si="23"/>
        <v>96.036462518091597</v>
      </c>
      <c r="Z85">
        <f>IFERROR(SUM($H$3:$H85),"")</f>
        <v>127090.24300000002</v>
      </c>
      <c r="AA85">
        <f>IFERROR(SUM($I$3:$I85),"")</f>
        <v>137358.878</v>
      </c>
      <c r="AB85">
        <f>IFERROR(SUM($J$3:$J85),"")</f>
        <v>5949.81</v>
      </c>
      <c r="AC85">
        <f t="shared" si="24"/>
        <v>143308.68799999999</v>
      </c>
      <c r="AD85">
        <f t="shared" si="25"/>
        <v>88.682859897510198</v>
      </c>
      <c r="AE85">
        <f t="shared" si="26"/>
        <v>95.84825589918178</v>
      </c>
    </row>
    <row r="86" spans="1:31" x14ac:dyDescent="0.35">
      <c r="A86">
        <v>1933</v>
      </c>
      <c r="B86">
        <v>2759.7240000000002</v>
      </c>
      <c r="C86">
        <v>3092.6289999999999</v>
      </c>
      <c r="D86">
        <v>270.053</v>
      </c>
      <c r="E86">
        <v>2908.3690000000001</v>
      </c>
      <c r="F86">
        <v>3259.6019999999999</v>
      </c>
      <c r="G86">
        <v>319.05599999999998</v>
      </c>
      <c r="H86">
        <v>2759.7240000000002</v>
      </c>
      <c r="I86">
        <v>3092.6289999999999</v>
      </c>
      <c r="J86">
        <v>270.053</v>
      </c>
      <c r="N86">
        <f>IFERROR(SUM($B$3:$B86),"")</f>
        <v>129849.96600000003</v>
      </c>
      <c r="O86">
        <f>IFERROR(SUM($C$3:$C86),"")</f>
        <v>140451.50599999999</v>
      </c>
      <c r="P86">
        <f>IFERROR(SUM($D$3:$D86),"")</f>
        <v>6219.8630000000003</v>
      </c>
      <c r="Q86">
        <f t="shared" si="18"/>
        <v>146671.36900000001</v>
      </c>
      <c r="R86">
        <f t="shared" si="19"/>
        <v>88.531229295337127</v>
      </c>
      <c r="S86">
        <f t="shared" si="20"/>
        <v>95.759320280156373</v>
      </c>
      <c r="T86">
        <f>IFERROR(SUM($E$3:$E86),"")</f>
        <v>136908.34000000005</v>
      </c>
      <c r="U86">
        <f>IFERROR(SUM($F$3:$F86),"")</f>
        <v>148048.144</v>
      </c>
      <c r="V86">
        <f>IFERROR(SUM($G$3:$G86),"")</f>
        <v>6294.6490000000003</v>
      </c>
      <c r="W86">
        <f t="shared" si="21"/>
        <v>154342.79300000001</v>
      </c>
      <c r="X86">
        <f t="shared" si="22"/>
        <v>88.704070555468078</v>
      </c>
      <c r="Y86">
        <f t="shared" si="23"/>
        <v>95.92164371419662</v>
      </c>
      <c r="Z86">
        <f>IFERROR(SUM($H$3:$H86),"")</f>
        <v>129849.96700000002</v>
      </c>
      <c r="AA86">
        <f>IFERROR(SUM($I$3:$I86),"")</f>
        <v>140451.50699999998</v>
      </c>
      <c r="AB86">
        <f>IFERROR(SUM($J$3:$J86),"")</f>
        <v>6219.8630000000003</v>
      </c>
      <c r="AC86">
        <f t="shared" si="24"/>
        <v>146671.37</v>
      </c>
      <c r="AD86">
        <f t="shared" si="25"/>
        <v>88.531229373530778</v>
      </c>
      <c r="AE86">
        <f t="shared" si="26"/>
        <v>95.759320309069167</v>
      </c>
    </row>
    <row r="87" spans="1:31" x14ac:dyDescent="0.35">
      <c r="A87">
        <v>1934</v>
      </c>
      <c r="B87">
        <v>2965.8159999999998</v>
      </c>
      <c r="C87">
        <v>3349.5549999999998</v>
      </c>
      <c r="D87">
        <v>306.63</v>
      </c>
      <c r="E87">
        <v>3126.36</v>
      </c>
      <c r="F87">
        <v>3531.4549999999999</v>
      </c>
      <c r="G87">
        <v>364.60599999999999</v>
      </c>
      <c r="H87">
        <v>2965.8159999999998</v>
      </c>
      <c r="I87">
        <v>3349.5549999999998</v>
      </c>
      <c r="J87">
        <v>306.63</v>
      </c>
      <c r="N87">
        <f>IFERROR(SUM($B$3:$B87),"")</f>
        <v>132815.78200000004</v>
      </c>
      <c r="O87">
        <f>IFERROR(SUM($C$3:$C87),"")</f>
        <v>143801.06099999999</v>
      </c>
      <c r="P87">
        <f>IFERROR(SUM($D$3:$D87),"")</f>
        <v>6526.4930000000004</v>
      </c>
      <c r="Q87">
        <f t="shared" si="18"/>
        <v>150327.55399999997</v>
      </c>
      <c r="R87">
        <f t="shared" si="19"/>
        <v>88.350923344365768</v>
      </c>
      <c r="S87">
        <f t="shared" si="20"/>
        <v>95.658485203584178</v>
      </c>
      <c r="T87">
        <f>IFERROR(SUM($E$3:$E87),"")</f>
        <v>140034.70000000004</v>
      </c>
      <c r="U87">
        <f>IFERROR(SUM($F$3:$F87),"")</f>
        <v>151579.59899999999</v>
      </c>
      <c r="V87">
        <f>IFERROR(SUM($G$3:$G87),"")</f>
        <v>6659.2550000000001</v>
      </c>
      <c r="W87">
        <f t="shared" si="21"/>
        <v>158238.85399999999</v>
      </c>
      <c r="X87">
        <f t="shared" si="22"/>
        <v>88.495774874608259</v>
      </c>
      <c r="Y87">
        <f t="shared" si="23"/>
        <v>95.791643561827115</v>
      </c>
      <c r="Z87">
        <f>IFERROR(SUM($H$3:$H87),"")</f>
        <v>132815.78300000002</v>
      </c>
      <c r="AA87">
        <f>IFERROR(SUM($I$3:$I87),"")</f>
        <v>143801.06199999998</v>
      </c>
      <c r="AB87">
        <f>IFERROR(SUM($J$3:$J87),"")</f>
        <v>6526.4930000000004</v>
      </c>
      <c r="AC87">
        <f t="shared" si="24"/>
        <v>150327.55499999996</v>
      </c>
      <c r="AD87">
        <f t="shared" si="25"/>
        <v>88.350923421857061</v>
      </c>
      <c r="AE87">
        <f t="shared" si="26"/>
        <v>95.658485232464542</v>
      </c>
    </row>
    <row r="88" spans="1:31" x14ac:dyDescent="0.35">
      <c r="A88">
        <v>1935</v>
      </c>
      <c r="B88">
        <v>3077.8879999999999</v>
      </c>
      <c r="C88">
        <v>3496.8510000000001</v>
      </c>
      <c r="D88">
        <v>338.89</v>
      </c>
      <c r="E88">
        <v>3246.6579999999999</v>
      </c>
      <c r="F88">
        <v>3689.3649999999998</v>
      </c>
      <c r="G88">
        <v>408.315</v>
      </c>
      <c r="H88">
        <v>3077.8879999999999</v>
      </c>
      <c r="I88">
        <v>3496.8510000000001</v>
      </c>
      <c r="J88">
        <v>338.89</v>
      </c>
      <c r="N88">
        <f>IFERROR(SUM($B$3:$B88),"")</f>
        <v>135893.67000000004</v>
      </c>
      <c r="O88">
        <f>IFERROR(SUM($C$3:$C88),"")</f>
        <v>147297.91199999998</v>
      </c>
      <c r="P88">
        <f>IFERROR(SUM($D$3:$D88),"")</f>
        <v>6865.3830000000007</v>
      </c>
      <c r="Q88">
        <f t="shared" si="18"/>
        <v>154163.29499999998</v>
      </c>
      <c r="R88">
        <f t="shared" si="19"/>
        <v>88.149173251648563</v>
      </c>
      <c r="S88">
        <f t="shared" si="20"/>
        <v>95.546681199308821</v>
      </c>
      <c r="T88">
        <f>IFERROR(SUM($E$3:$E88),"")</f>
        <v>143281.35800000004</v>
      </c>
      <c r="U88">
        <f>IFERROR(SUM($F$3:$F88),"")</f>
        <v>155268.96399999998</v>
      </c>
      <c r="V88">
        <f>IFERROR(SUM($G$3:$G88),"")</f>
        <v>7067.57</v>
      </c>
      <c r="W88">
        <f t="shared" si="21"/>
        <v>162336.53399999999</v>
      </c>
      <c r="X88">
        <f t="shared" si="22"/>
        <v>88.261929997840198</v>
      </c>
      <c r="Y88">
        <f t="shared" si="23"/>
        <v>95.64634661967095</v>
      </c>
      <c r="Z88">
        <f>IFERROR(SUM($H$3:$H88),"")</f>
        <v>135893.67100000003</v>
      </c>
      <c r="AA88">
        <f>IFERROR(SUM($I$3:$I88),"")</f>
        <v>147297.91299999997</v>
      </c>
      <c r="AB88">
        <f>IFERROR(SUM($J$3:$J88),"")</f>
        <v>6865.3830000000007</v>
      </c>
      <c r="AC88">
        <f t="shared" si="24"/>
        <v>154163.29599999997</v>
      </c>
      <c r="AD88">
        <f t="shared" si="25"/>
        <v>88.149173328520476</v>
      </c>
      <c r="AE88">
        <f t="shared" si="26"/>
        <v>95.546681228195851</v>
      </c>
    </row>
    <row r="89" spans="1:31" x14ac:dyDescent="0.35">
      <c r="A89">
        <v>1936</v>
      </c>
      <c r="B89">
        <v>3378.7060000000001</v>
      </c>
      <c r="C89">
        <v>3848.183</v>
      </c>
      <c r="D89">
        <v>359.74599999999998</v>
      </c>
      <c r="E89">
        <v>3561.6529999999998</v>
      </c>
      <c r="F89">
        <v>4058.2739999999999</v>
      </c>
      <c r="G89">
        <v>438.99900000000002</v>
      </c>
      <c r="H89">
        <v>3378.7060000000001</v>
      </c>
      <c r="I89">
        <v>3848.183</v>
      </c>
      <c r="J89">
        <v>359.74599999999998</v>
      </c>
      <c r="N89">
        <f>IFERROR(SUM($B$3:$B89),"")</f>
        <v>139272.37600000005</v>
      </c>
      <c r="O89">
        <f>IFERROR(SUM($C$3:$C89),"")</f>
        <v>151146.09499999997</v>
      </c>
      <c r="P89">
        <f>IFERROR(SUM($D$3:$D89),"")</f>
        <v>7225.1290000000008</v>
      </c>
      <c r="Q89">
        <f t="shared" si="18"/>
        <v>158371.22399999999</v>
      </c>
      <c r="R89">
        <f t="shared" si="19"/>
        <v>87.940455647422453</v>
      </c>
      <c r="S89">
        <f t="shared" si="20"/>
        <v>95.437852396720743</v>
      </c>
      <c r="T89">
        <f>IFERROR(SUM($E$3:$E89),"")</f>
        <v>146843.01100000003</v>
      </c>
      <c r="U89">
        <f>IFERROR(SUM($F$3:$F89),"")</f>
        <v>159327.23799999998</v>
      </c>
      <c r="V89">
        <f>IFERROR(SUM($G$3:$G89),"")</f>
        <v>7506.5689999999995</v>
      </c>
      <c r="W89">
        <f t="shared" si="21"/>
        <v>166833.80699999997</v>
      </c>
      <c r="X89">
        <f t="shared" si="22"/>
        <v>88.017538915239186</v>
      </c>
      <c r="Y89">
        <f t="shared" si="23"/>
        <v>95.500570816561179</v>
      </c>
      <c r="Z89">
        <f>IFERROR(SUM($H$3:$H89),"")</f>
        <v>139272.37700000004</v>
      </c>
      <c r="AA89">
        <f>IFERROR(SUM($I$3:$I89),"")</f>
        <v>151146.09599999996</v>
      </c>
      <c r="AB89">
        <f>IFERROR(SUM($J$3:$J89),"")</f>
        <v>7225.1290000000008</v>
      </c>
      <c r="AC89">
        <f t="shared" si="24"/>
        <v>158371.22499999998</v>
      </c>
      <c r="AD89">
        <f t="shared" si="25"/>
        <v>87.940455723569769</v>
      </c>
      <c r="AE89">
        <f t="shared" si="26"/>
        <v>95.43785242552741</v>
      </c>
    </row>
    <row r="90" spans="1:31" x14ac:dyDescent="0.35">
      <c r="A90">
        <v>1937</v>
      </c>
      <c r="B90">
        <v>3615.6889999999999</v>
      </c>
      <c r="C90">
        <v>4104.1409999999996</v>
      </c>
      <c r="D90">
        <v>392.57299999999998</v>
      </c>
      <c r="E90">
        <v>3818.835</v>
      </c>
      <c r="F90">
        <v>4336.2190000000001</v>
      </c>
      <c r="G90">
        <v>483.072</v>
      </c>
      <c r="H90">
        <v>3615.6889999999999</v>
      </c>
      <c r="I90">
        <v>4104.1409999999996</v>
      </c>
      <c r="J90">
        <v>392.57299999999998</v>
      </c>
      <c r="N90">
        <f>IFERROR(SUM($B$3:$B90),"")</f>
        <v>142888.06500000006</v>
      </c>
      <c r="O90">
        <f>IFERROR(SUM($C$3:$C90),"")</f>
        <v>155250.23599999998</v>
      </c>
      <c r="P90">
        <f>IFERROR(SUM($D$3:$D90),"")</f>
        <v>7617.7020000000011</v>
      </c>
      <c r="Q90">
        <f t="shared" si="18"/>
        <v>162867.93799999997</v>
      </c>
      <c r="R90">
        <f t="shared" si="19"/>
        <v>87.732470094881464</v>
      </c>
      <c r="S90">
        <f t="shared" si="20"/>
        <v>95.32277371866769</v>
      </c>
      <c r="T90">
        <f>IFERROR(SUM($E$3:$E90),"")</f>
        <v>150661.84600000002</v>
      </c>
      <c r="U90">
        <f>IFERROR(SUM($F$3:$F90),"")</f>
        <v>163663.45699999999</v>
      </c>
      <c r="V90">
        <f>IFERROR(SUM($G$3:$G90),"")</f>
        <v>7989.6409999999996</v>
      </c>
      <c r="W90">
        <f t="shared" si="21"/>
        <v>171653.098</v>
      </c>
      <c r="X90">
        <f t="shared" si="22"/>
        <v>87.771119633389901</v>
      </c>
      <c r="Y90">
        <f t="shared" si="23"/>
        <v>95.34547229668992</v>
      </c>
      <c r="Z90">
        <f>IFERROR(SUM($H$3:$H90),"")</f>
        <v>142888.06600000005</v>
      </c>
      <c r="AA90">
        <f>IFERROR(SUM($I$3:$I90),"")</f>
        <v>155250.23699999996</v>
      </c>
      <c r="AB90">
        <f>IFERROR(SUM($J$3:$J90),"")</f>
        <v>7617.7020000000011</v>
      </c>
      <c r="AC90">
        <f t="shared" si="24"/>
        <v>162867.93899999995</v>
      </c>
      <c r="AD90">
        <f t="shared" si="25"/>
        <v>87.732470170203413</v>
      </c>
      <c r="AE90">
        <f t="shared" si="26"/>
        <v>95.322773747385611</v>
      </c>
    </row>
    <row r="91" spans="1:31" x14ac:dyDescent="0.35">
      <c r="A91">
        <v>1938</v>
      </c>
      <c r="B91">
        <v>3317.5329999999999</v>
      </c>
      <c r="C91">
        <v>3835.578</v>
      </c>
      <c r="D91">
        <v>394.03899999999999</v>
      </c>
      <c r="E91">
        <v>3499.7539999999999</v>
      </c>
      <c r="F91">
        <v>4048.7890000000002</v>
      </c>
      <c r="G91">
        <v>494.541</v>
      </c>
      <c r="H91">
        <v>3317.5329999999999</v>
      </c>
      <c r="I91">
        <v>3835.578</v>
      </c>
      <c r="J91">
        <v>394.03899999999999</v>
      </c>
      <c r="N91">
        <f>IFERROR(SUM($B$3:$B91),"")</f>
        <v>146205.59800000006</v>
      </c>
      <c r="O91">
        <f>IFERROR(SUM($C$3:$C91),"")</f>
        <v>159085.81399999998</v>
      </c>
      <c r="P91">
        <f>IFERROR(SUM($D$3:$D91),"")</f>
        <v>8011.7410000000009</v>
      </c>
      <c r="Q91">
        <f t="shared" si="18"/>
        <v>167097.55499999999</v>
      </c>
      <c r="R91">
        <f t="shared" si="19"/>
        <v>87.497149793723821</v>
      </c>
      <c r="S91">
        <f t="shared" si="20"/>
        <v>95.205351149512623</v>
      </c>
      <c r="T91">
        <f>IFERROR(SUM($E$3:$E91),"")</f>
        <v>154161.60000000001</v>
      </c>
      <c r="U91">
        <f>IFERROR(SUM($F$3:$F91),"")</f>
        <v>167712.24599999998</v>
      </c>
      <c r="V91">
        <f>IFERROR(SUM($G$3:$G91),"")</f>
        <v>8484.1819999999989</v>
      </c>
      <c r="W91">
        <f t="shared" si="21"/>
        <v>176196.42799999999</v>
      </c>
      <c r="X91">
        <f t="shared" si="22"/>
        <v>87.494168724010692</v>
      </c>
      <c r="Y91">
        <f t="shared" si="23"/>
        <v>95.184816118973757</v>
      </c>
      <c r="Z91">
        <f>IFERROR(SUM($H$3:$H91),"")</f>
        <v>146205.59900000005</v>
      </c>
      <c r="AA91">
        <f>IFERROR(SUM($I$3:$I91),"")</f>
        <v>159085.81499999997</v>
      </c>
      <c r="AB91">
        <f>IFERROR(SUM($J$3:$J91),"")</f>
        <v>8011.7410000000009</v>
      </c>
      <c r="AC91">
        <f t="shared" si="24"/>
        <v>167097.55599999998</v>
      </c>
      <c r="AD91">
        <f t="shared" si="25"/>
        <v>87.497149868547481</v>
      </c>
      <c r="AE91">
        <f t="shared" si="26"/>
        <v>95.205351178206328</v>
      </c>
    </row>
    <row r="92" spans="1:31" x14ac:dyDescent="0.35">
      <c r="A92">
        <v>1939</v>
      </c>
      <c r="B92">
        <v>3527.6080000000002</v>
      </c>
      <c r="C92">
        <v>4046.7689999999998</v>
      </c>
      <c r="D92">
        <v>423.363</v>
      </c>
      <c r="E92">
        <v>3733.1410000000001</v>
      </c>
      <c r="F92">
        <v>4283.1490000000003</v>
      </c>
      <c r="G92">
        <v>533.34299999999996</v>
      </c>
      <c r="H92">
        <v>3527.6080000000002</v>
      </c>
      <c r="I92">
        <v>4046.7689999999998</v>
      </c>
      <c r="J92">
        <v>423.363</v>
      </c>
      <c r="N92">
        <f>IFERROR(SUM($B$3:$B92),"")</f>
        <v>149733.20600000006</v>
      </c>
      <c r="O92">
        <f>IFERROR(SUM($C$3:$C92),"")</f>
        <v>163132.58299999998</v>
      </c>
      <c r="P92">
        <f>IFERROR(SUM($D$3:$D92),"")</f>
        <v>8435.1040000000012</v>
      </c>
      <c r="Q92">
        <f t="shared" si="18"/>
        <v>171567.68699999998</v>
      </c>
      <c r="R92">
        <f t="shared" si="19"/>
        <v>87.27354702870133</v>
      </c>
      <c r="S92">
        <f t="shared" si="20"/>
        <v>95.083512433200795</v>
      </c>
      <c r="T92">
        <f>IFERROR(SUM($E$3:$E92),"")</f>
        <v>157894.74100000001</v>
      </c>
      <c r="U92">
        <f>IFERROR(SUM($F$3:$F92),"")</f>
        <v>171995.39499999999</v>
      </c>
      <c r="V92">
        <f>IFERROR(SUM($G$3:$G92),"")</f>
        <v>9017.5249999999996</v>
      </c>
      <c r="W92">
        <f t="shared" si="21"/>
        <v>181012.91999999998</v>
      </c>
      <c r="X92">
        <f t="shared" si="22"/>
        <v>87.228437064050468</v>
      </c>
      <c r="Y92">
        <f t="shared" si="23"/>
        <v>95.018297588923488</v>
      </c>
      <c r="Z92">
        <f>IFERROR(SUM($H$3:$H92),"")</f>
        <v>149733.20700000005</v>
      </c>
      <c r="AA92">
        <f>IFERROR(SUM($I$3:$I92),"")</f>
        <v>163132.58399999997</v>
      </c>
      <c r="AB92">
        <f>IFERROR(SUM($J$3:$J92),"")</f>
        <v>8435.1040000000012</v>
      </c>
      <c r="AC92">
        <f t="shared" si="24"/>
        <v>171567.68799999997</v>
      </c>
      <c r="AD92">
        <f t="shared" si="25"/>
        <v>87.273547102878766</v>
      </c>
      <c r="AE92">
        <f t="shared" si="26"/>
        <v>95.08351246185704</v>
      </c>
    </row>
    <row r="93" spans="1:31" x14ac:dyDescent="0.35">
      <c r="A93">
        <v>1940</v>
      </c>
      <c r="B93">
        <v>3709.15</v>
      </c>
      <c r="C93">
        <v>4423.4170000000004</v>
      </c>
      <c r="D93">
        <v>461.24400000000003</v>
      </c>
      <c r="E93">
        <v>3888.4140000000002</v>
      </c>
      <c r="F93">
        <v>4640.5529999999999</v>
      </c>
      <c r="G93">
        <v>555.303</v>
      </c>
      <c r="H93">
        <v>3709.15</v>
      </c>
      <c r="I93">
        <v>4423.4170000000004</v>
      </c>
      <c r="J93">
        <v>461.24400000000003</v>
      </c>
      <c r="N93">
        <f>IFERROR(SUM($B$3:$B93),"")</f>
        <v>153442.35600000006</v>
      </c>
      <c r="O93">
        <f>IFERROR(SUM($C$3:$C93),"")</f>
        <v>167555.99999999997</v>
      </c>
      <c r="P93">
        <f>IFERROR(SUM($D$3:$D93),"")</f>
        <v>8896.3480000000018</v>
      </c>
      <c r="Q93">
        <f t="shared" si="18"/>
        <v>176452.34799999997</v>
      </c>
      <c r="R93">
        <f t="shared" si="19"/>
        <v>86.95965666605926</v>
      </c>
      <c r="S93">
        <f t="shared" si="20"/>
        <v>94.958215007714159</v>
      </c>
      <c r="T93">
        <f>IFERROR(SUM($E$3:$E93),"")</f>
        <v>161783.155</v>
      </c>
      <c r="U93">
        <f>IFERROR(SUM($F$3:$F93),"")</f>
        <v>176635.94799999997</v>
      </c>
      <c r="V93">
        <f>IFERROR(SUM($G$3:$G93),"")</f>
        <v>9572.8279999999995</v>
      </c>
      <c r="W93">
        <f t="shared" si="21"/>
        <v>186208.77599999998</v>
      </c>
      <c r="X93">
        <f t="shared" si="22"/>
        <v>86.882669267961901</v>
      </c>
      <c r="Y93">
        <f t="shared" si="23"/>
        <v>94.859088703746167</v>
      </c>
      <c r="Z93">
        <f>IFERROR(SUM($H$3:$H93),"")</f>
        <v>153442.35700000005</v>
      </c>
      <c r="AA93">
        <f>IFERROR(SUM($I$3:$I93),"")</f>
        <v>167556.00099999996</v>
      </c>
      <c r="AB93">
        <f>IFERROR(SUM($J$3:$J93),"")</f>
        <v>8896.3480000000018</v>
      </c>
      <c r="AC93">
        <f t="shared" si="24"/>
        <v>176452.34899999996</v>
      </c>
      <c r="AD93">
        <f t="shared" si="25"/>
        <v>86.95965673996217</v>
      </c>
      <c r="AE93">
        <f t="shared" si="26"/>
        <v>94.958215036287214</v>
      </c>
    </row>
    <row r="94" spans="1:31" x14ac:dyDescent="0.35">
      <c r="A94">
        <v>1941</v>
      </c>
      <c r="B94">
        <v>3877.7779999999998</v>
      </c>
      <c r="C94">
        <v>4537.3339999999998</v>
      </c>
      <c r="D94">
        <v>461.75599999999997</v>
      </c>
      <c r="E94">
        <v>4051.846</v>
      </c>
      <c r="F94">
        <v>4748.8819999999996</v>
      </c>
      <c r="G94">
        <v>567.13199999999995</v>
      </c>
      <c r="H94">
        <v>3877.777</v>
      </c>
      <c r="I94">
        <v>4537.3339999999998</v>
      </c>
      <c r="J94">
        <v>461.75599999999997</v>
      </c>
      <c r="N94">
        <f>IFERROR(SUM($B$3:$B94),"")</f>
        <v>157320.13400000005</v>
      </c>
      <c r="O94">
        <f>IFERROR(SUM($C$3:$C94),"")</f>
        <v>172093.33399999997</v>
      </c>
      <c r="P94">
        <f>IFERROR(SUM($D$3:$D94),"")</f>
        <v>9358.1040000000012</v>
      </c>
      <c r="Q94">
        <f t="shared" si="18"/>
        <v>181451.43799999997</v>
      </c>
      <c r="R94">
        <f t="shared" si="19"/>
        <v>86.700957420905127</v>
      </c>
      <c r="S94">
        <f t="shared" si="20"/>
        <v>94.84263993543</v>
      </c>
      <c r="T94">
        <f>IFERROR(SUM($E$3:$E94),"")</f>
        <v>165835.00099999999</v>
      </c>
      <c r="U94">
        <f>IFERROR(SUM($F$3:$F94),"")</f>
        <v>181384.83</v>
      </c>
      <c r="V94">
        <f>IFERROR(SUM($G$3:$G94),"")</f>
        <v>10139.959999999999</v>
      </c>
      <c r="W94">
        <f t="shared" si="21"/>
        <v>191524.78999999998</v>
      </c>
      <c r="X94">
        <f t="shared" si="22"/>
        <v>86.586702953701192</v>
      </c>
      <c r="Y94">
        <f t="shared" si="23"/>
        <v>94.705667083618778</v>
      </c>
      <c r="Z94">
        <f>IFERROR(SUM($H$3:$H94),"")</f>
        <v>157320.13400000005</v>
      </c>
      <c r="AA94">
        <f>IFERROR(SUM($I$3:$I94),"")</f>
        <v>172093.33499999996</v>
      </c>
      <c r="AB94">
        <f>IFERROR(SUM($J$3:$J94),"")</f>
        <v>9358.1040000000012</v>
      </c>
      <c r="AC94">
        <f t="shared" si="24"/>
        <v>181451.43899999995</v>
      </c>
      <c r="AD94">
        <f t="shared" si="25"/>
        <v>86.700956943086069</v>
      </c>
      <c r="AE94">
        <f t="shared" si="26"/>
        <v>94.842639963852818</v>
      </c>
    </row>
    <row r="95" spans="1:31" x14ac:dyDescent="0.35">
      <c r="A95">
        <v>1942</v>
      </c>
      <c r="B95">
        <v>4030.2849999999999</v>
      </c>
      <c r="C95">
        <v>4547.3280000000004</v>
      </c>
      <c r="D95">
        <v>435.19499999999999</v>
      </c>
      <c r="E95">
        <v>4211.799</v>
      </c>
      <c r="F95">
        <v>4815.3649999999998</v>
      </c>
      <c r="G95">
        <v>518.52099999999996</v>
      </c>
      <c r="H95">
        <v>4030.2849999999999</v>
      </c>
      <c r="I95">
        <v>4547.3280000000004</v>
      </c>
      <c r="J95">
        <v>435.19499999999999</v>
      </c>
      <c r="N95">
        <f>IFERROR(SUM($B$3:$B95),"")</f>
        <v>161350.41900000005</v>
      </c>
      <c r="O95">
        <f>IFERROR(SUM($C$3:$C95),"")</f>
        <v>176640.66199999998</v>
      </c>
      <c r="P95">
        <f>IFERROR(SUM($D$3:$D95),"")</f>
        <v>9793.2990000000009</v>
      </c>
      <c r="Q95">
        <f t="shared" si="18"/>
        <v>186433.96099999998</v>
      </c>
      <c r="R95">
        <f t="shared" si="19"/>
        <v>86.545615473996222</v>
      </c>
      <c r="S95">
        <f t="shared" si="20"/>
        <v>94.747041286109877</v>
      </c>
      <c r="T95">
        <f>IFERROR(SUM($E$3:$E95),"")</f>
        <v>170046.8</v>
      </c>
      <c r="U95">
        <f>IFERROR(SUM($F$3:$F95),"")</f>
        <v>186200.19499999998</v>
      </c>
      <c r="V95">
        <f>IFERROR(SUM($G$3:$G95),"")</f>
        <v>10658.481</v>
      </c>
      <c r="W95">
        <f t="shared" si="21"/>
        <v>196858.67599999998</v>
      </c>
      <c r="X95">
        <f t="shared" si="22"/>
        <v>86.380140035077758</v>
      </c>
      <c r="Y95">
        <f t="shared" si="23"/>
        <v>94.58571945287288</v>
      </c>
      <c r="Z95">
        <f>IFERROR(SUM($H$3:$H95),"")</f>
        <v>161350.41900000005</v>
      </c>
      <c r="AA95">
        <f>IFERROR(SUM($I$3:$I95),"")</f>
        <v>176640.66299999997</v>
      </c>
      <c r="AB95">
        <f>IFERROR(SUM($J$3:$J95),"")</f>
        <v>9793.2990000000009</v>
      </c>
      <c r="AC95">
        <f t="shared" si="24"/>
        <v>186433.96199999997</v>
      </c>
      <c r="AD95">
        <f t="shared" si="25"/>
        <v>86.545615009780292</v>
      </c>
      <c r="AE95">
        <f t="shared" si="26"/>
        <v>94.747041314285866</v>
      </c>
    </row>
    <row r="96" spans="1:31" x14ac:dyDescent="0.35">
      <c r="A96">
        <v>1943</v>
      </c>
      <c r="B96">
        <v>4098.326</v>
      </c>
      <c r="C96">
        <v>4649.4279999999999</v>
      </c>
      <c r="D96">
        <v>425.84500000000003</v>
      </c>
      <c r="E96">
        <v>4265.4170000000004</v>
      </c>
      <c r="F96">
        <v>4969.1499999999996</v>
      </c>
      <c r="G96">
        <v>544.84400000000005</v>
      </c>
      <c r="H96">
        <v>4098.326</v>
      </c>
      <c r="I96">
        <v>4649.4279999999999</v>
      </c>
      <c r="J96">
        <v>425.846</v>
      </c>
      <c r="N96">
        <f>IFERROR(SUM($B$3:$B96),"")</f>
        <v>165448.74500000005</v>
      </c>
      <c r="O96">
        <f>IFERROR(SUM($C$3:$C96),"")</f>
        <v>181290.08999999997</v>
      </c>
      <c r="P96">
        <f>IFERROR(SUM($D$3:$D96),"")</f>
        <v>10219.144</v>
      </c>
      <c r="Q96">
        <f t="shared" si="18"/>
        <v>191509.23399999997</v>
      </c>
      <c r="R96">
        <f t="shared" si="19"/>
        <v>86.392045722453304</v>
      </c>
      <c r="S96">
        <f t="shared" si="20"/>
        <v>94.663889679596338</v>
      </c>
      <c r="T96">
        <f>IFERROR(SUM($E$3:$E96),"")</f>
        <v>174312.21699999998</v>
      </c>
      <c r="U96">
        <f>IFERROR(SUM($F$3:$F96),"")</f>
        <v>191169.34499999997</v>
      </c>
      <c r="V96">
        <f>IFERROR(SUM($G$3:$G96),"")</f>
        <v>11203.325000000001</v>
      </c>
      <c r="W96">
        <f t="shared" si="21"/>
        <v>202372.66999999998</v>
      </c>
      <c r="X96">
        <f t="shared" si="22"/>
        <v>86.134267537212409</v>
      </c>
      <c r="Y96">
        <f t="shared" si="23"/>
        <v>94.464012853118945</v>
      </c>
      <c r="Z96">
        <f>IFERROR(SUM($H$3:$H96),"")</f>
        <v>165448.74500000005</v>
      </c>
      <c r="AA96">
        <f>IFERROR(SUM($I$3:$I96),"")</f>
        <v>181290.09099999996</v>
      </c>
      <c r="AB96">
        <f>IFERROR(SUM($J$3:$J96),"")</f>
        <v>10219.145</v>
      </c>
      <c r="AC96">
        <f t="shared" si="24"/>
        <v>191509.23599999995</v>
      </c>
      <c r="AD96">
        <f t="shared" si="25"/>
        <v>86.392044820230026</v>
      </c>
      <c r="AE96">
        <f t="shared" si="26"/>
        <v>94.663889213155244</v>
      </c>
    </row>
    <row r="97" spans="1:31" x14ac:dyDescent="0.35">
      <c r="A97">
        <v>1944</v>
      </c>
      <c r="B97">
        <v>4090.645</v>
      </c>
      <c r="C97">
        <v>4711.6570000000002</v>
      </c>
      <c r="D97">
        <v>450.82799999999997</v>
      </c>
      <c r="E97">
        <v>4224.5140000000001</v>
      </c>
      <c r="F97">
        <v>4882.5240000000003</v>
      </c>
      <c r="G97">
        <v>577.04600000000005</v>
      </c>
      <c r="H97">
        <v>4090.645</v>
      </c>
      <c r="I97">
        <v>4711.6570000000002</v>
      </c>
      <c r="J97">
        <v>450.82799999999997</v>
      </c>
      <c r="N97">
        <f>IFERROR(SUM($B$3:$B97),"")</f>
        <v>169539.39000000004</v>
      </c>
      <c r="O97">
        <f>IFERROR(SUM($C$3:$C97),"")</f>
        <v>186001.74699999997</v>
      </c>
      <c r="P97">
        <f>IFERROR(SUM($D$3:$D97),"")</f>
        <v>10669.972</v>
      </c>
      <c r="Q97">
        <f t="shared" si="18"/>
        <v>196671.71899999998</v>
      </c>
      <c r="R97">
        <f t="shared" si="19"/>
        <v>86.204254918827488</v>
      </c>
      <c r="S97">
        <f t="shared" si="20"/>
        <v>94.57472988274435</v>
      </c>
      <c r="T97">
        <f>IFERROR(SUM($E$3:$E97),"")</f>
        <v>178536.73099999997</v>
      </c>
      <c r="U97">
        <f>IFERROR(SUM($F$3:$F97),"")</f>
        <v>196051.86899999998</v>
      </c>
      <c r="V97">
        <f>IFERROR(SUM($G$3:$G97),"")</f>
        <v>11780.371000000001</v>
      </c>
      <c r="W97">
        <f t="shared" si="21"/>
        <v>207832.24</v>
      </c>
      <c r="X97">
        <f t="shared" si="22"/>
        <v>85.904251910098253</v>
      </c>
      <c r="Y97">
        <f t="shared" si="23"/>
        <v>94.33178846554317</v>
      </c>
      <c r="Z97">
        <f>IFERROR(SUM($H$3:$H97),"")</f>
        <v>169539.39000000004</v>
      </c>
      <c r="AA97">
        <f>IFERROR(SUM($I$3:$I97),"")</f>
        <v>186001.74799999996</v>
      </c>
      <c r="AB97">
        <f>IFERROR(SUM($J$3:$J97),"")</f>
        <v>10669.973</v>
      </c>
      <c r="AC97">
        <f t="shared" si="24"/>
        <v>196671.72099999996</v>
      </c>
      <c r="AD97">
        <f t="shared" si="25"/>
        <v>86.204254042196581</v>
      </c>
      <c r="AE97">
        <f t="shared" si="26"/>
        <v>94.574729429453669</v>
      </c>
    </row>
    <row r="98" spans="1:31" x14ac:dyDescent="0.35">
      <c r="A98">
        <v>1945</v>
      </c>
      <c r="B98">
        <v>3413.9369999999999</v>
      </c>
      <c r="C98">
        <v>3880.7930000000001</v>
      </c>
      <c r="D98">
        <v>408.51900000000001</v>
      </c>
      <c r="E98">
        <v>3512.7840000000001</v>
      </c>
      <c r="F98">
        <v>4010.0360000000001</v>
      </c>
      <c r="G98">
        <v>565.28300000000002</v>
      </c>
      <c r="H98">
        <v>3413.9369999999999</v>
      </c>
      <c r="I98">
        <v>3880.7930000000001</v>
      </c>
      <c r="J98">
        <v>408.51900000000001</v>
      </c>
      <c r="N98">
        <f>IFERROR(SUM($B$3:$B98),"")</f>
        <v>172953.32700000005</v>
      </c>
      <c r="O98">
        <f>IFERROR(SUM($C$3:$C98),"")</f>
        <v>189882.53999999998</v>
      </c>
      <c r="P98">
        <f>IFERROR(SUM($D$3:$D98),"")</f>
        <v>11078.491</v>
      </c>
      <c r="Q98">
        <f t="shared" si="18"/>
        <v>200961.03099999999</v>
      </c>
      <c r="R98">
        <f t="shared" si="19"/>
        <v>86.063116883591263</v>
      </c>
      <c r="S98">
        <f t="shared" si="20"/>
        <v>94.487244146353916</v>
      </c>
      <c r="T98">
        <f>IFERROR(SUM($E$3:$E98),"")</f>
        <v>182049.51499999998</v>
      </c>
      <c r="U98">
        <f>IFERROR(SUM($F$3:$F98),"")</f>
        <v>200061.90499999997</v>
      </c>
      <c r="V98">
        <f>IFERROR(SUM($G$3:$G98),"")</f>
        <v>12345.654</v>
      </c>
      <c r="W98">
        <f t="shared" si="21"/>
        <v>212407.55899999998</v>
      </c>
      <c r="X98">
        <f t="shared" si="22"/>
        <v>85.707644236898375</v>
      </c>
      <c r="Y98">
        <f t="shared" si="23"/>
        <v>94.187752046997531</v>
      </c>
      <c r="Z98">
        <f>IFERROR(SUM($H$3:$H98),"")</f>
        <v>172953.32700000005</v>
      </c>
      <c r="AA98">
        <f>IFERROR(SUM($I$3:$I98),"")</f>
        <v>189882.54099999997</v>
      </c>
      <c r="AB98">
        <f>IFERROR(SUM($J$3:$J98),"")</f>
        <v>11078.492</v>
      </c>
      <c r="AC98">
        <f t="shared" si="24"/>
        <v>200961.03299999997</v>
      </c>
      <c r="AD98">
        <f t="shared" si="25"/>
        <v>86.063116027075793</v>
      </c>
      <c r="AE98">
        <f t="shared" si="26"/>
        <v>94.487243703608954</v>
      </c>
    </row>
    <row r="99" spans="1:31" x14ac:dyDescent="0.35">
      <c r="A99">
        <v>1946</v>
      </c>
      <c r="B99">
        <v>3612.6550000000002</v>
      </c>
      <c r="C99">
        <v>4177.92</v>
      </c>
      <c r="D99">
        <v>430.625</v>
      </c>
      <c r="E99">
        <v>3771.8330000000001</v>
      </c>
      <c r="F99">
        <v>4376.1890000000003</v>
      </c>
      <c r="G99">
        <v>657.79600000000005</v>
      </c>
      <c r="H99">
        <v>3612.6550000000002</v>
      </c>
      <c r="I99">
        <v>4177.9210000000003</v>
      </c>
      <c r="J99">
        <v>430.625</v>
      </c>
      <c r="N99">
        <f>IFERROR(SUM($B$3:$B99),"")</f>
        <v>176565.98200000005</v>
      </c>
      <c r="O99">
        <f>IFERROR(SUM($C$3:$C99),"")</f>
        <v>194060.46</v>
      </c>
      <c r="P99">
        <f>IFERROR(SUM($D$3:$D99),"")</f>
        <v>11509.116</v>
      </c>
      <c r="Q99">
        <f t="shared" ref="Q99:Q130" si="27">IFERROR(O99+P99,"")</f>
        <v>205569.576</v>
      </c>
      <c r="R99">
        <f t="shared" ref="R99:R130" si="28">IFERROR(N99/Q99*100,NA())</f>
        <v>85.891105792814429</v>
      </c>
      <c r="S99">
        <f t="shared" ref="S99:S130" si="29">IFERROR(O99/Q99*100,NA())</f>
        <v>94.401352464724638</v>
      </c>
      <c r="T99">
        <f>IFERROR(SUM($E$3:$E99),"")</f>
        <v>185821.348</v>
      </c>
      <c r="U99">
        <f>IFERROR(SUM($F$3:$F99),"")</f>
        <v>204438.09399999998</v>
      </c>
      <c r="V99">
        <f>IFERROR(SUM($G$3:$G99),"")</f>
        <v>13003.45</v>
      </c>
      <c r="W99">
        <f t="shared" ref="W99:W130" si="30">IFERROR(U99+V99,"")</f>
        <v>217441.54399999999</v>
      </c>
      <c r="X99">
        <f t="shared" ref="X99:X130" si="31">IFERROR(T99/W99*100,NA())</f>
        <v>85.45807051480466</v>
      </c>
      <c r="Y99">
        <f t="shared" ref="Y99:Y130" si="32">IFERROR(U99/W99*100,NA())</f>
        <v>94.019795039718815</v>
      </c>
      <c r="Z99">
        <f>IFERROR(SUM($H$3:$H99),"")</f>
        <v>176565.98200000005</v>
      </c>
      <c r="AA99">
        <f>IFERROR(SUM($I$3:$I99),"")</f>
        <v>194060.46199999997</v>
      </c>
      <c r="AB99">
        <f>IFERROR(SUM($J$3:$J99),"")</f>
        <v>11509.117</v>
      </c>
      <c r="AC99">
        <f t="shared" ref="AC99:AC130" si="33">IFERROR(AA99+AB99,"")</f>
        <v>205569.57899999997</v>
      </c>
      <c r="AD99">
        <f t="shared" ref="AD99:AD130" si="34">IFERROR(Z99/AC99*100,NA())</f>
        <v>85.891104539354075</v>
      </c>
      <c r="AE99">
        <f t="shared" ref="AE99:AE130" si="35">IFERROR(AA99/AC99*100,NA())</f>
        <v>94.401352059975764</v>
      </c>
    </row>
    <row r="100" spans="1:31" x14ac:dyDescent="0.35">
      <c r="A100">
        <v>1947</v>
      </c>
      <c r="B100">
        <v>4035.6329999999998</v>
      </c>
      <c r="C100">
        <v>4673.5469999999996</v>
      </c>
      <c r="D100">
        <v>491.65699999999998</v>
      </c>
      <c r="E100">
        <v>4249.7380000000003</v>
      </c>
      <c r="F100">
        <v>4936.8819999999996</v>
      </c>
      <c r="G100">
        <v>684.98800000000006</v>
      </c>
      <c r="H100">
        <v>4035.6329999999998</v>
      </c>
      <c r="I100">
        <v>4673.5469999999996</v>
      </c>
      <c r="J100">
        <v>491.65699999999998</v>
      </c>
      <c r="N100">
        <f>IFERROR(SUM($B$3:$B100),"")</f>
        <v>180601.61500000005</v>
      </c>
      <c r="O100">
        <f>IFERROR(SUM($C$3:$C100),"")</f>
        <v>198734.00699999998</v>
      </c>
      <c r="P100">
        <f>IFERROR(SUM($D$3:$D100),"")</f>
        <v>12000.772999999999</v>
      </c>
      <c r="Q100">
        <f t="shared" si="27"/>
        <v>210734.77999999997</v>
      </c>
      <c r="R100">
        <f t="shared" si="28"/>
        <v>85.700905659711253</v>
      </c>
      <c r="S100">
        <f t="shared" si="29"/>
        <v>94.305271773363657</v>
      </c>
      <c r="T100">
        <f>IFERROR(SUM($E$3:$E100),"")</f>
        <v>190071.08600000001</v>
      </c>
      <c r="U100">
        <f>IFERROR(SUM($F$3:$F100),"")</f>
        <v>209374.976</v>
      </c>
      <c r="V100">
        <f>IFERROR(SUM($G$3:$G100),"")</f>
        <v>13688.438</v>
      </c>
      <c r="W100">
        <f t="shared" si="30"/>
        <v>223063.41399999999</v>
      </c>
      <c r="X100">
        <f t="shared" si="31"/>
        <v>85.209440038427829</v>
      </c>
      <c r="Y100">
        <f t="shared" si="32"/>
        <v>93.863432037312947</v>
      </c>
      <c r="Z100">
        <f>IFERROR(SUM($H$3:$H100),"")</f>
        <v>180601.61500000005</v>
      </c>
      <c r="AA100">
        <f>IFERROR(SUM($I$3:$I100),"")</f>
        <v>198734.00899999996</v>
      </c>
      <c r="AB100">
        <f>IFERROR(SUM($J$3:$J100),"")</f>
        <v>12000.773999999999</v>
      </c>
      <c r="AC100">
        <f t="shared" si="33"/>
        <v>210734.78299999997</v>
      </c>
      <c r="AD100">
        <f t="shared" si="34"/>
        <v>85.700904439681452</v>
      </c>
      <c r="AE100">
        <f t="shared" si="35"/>
        <v>94.305271379903147</v>
      </c>
    </row>
    <row r="101" spans="1:31" x14ac:dyDescent="0.35">
      <c r="A101">
        <v>1948</v>
      </c>
      <c r="B101">
        <v>4277.8819999999996</v>
      </c>
      <c r="C101">
        <v>4956.8519999999999</v>
      </c>
      <c r="D101">
        <v>491.03100000000001</v>
      </c>
      <c r="E101">
        <v>4516.0060000000003</v>
      </c>
      <c r="F101">
        <v>5251.317</v>
      </c>
      <c r="G101">
        <v>680.18899999999996</v>
      </c>
      <c r="H101">
        <v>4277.8819999999996</v>
      </c>
      <c r="I101">
        <v>4956.8519999999999</v>
      </c>
      <c r="J101">
        <v>491.03100000000001</v>
      </c>
      <c r="N101">
        <f>IFERROR(SUM($B$3:$B101),"")</f>
        <v>184879.49700000006</v>
      </c>
      <c r="O101">
        <f>IFERROR(SUM($C$3:$C101),"")</f>
        <v>203690.859</v>
      </c>
      <c r="P101">
        <f>IFERROR(SUM($D$3:$D101),"")</f>
        <v>12491.804</v>
      </c>
      <c r="Q101">
        <f t="shared" si="27"/>
        <v>216182.663</v>
      </c>
      <c r="R101">
        <f t="shared" si="28"/>
        <v>85.520038672111312</v>
      </c>
      <c r="S101">
        <f t="shared" si="29"/>
        <v>94.221643943760654</v>
      </c>
      <c r="T101">
        <f>IFERROR(SUM($E$3:$E101),"")</f>
        <v>194587.092</v>
      </c>
      <c r="U101">
        <f>IFERROR(SUM($F$3:$F101),"")</f>
        <v>214626.29300000001</v>
      </c>
      <c r="V101">
        <f>IFERROR(SUM($G$3:$G101),"")</f>
        <v>14368.627</v>
      </c>
      <c r="W101">
        <f t="shared" si="30"/>
        <v>228994.92</v>
      </c>
      <c r="X101">
        <f t="shared" si="31"/>
        <v>84.974414279583144</v>
      </c>
      <c r="Y101">
        <f t="shared" si="32"/>
        <v>93.725351199930557</v>
      </c>
      <c r="Z101">
        <f>IFERROR(SUM($H$3:$H101),"")</f>
        <v>184879.49700000006</v>
      </c>
      <c r="AA101">
        <f>IFERROR(SUM($I$3:$I101),"")</f>
        <v>203690.86099999998</v>
      </c>
      <c r="AB101">
        <f>IFERROR(SUM($J$3:$J101),"")</f>
        <v>12491.805</v>
      </c>
      <c r="AC101">
        <f t="shared" si="33"/>
        <v>216182.66599999997</v>
      </c>
      <c r="AD101">
        <f t="shared" si="34"/>
        <v>85.52003748533663</v>
      </c>
      <c r="AE101">
        <f t="shared" si="35"/>
        <v>94.221643561376013</v>
      </c>
    </row>
    <row r="102" spans="1:31" x14ac:dyDescent="0.35">
      <c r="A102">
        <v>1949</v>
      </c>
      <c r="B102">
        <v>3947.9859999999999</v>
      </c>
      <c r="C102">
        <v>4716.0649999999996</v>
      </c>
      <c r="D102">
        <v>487.96800000000002</v>
      </c>
      <c r="E102">
        <v>4180.9780000000001</v>
      </c>
      <c r="F102">
        <v>5014.6360000000004</v>
      </c>
      <c r="G102">
        <v>723.26400000000001</v>
      </c>
      <c r="H102">
        <v>3947.9859999999999</v>
      </c>
      <c r="I102">
        <v>4716.0649999999996</v>
      </c>
      <c r="J102">
        <v>487.96800000000002</v>
      </c>
      <c r="N102">
        <f>IFERROR(SUM($B$3:$B102),"")</f>
        <v>188827.48300000007</v>
      </c>
      <c r="O102">
        <f>IFERROR(SUM($C$3:$C102),"")</f>
        <v>208406.924</v>
      </c>
      <c r="P102">
        <f>IFERROR(SUM($D$3:$D102),"")</f>
        <v>12979.772000000001</v>
      </c>
      <c r="Q102">
        <f t="shared" si="27"/>
        <v>221386.696</v>
      </c>
      <c r="R102">
        <f t="shared" si="28"/>
        <v>85.293057989356356</v>
      </c>
      <c r="S102">
        <f t="shared" si="29"/>
        <v>94.137058714675419</v>
      </c>
      <c r="T102">
        <f>IFERROR(SUM($E$3:$E102),"")</f>
        <v>198768.07</v>
      </c>
      <c r="U102">
        <f>IFERROR(SUM($F$3:$F102),"")</f>
        <v>219640.929</v>
      </c>
      <c r="V102">
        <f>IFERROR(SUM($G$3:$G102),"")</f>
        <v>15091.891</v>
      </c>
      <c r="W102">
        <f t="shared" si="30"/>
        <v>234732.82</v>
      </c>
      <c r="X102">
        <f t="shared" si="31"/>
        <v>84.678431418324891</v>
      </c>
      <c r="Y102">
        <f t="shared" si="32"/>
        <v>93.570608916128563</v>
      </c>
      <c r="Z102">
        <f>IFERROR(SUM($H$3:$H102),"")</f>
        <v>188827.48300000007</v>
      </c>
      <c r="AA102">
        <f>IFERROR(SUM($I$3:$I102),"")</f>
        <v>208406.92599999998</v>
      </c>
      <c r="AB102">
        <f>IFERROR(SUM($J$3:$J102),"")</f>
        <v>12979.773000000001</v>
      </c>
      <c r="AC102">
        <f t="shared" si="33"/>
        <v>221386.69899999996</v>
      </c>
      <c r="AD102">
        <f t="shared" si="34"/>
        <v>85.293056833554431</v>
      </c>
      <c r="AE102">
        <f t="shared" si="35"/>
        <v>94.137058342425533</v>
      </c>
    </row>
    <row r="103" spans="1:31" x14ac:dyDescent="0.35">
      <c r="A103">
        <v>1950</v>
      </c>
      <c r="B103">
        <v>4400.9690000000001</v>
      </c>
      <c r="C103">
        <v>5233.9160000000002</v>
      </c>
      <c r="D103">
        <v>565.77599999999995</v>
      </c>
      <c r="E103">
        <v>4654.3280000000004</v>
      </c>
      <c r="F103">
        <v>5567.4229999999998</v>
      </c>
      <c r="G103">
        <v>616.00900000000001</v>
      </c>
      <c r="H103">
        <v>4400.9690000000001</v>
      </c>
      <c r="I103">
        <v>5233.9160000000002</v>
      </c>
      <c r="J103">
        <v>565.77599999999995</v>
      </c>
      <c r="N103">
        <f>IFERROR(SUM($B$3:$B103),"")</f>
        <v>193228.45200000008</v>
      </c>
      <c r="O103">
        <f>IFERROR(SUM($C$3:$C103),"")</f>
        <v>213640.84</v>
      </c>
      <c r="P103">
        <f>IFERROR(SUM($D$3:$D103),"")</f>
        <v>13545.548000000001</v>
      </c>
      <c r="Q103">
        <f t="shared" si="27"/>
        <v>227186.38800000001</v>
      </c>
      <c r="R103">
        <f t="shared" si="28"/>
        <v>85.052829837674992</v>
      </c>
      <c r="S103">
        <f t="shared" si="29"/>
        <v>94.037693842819493</v>
      </c>
      <c r="T103">
        <f>IFERROR(SUM($E$3:$E103),"")</f>
        <v>203422.39800000002</v>
      </c>
      <c r="U103">
        <f>IFERROR(SUM($F$3:$F103),"")</f>
        <v>225208.35200000001</v>
      </c>
      <c r="V103">
        <f>IFERROR(SUM($G$3:$G103),"")</f>
        <v>15707.9</v>
      </c>
      <c r="W103">
        <f t="shared" si="30"/>
        <v>240916.25200000001</v>
      </c>
      <c r="X103">
        <f t="shared" si="31"/>
        <v>84.436976049253829</v>
      </c>
      <c r="Y103">
        <f t="shared" si="32"/>
        <v>93.479933433465504</v>
      </c>
      <c r="Z103">
        <f>IFERROR(SUM($H$3:$H103),"")</f>
        <v>193228.45200000008</v>
      </c>
      <c r="AA103">
        <f>IFERROR(SUM($I$3:$I103),"")</f>
        <v>213640.84199999998</v>
      </c>
      <c r="AB103">
        <f>IFERROR(SUM($J$3:$J103),"")</f>
        <v>13545.549000000001</v>
      </c>
      <c r="AC103">
        <f t="shared" si="33"/>
        <v>227186.39099999997</v>
      </c>
      <c r="AD103">
        <f t="shared" si="34"/>
        <v>85.052828714550998</v>
      </c>
      <c r="AE103">
        <f t="shared" si="35"/>
        <v>94.037693481384636</v>
      </c>
    </row>
    <row r="104" spans="1:31" x14ac:dyDescent="0.35">
      <c r="A104">
        <v>1951</v>
      </c>
      <c r="B104">
        <v>4688.3320000000003</v>
      </c>
      <c r="C104">
        <v>5593.2619999999997</v>
      </c>
      <c r="D104">
        <v>632.92499999999995</v>
      </c>
      <c r="E104">
        <v>4971.2910000000002</v>
      </c>
      <c r="F104">
        <v>5967.799</v>
      </c>
      <c r="G104">
        <v>696.43799999999999</v>
      </c>
      <c r="H104">
        <v>4688.3320000000003</v>
      </c>
      <c r="I104">
        <v>5593.2619999999997</v>
      </c>
      <c r="J104">
        <v>632.92499999999995</v>
      </c>
      <c r="N104">
        <f>IFERROR(SUM($B$3:$B104),"")</f>
        <v>197916.78400000007</v>
      </c>
      <c r="O104">
        <f>IFERROR(SUM($C$3:$C104),"")</f>
        <v>219234.10199999998</v>
      </c>
      <c r="P104">
        <f>IFERROR(SUM($D$3:$D104),"")</f>
        <v>14178.473</v>
      </c>
      <c r="Q104">
        <f t="shared" si="27"/>
        <v>233412.57499999998</v>
      </c>
      <c r="R104">
        <f t="shared" si="28"/>
        <v>84.792682656450751</v>
      </c>
      <c r="S104">
        <f t="shared" si="29"/>
        <v>93.925574489720617</v>
      </c>
      <c r="T104">
        <f>IFERROR(SUM($E$3:$E104),"")</f>
        <v>208393.68900000001</v>
      </c>
      <c r="U104">
        <f>IFERROR(SUM($F$3:$F104),"")</f>
        <v>231176.15100000001</v>
      </c>
      <c r="V104">
        <f>IFERROR(SUM($G$3:$G104),"")</f>
        <v>16404.338</v>
      </c>
      <c r="W104">
        <f t="shared" si="30"/>
        <v>247580.489</v>
      </c>
      <c r="X104">
        <f t="shared" si="31"/>
        <v>84.172096856953871</v>
      </c>
      <c r="Y104">
        <f t="shared" si="32"/>
        <v>93.374139429864371</v>
      </c>
      <c r="Z104">
        <f>IFERROR(SUM($H$3:$H104),"")</f>
        <v>197916.78400000007</v>
      </c>
      <c r="AA104">
        <f>IFERROR(SUM($I$3:$I104),"")</f>
        <v>219234.10399999996</v>
      </c>
      <c r="AB104">
        <f>IFERROR(SUM($J$3:$J104),"")</f>
        <v>14178.474</v>
      </c>
      <c r="AC104">
        <f t="shared" si="33"/>
        <v>233412.57799999995</v>
      </c>
      <c r="AD104">
        <f t="shared" si="34"/>
        <v>84.792681566629241</v>
      </c>
      <c r="AE104">
        <f t="shared" si="35"/>
        <v>93.925574139367939</v>
      </c>
    </row>
    <row r="105" spans="1:31" x14ac:dyDescent="0.35">
      <c r="A105">
        <v>1952</v>
      </c>
      <c r="B105">
        <v>4643.6120000000001</v>
      </c>
      <c r="C105">
        <v>5615.7169999999996</v>
      </c>
      <c r="D105">
        <v>693.85599999999999</v>
      </c>
      <c r="E105">
        <v>4926.9250000000002</v>
      </c>
      <c r="F105">
        <v>6001.2740000000003</v>
      </c>
      <c r="G105">
        <v>758.88900000000001</v>
      </c>
      <c r="H105">
        <v>4643.6120000000001</v>
      </c>
      <c r="I105">
        <v>5615.7169999999996</v>
      </c>
      <c r="J105">
        <v>693.85599999999999</v>
      </c>
      <c r="N105">
        <f>IFERROR(SUM($B$3:$B105),"")</f>
        <v>202560.39600000007</v>
      </c>
      <c r="O105">
        <f>IFERROR(SUM($C$3:$C105),"")</f>
        <v>224849.81899999999</v>
      </c>
      <c r="P105">
        <f>IFERROR(SUM($D$3:$D105),"")</f>
        <v>14872.329</v>
      </c>
      <c r="Q105">
        <f t="shared" si="27"/>
        <v>239722.14799999999</v>
      </c>
      <c r="R105">
        <f t="shared" si="28"/>
        <v>84.497989731011458</v>
      </c>
      <c r="S105">
        <f t="shared" si="29"/>
        <v>93.796013791766967</v>
      </c>
      <c r="T105">
        <f>IFERROR(SUM($E$3:$E105),"")</f>
        <v>213320.614</v>
      </c>
      <c r="U105">
        <f>IFERROR(SUM($F$3:$F105),"")</f>
        <v>237177.42500000002</v>
      </c>
      <c r="V105">
        <f>IFERROR(SUM($G$3:$G105),"")</f>
        <v>17163.226999999999</v>
      </c>
      <c r="W105">
        <f t="shared" si="30"/>
        <v>254340.652</v>
      </c>
      <c r="X105">
        <f t="shared" si="31"/>
        <v>83.872008789220203</v>
      </c>
      <c r="Y105">
        <f t="shared" si="32"/>
        <v>93.251874261924911</v>
      </c>
      <c r="Z105">
        <f>IFERROR(SUM($H$3:$H105),"")</f>
        <v>202560.39600000007</v>
      </c>
      <c r="AA105">
        <f>IFERROR(SUM($I$3:$I105),"")</f>
        <v>224849.82099999997</v>
      </c>
      <c r="AB105">
        <f>IFERROR(SUM($J$3:$J105),"")</f>
        <v>14872.33</v>
      </c>
      <c r="AC105">
        <f t="shared" si="33"/>
        <v>239722.15099999995</v>
      </c>
      <c r="AD105">
        <f t="shared" si="34"/>
        <v>84.497988673562375</v>
      </c>
      <c r="AE105">
        <f t="shared" si="35"/>
        <v>93.796013452257071</v>
      </c>
    </row>
    <row r="106" spans="1:31" x14ac:dyDescent="0.35">
      <c r="A106">
        <v>1953</v>
      </c>
      <c r="B106">
        <v>4735.7889999999998</v>
      </c>
      <c r="C106">
        <v>5773.7479999999996</v>
      </c>
      <c r="D106">
        <v>713.61300000000006</v>
      </c>
      <c r="E106">
        <v>5027.9110000000001</v>
      </c>
      <c r="F106">
        <v>6178.9359999999997</v>
      </c>
      <c r="G106">
        <v>786.94799999999998</v>
      </c>
      <c r="H106">
        <v>4735.7889999999998</v>
      </c>
      <c r="I106">
        <v>5773.7479999999996</v>
      </c>
      <c r="J106">
        <v>713.61300000000006</v>
      </c>
      <c r="N106">
        <f>IFERROR(SUM($B$3:$B106),"")</f>
        <v>207296.18500000006</v>
      </c>
      <c r="O106">
        <f>IFERROR(SUM($C$3:$C106),"")</f>
        <v>230623.56699999998</v>
      </c>
      <c r="P106">
        <f>IFERROR(SUM($D$3:$D106),"")</f>
        <v>15585.941999999999</v>
      </c>
      <c r="Q106">
        <f t="shared" si="27"/>
        <v>246209.50899999999</v>
      </c>
      <c r="R106">
        <f t="shared" si="28"/>
        <v>84.195036106424325</v>
      </c>
      <c r="S106">
        <f t="shared" si="29"/>
        <v>93.669642548208813</v>
      </c>
      <c r="T106">
        <f>IFERROR(SUM($E$3:$E106),"")</f>
        <v>218348.52499999999</v>
      </c>
      <c r="U106">
        <f>IFERROR(SUM($F$3:$F106),"")</f>
        <v>243356.361</v>
      </c>
      <c r="V106">
        <f>IFERROR(SUM($G$3:$G106),"")</f>
        <v>17950.174999999999</v>
      </c>
      <c r="W106">
        <f t="shared" si="30"/>
        <v>261306.53599999999</v>
      </c>
      <c r="X106">
        <f t="shared" si="31"/>
        <v>83.560299846460779</v>
      </c>
      <c r="Y106">
        <f t="shared" si="32"/>
        <v>93.130606193486116</v>
      </c>
      <c r="Z106">
        <f>IFERROR(SUM($H$3:$H106),"")</f>
        <v>207296.18500000006</v>
      </c>
      <c r="AA106">
        <f>IFERROR(SUM($I$3:$I106),"")</f>
        <v>230623.56899999996</v>
      </c>
      <c r="AB106">
        <f>IFERROR(SUM($J$3:$J106),"")</f>
        <v>15585.942999999999</v>
      </c>
      <c r="AC106">
        <f t="shared" si="33"/>
        <v>246209.51199999996</v>
      </c>
      <c r="AD106">
        <f t="shared" si="34"/>
        <v>84.195035080529337</v>
      </c>
      <c r="AE106">
        <f t="shared" si="35"/>
        <v>93.669642219184439</v>
      </c>
    </row>
    <row r="107" spans="1:31" x14ac:dyDescent="0.35">
      <c r="A107">
        <v>1954</v>
      </c>
      <c r="B107">
        <v>4704.8249999999998</v>
      </c>
      <c r="C107">
        <v>5830.9219999999996</v>
      </c>
      <c r="D107">
        <v>794.73</v>
      </c>
      <c r="E107">
        <v>5013.7060000000001</v>
      </c>
      <c r="F107">
        <v>6267.8220000000001</v>
      </c>
      <c r="G107">
        <v>879.99599999999998</v>
      </c>
      <c r="H107">
        <v>4704.8249999999998</v>
      </c>
      <c r="I107">
        <v>5830.9219999999996</v>
      </c>
      <c r="J107">
        <v>794.73</v>
      </c>
      <c r="N107">
        <f>IFERROR(SUM($B$3:$B107),"")</f>
        <v>212001.01000000007</v>
      </c>
      <c r="O107">
        <f>IFERROR(SUM($C$3:$C107),"")</f>
        <v>236454.48899999997</v>
      </c>
      <c r="P107">
        <f>IFERROR(SUM($D$3:$D107),"")</f>
        <v>16380.671999999999</v>
      </c>
      <c r="Q107">
        <f t="shared" si="27"/>
        <v>252835.16099999996</v>
      </c>
      <c r="R107">
        <f t="shared" si="28"/>
        <v>83.849496708252573</v>
      </c>
      <c r="S107">
        <f t="shared" si="29"/>
        <v>93.521204908679607</v>
      </c>
      <c r="T107">
        <f>IFERROR(SUM($E$3:$E107),"")</f>
        <v>223362.231</v>
      </c>
      <c r="U107">
        <f>IFERROR(SUM($F$3:$F107),"")</f>
        <v>249624.18300000002</v>
      </c>
      <c r="V107">
        <f>IFERROR(SUM($G$3:$G107),"")</f>
        <v>18830.170999999998</v>
      </c>
      <c r="W107">
        <f t="shared" si="30"/>
        <v>268454.35399999999</v>
      </c>
      <c r="X107">
        <f t="shared" si="31"/>
        <v>83.203057678848452</v>
      </c>
      <c r="Y107">
        <f t="shared" si="32"/>
        <v>92.985708475415535</v>
      </c>
      <c r="Z107">
        <f>IFERROR(SUM($H$3:$H107),"")</f>
        <v>212001.01000000007</v>
      </c>
      <c r="AA107">
        <f>IFERROR(SUM($I$3:$I107),"")</f>
        <v>236454.49099999995</v>
      </c>
      <c r="AB107">
        <f>IFERROR(SUM($J$3:$J107),"")</f>
        <v>16380.672999999999</v>
      </c>
      <c r="AC107">
        <f t="shared" si="33"/>
        <v>252835.16399999996</v>
      </c>
      <c r="AD107">
        <f t="shared" si="34"/>
        <v>83.849495713341554</v>
      </c>
      <c r="AE107">
        <f t="shared" si="35"/>
        <v>93.521204590038735</v>
      </c>
    </row>
    <row r="108" spans="1:31" x14ac:dyDescent="0.35">
      <c r="A108">
        <v>1955</v>
      </c>
      <c r="B108">
        <v>5092.7169999999996</v>
      </c>
      <c r="C108">
        <v>6340.7730000000001</v>
      </c>
      <c r="D108">
        <v>915.04399999999998</v>
      </c>
      <c r="E108">
        <v>5432.2910000000002</v>
      </c>
      <c r="F108">
        <v>6829.2879999999996</v>
      </c>
      <c r="G108">
        <v>1001.139</v>
      </c>
      <c r="H108">
        <v>5092.7169999999996</v>
      </c>
      <c r="I108">
        <v>6340.7730000000001</v>
      </c>
      <c r="J108">
        <v>915.03300000000002</v>
      </c>
      <c r="N108">
        <f>IFERROR(SUM($B$3:$B108),"")</f>
        <v>217093.72700000007</v>
      </c>
      <c r="O108">
        <f>IFERROR(SUM($C$3:$C108),"")</f>
        <v>242795.26199999996</v>
      </c>
      <c r="P108">
        <f>IFERROR(SUM($D$3:$D108),"")</f>
        <v>17295.716</v>
      </c>
      <c r="Q108">
        <f t="shared" si="27"/>
        <v>260090.97799999994</v>
      </c>
      <c r="R108">
        <f t="shared" si="28"/>
        <v>83.468380437248442</v>
      </c>
      <c r="S108">
        <f t="shared" si="29"/>
        <v>93.350128430829315</v>
      </c>
      <c r="T108">
        <f>IFERROR(SUM($E$3:$E108),"")</f>
        <v>228794.522</v>
      </c>
      <c r="U108">
        <f>IFERROR(SUM($F$3:$F108),"")</f>
        <v>256453.47100000002</v>
      </c>
      <c r="V108">
        <f>IFERROR(SUM($G$3:$G108),"")</f>
        <v>19831.309999999998</v>
      </c>
      <c r="W108">
        <f t="shared" si="30"/>
        <v>276284.78100000002</v>
      </c>
      <c r="X108">
        <f t="shared" si="31"/>
        <v>82.811120168070346</v>
      </c>
      <c r="Y108">
        <f t="shared" si="32"/>
        <v>92.822148969544585</v>
      </c>
      <c r="Z108">
        <f>IFERROR(SUM($H$3:$H108),"")</f>
        <v>217093.72700000007</v>
      </c>
      <c r="AA108">
        <f>IFERROR(SUM($I$3:$I108),"")</f>
        <v>242795.26399999994</v>
      </c>
      <c r="AB108">
        <f>IFERROR(SUM($J$3:$J108),"")</f>
        <v>17295.705999999998</v>
      </c>
      <c r="AC108">
        <f t="shared" si="33"/>
        <v>260090.96999999994</v>
      </c>
      <c r="AD108">
        <f t="shared" si="34"/>
        <v>83.468383004608015</v>
      </c>
      <c r="AE108">
        <f t="shared" si="35"/>
        <v>93.350132071098045</v>
      </c>
    </row>
    <row r="109" spans="1:31" x14ac:dyDescent="0.35">
      <c r="A109">
        <v>1956</v>
      </c>
      <c r="B109">
        <v>5366.8339999999998</v>
      </c>
      <c r="C109">
        <v>6724.3069999999998</v>
      </c>
      <c r="D109">
        <v>999.88699999999994</v>
      </c>
      <c r="E109">
        <v>5730.0039999999999</v>
      </c>
      <c r="F109">
        <v>7254.05</v>
      </c>
      <c r="G109">
        <v>1092.8879999999999</v>
      </c>
      <c r="H109">
        <v>5366.8339999999998</v>
      </c>
      <c r="I109">
        <v>6724.3069999999998</v>
      </c>
      <c r="J109">
        <v>999.87599999999998</v>
      </c>
      <c r="N109">
        <f>IFERROR(SUM($B$3:$B109),"")</f>
        <v>222460.56100000007</v>
      </c>
      <c r="O109">
        <f>IFERROR(SUM($C$3:$C109),"")</f>
        <v>249519.56899999996</v>
      </c>
      <c r="P109">
        <f>IFERROR(SUM($D$3:$D109),"")</f>
        <v>18295.602999999999</v>
      </c>
      <c r="Q109">
        <f t="shared" si="27"/>
        <v>267815.17199999996</v>
      </c>
      <c r="R109">
        <f t="shared" si="28"/>
        <v>83.064958321330693</v>
      </c>
      <c r="S109">
        <f t="shared" si="29"/>
        <v>93.168571121878045</v>
      </c>
      <c r="T109">
        <f>IFERROR(SUM($E$3:$E109),"")</f>
        <v>234524.52599999998</v>
      </c>
      <c r="U109">
        <f>IFERROR(SUM($F$3:$F109),"")</f>
        <v>263707.52100000001</v>
      </c>
      <c r="V109">
        <f>IFERROR(SUM($G$3:$G109),"")</f>
        <v>20924.197999999997</v>
      </c>
      <c r="W109">
        <f t="shared" si="30"/>
        <v>284631.71899999998</v>
      </c>
      <c r="X109">
        <f t="shared" si="31"/>
        <v>82.395780352224207</v>
      </c>
      <c r="Y109">
        <f t="shared" si="32"/>
        <v>92.648676657150787</v>
      </c>
      <c r="Z109">
        <f>IFERROR(SUM($H$3:$H109),"")</f>
        <v>222460.56100000007</v>
      </c>
      <c r="AA109">
        <f>IFERROR(SUM($I$3:$I109),"")</f>
        <v>249519.57099999994</v>
      </c>
      <c r="AB109">
        <f>IFERROR(SUM($J$3:$J109),"")</f>
        <v>18295.581999999999</v>
      </c>
      <c r="AC109">
        <f t="shared" si="33"/>
        <v>267815.15299999993</v>
      </c>
      <c r="AD109">
        <f t="shared" si="34"/>
        <v>83.064964214328867</v>
      </c>
      <c r="AE109">
        <f t="shared" si="35"/>
        <v>93.16857847845526</v>
      </c>
    </row>
    <row r="110" spans="1:31" x14ac:dyDescent="0.35">
      <c r="A110">
        <v>1957</v>
      </c>
      <c r="B110">
        <v>5387.076</v>
      </c>
      <c r="C110">
        <v>6867.692</v>
      </c>
      <c r="D110">
        <v>1093.9159999999999</v>
      </c>
      <c r="E110">
        <v>5758.6930000000002</v>
      </c>
      <c r="F110">
        <v>7425.3590000000004</v>
      </c>
      <c r="G110">
        <v>1212.0229999999999</v>
      </c>
      <c r="H110">
        <v>5387.0749999999998</v>
      </c>
      <c r="I110">
        <v>6867.692</v>
      </c>
      <c r="J110">
        <v>1093.9010000000001</v>
      </c>
      <c r="N110">
        <f>IFERROR(SUM($B$3:$B110),"")</f>
        <v>227847.63700000008</v>
      </c>
      <c r="O110">
        <f>IFERROR(SUM($C$3:$C110),"")</f>
        <v>256387.26099999997</v>
      </c>
      <c r="P110">
        <f>IFERROR(SUM($D$3:$D110),"")</f>
        <v>19389.519</v>
      </c>
      <c r="Q110">
        <f t="shared" si="27"/>
        <v>275776.77999999997</v>
      </c>
      <c r="R110">
        <f t="shared" si="28"/>
        <v>82.620312341017282</v>
      </c>
      <c r="S110">
        <f t="shared" si="29"/>
        <v>92.969125609487506</v>
      </c>
      <c r="T110">
        <f>IFERROR(SUM($E$3:$E110),"")</f>
        <v>240283.21899999998</v>
      </c>
      <c r="U110">
        <f>IFERROR(SUM($F$3:$F110),"")</f>
        <v>271132.88</v>
      </c>
      <c r="V110">
        <f>IFERROR(SUM($G$3:$G110),"")</f>
        <v>22136.220999999998</v>
      </c>
      <c r="W110">
        <f t="shared" si="30"/>
        <v>293269.10100000002</v>
      </c>
      <c r="X110">
        <f t="shared" si="31"/>
        <v>81.932674864373098</v>
      </c>
      <c r="Y110">
        <f t="shared" si="32"/>
        <v>92.451908187900088</v>
      </c>
      <c r="Z110">
        <f>IFERROR(SUM($H$3:$H110),"")</f>
        <v>227847.63600000009</v>
      </c>
      <c r="AA110">
        <f>IFERROR(SUM($I$3:$I110),"")</f>
        <v>256387.26299999995</v>
      </c>
      <c r="AB110">
        <f>IFERROR(SUM($J$3:$J110),"")</f>
        <v>19389.483</v>
      </c>
      <c r="AC110">
        <f t="shared" si="33"/>
        <v>275776.74599999993</v>
      </c>
      <c r="AD110">
        <f t="shared" si="34"/>
        <v>82.620322164509162</v>
      </c>
      <c r="AE110">
        <f t="shared" si="35"/>
        <v>92.969137796701702</v>
      </c>
    </row>
    <row r="111" spans="1:31" x14ac:dyDescent="0.35">
      <c r="A111">
        <v>1958</v>
      </c>
      <c r="B111">
        <v>5245.5479999999998</v>
      </c>
      <c r="C111">
        <v>6812.2669999999998</v>
      </c>
      <c r="D111">
        <v>1396.816</v>
      </c>
      <c r="E111">
        <v>5614.9290000000001</v>
      </c>
      <c r="F111">
        <v>7383.3419999999996</v>
      </c>
      <c r="G111">
        <v>1547.7809999999999</v>
      </c>
      <c r="H111">
        <v>5245.5479999999998</v>
      </c>
      <c r="I111">
        <v>6812.2669999999998</v>
      </c>
      <c r="J111">
        <v>1396.8009999999999</v>
      </c>
      <c r="N111">
        <f>IFERROR(SUM($B$3:$B111),"")</f>
        <v>233093.18500000008</v>
      </c>
      <c r="O111">
        <f>IFERROR(SUM($C$3:$C111),"")</f>
        <v>263199.52799999999</v>
      </c>
      <c r="P111">
        <f>IFERROR(SUM($D$3:$D111),"")</f>
        <v>20786.334999999999</v>
      </c>
      <c r="Q111">
        <f t="shared" si="27"/>
        <v>283985.86300000001</v>
      </c>
      <c r="R111">
        <f t="shared" si="28"/>
        <v>82.07915089069067</v>
      </c>
      <c r="S111">
        <f t="shared" si="29"/>
        <v>92.680503606617904</v>
      </c>
      <c r="T111">
        <f>IFERROR(SUM($E$3:$E111),"")</f>
        <v>245898.14799999999</v>
      </c>
      <c r="U111">
        <f>IFERROR(SUM($F$3:$F111),"")</f>
        <v>278516.22200000001</v>
      </c>
      <c r="V111">
        <f>IFERROR(SUM($G$3:$G111),"")</f>
        <v>23684.001999999997</v>
      </c>
      <c r="W111">
        <f t="shared" si="30"/>
        <v>302200.22399999999</v>
      </c>
      <c r="X111">
        <f t="shared" si="31"/>
        <v>81.369280520453884</v>
      </c>
      <c r="Y111">
        <f t="shared" si="32"/>
        <v>92.162811236036674</v>
      </c>
      <c r="Z111">
        <f>IFERROR(SUM($H$3:$H111),"")</f>
        <v>233093.1840000001</v>
      </c>
      <c r="AA111">
        <f>IFERROR(SUM($I$3:$I111),"")</f>
        <v>263199.52999999997</v>
      </c>
      <c r="AB111">
        <f>IFERROR(SUM($J$3:$J111),"")</f>
        <v>20786.284</v>
      </c>
      <c r="AC111">
        <f t="shared" si="33"/>
        <v>283985.81399999995</v>
      </c>
      <c r="AD111">
        <f t="shared" si="34"/>
        <v>82.079164700811475</v>
      </c>
      <c r="AE111">
        <f t="shared" si="35"/>
        <v>92.680520302327494</v>
      </c>
    </row>
    <row r="112" spans="1:31" x14ac:dyDescent="0.35">
      <c r="A112">
        <v>1959</v>
      </c>
      <c r="B112">
        <v>5346.9449999999997</v>
      </c>
      <c r="C112">
        <v>6995.2150000000001</v>
      </c>
      <c r="D112">
        <v>1646.1130000000001</v>
      </c>
      <c r="E112">
        <v>5735.2449999999999</v>
      </c>
      <c r="F112">
        <v>7599.9650000000001</v>
      </c>
      <c r="G112">
        <v>1817.6510000000001</v>
      </c>
      <c r="H112">
        <v>5346.9449999999997</v>
      </c>
      <c r="I112">
        <v>6995.2150000000001</v>
      </c>
      <c r="J112">
        <v>1646.0989999999999</v>
      </c>
      <c r="N112">
        <f>IFERROR(SUM($B$3:$B112),"")</f>
        <v>238440.13000000009</v>
      </c>
      <c r="O112">
        <f>IFERROR(SUM($C$3:$C112),"")</f>
        <v>270194.74300000002</v>
      </c>
      <c r="P112">
        <f>IFERROR(SUM($D$3:$D112),"")</f>
        <v>22432.448</v>
      </c>
      <c r="Q112">
        <f t="shared" si="27"/>
        <v>292627.19099999999</v>
      </c>
      <c r="R112">
        <f t="shared" si="28"/>
        <v>81.482561201908297</v>
      </c>
      <c r="S112">
        <f t="shared" si="29"/>
        <v>92.334120447474078</v>
      </c>
      <c r="T112">
        <f>IFERROR(SUM($E$3:$E112),"")</f>
        <v>251633.39299999998</v>
      </c>
      <c r="U112">
        <f>IFERROR(SUM($F$3:$F112),"")</f>
        <v>286116.18700000003</v>
      </c>
      <c r="V112">
        <f>IFERROR(SUM($G$3:$G112),"")</f>
        <v>25501.652999999998</v>
      </c>
      <c r="W112">
        <f t="shared" si="30"/>
        <v>311617.84000000003</v>
      </c>
      <c r="X112">
        <f t="shared" si="31"/>
        <v>80.750637704182779</v>
      </c>
      <c r="Y112">
        <f t="shared" si="32"/>
        <v>91.81636937089354</v>
      </c>
      <c r="Z112">
        <f>IFERROR(SUM($H$3:$H112),"")</f>
        <v>238440.1290000001</v>
      </c>
      <c r="AA112">
        <f>IFERROR(SUM($I$3:$I112),"")</f>
        <v>270194.745</v>
      </c>
      <c r="AB112">
        <f>IFERROR(SUM($J$3:$J112),"")</f>
        <v>22432.382999999998</v>
      </c>
      <c r="AC112">
        <f t="shared" si="33"/>
        <v>292627.12799999997</v>
      </c>
      <c r="AD112">
        <f t="shared" si="34"/>
        <v>81.48257840264219</v>
      </c>
      <c r="AE112">
        <f t="shared" si="35"/>
        <v>92.334141009646928</v>
      </c>
    </row>
    <row r="113" spans="1:31" x14ac:dyDescent="0.35">
      <c r="A113">
        <v>1960</v>
      </c>
      <c r="B113">
        <v>5639.1260000000002</v>
      </c>
      <c r="C113">
        <v>7363.95</v>
      </c>
      <c r="D113">
        <v>1786.3489999999999</v>
      </c>
      <c r="E113">
        <v>6026.884</v>
      </c>
      <c r="F113">
        <v>7981.18</v>
      </c>
      <c r="G113">
        <v>1974.7809999999999</v>
      </c>
      <c r="H113">
        <v>5639.1260000000002</v>
      </c>
      <c r="I113">
        <v>7363.95</v>
      </c>
      <c r="J113">
        <v>1786.335</v>
      </c>
      <c r="N113">
        <f>IFERROR(SUM($B$3:$B113),"")</f>
        <v>244079.25600000008</v>
      </c>
      <c r="O113">
        <f>IFERROR(SUM($C$3:$C113),"")</f>
        <v>277558.69300000003</v>
      </c>
      <c r="P113">
        <f>IFERROR(SUM($D$3:$D113),"")</f>
        <v>24218.796999999999</v>
      </c>
      <c r="Q113">
        <f t="shared" si="27"/>
        <v>301777.49000000005</v>
      </c>
      <c r="R113">
        <f t="shared" si="28"/>
        <v>80.880537511263697</v>
      </c>
      <c r="S113">
        <f t="shared" si="29"/>
        <v>91.974617788755538</v>
      </c>
      <c r="T113">
        <f>IFERROR(SUM($E$3:$E113),"")</f>
        <v>257660.27699999997</v>
      </c>
      <c r="U113">
        <f>IFERROR(SUM($F$3:$F113),"")</f>
        <v>294097.36700000003</v>
      </c>
      <c r="V113">
        <f>IFERROR(SUM($G$3:$G113),"")</f>
        <v>27476.433999999997</v>
      </c>
      <c r="W113">
        <f t="shared" si="30"/>
        <v>321573.80100000004</v>
      </c>
      <c r="X113">
        <f t="shared" si="31"/>
        <v>80.124772664549226</v>
      </c>
      <c r="Y113">
        <f t="shared" si="32"/>
        <v>91.455636648708207</v>
      </c>
      <c r="Z113">
        <f>IFERROR(SUM($H$3:$H113),"")</f>
        <v>244079.25500000009</v>
      </c>
      <c r="AA113">
        <f>IFERROR(SUM($I$3:$I113),"")</f>
        <v>277558.69500000001</v>
      </c>
      <c r="AB113">
        <f>IFERROR(SUM($J$3:$J113),"")</f>
        <v>24218.717999999997</v>
      </c>
      <c r="AC113">
        <f t="shared" si="33"/>
        <v>301777.413</v>
      </c>
      <c r="AD113">
        <f t="shared" si="34"/>
        <v>80.880557816962963</v>
      </c>
      <c r="AE113">
        <f t="shared" si="35"/>
        <v>91.974641919274461</v>
      </c>
    </row>
    <row r="114" spans="1:31" x14ac:dyDescent="0.35">
      <c r="A114">
        <v>1961</v>
      </c>
      <c r="B114">
        <v>5755.4679999999998</v>
      </c>
      <c r="C114">
        <v>7548.625</v>
      </c>
      <c r="D114">
        <v>1604.85</v>
      </c>
      <c r="E114">
        <v>6152.0330000000004</v>
      </c>
      <c r="F114">
        <v>8183.9380000000001</v>
      </c>
      <c r="G114">
        <v>1799.278</v>
      </c>
      <c r="H114">
        <v>5755.4679999999998</v>
      </c>
      <c r="I114">
        <v>7548.625</v>
      </c>
      <c r="J114">
        <v>1604.799</v>
      </c>
      <c r="N114">
        <f>IFERROR(SUM($B$3:$B114),"")</f>
        <v>249834.72400000007</v>
      </c>
      <c r="O114">
        <f>IFERROR(SUM($C$3:$C114),"")</f>
        <v>285107.31800000003</v>
      </c>
      <c r="P114">
        <f>IFERROR(SUM($D$3:$D114),"")</f>
        <v>25823.646999999997</v>
      </c>
      <c r="Q114">
        <f t="shared" si="27"/>
        <v>310930.96500000003</v>
      </c>
      <c r="R114">
        <f t="shared" si="28"/>
        <v>80.350544694060972</v>
      </c>
      <c r="S114">
        <f t="shared" si="29"/>
        <v>91.694732944980245</v>
      </c>
      <c r="T114">
        <f>IFERROR(SUM($E$3:$E114),"")</f>
        <v>263812.31</v>
      </c>
      <c r="U114">
        <f>IFERROR(SUM($F$3:$F114),"")</f>
        <v>302281.30500000005</v>
      </c>
      <c r="V114">
        <f>IFERROR(SUM($G$3:$G114),"")</f>
        <v>29275.711999999996</v>
      </c>
      <c r="W114">
        <f t="shared" si="30"/>
        <v>331557.01700000005</v>
      </c>
      <c r="X114">
        <f t="shared" si="31"/>
        <v>79.567705243288501</v>
      </c>
      <c r="Y114">
        <f t="shared" si="32"/>
        <v>91.170233022092845</v>
      </c>
      <c r="Z114">
        <f>IFERROR(SUM($H$3:$H114),"")</f>
        <v>249834.72300000009</v>
      </c>
      <c r="AA114">
        <f>IFERROR(SUM($I$3:$I114),"")</f>
        <v>285107.32</v>
      </c>
      <c r="AB114">
        <f>IFERROR(SUM($J$3:$J114),"")</f>
        <v>25823.516999999996</v>
      </c>
      <c r="AC114">
        <f t="shared" si="33"/>
        <v>310930.837</v>
      </c>
      <c r="AD114">
        <f t="shared" si="34"/>
        <v>80.350577450122813</v>
      </c>
      <c r="AE114">
        <f t="shared" si="35"/>
        <v>91.694771335916101</v>
      </c>
    </row>
    <row r="115" spans="1:31" x14ac:dyDescent="0.35">
      <c r="A115">
        <v>1962</v>
      </c>
      <c r="B115">
        <v>6017.5209999999997</v>
      </c>
      <c r="C115">
        <v>7912.0389999999998</v>
      </c>
      <c r="D115">
        <v>1564.155</v>
      </c>
      <c r="E115">
        <v>6446.95</v>
      </c>
      <c r="F115">
        <v>8592.9449999999997</v>
      </c>
      <c r="G115">
        <v>1770.6969999999999</v>
      </c>
      <c r="H115">
        <v>6017.5209999999997</v>
      </c>
      <c r="I115">
        <v>7912.0389999999998</v>
      </c>
      <c r="J115">
        <v>1564.104</v>
      </c>
      <c r="N115">
        <f>IFERROR(SUM($B$3:$B115),"")</f>
        <v>255852.24500000008</v>
      </c>
      <c r="O115">
        <f>IFERROR(SUM($C$3:$C115),"")</f>
        <v>293019.35700000002</v>
      </c>
      <c r="P115">
        <f>IFERROR(SUM($D$3:$D115),"")</f>
        <v>27387.801999999996</v>
      </c>
      <c r="Q115">
        <f t="shared" si="27"/>
        <v>320407.15899999999</v>
      </c>
      <c r="R115">
        <f t="shared" si="28"/>
        <v>79.852224837460668</v>
      </c>
      <c r="S115">
        <f t="shared" si="29"/>
        <v>91.452187870746059</v>
      </c>
      <c r="T115">
        <f>IFERROR(SUM($E$3:$E115),"")</f>
        <v>270259.26</v>
      </c>
      <c r="U115">
        <f>IFERROR(SUM($F$3:$F115),"")</f>
        <v>310874.25000000006</v>
      </c>
      <c r="V115">
        <f>IFERROR(SUM($G$3:$G115),"")</f>
        <v>31046.408999999996</v>
      </c>
      <c r="W115">
        <f t="shared" si="30"/>
        <v>341920.65900000004</v>
      </c>
      <c r="X115">
        <f t="shared" si="31"/>
        <v>79.041512376121148</v>
      </c>
      <c r="Y115">
        <f t="shared" si="32"/>
        <v>90.919996150334995</v>
      </c>
      <c r="Z115">
        <f>IFERROR(SUM($H$3:$H115),"")</f>
        <v>255852.24400000009</v>
      </c>
      <c r="AA115">
        <f>IFERROR(SUM($I$3:$I115),"")</f>
        <v>293019.359</v>
      </c>
      <c r="AB115">
        <f>IFERROR(SUM($J$3:$J115),"")</f>
        <v>27387.620999999996</v>
      </c>
      <c r="AC115">
        <f t="shared" si="33"/>
        <v>320406.98</v>
      </c>
      <c r="AD115">
        <f t="shared" si="34"/>
        <v>79.852269135959546</v>
      </c>
      <c r="AE115">
        <f t="shared" si="35"/>
        <v>91.452239586041486</v>
      </c>
    </row>
    <row r="116" spans="1:31" x14ac:dyDescent="0.35">
      <c r="A116">
        <v>1963</v>
      </c>
      <c r="B116">
        <v>6324.9139999999998</v>
      </c>
      <c r="C116">
        <v>8356.7870000000003</v>
      </c>
      <c r="D116">
        <v>1625.952</v>
      </c>
      <c r="E116">
        <v>6823.6139999999996</v>
      </c>
      <c r="F116">
        <v>9125.7289999999994</v>
      </c>
      <c r="G116">
        <v>1852.6189999999999</v>
      </c>
      <c r="H116">
        <v>6324.9139999999998</v>
      </c>
      <c r="I116">
        <v>8356.7860000000001</v>
      </c>
      <c r="J116">
        <v>1625.8969999999999</v>
      </c>
      <c r="N116">
        <f>IFERROR(SUM($B$3:$B116),"")</f>
        <v>262177.1590000001</v>
      </c>
      <c r="O116">
        <f>IFERROR(SUM($C$3:$C116),"")</f>
        <v>301376.14400000003</v>
      </c>
      <c r="P116">
        <f>IFERROR(SUM($D$3:$D116),"")</f>
        <v>29013.753999999997</v>
      </c>
      <c r="Q116">
        <f t="shared" si="27"/>
        <v>330389.89800000004</v>
      </c>
      <c r="R116">
        <f t="shared" si="28"/>
        <v>79.353866624578231</v>
      </c>
      <c r="S116">
        <f t="shared" si="29"/>
        <v>91.218328957503417</v>
      </c>
      <c r="T116">
        <f>IFERROR(SUM($E$3:$E116),"")</f>
        <v>277082.87400000001</v>
      </c>
      <c r="U116">
        <f>IFERROR(SUM($F$3:$F116),"")</f>
        <v>319999.97900000005</v>
      </c>
      <c r="V116">
        <f>IFERROR(SUM($G$3:$G116),"")</f>
        <v>32899.027999999998</v>
      </c>
      <c r="W116">
        <f t="shared" si="30"/>
        <v>352899.00700000004</v>
      </c>
      <c r="X116">
        <f t="shared" si="31"/>
        <v>78.516195428115779</v>
      </c>
      <c r="Y116">
        <f t="shared" si="32"/>
        <v>90.677494878867719</v>
      </c>
      <c r="Z116">
        <f>IFERROR(SUM($H$3:$H116),"")</f>
        <v>262177.15800000011</v>
      </c>
      <c r="AA116">
        <f>IFERROR(SUM($I$3:$I116),"")</f>
        <v>301376.14500000002</v>
      </c>
      <c r="AB116">
        <f>IFERROR(SUM($J$3:$J116),"")</f>
        <v>29013.517999999996</v>
      </c>
      <c r="AC116">
        <f t="shared" si="33"/>
        <v>330389.663</v>
      </c>
      <c r="AD116">
        <f t="shared" si="34"/>
        <v>79.353922764829392</v>
      </c>
      <c r="AE116">
        <f t="shared" si="35"/>
        <v>91.218394142070963</v>
      </c>
    </row>
    <row r="117" spans="1:31" x14ac:dyDescent="0.35">
      <c r="A117">
        <v>1964</v>
      </c>
      <c r="B117">
        <v>6627.8119999999999</v>
      </c>
      <c r="C117">
        <v>8792.4330000000009</v>
      </c>
      <c r="D117">
        <v>1720.671</v>
      </c>
      <c r="E117">
        <v>7138.2240000000002</v>
      </c>
      <c r="F117">
        <v>9591.8009999999995</v>
      </c>
      <c r="G117">
        <v>1943.5129999999999</v>
      </c>
      <c r="H117">
        <v>6627.8119999999999</v>
      </c>
      <c r="I117">
        <v>8792.4330000000009</v>
      </c>
      <c r="J117">
        <v>1720.6120000000001</v>
      </c>
      <c r="N117">
        <f>IFERROR(SUM($B$3:$B117),"")</f>
        <v>268804.97100000008</v>
      </c>
      <c r="O117">
        <f>IFERROR(SUM($C$3:$C117),"")</f>
        <v>310168.57700000005</v>
      </c>
      <c r="P117">
        <f>IFERROR(SUM($D$3:$D117),"")</f>
        <v>30734.424999999996</v>
      </c>
      <c r="Q117">
        <f t="shared" si="27"/>
        <v>340903.00200000004</v>
      </c>
      <c r="R117">
        <f t="shared" si="28"/>
        <v>78.850866499556389</v>
      </c>
      <c r="S117">
        <f t="shared" si="29"/>
        <v>90.984407640974666</v>
      </c>
      <c r="T117">
        <f>IFERROR(SUM($E$3:$E117),"")</f>
        <v>284221.098</v>
      </c>
      <c r="U117">
        <f>IFERROR(SUM($F$3:$F117),"")</f>
        <v>329591.78000000003</v>
      </c>
      <c r="V117">
        <f>IFERROR(SUM($G$3:$G117),"")</f>
        <v>34842.540999999997</v>
      </c>
      <c r="W117">
        <f t="shared" si="30"/>
        <v>364434.321</v>
      </c>
      <c r="X117">
        <f t="shared" si="31"/>
        <v>77.989662779318749</v>
      </c>
      <c r="Y117">
        <f t="shared" si="32"/>
        <v>90.439281101628197</v>
      </c>
      <c r="Z117">
        <f>IFERROR(SUM($H$3:$H117),"")</f>
        <v>268804.97000000009</v>
      </c>
      <c r="AA117">
        <f>IFERROR(SUM($I$3:$I117),"")</f>
        <v>310168.57800000004</v>
      </c>
      <c r="AB117">
        <f>IFERROR(SUM($J$3:$J117),"")</f>
        <v>30734.129999999997</v>
      </c>
      <c r="AC117">
        <f t="shared" si="33"/>
        <v>340902.70800000004</v>
      </c>
      <c r="AD117">
        <f t="shared" si="34"/>
        <v>78.850934208478051</v>
      </c>
      <c r="AE117">
        <f t="shared" si="35"/>
        <v>90.984486400735776</v>
      </c>
    </row>
    <row r="118" spans="1:31" x14ac:dyDescent="0.35">
      <c r="A118">
        <v>1965</v>
      </c>
      <c r="B118">
        <v>6852.8149999999996</v>
      </c>
      <c r="C118">
        <v>9121.2610000000004</v>
      </c>
      <c r="D118">
        <v>1867.393</v>
      </c>
      <c r="E118">
        <v>7403.5349999999999</v>
      </c>
      <c r="F118">
        <v>9980.6749999999993</v>
      </c>
      <c r="G118">
        <v>2093.7719999999999</v>
      </c>
      <c r="H118">
        <v>6852.8149999999996</v>
      </c>
      <c r="I118">
        <v>9121.2610000000004</v>
      </c>
      <c r="J118">
        <v>1867.327</v>
      </c>
      <c r="N118">
        <f>IFERROR(SUM($B$3:$B118),"")</f>
        <v>275657.78600000008</v>
      </c>
      <c r="O118">
        <f>IFERROR(SUM($C$3:$C118),"")</f>
        <v>319289.83800000005</v>
      </c>
      <c r="P118">
        <f>IFERROR(SUM($D$3:$D118),"")</f>
        <v>32601.817999999996</v>
      </c>
      <c r="Q118">
        <f t="shared" si="27"/>
        <v>351891.65600000002</v>
      </c>
      <c r="R118">
        <f t="shared" si="28"/>
        <v>78.335982482062633</v>
      </c>
      <c r="S118">
        <f t="shared" si="29"/>
        <v>90.735268244041578</v>
      </c>
      <c r="T118">
        <f>IFERROR(SUM($E$3:$E118),"")</f>
        <v>291624.63299999997</v>
      </c>
      <c r="U118">
        <f>IFERROR(SUM($F$3:$F118),"")</f>
        <v>339572.45500000002</v>
      </c>
      <c r="V118">
        <f>IFERROR(SUM($G$3:$G118),"")</f>
        <v>36936.312999999995</v>
      </c>
      <c r="W118">
        <f t="shared" si="30"/>
        <v>376508.76800000004</v>
      </c>
      <c r="X118">
        <f t="shared" si="31"/>
        <v>77.454938048082838</v>
      </c>
      <c r="Y118">
        <f t="shared" si="32"/>
        <v>90.189786762150518</v>
      </c>
      <c r="Z118">
        <f>IFERROR(SUM($H$3:$H118),"")</f>
        <v>275657.78500000009</v>
      </c>
      <c r="AA118">
        <f>IFERROR(SUM($I$3:$I118),"")</f>
        <v>319289.83900000004</v>
      </c>
      <c r="AB118">
        <f>IFERROR(SUM($J$3:$J118),"")</f>
        <v>32601.456999999999</v>
      </c>
      <c r="AC118">
        <f t="shared" si="33"/>
        <v>351891.29600000003</v>
      </c>
      <c r="AD118">
        <f t="shared" si="34"/>
        <v>78.336062338978707</v>
      </c>
      <c r="AE118">
        <f t="shared" si="35"/>
        <v>90.735361354320048</v>
      </c>
    </row>
    <row r="119" spans="1:31" x14ac:dyDescent="0.35">
      <c r="A119">
        <v>1966</v>
      </c>
      <c r="B119">
        <v>7133.3969999999999</v>
      </c>
      <c r="C119">
        <v>9510.152</v>
      </c>
      <c r="D119">
        <v>2004.0619999999999</v>
      </c>
      <c r="E119">
        <v>7678.9390000000003</v>
      </c>
      <c r="F119">
        <v>10385.483</v>
      </c>
      <c r="G119">
        <v>2264.27</v>
      </c>
      <c r="H119">
        <v>7133.3969999999999</v>
      </c>
      <c r="I119">
        <v>9510.152</v>
      </c>
      <c r="J119">
        <v>2003.9960000000001</v>
      </c>
      <c r="N119">
        <f>IFERROR(SUM($B$3:$B119),"")</f>
        <v>282791.18300000008</v>
      </c>
      <c r="O119">
        <f>IFERROR(SUM($C$3:$C119),"")</f>
        <v>328799.99000000005</v>
      </c>
      <c r="P119">
        <f>IFERROR(SUM($D$3:$D119),"")</f>
        <v>34605.879999999997</v>
      </c>
      <c r="Q119">
        <f t="shared" si="27"/>
        <v>363405.87000000005</v>
      </c>
      <c r="R119">
        <f t="shared" si="28"/>
        <v>77.816900150787333</v>
      </c>
      <c r="S119">
        <f t="shared" si="29"/>
        <v>90.477346994972862</v>
      </c>
      <c r="T119">
        <f>IFERROR(SUM($E$3:$E119),"")</f>
        <v>299303.57199999999</v>
      </c>
      <c r="U119">
        <f>IFERROR(SUM($F$3:$F119),"")</f>
        <v>349957.93800000002</v>
      </c>
      <c r="V119">
        <f>IFERROR(SUM($G$3:$G119),"")</f>
        <v>39200.582999999991</v>
      </c>
      <c r="W119">
        <f t="shared" si="30"/>
        <v>389158.52100000001</v>
      </c>
      <c r="X119">
        <f t="shared" si="31"/>
        <v>76.910450587307068</v>
      </c>
      <c r="Y119">
        <f t="shared" si="32"/>
        <v>89.926834211603961</v>
      </c>
      <c r="Z119">
        <f>IFERROR(SUM($H$3:$H119),"")</f>
        <v>282791.18200000009</v>
      </c>
      <c r="AA119">
        <f>IFERROR(SUM($I$3:$I119),"")</f>
        <v>328799.99100000004</v>
      </c>
      <c r="AB119">
        <f>IFERROR(SUM($J$3:$J119),"")</f>
        <v>34605.453000000001</v>
      </c>
      <c r="AC119">
        <f t="shared" si="33"/>
        <v>363405.44400000002</v>
      </c>
      <c r="AD119">
        <f t="shared" si="34"/>
        <v>77.816991096038748</v>
      </c>
      <c r="AE119">
        <f t="shared" si="35"/>
        <v>90.477453331711786</v>
      </c>
    </row>
    <row r="120" spans="1:31" x14ac:dyDescent="0.35">
      <c r="A120">
        <v>1967</v>
      </c>
      <c r="B120">
        <v>7382.3209999999999</v>
      </c>
      <c r="C120">
        <v>9857.6919999999991</v>
      </c>
      <c r="D120">
        <v>2006.9090000000001</v>
      </c>
      <c r="E120">
        <v>7943.3029999999999</v>
      </c>
      <c r="F120">
        <v>10761.748</v>
      </c>
      <c r="G120">
        <v>2237.4639999999999</v>
      </c>
      <c r="H120">
        <v>7382.3209999999999</v>
      </c>
      <c r="I120">
        <v>9857.6919999999991</v>
      </c>
      <c r="J120">
        <v>2006.835</v>
      </c>
      <c r="N120">
        <f>IFERROR(SUM($B$3:$B120),"")</f>
        <v>290173.50400000007</v>
      </c>
      <c r="O120">
        <f>IFERROR(SUM($C$3:$C120),"")</f>
        <v>338657.68200000003</v>
      </c>
      <c r="P120">
        <f>IFERROR(SUM($D$3:$D120),"")</f>
        <v>36612.788999999997</v>
      </c>
      <c r="Q120">
        <f t="shared" si="27"/>
        <v>375270.47100000002</v>
      </c>
      <c r="R120">
        <f t="shared" si="28"/>
        <v>77.323830789766575</v>
      </c>
      <c r="S120">
        <f t="shared" si="29"/>
        <v>90.243626442966246</v>
      </c>
      <c r="T120">
        <f>IFERROR(SUM($E$3:$E120),"")</f>
        <v>307246.875</v>
      </c>
      <c r="U120">
        <f>IFERROR(SUM($F$3:$F120),"")</f>
        <v>360719.68600000005</v>
      </c>
      <c r="V120">
        <f>IFERROR(SUM($G$3:$G120),"")</f>
        <v>41438.046999999991</v>
      </c>
      <c r="W120">
        <f t="shared" si="30"/>
        <v>402157.73300000001</v>
      </c>
      <c r="X120">
        <f t="shared" si="31"/>
        <v>76.399593937436478</v>
      </c>
      <c r="Y120">
        <f t="shared" si="32"/>
        <v>89.696071068711746</v>
      </c>
      <c r="Z120">
        <f>IFERROR(SUM($H$3:$H120),"")</f>
        <v>290173.50300000008</v>
      </c>
      <c r="AA120">
        <f>IFERROR(SUM($I$3:$I120),"")</f>
        <v>338657.68300000002</v>
      </c>
      <c r="AB120">
        <f>IFERROR(SUM($J$3:$J120),"")</f>
        <v>36612.288</v>
      </c>
      <c r="AC120">
        <f t="shared" si="33"/>
        <v>375269.97100000002</v>
      </c>
      <c r="AD120">
        <f t="shared" si="34"/>
        <v>77.3239335475633</v>
      </c>
      <c r="AE120">
        <f t="shared" si="35"/>
        <v>90.243746947714072</v>
      </c>
    </row>
    <row r="121" spans="1:31" x14ac:dyDescent="0.35">
      <c r="A121">
        <v>1968</v>
      </c>
      <c r="B121">
        <v>7769.8149999999996</v>
      </c>
      <c r="C121">
        <v>10338.859</v>
      </c>
      <c r="D121">
        <v>2172.2220000000002</v>
      </c>
      <c r="E121">
        <v>8350.5499999999993</v>
      </c>
      <c r="F121">
        <v>11272.227999999999</v>
      </c>
      <c r="G121">
        <v>2437.6590000000001</v>
      </c>
      <c r="H121">
        <v>7769.8149999999996</v>
      </c>
      <c r="I121">
        <v>10338.859</v>
      </c>
      <c r="J121">
        <v>2172.145</v>
      </c>
      <c r="N121">
        <f>IFERROR(SUM($B$3:$B121),"")</f>
        <v>297943.31900000008</v>
      </c>
      <c r="O121">
        <f>IFERROR(SUM($C$3:$C121),"")</f>
        <v>348996.54100000003</v>
      </c>
      <c r="P121">
        <f>IFERROR(SUM($D$3:$D121),"")</f>
        <v>38785.010999999999</v>
      </c>
      <c r="Q121">
        <f t="shared" si="27"/>
        <v>387781.55200000003</v>
      </c>
      <c r="R121">
        <f t="shared" si="28"/>
        <v>76.832772849390224</v>
      </c>
      <c r="S121">
        <f t="shared" si="29"/>
        <v>89.998232045860703</v>
      </c>
      <c r="T121">
        <f>IFERROR(SUM($E$3:$E121),"")</f>
        <v>315597.42499999999</v>
      </c>
      <c r="U121">
        <f>IFERROR(SUM($F$3:$F121),"")</f>
        <v>371991.91400000005</v>
      </c>
      <c r="V121">
        <f>IFERROR(SUM($G$3:$G121),"")</f>
        <v>43875.705999999991</v>
      </c>
      <c r="W121">
        <f t="shared" si="30"/>
        <v>415867.62000000005</v>
      </c>
      <c r="X121">
        <f t="shared" si="31"/>
        <v>75.888915083121873</v>
      </c>
      <c r="Y121">
        <f t="shared" si="32"/>
        <v>89.449597927340434</v>
      </c>
      <c r="Z121">
        <f>IFERROR(SUM($H$3:$H121),"")</f>
        <v>297943.31800000009</v>
      </c>
      <c r="AA121">
        <f>IFERROR(SUM($I$3:$I121),"")</f>
        <v>348996.54200000002</v>
      </c>
      <c r="AB121">
        <f>IFERROR(SUM($J$3:$J121),"")</f>
        <v>38784.432999999997</v>
      </c>
      <c r="AC121">
        <f t="shared" si="33"/>
        <v>387780.97500000003</v>
      </c>
      <c r="AD121">
        <f t="shared" si="34"/>
        <v>76.832886915094292</v>
      </c>
      <c r="AE121">
        <f t="shared" si="35"/>
        <v>89.998366216908906</v>
      </c>
    </row>
    <row r="122" spans="1:31" x14ac:dyDescent="0.35">
      <c r="A122">
        <v>1969</v>
      </c>
      <c r="B122">
        <v>8240.8050000000003</v>
      </c>
      <c r="C122">
        <v>10937.124</v>
      </c>
      <c r="D122">
        <v>2412.172</v>
      </c>
      <c r="E122">
        <v>8855.0329999999994</v>
      </c>
      <c r="F122">
        <v>11918.591</v>
      </c>
      <c r="G122">
        <v>2693.0909999999999</v>
      </c>
      <c r="H122">
        <v>8240.8050000000003</v>
      </c>
      <c r="I122">
        <v>10937.124</v>
      </c>
      <c r="J122">
        <v>2412.04</v>
      </c>
      <c r="N122">
        <f>IFERROR(SUM($B$3:$B122),"")</f>
        <v>306184.12400000007</v>
      </c>
      <c r="O122">
        <f>IFERROR(SUM($C$3:$C122),"")</f>
        <v>359933.66500000004</v>
      </c>
      <c r="P122">
        <f>IFERROR(SUM($D$3:$D122),"")</f>
        <v>41197.182999999997</v>
      </c>
      <c r="Q122">
        <f t="shared" si="27"/>
        <v>401130.84800000006</v>
      </c>
      <c r="R122">
        <f t="shared" si="28"/>
        <v>76.330236262457689</v>
      </c>
      <c r="S122">
        <f t="shared" si="29"/>
        <v>89.729739508839771</v>
      </c>
      <c r="T122">
        <f>IFERROR(SUM($E$3:$E122),"")</f>
        <v>324452.45799999998</v>
      </c>
      <c r="U122">
        <f>IFERROR(SUM($F$3:$F122),"")</f>
        <v>383910.50500000006</v>
      </c>
      <c r="V122">
        <f>IFERROR(SUM($G$3:$G122),"")</f>
        <v>46568.796999999991</v>
      </c>
      <c r="W122">
        <f t="shared" si="30"/>
        <v>430479.30200000003</v>
      </c>
      <c r="X122">
        <f t="shared" si="31"/>
        <v>75.37004833742273</v>
      </c>
      <c r="Y122">
        <f t="shared" si="32"/>
        <v>89.182105438370201</v>
      </c>
      <c r="Z122">
        <f>IFERROR(SUM($H$3:$H122),"")</f>
        <v>306184.12300000008</v>
      </c>
      <c r="AA122">
        <f>IFERROR(SUM($I$3:$I122),"")</f>
        <v>359933.66600000003</v>
      </c>
      <c r="AB122">
        <f>IFERROR(SUM($J$3:$J122),"")</f>
        <v>41196.472999999998</v>
      </c>
      <c r="AC122">
        <f t="shared" si="33"/>
        <v>401130.13900000002</v>
      </c>
      <c r="AD122">
        <f t="shared" si="34"/>
        <v>76.330370927326413</v>
      </c>
      <c r="AE122">
        <f t="shared" si="35"/>
        <v>89.729898356004611</v>
      </c>
    </row>
    <row r="123" spans="1:31" x14ac:dyDescent="0.35">
      <c r="A123">
        <v>1970</v>
      </c>
      <c r="B123">
        <v>8822.9850000000006</v>
      </c>
      <c r="C123">
        <v>11675.703</v>
      </c>
      <c r="D123">
        <v>2788.864</v>
      </c>
      <c r="E123">
        <v>9418.8559999999998</v>
      </c>
      <c r="F123">
        <v>12641.286</v>
      </c>
      <c r="G123">
        <v>3106.6260000000002</v>
      </c>
      <c r="H123">
        <v>8822.9850000000006</v>
      </c>
      <c r="I123">
        <v>11675.703</v>
      </c>
      <c r="J123">
        <v>2788.6590000000001</v>
      </c>
      <c r="N123">
        <f>IFERROR(SUM($B$3:$B123),"")</f>
        <v>315007.10900000005</v>
      </c>
      <c r="O123">
        <f>IFERROR(SUM($C$3:$C123),"")</f>
        <v>371609.36800000002</v>
      </c>
      <c r="P123">
        <f>IFERROR(SUM($D$3:$D123),"")</f>
        <v>43986.046999999999</v>
      </c>
      <c r="Q123">
        <f t="shared" si="27"/>
        <v>415595.41500000004</v>
      </c>
      <c r="R123">
        <f t="shared" si="28"/>
        <v>75.796579469001131</v>
      </c>
      <c r="S123">
        <f t="shared" si="29"/>
        <v>89.416137567350205</v>
      </c>
      <c r="T123">
        <f>IFERROR(SUM($E$3:$E123),"")</f>
        <v>333871.31400000001</v>
      </c>
      <c r="U123">
        <f>IFERROR(SUM($F$3:$F123),"")</f>
        <v>396551.79100000008</v>
      </c>
      <c r="V123">
        <f>IFERROR(SUM($G$3:$G123),"")</f>
        <v>49675.422999999995</v>
      </c>
      <c r="W123">
        <f t="shared" si="30"/>
        <v>446227.21400000009</v>
      </c>
      <c r="X123">
        <f t="shared" si="31"/>
        <v>74.820921612369418</v>
      </c>
      <c r="Y123">
        <f t="shared" si="32"/>
        <v>88.8676841211213</v>
      </c>
      <c r="Z123">
        <f>IFERROR(SUM($H$3:$H123),"")</f>
        <v>315007.10800000007</v>
      </c>
      <c r="AA123">
        <f>IFERROR(SUM($I$3:$I123),"")</f>
        <v>371609.36900000001</v>
      </c>
      <c r="AB123">
        <f>IFERROR(SUM($J$3:$J123),"")</f>
        <v>43985.131999999998</v>
      </c>
      <c r="AC123">
        <f t="shared" si="33"/>
        <v>415594.50099999999</v>
      </c>
      <c r="AD123">
        <f t="shared" si="34"/>
        <v>75.79674592470127</v>
      </c>
      <c r="AE123">
        <f t="shared" si="35"/>
        <v>89.416334457226128</v>
      </c>
    </row>
    <row r="124" spans="1:31" x14ac:dyDescent="0.35">
      <c r="A124">
        <v>1971</v>
      </c>
      <c r="B124">
        <v>8964.1810000000005</v>
      </c>
      <c r="C124">
        <v>11974.58</v>
      </c>
      <c r="D124">
        <v>3070.2249999999999</v>
      </c>
      <c r="E124">
        <v>9534.4760000000006</v>
      </c>
      <c r="F124">
        <v>12880.087</v>
      </c>
      <c r="G124">
        <v>3380.5479999999998</v>
      </c>
      <c r="H124">
        <v>8964.1810000000005</v>
      </c>
      <c r="I124">
        <v>11974.58</v>
      </c>
      <c r="J124">
        <v>3069.9760000000001</v>
      </c>
      <c r="N124">
        <f>IFERROR(SUM($B$3:$B124),"")</f>
        <v>323971.29000000004</v>
      </c>
      <c r="O124">
        <f>IFERROR(SUM($C$3:$C124),"")</f>
        <v>383583.94800000003</v>
      </c>
      <c r="P124">
        <f>IFERROR(SUM($D$3:$D124),"")</f>
        <v>47056.271999999997</v>
      </c>
      <c r="Q124">
        <f t="shared" si="27"/>
        <v>430640.22000000003</v>
      </c>
      <c r="R124">
        <f t="shared" si="28"/>
        <v>75.230151517199204</v>
      </c>
      <c r="S124">
        <f t="shared" si="29"/>
        <v>89.072950037040201</v>
      </c>
      <c r="T124">
        <f>IFERROR(SUM($E$3:$E124),"")</f>
        <v>343405.79000000004</v>
      </c>
      <c r="U124">
        <f>IFERROR(SUM($F$3:$F124),"")</f>
        <v>409431.87800000008</v>
      </c>
      <c r="V124">
        <f>IFERROR(SUM($G$3:$G124),"")</f>
        <v>53055.970999999998</v>
      </c>
      <c r="W124">
        <f t="shared" si="30"/>
        <v>462487.8490000001</v>
      </c>
      <c r="X124">
        <f t="shared" si="31"/>
        <v>74.251851317287247</v>
      </c>
      <c r="Y124">
        <f t="shared" si="32"/>
        <v>88.52813730896527</v>
      </c>
      <c r="Z124">
        <f>IFERROR(SUM($H$3:$H124),"")</f>
        <v>323971.28900000005</v>
      </c>
      <c r="AA124">
        <f>IFERROR(SUM($I$3:$I124),"")</f>
        <v>383583.94900000002</v>
      </c>
      <c r="AB124">
        <f>IFERROR(SUM($J$3:$J124),"")</f>
        <v>47055.108</v>
      </c>
      <c r="AC124">
        <f t="shared" si="33"/>
        <v>430639.05700000003</v>
      </c>
      <c r="AD124">
        <f t="shared" si="34"/>
        <v>75.230354454356899</v>
      </c>
      <c r="AE124">
        <f t="shared" si="35"/>
        <v>89.073190823005163</v>
      </c>
    </row>
    <row r="125" spans="1:31" x14ac:dyDescent="0.35">
      <c r="A125">
        <v>1972</v>
      </c>
      <c r="B125">
        <v>9356.3780000000006</v>
      </c>
      <c r="C125">
        <v>12511.487999999999</v>
      </c>
      <c r="D125">
        <v>3223.373</v>
      </c>
      <c r="E125">
        <v>9953.9490000000005</v>
      </c>
      <c r="F125">
        <v>13471.791999999999</v>
      </c>
      <c r="G125">
        <v>3532.2510000000002</v>
      </c>
      <c r="H125">
        <v>9356.3780000000006</v>
      </c>
      <c r="I125">
        <v>12511.487999999999</v>
      </c>
      <c r="J125">
        <v>3223.116</v>
      </c>
      <c r="N125">
        <f>IFERROR(SUM($B$3:$B125),"")</f>
        <v>333327.66800000006</v>
      </c>
      <c r="O125">
        <f>IFERROR(SUM($C$3:$C125),"")</f>
        <v>396095.43600000005</v>
      </c>
      <c r="P125">
        <f>IFERROR(SUM($D$3:$D125),"")</f>
        <v>50279.644999999997</v>
      </c>
      <c r="Q125">
        <f t="shared" si="27"/>
        <v>446375.08100000006</v>
      </c>
      <c r="R125">
        <f t="shared" si="28"/>
        <v>74.674345004487392</v>
      </c>
      <c r="S125">
        <f t="shared" si="29"/>
        <v>88.736009884924556</v>
      </c>
      <c r="T125">
        <f>IFERROR(SUM($E$3:$E125),"")</f>
        <v>353359.73900000006</v>
      </c>
      <c r="U125">
        <f>IFERROR(SUM($F$3:$F125),"")</f>
        <v>422903.6700000001</v>
      </c>
      <c r="V125">
        <f>IFERROR(SUM($G$3:$G125),"")</f>
        <v>56588.221999999994</v>
      </c>
      <c r="W125">
        <f t="shared" si="30"/>
        <v>479491.89200000011</v>
      </c>
      <c r="X125">
        <f t="shared" si="31"/>
        <v>73.694622348275288</v>
      </c>
      <c r="Y125">
        <f t="shared" si="32"/>
        <v>88.198294289405837</v>
      </c>
      <c r="Z125">
        <f>IFERROR(SUM($H$3:$H125),"")</f>
        <v>333327.66700000007</v>
      </c>
      <c r="AA125">
        <f>IFERROR(SUM($I$3:$I125),"")</f>
        <v>396095.43700000003</v>
      </c>
      <c r="AB125">
        <f>IFERROR(SUM($J$3:$J125),"")</f>
        <v>50278.224000000002</v>
      </c>
      <c r="AC125">
        <f t="shared" si="33"/>
        <v>446373.66100000002</v>
      </c>
      <c r="AD125">
        <f t="shared" si="34"/>
        <v>74.674582333835332</v>
      </c>
      <c r="AE125">
        <f t="shared" si="35"/>
        <v>88.736292395173379</v>
      </c>
    </row>
    <row r="126" spans="1:31" x14ac:dyDescent="0.35">
      <c r="A126">
        <v>1973</v>
      </c>
      <c r="B126">
        <v>9790.0859999999993</v>
      </c>
      <c r="C126">
        <v>13076.36</v>
      </c>
      <c r="D126">
        <v>3477.1509999999998</v>
      </c>
      <c r="E126">
        <v>10428.007</v>
      </c>
      <c r="F126">
        <v>14095.019</v>
      </c>
      <c r="G126">
        <v>3791.261</v>
      </c>
      <c r="H126">
        <v>9790.0859999999993</v>
      </c>
      <c r="I126">
        <v>13076.36</v>
      </c>
      <c r="J126">
        <v>3476.9050000000002</v>
      </c>
      <c r="N126">
        <f>IFERROR(SUM($B$3:$B126),"")</f>
        <v>343117.75400000007</v>
      </c>
      <c r="O126">
        <f>IFERROR(SUM($C$3:$C126),"")</f>
        <v>409171.79600000003</v>
      </c>
      <c r="P126">
        <f>IFERROR(SUM($D$3:$D126),"")</f>
        <v>53756.795999999995</v>
      </c>
      <c r="Q126">
        <f t="shared" si="27"/>
        <v>462928.592</v>
      </c>
      <c r="R126">
        <f t="shared" si="28"/>
        <v>74.118937548795884</v>
      </c>
      <c r="S126">
        <f t="shared" si="29"/>
        <v>88.387669949753288</v>
      </c>
      <c r="T126">
        <f>IFERROR(SUM($E$3:$E126),"")</f>
        <v>363787.74600000004</v>
      </c>
      <c r="U126">
        <f>IFERROR(SUM($F$3:$F126),"")</f>
        <v>436998.68900000013</v>
      </c>
      <c r="V126">
        <f>IFERROR(SUM($G$3:$G126),"")</f>
        <v>60379.482999999993</v>
      </c>
      <c r="W126">
        <f t="shared" si="30"/>
        <v>497378.17200000014</v>
      </c>
      <c r="X126">
        <f t="shared" si="31"/>
        <v>73.141075841181063</v>
      </c>
      <c r="Y126">
        <f t="shared" si="32"/>
        <v>87.860447764080803</v>
      </c>
      <c r="Z126">
        <f>IFERROR(SUM($H$3:$H126),"")</f>
        <v>343117.75300000008</v>
      </c>
      <c r="AA126">
        <f>IFERROR(SUM($I$3:$I126),"")</f>
        <v>409171.79700000002</v>
      </c>
      <c r="AB126">
        <f>IFERROR(SUM($J$3:$J126),"")</f>
        <v>53755.129000000001</v>
      </c>
      <c r="AC126">
        <f t="shared" si="33"/>
        <v>462926.92600000004</v>
      </c>
      <c r="AD126">
        <f t="shared" si="34"/>
        <v>74.119204074986129</v>
      </c>
      <c r="AE126">
        <f t="shared" si="35"/>
        <v>88.387988258863999</v>
      </c>
    </row>
    <row r="127" spans="1:31" x14ac:dyDescent="0.35">
      <c r="A127">
        <v>1974</v>
      </c>
      <c r="B127">
        <v>9531.6980000000003</v>
      </c>
      <c r="C127">
        <v>12931.427</v>
      </c>
      <c r="D127">
        <v>3580.11</v>
      </c>
      <c r="E127">
        <v>10127.852999999999</v>
      </c>
      <c r="F127">
        <v>13882.816999999999</v>
      </c>
      <c r="G127">
        <v>3890.5219999999999</v>
      </c>
      <c r="H127">
        <v>9531.6980000000003</v>
      </c>
      <c r="I127">
        <v>12931.428</v>
      </c>
      <c r="J127">
        <v>3579.7919999999999</v>
      </c>
      <c r="N127">
        <f>IFERROR(SUM($B$3:$B127),"")</f>
        <v>352649.45200000005</v>
      </c>
      <c r="O127">
        <f>IFERROR(SUM($C$3:$C127),"")</f>
        <v>422103.22300000006</v>
      </c>
      <c r="P127">
        <f>IFERROR(SUM($D$3:$D127),"")</f>
        <v>57336.905999999995</v>
      </c>
      <c r="Q127">
        <f t="shared" si="27"/>
        <v>479440.12900000007</v>
      </c>
      <c r="R127">
        <f t="shared" si="28"/>
        <v>73.554429566741589</v>
      </c>
      <c r="S127">
        <f t="shared" si="29"/>
        <v>88.040862136510896</v>
      </c>
      <c r="T127">
        <f>IFERROR(SUM($E$3:$E127),"")</f>
        <v>373915.59900000005</v>
      </c>
      <c r="U127">
        <f>IFERROR(SUM($F$3:$F127),"")</f>
        <v>450881.50600000011</v>
      </c>
      <c r="V127">
        <f>IFERROR(SUM($G$3:$G127),"")</f>
        <v>64270.00499999999</v>
      </c>
      <c r="W127">
        <f t="shared" si="30"/>
        <v>515151.51100000012</v>
      </c>
      <c r="X127">
        <f t="shared" si="31"/>
        <v>72.583616861409141</v>
      </c>
      <c r="Y127">
        <f t="shared" si="32"/>
        <v>87.52405775239977</v>
      </c>
      <c r="Z127">
        <f>IFERROR(SUM($H$3:$H127),"")</f>
        <v>352649.45100000006</v>
      </c>
      <c r="AA127">
        <f>IFERROR(SUM($I$3:$I127),"")</f>
        <v>422103.22500000003</v>
      </c>
      <c r="AB127">
        <f>IFERROR(SUM($J$3:$J127),"")</f>
        <v>57334.921000000002</v>
      </c>
      <c r="AC127">
        <f t="shared" si="33"/>
        <v>479438.14600000007</v>
      </c>
      <c r="AD127">
        <f t="shared" si="34"/>
        <v>73.554733586008822</v>
      </c>
      <c r="AE127">
        <f t="shared" si="35"/>
        <v>88.041226698719953</v>
      </c>
    </row>
    <row r="128" spans="1:31" x14ac:dyDescent="0.35">
      <c r="A128">
        <v>1975</v>
      </c>
      <c r="B128">
        <v>9162.3240000000005</v>
      </c>
      <c r="C128">
        <v>12745.973</v>
      </c>
      <c r="D128">
        <v>3797.4670000000001</v>
      </c>
      <c r="E128">
        <v>9672.8680000000004</v>
      </c>
      <c r="F128">
        <v>13600.438</v>
      </c>
      <c r="G128">
        <v>4110.6689999999999</v>
      </c>
      <c r="H128">
        <v>9162.3240000000005</v>
      </c>
      <c r="I128">
        <v>12745.973</v>
      </c>
      <c r="J128">
        <v>3797.1370000000002</v>
      </c>
      <c r="N128">
        <f>IFERROR(SUM($B$3:$B128),"")</f>
        <v>361811.77600000007</v>
      </c>
      <c r="O128">
        <f>IFERROR(SUM($C$3:$C128),"")</f>
        <v>434849.19600000005</v>
      </c>
      <c r="P128">
        <f>IFERROR(SUM($D$3:$D128),"")</f>
        <v>61134.372999999992</v>
      </c>
      <c r="Q128">
        <f t="shared" si="27"/>
        <v>495983.56900000002</v>
      </c>
      <c r="R128">
        <f t="shared" si="28"/>
        <v>72.948339141452507</v>
      </c>
      <c r="S128">
        <f t="shared" si="29"/>
        <v>87.674113252731573</v>
      </c>
      <c r="T128">
        <f>IFERROR(SUM($E$3:$E128),"")</f>
        <v>383588.46700000006</v>
      </c>
      <c r="U128">
        <f>IFERROR(SUM($F$3:$F128),"")</f>
        <v>464481.94400000013</v>
      </c>
      <c r="V128">
        <f>IFERROR(SUM($G$3:$G128),"")</f>
        <v>68380.673999999985</v>
      </c>
      <c r="W128">
        <f t="shared" si="30"/>
        <v>532862.61800000013</v>
      </c>
      <c r="X128">
        <f t="shared" si="31"/>
        <v>71.986372104638789</v>
      </c>
      <c r="Y128">
        <f t="shared" si="32"/>
        <v>87.167297594142752</v>
      </c>
      <c r="Z128">
        <f>IFERROR(SUM($H$3:$H128),"")</f>
        <v>361811.77500000008</v>
      </c>
      <c r="AA128">
        <f>IFERROR(SUM($I$3:$I128),"")</f>
        <v>434849.19800000003</v>
      </c>
      <c r="AB128">
        <f>IFERROR(SUM($J$3:$J128),"")</f>
        <v>61132.058000000005</v>
      </c>
      <c r="AC128">
        <f t="shared" si="33"/>
        <v>495981.25600000005</v>
      </c>
      <c r="AD128">
        <f t="shared" si="34"/>
        <v>72.948679133148545</v>
      </c>
      <c r="AE128">
        <f t="shared" si="35"/>
        <v>87.674522522681784</v>
      </c>
    </row>
    <row r="129" spans="1:31" x14ac:dyDescent="0.35">
      <c r="A129">
        <v>1976</v>
      </c>
      <c r="B129">
        <v>9630.5349999999999</v>
      </c>
      <c r="C129">
        <v>13372.009</v>
      </c>
      <c r="D129">
        <v>4054.3270000000002</v>
      </c>
      <c r="E129">
        <v>10199.027</v>
      </c>
      <c r="F129">
        <v>14295.599</v>
      </c>
      <c r="G129">
        <v>4350.2700000000004</v>
      </c>
      <c r="H129">
        <v>9630.5349999999999</v>
      </c>
      <c r="I129">
        <v>13372.009</v>
      </c>
      <c r="J129">
        <v>4054.0889999999999</v>
      </c>
      <c r="N129">
        <f>IFERROR(SUM($B$3:$B129),"")</f>
        <v>371442.31100000005</v>
      </c>
      <c r="O129">
        <f>IFERROR(SUM($C$3:$C129),"")</f>
        <v>448221.20500000007</v>
      </c>
      <c r="P129">
        <f>IFERROR(SUM($D$3:$D129),"")</f>
        <v>65188.69999999999</v>
      </c>
      <c r="Q129">
        <f t="shared" si="27"/>
        <v>513409.90500000009</v>
      </c>
      <c r="R129">
        <f t="shared" si="28"/>
        <v>72.348099906642815</v>
      </c>
      <c r="S129">
        <f t="shared" si="29"/>
        <v>87.302796583170718</v>
      </c>
      <c r="T129">
        <f>IFERROR(SUM($E$3:$E129),"")</f>
        <v>393787.49400000006</v>
      </c>
      <c r="U129">
        <f>IFERROR(SUM($F$3:$F129),"")</f>
        <v>478777.54300000012</v>
      </c>
      <c r="V129">
        <f>IFERROR(SUM($G$3:$G129),"")</f>
        <v>72730.943999999989</v>
      </c>
      <c r="W129">
        <f t="shared" si="30"/>
        <v>551508.48700000008</v>
      </c>
      <c r="X129">
        <f t="shared" si="31"/>
        <v>71.401891953115125</v>
      </c>
      <c r="Y129">
        <f t="shared" si="32"/>
        <v>86.812361783292019</v>
      </c>
      <c r="Z129">
        <f>IFERROR(SUM($H$3:$H129),"")</f>
        <v>371442.31000000006</v>
      </c>
      <c r="AA129">
        <f>IFERROR(SUM($I$3:$I129),"")</f>
        <v>448221.20700000005</v>
      </c>
      <c r="AB129">
        <f>IFERROR(SUM($J$3:$J129),"")</f>
        <v>65186.147000000004</v>
      </c>
      <c r="AC129">
        <f t="shared" si="33"/>
        <v>513407.35400000005</v>
      </c>
      <c r="AD129">
        <f t="shared" si="34"/>
        <v>72.348459192503114</v>
      </c>
      <c r="AE129">
        <f t="shared" si="35"/>
        <v>87.303230759721444</v>
      </c>
    </row>
    <row r="130" spans="1:31" x14ac:dyDescent="0.35">
      <c r="A130">
        <v>1977</v>
      </c>
      <c r="B130">
        <v>9735.9719999999998</v>
      </c>
      <c r="C130">
        <v>13612.130999999999</v>
      </c>
      <c r="D130">
        <v>4299.7960000000003</v>
      </c>
      <c r="E130">
        <v>10281.288</v>
      </c>
      <c r="F130">
        <v>14501.748</v>
      </c>
      <c r="G130">
        <v>4586.2259999999997</v>
      </c>
      <c r="H130">
        <v>9735.9719999999998</v>
      </c>
      <c r="I130">
        <v>13612.132</v>
      </c>
      <c r="J130">
        <v>4299.5219999999999</v>
      </c>
      <c r="N130">
        <f>IFERROR(SUM($B$3:$B130),"")</f>
        <v>381178.28300000005</v>
      </c>
      <c r="O130">
        <f>IFERROR(SUM($C$3:$C130),"")</f>
        <v>461833.33600000007</v>
      </c>
      <c r="P130">
        <f>IFERROR(SUM($D$3:$D130),"")</f>
        <v>69488.495999999985</v>
      </c>
      <c r="Q130">
        <f t="shared" si="27"/>
        <v>531321.83200000005</v>
      </c>
      <c r="R130">
        <f t="shared" si="28"/>
        <v>71.741505814878693</v>
      </c>
      <c r="S130">
        <f t="shared" si="29"/>
        <v>86.921580892237841</v>
      </c>
      <c r="T130">
        <f>IFERROR(SUM($E$3:$E130),"")</f>
        <v>404068.78200000006</v>
      </c>
      <c r="U130">
        <f>IFERROR(SUM($F$3:$F130),"")</f>
        <v>493279.29100000014</v>
      </c>
      <c r="V130">
        <f>IFERROR(SUM($G$3:$G130),"")</f>
        <v>77317.169999999984</v>
      </c>
      <c r="W130">
        <f t="shared" si="30"/>
        <v>570596.46100000013</v>
      </c>
      <c r="X130">
        <f t="shared" si="31"/>
        <v>70.8151574042097</v>
      </c>
      <c r="Y130">
        <f t="shared" si="32"/>
        <v>86.449763487053957</v>
      </c>
      <c r="Z130">
        <f>IFERROR(SUM($H$3:$H130),"")</f>
        <v>381178.28200000006</v>
      </c>
      <c r="AA130">
        <f>IFERROR(SUM($I$3:$I130),"")</f>
        <v>461833.33900000004</v>
      </c>
      <c r="AB130">
        <f>IFERROR(SUM($J$3:$J130),"")</f>
        <v>69485.669000000009</v>
      </c>
      <c r="AC130">
        <f t="shared" si="33"/>
        <v>531319.00800000003</v>
      </c>
      <c r="AD130">
        <f t="shared" si="34"/>
        <v>71.741886938101047</v>
      </c>
      <c r="AE130">
        <f t="shared" si="35"/>
        <v>86.922043451530357</v>
      </c>
    </row>
    <row r="131" spans="1:31" x14ac:dyDescent="0.35">
      <c r="A131">
        <v>1978</v>
      </c>
      <c r="B131">
        <v>9951.5619999999999</v>
      </c>
      <c r="C131">
        <v>13962.567999999999</v>
      </c>
      <c r="D131">
        <v>4608.9530000000004</v>
      </c>
      <c r="E131">
        <v>10528.058999999999</v>
      </c>
      <c r="F131">
        <v>14887.385</v>
      </c>
      <c r="G131">
        <v>4876.45</v>
      </c>
      <c r="H131">
        <v>9951.5619999999999</v>
      </c>
      <c r="I131">
        <v>13962.567999999999</v>
      </c>
      <c r="J131">
        <v>4608.7510000000002</v>
      </c>
      <c r="N131">
        <f>IFERROR(SUM($B$3:$B131),"")</f>
        <v>391129.84500000003</v>
      </c>
      <c r="O131">
        <f>IFERROR(SUM($C$3:$C131),"")</f>
        <v>475795.9040000001</v>
      </c>
      <c r="P131">
        <f>IFERROR(SUM($D$3:$D131),"")</f>
        <v>74097.448999999979</v>
      </c>
      <c r="Q131">
        <f t="shared" ref="Q131:Q162" si="36">IFERROR(O131+P131,"")</f>
        <v>549893.35300000012</v>
      </c>
      <c r="R131">
        <f t="shared" ref="R131:R162" si="37">IFERROR(N131/Q131*100,NA())</f>
        <v>71.128309310550975</v>
      </c>
      <c r="S131">
        <f t="shared" ref="S131:S162" si="38">IFERROR(O131/Q131*100,NA())</f>
        <v>86.525123717943913</v>
      </c>
      <c r="T131">
        <f>IFERROR(SUM($E$3:$E131),"")</f>
        <v>414596.84100000007</v>
      </c>
      <c r="U131">
        <f>IFERROR(SUM($F$3:$F131),"")</f>
        <v>508166.67600000015</v>
      </c>
      <c r="V131">
        <f>IFERROR(SUM($G$3:$G131),"")</f>
        <v>82193.619999999981</v>
      </c>
      <c r="W131">
        <f t="shared" ref="W131:W162" si="39">IFERROR(U131+V131,"")</f>
        <v>590360.29600000009</v>
      </c>
      <c r="X131">
        <f t="shared" ref="X131:X162" si="40">IFERROR(T131/W131*100,NA())</f>
        <v>70.227764944409472</v>
      </c>
      <c r="Y131">
        <f t="shared" ref="Y131:Y162" si="41">IFERROR(U131/W131*100,NA())</f>
        <v>86.077380108908969</v>
      </c>
      <c r="Z131">
        <f>IFERROR(SUM($H$3:$H131),"")</f>
        <v>391129.84400000004</v>
      </c>
      <c r="AA131">
        <f>IFERROR(SUM($I$3:$I131),"")</f>
        <v>475795.90700000001</v>
      </c>
      <c r="AB131">
        <f>IFERROR(SUM($J$3:$J131),"")</f>
        <v>74094.420000000013</v>
      </c>
      <c r="AC131">
        <f t="shared" ref="AC131:AC162" si="42">IFERROR(AA131+AB131,"")</f>
        <v>549890.32700000005</v>
      </c>
      <c r="AD131">
        <f t="shared" ref="AD131:AD162" si="43">IFERROR(Z131/AC131*100,NA())</f>
        <v>71.128700541771849</v>
      </c>
      <c r="AE131">
        <f t="shared" ref="AE131:AE162" si="44">IFERROR(AA131/AC131*100,NA())</f>
        <v>86.525600403951088</v>
      </c>
    </row>
    <row r="132" spans="1:31" x14ac:dyDescent="0.35">
      <c r="A132">
        <v>1979</v>
      </c>
      <c r="B132">
        <v>10184.583000000001</v>
      </c>
      <c r="C132">
        <v>14222.119000000001</v>
      </c>
      <c r="D132">
        <v>4831.6130000000003</v>
      </c>
      <c r="E132">
        <v>10793.316999999999</v>
      </c>
      <c r="F132">
        <v>15190.695</v>
      </c>
      <c r="G132">
        <v>5105.3540000000003</v>
      </c>
      <c r="H132">
        <v>10184.583000000001</v>
      </c>
      <c r="I132">
        <v>14222.119000000001</v>
      </c>
      <c r="J132">
        <v>4831.3900000000003</v>
      </c>
      <c r="N132">
        <f>IFERROR(SUM($B$3:$B132),"")</f>
        <v>401314.42800000001</v>
      </c>
      <c r="O132">
        <f>IFERROR(SUM($C$3:$C132),"")</f>
        <v>490018.0230000001</v>
      </c>
      <c r="P132">
        <f>IFERROR(SUM($D$3:$D132),"")</f>
        <v>78929.061999999976</v>
      </c>
      <c r="Q132">
        <f t="shared" si="36"/>
        <v>568947.08500000008</v>
      </c>
      <c r="R132">
        <f t="shared" si="37"/>
        <v>70.536336081236797</v>
      </c>
      <c r="S132">
        <f t="shared" si="38"/>
        <v>86.12716998101854</v>
      </c>
      <c r="T132">
        <f>IFERROR(SUM($E$3:$E132),"")</f>
        <v>425390.15800000005</v>
      </c>
      <c r="U132">
        <f>IFERROR(SUM($F$3:$F132),"")</f>
        <v>523357.37100000016</v>
      </c>
      <c r="V132">
        <f>IFERROR(SUM($G$3:$G132),"")</f>
        <v>87298.973999999987</v>
      </c>
      <c r="W132">
        <f t="shared" si="39"/>
        <v>610656.3450000002</v>
      </c>
      <c r="X132">
        <f t="shared" si="40"/>
        <v>69.661137804111391</v>
      </c>
      <c r="Y132">
        <f t="shared" si="41"/>
        <v>85.704074850806634</v>
      </c>
      <c r="Z132">
        <f>IFERROR(SUM($H$3:$H132),"")</f>
        <v>401314.42700000003</v>
      </c>
      <c r="AA132">
        <f>IFERROR(SUM($I$3:$I132),"")</f>
        <v>490018.02600000001</v>
      </c>
      <c r="AB132">
        <f>IFERROR(SUM($J$3:$J132),"")</f>
        <v>78925.810000000012</v>
      </c>
      <c r="AC132">
        <f t="shared" si="42"/>
        <v>568943.83600000001</v>
      </c>
      <c r="AD132">
        <f t="shared" si="43"/>
        <v>70.536738708950537</v>
      </c>
      <c r="AE132">
        <f t="shared" si="44"/>
        <v>86.127662344513027</v>
      </c>
    </row>
    <row r="133" spans="1:31" x14ac:dyDescent="0.35">
      <c r="A133">
        <v>1980</v>
      </c>
      <c r="B133">
        <v>9880.0750000000007</v>
      </c>
      <c r="C133">
        <v>14055.347</v>
      </c>
      <c r="D133">
        <v>4910.1310000000003</v>
      </c>
      <c r="E133">
        <v>10426.483</v>
      </c>
      <c r="F133">
        <v>14950.561</v>
      </c>
      <c r="G133">
        <v>5157.3370000000004</v>
      </c>
      <c r="H133">
        <v>9880.0750000000007</v>
      </c>
      <c r="I133">
        <v>14055.347</v>
      </c>
      <c r="J133">
        <v>4909.8739999999998</v>
      </c>
      <c r="N133">
        <f>IFERROR(SUM($B$3:$B133),"")</f>
        <v>411194.50300000003</v>
      </c>
      <c r="O133">
        <f>IFERROR(SUM($C$3:$C133),"")</f>
        <v>504073.37000000011</v>
      </c>
      <c r="P133">
        <f>IFERROR(SUM($D$3:$D133),"")</f>
        <v>83839.19299999997</v>
      </c>
      <c r="Q133">
        <f t="shared" si="36"/>
        <v>587912.56300000008</v>
      </c>
      <c r="R133">
        <f t="shared" si="37"/>
        <v>69.941438383584938</v>
      </c>
      <c r="S133">
        <f t="shared" si="38"/>
        <v>85.739513275207898</v>
      </c>
      <c r="T133">
        <f>IFERROR(SUM($E$3:$E133),"")</f>
        <v>435816.64100000006</v>
      </c>
      <c r="U133">
        <f>IFERROR(SUM($F$3:$F133),"")</f>
        <v>538307.93200000015</v>
      </c>
      <c r="V133">
        <f>IFERROR(SUM($G$3:$G133),"")</f>
        <v>92456.310999999987</v>
      </c>
      <c r="W133">
        <f t="shared" si="39"/>
        <v>630764.24300000013</v>
      </c>
      <c r="X133">
        <f t="shared" si="40"/>
        <v>69.093428461828637</v>
      </c>
      <c r="Y133">
        <f t="shared" si="41"/>
        <v>85.342176252689086</v>
      </c>
      <c r="Z133">
        <f>IFERROR(SUM($H$3:$H133),"")</f>
        <v>411194.50200000004</v>
      </c>
      <c r="AA133">
        <f>IFERROR(SUM($I$3:$I133),"")</f>
        <v>504073.37300000002</v>
      </c>
      <c r="AB133">
        <f>IFERROR(SUM($J$3:$J133),"")</f>
        <v>83835.684000000008</v>
      </c>
      <c r="AC133">
        <f t="shared" si="42"/>
        <v>587909.05700000003</v>
      </c>
      <c r="AD133">
        <f t="shared" si="43"/>
        <v>69.941855309774553</v>
      </c>
      <c r="AE133">
        <f t="shared" si="44"/>
        <v>85.740025093711054</v>
      </c>
    </row>
    <row r="134" spans="1:31" x14ac:dyDescent="0.35">
      <c r="A134">
        <v>1981</v>
      </c>
      <c r="B134">
        <v>9488.0130000000008</v>
      </c>
      <c r="C134">
        <v>13559.878000000001</v>
      </c>
      <c r="D134">
        <v>4909.71</v>
      </c>
      <c r="E134">
        <v>10031.494000000001</v>
      </c>
      <c r="F134">
        <v>14438.316999999999</v>
      </c>
      <c r="G134">
        <v>5178.8850000000002</v>
      </c>
      <c r="H134">
        <v>9488.0120000000006</v>
      </c>
      <c r="I134">
        <v>13559.878000000001</v>
      </c>
      <c r="J134">
        <v>4909.45</v>
      </c>
      <c r="N134">
        <f>IFERROR(SUM($B$3:$B134),"")</f>
        <v>420682.516</v>
      </c>
      <c r="O134">
        <f>IFERROR(SUM($C$3:$C134),"")</f>
        <v>517633.24800000014</v>
      </c>
      <c r="P134">
        <f>IFERROR(SUM($D$3:$D134),"")</f>
        <v>88748.902999999977</v>
      </c>
      <c r="Q134">
        <f t="shared" si="36"/>
        <v>606382.15100000007</v>
      </c>
      <c r="R134">
        <f t="shared" si="37"/>
        <v>69.375807864107131</v>
      </c>
      <c r="S134">
        <f t="shared" si="38"/>
        <v>85.364196018362037</v>
      </c>
      <c r="T134">
        <f>IFERROR(SUM($E$3:$E134),"")</f>
        <v>445848.13500000007</v>
      </c>
      <c r="U134">
        <f>IFERROR(SUM($F$3:$F134),"")</f>
        <v>552746.24900000019</v>
      </c>
      <c r="V134">
        <f>IFERROR(SUM($G$3:$G134),"")</f>
        <v>97635.195999999982</v>
      </c>
      <c r="W134">
        <f t="shared" si="39"/>
        <v>650381.44500000018</v>
      </c>
      <c r="X134">
        <f t="shared" si="40"/>
        <v>68.551791941112342</v>
      </c>
      <c r="Y134">
        <f t="shared" si="41"/>
        <v>84.988010228366846</v>
      </c>
      <c r="Z134">
        <f>IFERROR(SUM($H$3:$H134),"")</f>
        <v>420682.51400000002</v>
      </c>
      <c r="AA134">
        <f>IFERROR(SUM($I$3:$I134),"")</f>
        <v>517633.25100000005</v>
      </c>
      <c r="AB134">
        <f>IFERROR(SUM($J$3:$J134),"")</f>
        <v>88745.134000000005</v>
      </c>
      <c r="AC134">
        <f t="shared" si="42"/>
        <v>606378.38500000001</v>
      </c>
      <c r="AD134">
        <f t="shared" si="43"/>
        <v>69.376238402693076</v>
      </c>
      <c r="AE134">
        <f t="shared" si="44"/>
        <v>85.364726679695224</v>
      </c>
    </row>
    <row r="135" spans="1:31" x14ac:dyDescent="0.35">
      <c r="A135">
        <v>1982</v>
      </c>
      <c r="B135">
        <v>9093.1129999999994</v>
      </c>
      <c r="C135">
        <v>13242.053</v>
      </c>
      <c r="D135">
        <v>5116.3040000000001</v>
      </c>
      <c r="E135">
        <v>9547.9760000000006</v>
      </c>
      <c r="F135">
        <v>14027.572</v>
      </c>
      <c r="G135">
        <v>5345.7349999999997</v>
      </c>
      <c r="H135">
        <v>9093.1129999999994</v>
      </c>
      <c r="I135">
        <v>13242.053</v>
      </c>
      <c r="J135">
        <v>5116.0730000000003</v>
      </c>
      <c r="N135">
        <f>IFERROR(SUM($B$3:$B135),"")</f>
        <v>429775.62900000002</v>
      </c>
      <c r="O135">
        <f>IFERROR(SUM($C$3:$C135),"")</f>
        <v>530875.30100000009</v>
      </c>
      <c r="P135">
        <f>IFERROR(SUM($D$3:$D135),"")</f>
        <v>93865.20699999998</v>
      </c>
      <c r="Q135">
        <f t="shared" si="36"/>
        <v>624740.50800000003</v>
      </c>
      <c r="R135">
        <f t="shared" si="37"/>
        <v>68.792662472912667</v>
      </c>
      <c r="S135">
        <f t="shared" si="38"/>
        <v>84.975328828845548</v>
      </c>
      <c r="T135">
        <f>IFERROR(SUM($E$3:$E135),"")</f>
        <v>455396.11100000009</v>
      </c>
      <c r="U135">
        <f>IFERROR(SUM($F$3:$F135),"")</f>
        <v>566773.82100000023</v>
      </c>
      <c r="V135">
        <f>IFERROR(SUM($G$3:$G135),"")</f>
        <v>102980.93099999998</v>
      </c>
      <c r="W135">
        <f t="shared" si="39"/>
        <v>669754.75200000021</v>
      </c>
      <c r="X135">
        <f t="shared" si="40"/>
        <v>67.994457619018121</v>
      </c>
      <c r="Y135">
        <f t="shared" si="41"/>
        <v>84.624083563053247</v>
      </c>
      <c r="Z135">
        <f>IFERROR(SUM($H$3:$H135),"")</f>
        <v>429775.62700000004</v>
      </c>
      <c r="AA135">
        <f>IFERROR(SUM($I$3:$I135),"")</f>
        <v>530875.304</v>
      </c>
      <c r="AB135">
        <f>IFERROR(SUM($J$3:$J135),"")</f>
        <v>93861.207000000009</v>
      </c>
      <c r="AC135">
        <f t="shared" si="42"/>
        <v>624736.51100000006</v>
      </c>
      <c r="AD135">
        <f t="shared" si="43"/>
        <v>68.793102281163144</v>
      </c>
      <c r="AE135">
        <f t="shared" si="44"/>
        <v>84.97587297246983</v>
      </c>
    </row>
    <row r="136" spans="1:31" x14ac:dyDescent="0.35">
      <c r="A136">
        <v>1983</v>
      </c>
      <c r="B136">
        <v>9041.973</v>
      </c>
      <c r="C136">
        <v>13246.703</v>
      </c>
      <c r="D136">
        <v>5298.3149999999996</v>
      </c>
      <c r="E136">
        <v>9512.7720000000008</v>
      </c>
      <c r="F136">
        <v>14046.02</v>
      </c>
      <c r="G136">
        <v>5521.1139999999996</v>
      </c>
      <c r="H136">
        <v>9041.973</v>
      </c>
      <c r="I136">
        <v>13246.703</v>
      </c>
      <c r="J136">
        <v>5298.0770000000002</v>
      </c>
      <c r="N136">
        <f>IFERROR(SUM($B$3:$B136),"")</f>
        <v>438817.60200000001</v>
      </c>
      <c r="O136">
        <f>IFERROR(SUM($C$3:$C136),"")</f>
        <v>544122.00400000007</v>
      </c>
      <c r="P136">
        <f>IFERROR(SUM($D$3:$D136),"")</f>
        <v>99163.521999999983</v>
      </c>
      <c r="Q136">
        <f t="shared" si="36"/>
        <v>643285.52600000007</v>
      </c>
      <c r="R136">
        <f t="shared" si="37"/>
        <v>68.21505914000619</v>
      </c>
      <c r="S136">
        <f t="shared" si="38"/>
        <v>84.584835505843486</v>
      </c>
      <c r="T136">
        <f>IFERROR(SUM($E$3:$E136),"")</f>
        <v>464908.88300000009</v>
      </c>
      <c r="U136">
        <f>IFERROR(SUM($F$3:$F136),"")</f>
        <v>580819.84100000025</v>
      </c>
      <c r="V136">
        <f>IFERROR(SUM($G$3:$G136),"")</f>
        <v>108502.04499999998</v>
      </c>
      <c r="W136">
        <f t="shared" si="39"/>
        <v>689321.88600000017</v>
      </c>
      <c r="X136">
        <f t="shared" si="40"/>
        <v>67.444381564289984</v>
      </c>
      <c r="Y136">
        <f t="shared" si="41"/>
        <v>84.259596684269525</v>
      </c>
      <c r="Z136">
        <f>IFERROR(SUM($H$3:$H136),"")</f>
        <v>438817.60000000003</v>
      </c>
      <c r="AA136">
        <f>IFERROR(SUM($I$3:$I136),"")</f>
        <v>544122.00699999998</v>
      </c>
      <c r="AB136">
        <f>IFERROR(SUM($J$3:$J136),"")</f>
        <v>99159.284000000014</v>
      </c>
      <c r="AC136">
        <f t="shared" si="42"/>
        <v>643281.29099999997</v>
      </c>
      <c r="AD136">
        <f t="shared" si="43"/>
        <v>68.215507918448083</v>
      </c>
      <c r="AE136">
        <f t="shared" si="44"/>
        <v>84.585392830894563</v>
      </c>
    </row>
    <row r="137" spans="1:31" x14ac:dyDescent="0.35">
      <c r="A137">
        <v>1984</v>
      </c>
      <c r="B137">
        <v>9268.99</v>
      </c>
      <c r="C137">
        <v>13514.973</v>
      </c>
      <c r="D137">
        <v>5584.125</v>
      </c>
      <c r="E137">
        <v>9776.3520000000008</v>
      </c>
      <c r="F137">
        <v>14362.081</v>
      </c>
      <c r="G137">
        <v>5844.9840000000004</v>
      </c>
      <c r="H137">
        <v>9268.99</v>
      </c>
      <c r="I137">
        <v>13514.973</v>
      </c>
      <c r="J137">
        <v>5583.9669999999996</v>
      </c>
      <c r="N137">
        <f>IFERROR(SUM($B$3:$B137),"")</f>
        <v>448086.592</v>
      </c>
      <c r="O137">
        <f>IFERROR(SUM($C$3:$C137),"")</f>
        <v>557636.97700000007</v>
      </c>
      <c r="P137">
        <f>IFERROR(SUM($D$3:$D137),"")</f>
        <v>104747.64699999998</v>
      </c>
      <c r="Q137">
        <f t="shared" si="36"/>
        <v>662384.62400000007</v>
      </c>
      <c r="R137">
        <f t="shared" si="37"/>
        <v>67.647492976829724</v>
      </c>
      <c r="S137">
        <f t="shared" si="38"/>
        <v>84.186280417040606</v>
      </c>
      <c r="T137">
        <f>IFERROR(SUM($E$3:$E137),"")</f>
        <v>474685.2350000001</v>
      </c>
      <c r="U137">
        <f>IFERROR(SUM($F$3:$F137),"")</f>
        <v>595181.92200000025</v>
      </c>
      <c r="V137">
        <f>IFERROR(SUM($G$3:$G137),"")</f>
        <v>114347.02899999998</v>
      </c>
      <c r="W137">
        <f t="shared" si="39"/>
        <v>709528.95100000023</v>
      </c>
      <c r="X137">
        <f t="shared" si="40"/>
        <v>66.90146107935206</v>
      </c>
      <c r="Y137">
        <f t="shared" si="41"/>
        <v>83.884092560445794</v>
      </c>
      <c r="Z137">
        <f>IFERROR(SUM($H$3:$H137),"")</f>
        <v>448086.59</v>
      </c>
      <c r="AA137">
        <f>IFERROR(SUM($I$3:$I137),"")</f>
        <v>557636.98</v>
      </c>
      <c r="AB137">
        <f>IFERROR(SUM($J$3:$J137),"")</f>
        <v>104743.25100000002</v>
      </c>
      <c r="AC137">
        <f t="shared" si="42"/>
        <v>662380.23100000003</v>
      </c>
      <c r="AD137">
        <f t="shared" si="43"/>
        <v>67.647941322693256</v>
      </c>
      <c r="AE137">
        <f t="shared" si="44"/>
        <v>84.186839205350623</v>
      </c>
    </row>
    <row r="138" spans="1:31" x14ac:dyDescent="0.35">
      <c r="A138">
        <v>1985</v>
      </c>
      <c r="B138">
        <v>9332.9279999999999</v>
      </c>
      <c r="C138">
        <v>13842.078</v>
      </c>
      <c r="D138">
        <v>5936.9219999999996</v>
      </c>
      <c r="E138">
        <v>9823.9050000000007</v>
      </c>
      <c r="F138">
        <v>14661.217000000001</v>
      </c>
      <c r="G138">
        <v>6202.3159999999998</v>
      </c>
      <c r="H138">
        <v>9332.9279999999999</v>
      </c>
      <c r="I138">
        <v>13842.078</v>
      </c>
      <c r="J138">
        <v>5936.7610000000004</v>
      </c>
      <c r="N138">
        <f>IFERROR(SUM($B$3:$B138),"")</f>
        <v>457419.52000000002</v>
      </c>
      <c r="O138">
        <f>IFERROR(SUM($C$3:$C138),"")</f>
        <v>571479.05500000005</v>
      </c>
      <c r="P138">
        <f>IFERROR(SUM($D$3:$D138),"")</f>
        <v>110684.56899999999</v>
      </c>
      <c r="Q138">
        <f t="shared" si="36"/>
        <v>682163.62400000007</v>
      </c>
      <c r="R138">
        <f t="shared" si="37"/>
        <v>67.054223342756245</v>
      </c>
      <c r="S138">
        <f t="shared" si="38"/>
        <v>83.774483847294675</v>
      </c>
      <c r="T138">
        <f>IFERROR(SUM($E$3:$E138),"")</f>
        <v>484509.14000000013</v>
      </c>
      <c r="U138">
        <f>IFERROR(SUM($F$3:$F138),"")</f>
        <v>609843.1390000002</v>
      </c>
      <c r="V138">
        <f>IFERROR(SUM($G$3:$G138),"")</f>
        <v>120549.34499999999</v>
      </c>
      <c r="W138">
        <f t="shared" si="39"/>
        <v>730392.48400000017</v>
      </c>
      <c r="X138">
        <f t="shared" si="40"/>
        <v>66.335449859311538</v>
      </c>
      <c r="Y138">
        <f t="shared" si="41"/>
        <v>83.495264855436275</v>
      </c>
      <c r="Z138">
        <f>IFERROR(SUM($H$3:$H138),"")</f>
        <v>457419.51800000004</v>
      </c>
      <c r="AA138">
        <f>IFERROR(SUM($I$3:$I138),"")</f>
        <v>571479.05799999996</v>
      </c>
      <c r="AB138">
        <f>IFERROR(SUM($J$3:$J138),"")</f>
        <v>110680.01200000002</v>
      </c>
      <c r="AC138">
        <f t="shared" si="42"/>
        <v>682159.07</v>
      </c>
      <c r="AD138">
        <f t="shared" si="43"/>
        <v>67.054670694329417</v>
      </c>
      <c r="AE138">
        <f t="shared" si="44"/>
        <v>83.775043553990997</v>
      </c>
    </row>
    <row r="139" spans="1:31" x14ac:dyDescent="0.35">
      <c r="A139">
        <v>1986</v>
      </c>
      <c r="B139">
        <v>9304.0079999999998</v>
      </c>
      <c r="C139">
        <v>13846.648999999999</v>
      </c>
      <c r="D139">
        <v>6199.2160000000003</v>
      </c>
      <c r="E139">
        <v>9780.1290000000008</v>
      </c>
      <c r="F139">
        <v>14667.307000000001</v>
      </c>
      <c r="G139">
        <v>6441.7889999999998</v>
      </c>
      <c r="H139">
        <v>9304.0079999999998</v>
      </c>
      <c r="I139">
        <v>13846.648999999999</v>
      </c>
      <c r="J139">
        <v>6199.0550000000003</v>
      </c>
      <c r="N139">
        <f>IFERROR(SUM($B$3:$B139),"")</f>
        <v>466723.52799999999</v>
      </c>
      <c r="O139">
        <f>IFERROR(SUM($C$3:$C139),"")</f>
        <v>585325.70400000003</v>
      </c>
      <c r="P139">
        <f>IFERROR(SUM($D$3:$D139),"")</f>
        <v>116883.78499999999</v>
      </c>
      <c r="Q139">
        <f t="shared" si="36"/>
        <v>702209.48900000006</v>
      </c>
      <c r="R139">
        <f t="shared" si="37"/>
        <v>66.464998737719981</v>
      </c>
      <c r="S139">
        <f t="shared" si="38"/>
        <v>83.354855377068247</v>
      </c>
      <c r="T139">
        <f>IFERROR(SUM($E$3:$E139),"")</f>
        <v>494289.26900000015</v>
      </c>
      <c r="U139">
        <f>IFERROR(SUM($F$3:$F139),"")</f>
        <v>624510.44600000023</v>
      </c>
      <c r="V139">
        <f>IFERROR(SUM($G$3:$G139),"")</f>
        <v>126991.13399999999</v>
      </c>
      <c r="W139">
        <f t="shared" si="39"/>
        <v>751501.58000000019</v>
      </c>
      <c r="X139">
        <f t="shared" si="40"/>
        <v>65.773550203314272</v>
      </c>
      <c r="Y139">
        <f t="shared" si="41"/>
        <v>83.101681037051193</v>
      </c>
      <c r="Z139">
        <f>IFERROR(SUM($H$3:$H139),"")</f>
        <v>466723.52600000001</v>
      </c>
      <c r="AA139">
        <f>IFERROR(SUM($I$3:$I139),"")</f>
        <v>585325.70699999994</v>
      </c>
      <c r="AB139">
        <f>IFERROR(SUM($J$3:$J139),"")</f>
        <v>116879.06700000001</v>
      </c>
      <c r="AC139">
        <f t="shared" si="42"/>
        <v>702204.77399999998</v>
      </c>
      <c r="AD139">
        <f t="shared" si="43"/>
        <v>66.465444736495058</v>
      </c>
      <c r="AE139">
        <f t="shared" si="44"/>
        <v>83.355415495936228</v>
      </c>
    </row>
    <row r="140" spans="1:31" x14ac:dyDescent="0.35">
      <c r="A140">
        <v>1987</v>
      </c>
      <c r="B140">
        <v>9542.5529999999999</v>
      </c>
      <c r="C140">
        <v>14105.314</v>
      </c>
      <c r="D140">
        <v>6474.7669999999998</v>
      </c>
      <c r="E140">
        <v>10033.656999999999</v>
      </c>
      <c r="F140">
        <v>14936.527</v>
      </c>
      <c r="G140">
        <v>6721.8440000000001</v>
      </c>
      <c r="H140">
        <v>9542.5529999999999</v>
      </c>
      <c r="I140">
        <v>14105.314</v>
      </c>
      <c r="J140">
        <v>6474.6019999999999</v>
      </c>
      <c r="N140">
        <f>IFERROR(SUM($B$3:$B140),"")</f>
        <v>476266.08100000001</v>
      </c>
      <c r="O140">
        <f>IFERROR(SUM($C$3:$C140),"")</f>
        <v>599431.01800000004</v>
      </c>
      <c r="P140">
        <f>IFERROR(SUM($D$3:$D140),"")</f>
        <v>123358.552</v>
      </c>
      <c r="Q140">
        <f t="shared" si="36"/>
        <v>722789.57000000007</v>
      </c>
      <c r="R140">
        <f t="shared" si="37"/>
        <v>65.892771667969697</v>
      </c>
      <c r="S140">
        <f t="shared" si="38"/>
        <v>82.932992240051277</v>
      </c>
      <c r="T140">
        <f>IFERROR(SUM($E$3:$E140),"")</f>
        <v>504322.92600000015</v>
      </c>
      <c r="U140">
        <f>IFERROR(SUM($F$3:$F140),"")</f>
        <v>639446.97300000023</v>
      </c>
      <c r="V140">
        <f>IFERROR(SUM($G$3:$G140),"")</f>
        <v>133712.978</v>
      </c>
      <c r="W140">
        <f t="shared" si="39"/>
        <v>773159.95100000023</v>
      </c>
      <c r="X140">
        <f t="shared" si="40"/>
        <v>65.228795845893472</v>
      </c>
      <c r="Y140">
        <f t="shared" si="41"/>
        <v>82.705651291552741</v>
      </c>
      <c r="Z140">
        <f>IFERROR(SUM($H$3:$H140),"")</f>
        <v>476266.07900000003</v>
      </c>
      <c r="AA140">
        <f>IFERROR(SUM($I$3:$I140),"")</f>
        <v>599431.02099999995</v>
      </c>
      <c r="AB140">
        <f>IFERROR(SUM($J$3:$J140),"")</f>
        <v>123353.66900000001</v>
      </c>
      <c r="AC140">
        <f t="shared" si="42"/>
        <v>722784.69</v>
      </c>
      <c r="AD140">
        <f t="shared" si="43"/>
        <v>65.893216277173778</v>
      </c>
      <c r="AE140">
        <f t="shared" si="44"/>
        <v>82.933552590882911</v>
      </c>
    </row>
    <row r="141" spans="1:31" x14ac:dyDescent="0.35">
      <c r="A141">
        <v>1988</v>
      </c>
      <c r="B141">
        <v>9853.8279999999995</v>
      </c>
      <c r="C141">
        <v>14456.523999999999</v>
      </c>
      <c r="D141">
        <v>6917.9229999999998</v>
      </c>
      <c r="E141">
        <v>10374.199000000001</v>
      </c>
      <c r="F141">
        <v>15308.794</v>
      </c>
      <c r="G141">
        <v>7143.4459999999999</v>
      </c>
      <c r="H141">
        <v>9853.8279999999995</v>
      </c>
      <c r="I141">
        <v>14456.523999999999</v>
      </c>
      <c r="J141">
        <v>6917.732</v>
      </c>
      <c r="N141">
        <f>IFERROR(SUM($B$3:$B141),"")</f>
        <v>486119.90899999999</v>
      </c>
      <c r="O141">
        <f>IFERROR(SUM($C$3:$C141),"")</f>
        <v>613887.54200000002</v>
      </c>
      <c r="P141">
        <f>IFERROR(SUM($D$3:$D141),"")</f>
        <v>130276.47499999999</v>
      </c>
      <c r="Q141">
        <f t="shared" si="36"/>
        <v>744164.01699999999</v>
      </c>
      <c r="R141">
        <f t="shared" si="37"/>
        <v>65.324296511907264</v>
      </c>
      <c r="S141">
        <f t="shared" si="38"/>
        <v>82.493580444107934</v>
      </c>
      <c r="T141">
        <f>IFERROR(SUM($E$3:$E141),"")</f>
        <v>514697.12500000017</v>
      </c>
      <c r="U141">
        <f>IFERROR(SUM($F$3:$F141),"")</f>
        <v>654755.76700000023</v>
      </c>
      <c r="V141">
        <f>IFERROR(SUM($G$3:$G141),"")</f>
        <v>140856.424</v>
      </c>
      <c r="W141">
        <f t="shared" si="39"/>
        <v>795612.19100000022</v>
      </c>
      <c r="X141">
        <f t="shared" si="40"/>
        <v>64.691960583595431</v>
      </c>
      <c r="Y141">
        <f t="shared" si="41"/>
        <v>82.295843930827857</v>
      </c>
      <c r="Z141">
        <f>IFERROR(SUM($H$3:$H141),"")</f>
        <v>486119.90700000001</v>
      </c>
      <c r="AA141">
        <f>IFERROR(SUM($I$3:$I141),"")</f>
        <v>613887.54499999993</v>
      </c>
      <c r="AB141">
        <f>IFERROR(SUM($J$3:$J141),"")</f>
        <v>130271.40100000001</v>
      </c>
      <c r="AC141">
        <f t="shared" si="42"/>
        <v>744158.946</v>
      </c>
      <c r="AD141">
        <f t="shared" si="43"/>
        <v>65.324741389321417</v>
      </c>
      <c r="AE141">
        <f t="shared" si="44"/>
        <v>82.494142991865601</v>
      </c>
    </row>
    <row r="142" spans="1:31" x14ac:dyDescent="0.35">
      <c r="A142">
        <v>1989</v>
      </c>
      <c r="B142">
        <v>10056.172</v>
      </c>
      <c r="C142">
        <v>14556.763000000001</v>
      </c>
      <c r="D142">
        <v>7079.4979999999996</v>
      </c>
      <c r="E142">
        <v>10583.754999999999</v>
      </c>
      <c r="F142">
        <v>15407.316000000001</v>
      </c>
      <c r="G142">
        <v>7398.4660000000003</v>
      </c>
      <c r="H142">
        <v>10056.172</v>
      </c>
      <c r="I142">
        <v>14556.763000000001</v>
      </c>
      <c r="J142">
        <v>7079.2640000000001</v>
      </c>
      <c r="N142">
        <f>IFERROR(SUM($B$3:$B142),"")</f>
        <v>496176.08100000001</v>
      </c>
      <c r="O142">
        <f>IFERROR(SUM($C$3:$C142),"")</f>
        <v>628444.30500000005</v>
      </c>
      <c r="P142">
        <f>IFERROR(SUM($D$3:$D142),"")</f>
        <v>137355.973</v>
      </c>
      <c r="Q142">
        <f t="shared" si="36"/>
        <v>765800.27800000005</v>
      </c>
      <c r="R142">
        <f t="shared" si="37"/>
        <v>64.791838714897935</v>
      </c>
      <c r="S142">
        <f t="shared" si="38"/>
        <v>82.063734246907643</v>
      </c>
      <c r="T142">
        <f>IFERROR(SUM($E$3:$E142),"")</f>
        <v>525280.88000000012</v>
      </c>
      <c r="U142">
        <f>IFERROR(SUM($F$3:$F142),"")</f>
        <v>670163.08300000022</v>
      </c>
      <c r="V142">
        <f>IFERROR(SUM($G$3:$G142),"")</f>
        <v>148254.89000000001</v>
      </c>
      <c r="W142">
        <f t="shared" si="39"/>
        <v>818417.97300000023</v>
      </c>
      <c r="X142">
        <f t="shared" si="40"/>
        <v>64.182471222439787</v>
      </c>
      <c r="Y142">
        <f t="shared" si="41"/>
        <v>81.885186433949443</v>
      </c>
      <c r="Z142">
        <f>IFERROR(SUM($H$3:$H142),"")</f>
        <v>496176.07900000003</v>
      </c>
      <c r="AA142">
        <f>IFERROR(SUM($I$3:$I142),"")</f>
        <v>628444.30799999996</v>
      </c>
      <c r="AB142">
        <f>IFERROR(SUM($J$3:$J142),"")</f>
        <v>137350.66500000001</v>
      </c>
      <c r="AC142">
        <f t="shared" si="42"/>
        <v>765794.973</v>
      </c>
      <c r="AD142">
        <f t="shared" si="43"/>
        <v>64.792287295414255</v>
      </c>
      <c r="AE142">
        <f t="shared" si="44"/>
        <v>82.064303130388922</v>
      </c>
    </row>
    <row r="143" spans="1:31" x14ac:dyDescent="0.35">
      <c r="A143">
        <v>1990</v>
      </c>
      <c r="B143">
        <v>10535.674999999999</v>
      </c>
      <c r="C143">
        <v>15107.8</v>
      </c>
      <c r="D143">
        <v>7076.4740000000002</v>
      </c>
      <c r="E143">
        <v>10530.674000000001</v>
      </c>
      <c r="F143">
        <v>15102.897000000001</v>
      </c>
      <c r="G143">
        <v>7293.6530000000002</v>
      </c>
      <c r="H143">
        <v>10535.674999999999</v>
      </c>
      <c r="I143">
        <v>15107.8</v>
      </c>
      <c r="J143">
        <v>7076.2290000000003</v>
      </c>
      <c r="N143">
        <f>IFERROR(SUM($B$3:$B143),"")</f>
        <v>506711.75599999999</v>
      </c>
      <c r="O143">
        <f>IFERROR(SUM($C$3:$C143),"")</f>
        <v>643552.1050000001</v>
      </c>
      <c r="P143">
        <f>IFERROR(SUM($D$3:$D143),"")</f>
        <v>144432.44699999999</v>
      </c>
      <c r="Q143">
        <f t="shared" si="36"/>
        <v>787984.55200000014</v>
      </c>
      <c r="R143">
        <f t="shared" si="37"/>
        <v>64.304782969907748</v>
      </c>
      <c r="S143">
        <f t="shared" si="38"/>
        <v>81.670649934264191</v>
      </c>
      <c r="T143">
        <f>IFERROR(SUM($E$3:$E143),"")</f>
        <v>535811.55400000012</v>
      </c>
      <c r="U143">
        <f>IFERROR(SUM($F$3:$F143),"")</f>
        <v>685265.98000000021</v>
      </c>
      <c r="V143">
        <f>IFERROR(SUM($G$3:$G143),"")</f>
        <v>155548.54300000001</v>
      </c>
      <c r="W143">
        <f t="shared" si="39"/>
        <v>840814.52300000028</v>
      </c>
      <c r="X143">
        <f t="shared" si="40"/>
        <v>63.725297237759527</v>
      </c>
      <c r="Y143">
        <f t="shared" si="41"/>
        <v>81.50025496169981</v>
      </c>
      <c r="Z143">
        <f>IFERROR(SUM($H$3:$H143),"")</f>
        <v>506711.75400000002</v>
      </c>
      <c r="AA143">
        <f>IFERROR(SUM($I$3:$I143),"")</f>
        <v>643552.10800000001</v>
      </c>
      <c r="AB143">
        <f>IFERROR(SUM($J$3:$J143),"")</f>
        <v>144426.894</v>
      </c>
      <c r="AC143">
        <f t="shared" si="42"/>
        <v>787979.00199999998</v>
      </c>
      <c r="AD143">
        <f t="shared" si="43"/>
        <v>64.305235636215599</v>
      </c>
      <c r="AE143">
        <f t="shared" si="44"/>
        <v>81.671225548723442</v>
      </c>
    </row>
    <row r="144" spans="1:31" x14ac:dyDescent="0.35">
      <c r="A144">
        <v>1991</v>
      </c>
      <c r="B144">
        <v>10516.541999999999</v>
      </c>
      <c r="C144">
        <v>14800.344999999999</v>
      </c>
      <c r="D144">
        <v>7862.576</v>
      </c>
      <c r="E144">
        <v>10513.905000000001</v>
      </c>
      <c r="F144">
        <v>14797.806</v>
      </c>
      <c r="G144">
        <v>7892.1239999999998</v>
      </c>
      <c r="H144">
        <v>10516.541999999999</v>
      </c>
      <c r="I144">
        <v>14800.344999999999</v>
      </c>
      <c r="J144">
        <v>7384.402</v>
      </c>
      <c r="N144">
        <f>IFERROR(SUM($B$3:$B144),"")</f>
        <v>517228.29800000001</v>
      </c>
      <c r="O144">
        <f>IFERROR(SUM($C$3:$C144),"")</f>
        <v>658352.45000000007</v>
      </c>
      <c r="P144">
        <f>IFERROR(SUM($D$3:$D144),"")</f>
        <v>152295.02299999999</v>
      </c>
      <c r="Q144">
        <f t="shared" si="36"/>
        <v>810647.473</v>
      </c>
      <c r="R144">
        <f t="shared" si="37"/>
        <v>63.804343469531801</v>
      </c>
      <c r="S144">
        <f t="shared" si="38"/>
        <v>81.21316255555638</v>
      </c>
      <c r="T144">
        <f>IFERROR(SUM($E$3:$E144),"")</f>
        <v>546325.45900000015</v>
      </c>
      <c r="U144">
        <f>IFERROR(SUM($F$3:$F144),"")</f>
        <v>700063.7860000002</v>
      </c>
      <c r="V144">
        <f>IFERROR(SUM($G$3:$G144),"")</f>
        <v>163440.66700000002</v>
      </c>
      <c r="W144">
        <f t="shared" si="39"/>
        <v>863504.45300000021</v>
      </c>
      <c r="X144">
        <f t="shared" si="40"/>
        <v>63.268400886868392</v>
      </c>
      <c r="Y144">
        <f t="shared" si="41"/>
        <v>81.072400213783268</v>
      </c>
      <c r="Z144">
        <f>IFERROR(SUM($H$3:$H144),"")</f>
        <v>517228.29600000003</v>
      </c>
      <c r="AA144">
        <f>IFERROR(SUM($I$3:$I144),"")</f>
        <v>658352.45299999998</v>
      </c>
      <c r="AB144">
        <f>IFERROR(SUM($J$3:$J144),"")</f>
        <v>151811.296</v>
      </c>
      <c r="AC144">
        <f t="shared" si="42"/>
        <v>810163.74899999995</v>
      </c>
      <c r="AD144">
        <f t="shared" si="43"/>
        <v>63.84243884503897</v>
      </c>
      <c r="AE144">
        <f t="shared" si="44"/>
        <v>81.261652821743326</v>
      </c>
    </row>
    <row r="145" spans="1:31" x14ac:dyDescent="0.35">
      <c r="A145">
        <v>1992</v>
      </c>
      <c r="B145">
        <v>10576.052</v>
      </c>
      <c r="C145">
        <v>14298.457</v>
      </c>
      <c r="D145">
        <v>7668.15</v>
      </c>
      <c r="E145">
        <v>10571.72</v>
      </c>
      <c r="F145">
        <v>14294.228999999999</v>
      </c>
      <c r="G145">
        <v>7834.7209999999995</v>
      </c>
      <c r="H145">
        <v>10576.052</v>
      </c>
      <c r="I145">
        <v>14298.457</v>
      </c>
      <c r="J145">
        <v>7668.1350000000002</v>
      </c>
      <c r="N145">
        <f>IFERROR(SUM($B$3:$B145),"")</f>
        <v>527804.35</v>
      </c>
      <c r="O145">
        <f>IFERROR(SUM($C$3:$C145),"")</f>
        <v>672650.90700000012</v>
      </c>
      <c r="P145">
        <f>IFERROR(SUM($D$3:$D145),"")</f>
        <v>159963.17299999998</v>
      </c>
      <c r="Q145">
        <f t="shared" si="36"/>
        <v>832614.08000000007</v>
      </c>
      <c r="R145">
        <f t="shared" si="37"/>
        <v>63.39123522869081</v>
      </c>
      <c r="S145">
        <f t="shared" si="38"/>
        <v>80.787837145391535</v>
      </c>
      <c r="T145">
        <f>IFERROR(SUM($E$3:$E145),"")</f>
        <v>556897.17900000012</v>
      </c>
      <c r="U145">
        <f>IFERROR(SUM($F$3:$F145),"")</f>
        <v>714358.01500000025</v>
      </c>
      <c r="V145">
        <f>IFERROR(SUM($G$3:$G145),"")</f>
        <v>171275.38800000001</v>
      </c>
      <c r="W145">
        <f t="shared" si="39"/>
        <v>885633.40300000028</v>
      </c>
      <c r="X145">
        <f t="shared" si="40"/>
        <v>62.881230214845452</v>
      </c>
      <c r="Y145">
        <f t="shared" si="41"/>
        <v>80.660690143368498</v>
      </c>
      <c r="Z145">
        <f>IFERROR(SUM($H$3:$H145),"")</f>
        <v>527804.348</v>
      </c>
      <c r="AA145">
        <f>IFERROR(SUM($I$3:$I145),"")</f>
        <v>672650.91</v>
      </c>
      <c r="AB145">
        <f>IFERROR(SUM($J$3:$J145),"")</f>
        <v>159479.43100000001</v>
      </c>
      <c r="AC145">
        <f t="shared" si="42"/>
        <v>832130.34100000001</v>
      </c>
      <c r="AD145">
        <f t="shared" si="43"/>
        <v>63.428085961355421</v>
      </c>
      <c r="AE145">
        <f t="shared" si="44"/>
        <v>80.834801575874764</v>
      </c>
    </row>
    <row r="146" spans="1:31" x14ac:dyDescent="0.35">
      <c r="A146">
        <v>1993</v>
      </c>
      <c r="B146">
        <v>10616.224</v>
      </c>
      <c r="C146">
        <v>14131.370999999999</v>
      </c>
      <c r="D146">
        <v>8061.0659999999998</v>
      </c>
      <c r="E146">
        <v>10612.349</v>
      </c>
      <c r="F146">
        <v>14127.598</v>
      </c>
      <c r="G146">
        <v>8186.6689999999999</v>
      </c>
      <c r="H146">
        <v>10616.224</v>
      </c>
      <c r="I146">
        <v>14131.370999999999</v>
      </c>
      <c r="J146">
        <v>8061.0519999999997</v>
      </c>
      <c r="N146">
        <f>IFERROR(SUM($B$3:$B146),"")</f>
        <v>538420.57400000002</v>
      </c>
      <c r="O146">
        <f>IFERROR(SUM($C$3:$C146),"")</f>
        <v>686782.27800000017</v>
      </c>
      <c r="P146">
        <f>IFERROR(SUM($D$3:$D146),"")</f>
        <v>168024.23899999997</v>
      </c>
      <c r="Q146">
        <f t="shared" si="36"/>
        <v>854806.51700000011</v>
      </c>
      <c r="R146">
        <f t="shared" si="37"/>
        <v>62.987420345088452</v>
      </c>
      <c r="S146">
        <f t="shared" si="38"/>
        <v>80.343594058022376</v>
      </c>
      <c r="T146">
        <f>IFERROR(SUM($E$3:$E146),"")</f>
        <v>567509.52800000017</v>
      </c>
      <c r="U146">
        <f>IFERROR(SUM($F$3:$F146),"")</f>
        <v>728485.61300000024</v>
      </c>
      <c r="V146">
        <f>IFERROR(SUM($G$3:$G146),"")</f>
        <v>179462.057</v>
      </c>
      <c r="W146">
        <f t="shared" si="39"/>
        <v>907947.67000000027</v>
      </c>
      <c r="X146">
        <f t="shared" si="40"/>
        <v>62.504651617201681</v>
      </c>
      <c r="Y146">
        <f t="shared" si="41"/>
        <v>80.234317138563725</v>
      </c>
      <c r="Z146">
        <f>IFERROR(SUM($H$3:$H146),"")</f>
        <v>538420.57200000004</v>
      </c>
      <c r="AA146">
        <f>IFERROR(SUM($I$3:$I146),"")</f>
        <v>686782.28100000008</v>
      </c>
      <c r="AB146">
        <f>IFERROR(SUM($J$3:$J146),"")</f>
        <v>167540.48300000001</v>
      </c>
      <c r="AC146">
        <f t="shared" si="42"/>
        <v>854322.76400000008</v>
      </c>
      <c r="AD146">
        <f t="shared" si="43"/>
        <v>63.023086202113653</v>
      </c>
      <c r="AE146">
        <f t="shared" si="44"/>
        <v>80.389088286075449</v>
      </c>
    </row>
    <row r="147" spans="1:31" x14ac:dyDescent="0.35">
      <c r="A147">
        <v>1994</v>
      </c>
      <c r="B147">
        <v>10770.22</v>
      </c>
      <c r="C147">
        <v>13936.629000000001</v>
      </c>
      <c r="D147">
        <v>8453.1389999999992</v>
      </c>
      <c r="E147">
        <v>10765.217000000001</v>
      </c>
      <c r="F147">
        <v>13931.728999999999</v>
      </c>
      <c r="G147">
        <v>8501.76</v>
      </c>
      <c r="H147">
        <v>10770.22</v>
      </c>
      <c r="I147">
        <v>13936.629000000001</v>
      </c>
      <c r="J147">
        <v>8453.125</v>
      </c>
      <c r="N147">
        <f>IFERROR(SUM($B$3:$B147),"")</f>
        <v>549190.79399999999</v>
      </c>
      <c r="O147">
        <f>IFERROR(SUM($C$3:$C147),"")</f>
        <v>700718.90700000012</v>
      </c>
      <c r="P147">
        <f>IFERROR(SUM($D$3:$D147),"")</f>
        <v>176477.37799999997</v>
      </c>
      <c r="Q147">
        <f t="shared" si="36"/>
        <v>877196.28500000015</v>
      </c>
      <c r="R147">
        <f t="shared" si="37"/>
        <v>62.607514804967501</v>
      </c>
      <c r="S147">
        <f t="shared" si="38"/>
        <v>79.881654651558392</v>
      </c>
      <c r="T147">
        <f>IFERROR(SUM($E$3:$E147),"")</f>
        <v>578274.74500000011</v>
      </c>
      <c r="U147">
        <f>IFERROR(SUM($F$3:$F147),"")</f>
        <v>742417.3420000003</v>
      </c>
      <c r="V147">
        <f>IFERROR(SUM($G$3:$G147),"")</f>
        <v>187963.81700000001</v>
      </c>
      <c r="W147">
        <f t="shared" si="39"/>
        <v>930381.15900000033</v>
      </c>
      <c r="X147">
        <f t="shared" si="40"/>
        <v>62.154606142448756</v>
      </c>
      <c r="Y147">
        <f t="shared" si="41"/>
        <v>79.797117000732385</v>
      </c>
      <c r="Z147">
        <f>IFERROR(SUM($H$3:$H147),"")</f>
        <v>549190.79200000002</v>
      </c>
      <c r="AA147">
        <f>IFERROR(SUM($I$3:$I147),"")</f>
        <v>700718.91</v>
      </c>
      <c r="AB147">
        <f>IFERROR(SUM($J$3:$J147),"")</f>
        <v>175993.60800000001</v>
      </c>
      <c r="AC147">
        <f t="shared" si="42"/>
        <v>876712.51800000004</v>
      </c>
      <c r="AD147">
        <f t="shared" si="43"/>
        <v>62.642061191602608</v>
      </c>
      <c r="AE147">
        <f t="shared" si="44"/>
        <v>79.925733420404981</v>
      </c>
    </row>
    <row r="148" spans="1:31" x14ac:dyDescent="0.35">
      <c r="A148">
        <v>1995</v>
      </c>
      <c r="B148">
        <v>10906.266</v>
      </c>
      <c r="C148">
        <v>14026.71</v>
      </c>
      <c r="D148">
        <v>8872.6710000000003</v>
      </c>
      <c r="E148">
        <v>10901.18</v>
      </c>
      <c r="F148">
        <v>14021.724</v>
      </c>
      <c r="G148">
        <v>8955.51</v>
      </c>
      <c r="H148">
        <v>10906.264999999999</v>
      </c>
      <c r="I148">
        <v>14026.71</v>
      </c>
      <c r="J148">
        <v>8872.6669999999995</v>
      </c>
      <c r="N148">
        <f>IFERROR(SUM($B$3:$B148),"")</f>
        <v>560097.05999999994</v>
      </c>
      <c r="O148">
        <f>IFERROR(SUM($C$3:$C148),"")</f>
        <v>714745.61700000009</v>
      </c>
      <c r="P148">
        <f>IFERROR(SUM($D$3:$D148),"")</f>
        <v>185350.04899999997</v>
      </c>
      <c r="Q148">
        <f t="shared" si="36"/>
        <v>900095.66600000008</v>
      </c>
      <c r="R148">
        <f t="shared" si="37"/>
        <v>62.226392277729268</v>
      </c>
      <c r="S148">
        <f t="shared" si="38"/>
        <v>79.407738976936699</v>
      </c>
      <c r="T148">
        <f>IFERROR(SUM($E$3:$E148),"")</f>
        <v>589175.92500000016</v>
      </c>
      <c r="U148">
        <f>IFERROR(SUM($F$3:$F148),"")</f>
        <v>756439.06600000034</v>
      </c>
      <c r="V148">
        <f>IFERROR(SUM($G$3:$G148),"")</f>
        <v>196919.32700000002</v>
      </c>
      <c r="W148">
        <f t="shared" si="39"/>
        <v>953358.39300000039</v>
      </c>
      <c r="X148">
        <f t="shared" si="40"/>
        <v>61.8000459560647</v>
      </c>
      <c r="Y148">
        <f t="shared" si="41"/>
        <v>79.344669491990302</v>
      </c>
      <c r="Z148">
        <f>IFERROR(SUM($H$3:$H148),"")</f>
        <v>560097.05700000003</v>
      </c>
      <c r="AA148">
        <f>IFERROR(SUM($I$3:$I148),"")</f>
        <v>714745.62</v>
      </c>
      <c r="AB148">
        <f>IFERROR(SUM($J$3:$J148),"")</f>
        <v>184866.27499999999</v>
      </c>
      <c r="AC148">
        <f t="shared" si="42"/>
        <v>899611.89500000002</v>
      </c>
      <c r="AD148">
        <f t="shared" si="43"/>
        <v>62.259854512039325</v>
      </c>
      <c r="AE148">
        <f t="shared" si="44"/>
        <v>79.450441237218186</v>
      </c>
    </row>
    <row r="149" spans="1:31" x14ac:dyDescent="0.35">
      <c r="A149">
        <v>1996</v>
      </c>
      <c r="B149">
        <v>11201.388999999999</v>
      </c>
      <c r="C149">
        <v>14297.953</v>
      </c>
      <c r="D149">
        <v>9267.009</v>
      </c>
      <c r="E149">
        <v>11196.349</v>
      </c>
      <c r="F149">
        <v>14293.014999999999</v>
      </c>
      <c r="G149">
        <v>9410.8140000000003</v>
      </c>
      <c r="H149">
        <v>11201.388999999999</v>
      </c>
      <c r="I149">
        <v>14297.951999999999</v>
      </c>
      <c r="J149">
        <v>9267.0049999999992</v>
      </c>
      <c r="N149">
        <f>IFERROR(SUM($B$3:$B149),"")</f>
        <v>571298.44899999991</v>
      </c>
      <c r="O149">
        <f>IFERROR(SUM($C$3:$C149),"")</f>
        <v>729043.57000000007</v>
      </c>
      <c r="P149">
        <f>IFERROR(SUM($D$3:$D149),"")</f>
        <v>194617.05799999996</v>
      </c>
      <c r="Q149">
        <f t="shared" si="36"/>
        <v>923660.62800000003</v>
      </c>
      <c r="R149">
        <f t="shared" si="37"/>
        <v>61.851553663928591</v>
      </c>
      <c r="S149">
        <f t="shared" si="38"/>
        <v>78.929809055366604</v>
      </c>
      <c r="T149">
        <f>IFERROR(SUM($E$3:$E149),"")</f>
        <v>600372.27400000021</v>
      </c>
      <c r="U149">
        <f>IFERROR(SUM($F$3:$F149),"")</f>
        <v>770732.08100000035</v>
      </c>
      <c r="V149">
        <f>IFERROR(SUM($G$3:$G149),"")</f>
        <v>206330.14100000003</v>
      </c>
      <c r="W149">
        <f t="shared" si="39"/>
        <v>977062.22200000042</v>
      </c>
      <c r="X149">
        <f t="shared" si="40"/>
        <v>61.446677650791415</v>
      </c>
      <c r="Y149">
        <f t="shared" si="41"/>
        <v>78.882599659041986</v>
      </c>
      <c r="Z149">
        <f>IFERROR(SUM($H$3:$H149),"")</f>
        <v>571298.446</v>
      </c>
      <c r="AA149">
        <f>IFERROR(SUM($I$3:$I149),"")</f>
        <v>729043.57200000004</v>
      </c>
      <c r="AB149">
        <f>IFERROR(SUM($J$3:$J149),"")</f>
        <v>194133.28</v>
      </c>
      <c r="AC149">
        <f t="shared" si="42"/>
        <v>923176.85200000007</v>
      </c>
      <c r="AD149">
        <f t="shared" si="43"/>
        <v>61.883965652119699</v>
      </c>
      <c r="AE149">
        <f t="shared" si="44"/>
        <v>78.971171170570031</v>
      </c>
    </row>
    <row r="150" spans="1:31" x14ac:dyDescent="0.35">
      <c r="A150">
        <v>1997</v>
      </c>
      <c r="B150">
        <v>11227.772999999999</v>
      </c>
      <c r="C150">
        <v>14192.091</v>
      </c>
      <c r="D150">
        <v>9484.9470000000001</v>
      </c>
      <c r="E150">
        <v>11224.334000000001</v>
      </c>
      <c r="F150">
        <v>14188.753000000001</v>
      </c>
      <c r="G150">
        <v>9684.3520000000008</v>
      </c>
      <c r="H150">
        <v>11227.772999999999</v>
      </c>
      <c r="I150">
        <v>14192.091</v>
      </c>
      <c r="J150">
        <v>9484.9429999999993</v>
      </c>
      <c r="N150">
        <f>IFERROR(SUM($B$3:$B150),"")</f>
        <v>582526.22199999995</v>
      </c>
      <c r="O150">
        <f>IFERROR(SUM($C$3:$C150),"")</f>
        <v>743235.66100000008</v>
      </c>
      <c r="P150">
        <f>IFERROR(SUM($D$3:$D150),"")</f>
        <v>204102.00499999995</v>
      </c>
      <c r="Q150">
        <f t="shared" si="36"/>
        <v>947337.66599999997</v>
      </c>
      <c r="R150">
        <f t="shared" si="37"/>
        <v>61.490875208164688</v>
      </c>
      <c r="S150">
        <f t="shared" si="38"/>
        <v>78.455200049018231</v>
      </c>
      <c r="T150">
        <f>IFERROR(SUM($E$3:$E150),"")</f>
        <v>611596.60800000024</v>
      </c>
      <c r="U150">
        <f>IFERROR(SUM($F$3:$F150),"")</f>
        <v>784920.83400000038</v>
      </c>
      <c r="V150">
        <f>IFERROR(SUM($G$3:$G150),"")</f>
        <v>216014.49300000005</v>
      </c>
      <c r="W150">
        <f t="shared" si="39"/>
        <v>1000935.3270000004</v>
      </c>
      <c r="X150">
        <f t="shared" si="40"/>
        <v>61.102509972654808</v>
      </c>
      <c r="Y150">
        <f t="shared" si="41"/>
        <v>78.418736238690073</v>
      </c>
      <c r="Z150">
        <f>IFERROR(SUM($H$3:$H150),"")</f>
        <v>582526.21900000004</v>
      </c>
      <c r="AA150">
        <f>IFERROR(SUM($I$3:$I150),"")</f>
        <v>743235.66300000006</v>
      </c>
      <c r="AB150">
        <f>IFERROR(SUM($J$3:$J150),"")</f>
        <v>203618.223</v>
      </c>
      <c r="AC150">
        <f t="shared" si="42"/>
        <v>946853.88600000006</v>
      </c>
      <c r="AD150">
        <f t="shared" si="43"/>
        <v>61.522292680330196</v>
      </c>
      <c r="AE150">
        <f t="shared" si="44"/>
        <v>78.495285702402455</v>
      </c>
    </row>
    <row r="151" spans="1:31" x14ac:dyDescent="0.35">
      <c r="A151">
        <v>1998</v>
      </c>
      <c r="B151">
        <v>11320.306</v>
      </c>
      <c r="C151">
        <v>14204.212</v>
      </c>
      <c r="D151">
        <v>9345.2469999999994</v>
      </c>
      <c r="E151">
        <v>11317.325999999999</v>
      </c>
      <c r="F151">
        <v>14201.332</v>
      </c>
      <c r="G151">
        <v>9597.0930000000008</v>
      </c>
      <c r="H151">
        <v>11320.306</v>
      </c>
      <c r="I151">
        <v>14204.212</v>
      </c>
      <c r="J151">
        <v>9345.2430000000004</v>
      </c>
      <c r="N151">
        <f>IFERROR(SUM($B$3:$B151),"")</f>
        <v>593846.52799999993</v>
      </c>
      <c r="O151">
        <f>IFERROR(SUM($C$3:$C151),"")</f>
        <v>757439.87300000014</v>
      </c>
      <c r="P151">
        <f>IFERROR(SUM($D$3:$D151),"")</f>
        <v>213447.25199999995</v>
      </c>
      <c r="Q151">
        <f t="shared" si="36"/>
        <v>970887.12500000012</v>
      </c>
      <c r="R151">
        <f t="shared" si="37"/>
        <v>61.16535204851953</v>
      </c>
      <c r="S151">
        <f t="shared" si="38"/>
        <v>78.015235087188955</v>
      </c>
      <c r="T151">
        <f>IFERROR(SUM($E$3:$E151),"")</f>
        <v>622913.93400000024</v>
      </c>
      <c r="U151">
        <f>IFERROR(SUM($F$3:$F151),"")</f>
        <v>799122.16600000043</v>
      </c>
      <c r="V151">
        <f>IFERROR(SUM($G$3:$G151),"")</f>
        <v>225611.58600000004</v>
      </c>
      <c r="W151">
        <f t="shared" si="39"/>
        <v>1024733.7520000004</v>
      </c>
      <c r="X151">
        <f t="shared" si="40"/>
        <v>60.787881026095057</v>
      </c>
      <c r="Y151">
        <f t="shared" si="41"/>
        <v>77.983394656449263</v>
      </c>
      <c r="Z151">
        <f>IFERROR(SUM($H$3:$H151),"")</f>
        <v>593846.52500000002</v>
      </c>
      <c r="AA151">
        <f>IFERROR(SUM($I$3:$I151),"")</f>
        <v>757439.875</v>
      </c>
      <c r="AB151">
        <f>IFERROR(SUM($J$3:$J151),"")</f>
        <v>212963.46599999999</v>
      </c>
      <c r="AC151">
        <f t="shared" si="42"/>
        <v>970403.34100000001</v>
      </c>
      <c r="AD151">
        <f t="shared" si="43"/>
        <v>61.195845058410612</v>
      </c>
      <c r="AE151">
        <f t="shared" si="44"/>
        <v>78.054128937711482</v>
      </c>
    </row>
    <row r="152" spans="1:31" x14ac:dyDescent="0.35">
      <c r="A152">
        <v>1999</v>
      </c>
      <c r="B152">
        <v>11430.447</v>
      </c>
      <c r="C152">
        <v>14260.550999999999</v>
      </c>
      <c r="D152">
        <v>9803.7999999999993</v>
      </c>
      <c r="E152">
        <v>11427.69</v>
      </c>
      <c r="F152">
        <v>14257.896000000001</v>
      </c>
      <c r="G152">
        <v>10091.358</v>
      </c>
      <c r="H152">
        <v>11430.447</v>
      </c>
      <c r="I152">
        <v>14260.550999999999</v>
      </c>
      <c r="J152">
        <v>9803.7960000000003</v>
      </c>
      <c r="N152">
        <f>IFERROR(SUM($B$3:$B152),"")</f>
        <v>605276.97499999998</v>
      </c>
      <c r="O152">
        <f>IFERROR(SUM($C$3:$C152),"")</f>
        <v>771700.42400000012</v>
      </c>
      <c r="P152">
        <f>IFERROR(SUM($D$3:$D152),"")</f>
        <v>223251.05199999994</v>
      </c>
      <c r="Q152">
        <f t="shared" si="36"/>
        <v>994951.47600000002</v>
      </c>
      <c r="R152">
        <f t="shared" si="37"/>
        <v>60.834823566812815</v>
      </c>
      <c r="S152">
        <f t="shared" si="38"/>
        <v>77.561614070111702</v>
      </c>
      <c r="T152">
        <f>IFERROR(SUM($E$3:$E152),"")</f>
        <v>634341.62400000019</v>
      </c>
      <c r="U152">
        <f>IFERROR(SUM($F$3:$F152),"")</f>
        <v>813380.06200000038</v>
      </c>
      <c r="V152">
        <f>IFERROR(SUM($G$3:$G152),"")</f>
        <v>235702.94400000005</v>
      </c>
      <c r="W152">
        <f t="shared" si="39"/>
        <v>1049083.0060000005</v>
      </c>
      <c r="X152">
        <f t="shared" si="40"/>
        <v>60.466294885344837</v>
      </c>
      <c r="Y152">
        <f t="shared" si="41"/>
        <v>77.53247906486439</v>
      </c>
      <c r="Z152">
        <f>IFERROR(SUM($H$3:$H152),"")</f>
        <v>605276.97200000007</v>
      </c>
      <c r="AA152">
        <f>IFERROR(SUM($I$3:$I152),"")</f>
        <v>771700.42599999998</v>
      </c>
      <c r="AB152">
        <f>IFERROR(SUM($J$3:$J152),"")</f>
        <v>222767.26199999999</v>
      </c>
      <c r="AC152">
        <f t="shared" si="42"/>
        <v>994467.68799999997</v>
      </c>
      <c r="AD152">
        <f t="shared" si="43"/>
        <v>60.864418150909302</v>
      </c>
      <c r="AE152">
        <f t="shared" si="44"/>
        <v>77.599346395254614</v>
      </c>
    </row>
    <row r="153" spans="1:31" x14ac:dyDescent="0.35">
      <c r="A153">
        <v>2000</v>
      </c>
      <c r="B153">
        <v>11728.933000000001</v>
      </c>
      <c r="C153">
        <v>14544.698</v>
      </c>
      <c r="D153">
        <v>10183.264999999999</v>
      </c>
      <c r="E153">
        <v>11726.013000000001</v>
      </c>
      <c r="F153">
        <v>14541.876</v>
      </c>
      <c r="G153">
        <v>10505.543</v>
      </c>
      <c r="H153">
        <v>11728.933000000001</v>
      </c>
      <c r="I153">
        <v>14544.698</v>
      </c>
      <c r="J153">
        <v>10183.262000000001</v>
      </c>
      <c r="N153">
        <f>IFERROR(SUM($B$3:$B153),"")</f>
        <v>617005.90799999994</v>
      </c>
      <c r="O153">
        <f>IFERROR(SUM($C$3:$C153),"")</f>
        <v>786245.12200000009</v>
      </c>
      <c r="P153">
        <f>IFERROR(SUM($D$3:$D153),"")</f>
        <v>233434.31699999992</v>
      </c>
      <c r="Q153">
        <f t="shared" si="36"/>
        <v>1019679.439</v>
      </c>
      <c r="R153">
        <f t="shared" si="37"/>
        <v>60.509792038672259</v>
      </c>
      <c r="S153">
        <f t="shared" si="38"/>
        <v>77.107087965907311</v>
      </c>
      <c r="T153">
        <f>IFERROR(SUM($E$3:$E153),"")</f>
        <v>646067.63700000022</v>
      </c>
      <c r="U153">
        <f>IFERROR(SUM($F$3:$F153),"")</f>
        <v>827921.93800000043</v>
      </c>
      <c r="V153">
        <f>IFERROR(SUM($G$3:$G153),"")</f>
        <v>246208.48700000005</v>
      </c>
      <c r="W153">
        <f t="shared" si="39"/>
        <v>1074130.4250000005</v>
      </c>
      <c r="X153">
        <f t="shared" si="40"/>
        <v>60.147969181675485</v>
      </c>
      <c r="Y153">
        <f t="shared" si="41"/>
        <v>77.078343442324524</v>
      </c>
      <c r="Z153">
        <f>IFERROR(SUM($H$3:$H153),"")</f>
        <v>617005.90500000003</v>
      </c>
      <c r="AA153">
        <f>IFERROR(SUM($I$3:$I153),"")</f>
        <v>786245.12399999995</v>
      </c>
      <c r="AB153">
        <f>IFERROR(SUM($J$3:$J153),"")</f>
        <v>232950.52399999998</v>
      </c>
      <c r="AC153">
        <f t="shared" si="42"/>
        <v>1019195.6479999999</v>
      </c>
      <c r="AD153">
        <f t="shared" si="43"/>
        <v>60.538514485493565</v>
      </c>
      <c r="AE153">
        <f t="shared" si="44"/>
        <v>77.143689294874235</v>
      </c>
    </row>
    <row r="154" spans="1:31" x14ac:dyDescent="0.35">
      <c r="A154">
        <v>2001</v>
      </c>
      <c r="B154">
        <v>11652.799000000001</v>
      </c>
      <c r="C154">
        <v>14520.19</v>
      </c>
      <c r="D154">
        <v>10395.299999999999</v>
      </c>
      <c r="E154">
        <v>11650.412</v>
      </c>
      <c r="F154">
        <v>14517.901</v>
      </c>
      <c r="G154">
        <v>10794.508</v>
      </c>
      <c r="H154">
        <v>11652.799000000001</v>
      </c>
      <c r="I154">
        <v>14520.191000000001</v>
      </c>
      <c r="J154">
        <v>10395.296</v>
      </c>
      <c r="N154">
        <f>IFERROR(SUM($B$3:$B154),"")</f>
        <v>628658.70699999994</v>
      </c>
      <c r="O154">
        <f>IFERROR(SUM($C$3:$C154),"")</f>
        <v>800765.31200000003</v>
      </c>
      <c r="P154">
        <f>IFERROR(SUM($D$3:$D154),"")</f>
        <v>243829.61699999991</v>
      </c>
      <c r="Q154">
        <f t="shared" si="36"/>
        <v>1044594.929</v>
      </c>
      <c r="R154">
        <f t="shared" si="37"/>
        <v>60.182056177682242</v>
      </c>
      <c r="S154">
        <f t="shared" si="38"/>
        <v>76.657974279712406</v>
      </c>
      <c r="T154">
        <f>IFERROR(SUM($E$3:$E154),"")</f>
        <v>657718.04900000023</v>
      </c>
      <c r="U154">
        <f>IFERROR(SUM($F$3:$F154),"")</f>
        <v>842439.83900000039</v>
      </c>
      <c r="V154">
        <f>IFERROR(SUM($G$3:$G154),"")</f>
        <v>257002.99500000005</v>
      </c>
      <c r="W154">
        <f t="shared" si="39"/>
        <v>1099442.8340000005</v>
      </c>
      <c r="X154">
        <f t="shared" si="40"/>
        <v>59.822851053299964</v>
      </c>
      <c r="Y154">
        <f t="shared" si="41"/>
        <v>76.624251206861743</v>
      </c>
      <c r="Z154">
        <f>IFERROR(SUM($H$3:$H154),"")</f>
        <v>628658.70400000003</v>
      </c>
      <c r="AA154">
        <f>IFERROR(SUM($I$3:$I154),"")</f>
        <v>800765.31499999994</v>
      </c>
      <c r="AB154">
        <f>IFERROR(SUM($J$3:$J154),"")</f>
        <v>243345.81999999998</v>
      </c>
      <c r="AC154">
        <f t="shared" si="42"/>
        <v>1044111.1349999999</v>
      </c>
      <c r="AD154">
        <f t="shared" si="43"/>
        <v>60.209941540370615</v>
      </c>
      <c r="AE154">
        <f t="shared" si="44"/>
        <v>76.693494414270376</v>
      </c>
    </row>
    <row r="155" spans="1:31" x14ac:dyDescent="0.35">
      <c r="A155">
        <v>2002</v>
      </c>
      <c r="B155">
        <v>11731.258</v>
      </c>
      <c r="C155">
        <v>14573.849</v>
      </c>
      <c r="D155">
        <v>10894.637000000001</v>
      </c>
      <c r="E155">
        <v>11729.474</v>
      </c>
      <c r="F155">
        <v>14572.163</v>
      </c>
      <c r="G155">
        <v>11381.293</v>
      </c>
      <c r="H155">
        <v>11731.258</v>
      </c>
      <c r="I155">
        <v>14573.849</v>
      </c>
      <c r="J155">
        <v>10894.633</v>
      </c>
      <c r="N155">
        <f>IFERROR(SUM($B$3:$B155),"")</f>
        <v>640389.96499999997</v>
      </c>
      <c r="O155">
        <f>IFERROR(SUM($C$3:$C155),"")</f>
        <v>815339.16100000008</v>
      </c>
      <c r="P155">
        <f>IFERROR(SUM($D$3:$D155),"")</f>
        <v>254724.2539999999</v>
      </c>
      <c r="Q155">
        <f t="shared" si="36"/>
        <v>1070063.415</v>
      </c>
      <c r="R155">
        <f t="shared" si="37"/>
        <v>59.845982585994676</v>
      </c>
      <c r="S155">
        <f t="shared" si="38"/>
        <v>76.195405764806949</v>
      </c>
      <c r="T155">
        <f>IFERROR(SUM($E$3:$E155),"")</f>
        <v>669447.52300000028</v>
      </c>
      <c r="U155">
        <f>IFERROR(SUM($F$3:$F155),"")</f>
        <v>857012.00200000033</v>
      </c>
      <c r="V155">
        <f>IFERROR(SUM($G$3:$G155),"")</f>
        <v>268384.28800000006</v>
      </c>
      <c r="W155">
        <f t="shared" si="39"/>
        <v>1125396.2900000005</v>
      </c>
      <c r="X155">
        <f t="shared" si="40"/>
        <v>59.485492261574812</v>
      </c>
      <c r="Y155">
        <f t="shared" si="41"/>
        <v>76.152019481066517</v>
      </c>
      <c r="Z155">
        <f>IFERROR(SUM($H$3:$H155),"")</f>
        <v>640389.96200000006</v>
      </c>
      <c r="AA155">
        <f>IFERROR(SUM($I$3:$I155),"")</f>
        <v>815339.16399999999</v>
      </c>
      <c r="AB155">
        <f>IFERROR(SUM($J$3:$J155),"")</f>
        <v>254240.45299999998</v>
      </c>
      <c r="AC155">
        <f t="shared" si="42"/>
        <v>1069579.6170000001</v>
      </c>
      <c r="AD155">
        <f t="shared" si="43"/>
        <v>59.873052161950469</v>
      </c>
      <c r="AE155">
        <f t="shared" si="44"/>
        <v>76.229871160680489</v>
      </c>
    </row>
    <row r="156" spans="1:31" x14ac:dyDescent="0.35">
      <c r="A156">
        <v>2003</v>
      </c>
      <c r="B156">
        <v>11885.857</v>
      </c>
      <c r="C156">
        <v>14819.578</v>
      </c>
      <c r="D156">
        <v>12003.852000000001</v>
      </c>
      <c r="E156">
        <v>11883.811</v>
      </c>
      <c r="F156">
        <v>14817.628000000001</v>
      </c>
      <c r="G156">
        <v>12506.084000000001</v>
      </c>
      <c r="H156">
        <v>11885.856</v>
      </c>
      <c r="I156">
        <v>14819.578</v>
      </c>
      <c r="J156">
        <v>12003.849</v>
      </c>
      <c r="N156">
        <f>IFERROR(SUM($B$3:$B156),"")</f>
        <v>652275.82199999993</v>
      </c>
      <c r="O156">
        <f>IFERROR(SUM($C$3:$C156),"")</f>
        <v>830158.73900000006</v>
      </c>
      <c r="P156">
        <f>IFERROR(SUM($D$3:$D156),"")</f>
        <v>266728.10599999991</v>
      </c>
      <c r="Q156">
        <f t="shared" si="36"/>
        <v>1096886.845</v>
      </c>
      <c r="R156">
        <f t="shared" si="37"/>
        <v>59.466099440731277</v>
      </c>
      <c r="S156">
        <f t="shared" si="38"/>
        <v>75.683170309148892</v>
      </c>
      <c r="T156">
        <f>IFERROR(SUM($E$3:$E156),"")</f>
        <v>681331.33400000026</v>
      </c>
      <c r="U156">
        <f>IFERROR(SUM($F$3:$F156),"")</f>
        <v>871829.63000000035</v>
      </c>
      <c r="V156">
        <f>IFERROR(SUM($G$3:$G156),"")</f>
        <v>280890.37200000003</v>
      </c>
      <c r="W156">
        <f t="shared" si="39"/>
        <v>1152720.0020000003</v>
      </c>
      <c r="X156">
        <f t="shared" si="40"/>
        <v>59.106403360562155</v>
      </c>
      <c r="Y156">
        <f t="shared" si="41"/>
        <v>75.632385010006971</v>
      </c>
      <c r="Z156">
        <f>IFERROR(SUM($H$3:$H156),"")</f>
        <v>652275.81800000009</v>
      </c>
      <c r="AA156">
        <f>IFERROR(SUM($I$3:$I156),"")</f>
        <v>830158.74199999997</v>
      </c>
      <c r="AB156">
        <f>IFERROR(SUM($J$3:$J156),"")</f>
        <v>266244.30199999997</v>
      </c>
      <c r="AC156">
        <f t="shared" si="42"/>
        <v>1096403.044</v>
      </c>
      <c r="AD156">
        <f t="shared" si="43"/>
        <v>59.492339205873279</v>
      </c>
      <c r="AE156">
        <f t="shared" si="44"/>
        <v>75.716566689867747</v>
      </c>
    </row>
    <row r="157" spans="1:31" x14ac:dyDescent="0.35">
      <c r="A157">
        <v>2004</v>
      </c>
      <c r="B157">
        <v>11998.119000000001</v>
      </c>
      <c r="C157">
        <v>14956.597</v>
      </c>
      <c r="D157">
        <v>12749.960999999999</v>
      </c>
      <c r="E157">
        <v>11996.934999999999</v>
      </c>
      <c r="F157">
        <v>14955.502</v>
      </c>
      <c r="G157">
        <v>13379.914000000001</v>
      </c>
      <c r="H157">
        <v>11998.119000000001</v>
      </c>
      <c r="I157">
        <v>14956.597</v>
      </c>
      <c r="J157">
        <v>12749.954</v>
      </c>
      <c r="N157">
        <f>IFERROR(SUM($B$3:$B157),"")</f>
        <v>664273.94099999988</v>
      </c>
      <c r="O157">
        <f>IFERROR(SUM($C$3:$C157),"")</f>
        <v>845115.33600000001</v>
      </c>
      <c r="P157">
        <f>IFERROR(SUM($D$3:$D157),"")</f>
        <v>279478.06699999992</v>
      </c>
      <c r="Q157">
        <f t="shared" si="36"/>
        <v>1124593.4029999999</v>
      </c>
      <c r="R157">
        <f t="shared" si="37"/>
        <v>59.067920835029106</v>
      </c>
      <c r="S157">
        <f t="shared" si="38"/>
        <v>75.14852334590833</v>
      </c>
      <c r="T157">
        <f>IFERROR(SUM($E$3:$E157),"")</f>
        <v>693328.26900000032</v>
      </c>
      <c r="U157">
        <f>IFERROR(SUM($F$3:$F157),"")</f>
        <v>886785.13200000033</v>
      </c>
      <c r="V157">
        <f>IFERROR(SUM($G$3:$G157),"")</f>
        <v>294270.28600000002</v>
      </c>
      <c r="W157">
        <f t="shared" si="39"/>
        <v>1181055.4180000003</v>
      </c>
      <c r="X157">
        <f t="shared" si="40"/>
        <v>58.704126701698954</v>
      </c>
      <c r="Y157">
        <f t="shared" si="41"/>
        <v>75.084125476659054</v>
      </c>
      <c r="Z157">
        <f>IFERROR(SUM($H$3:$H157),"")</f>
        <v>664273.93700000003</v>
      </c>
      <c r="AA157">
        <f>IFERROR(SUM($I$3:$I157),"")</f>
        <v>845115.33899999992</v>
      </c>
      <c r="AB157">
        <f>IFERROR(SUM($J$3:$J157),"")</f>
        <v>278994.25599999999</v>
      </c>
      <c r="AC157">
        <f t="shared" si="42"/>
        <v>1124109.595</v>
      </c>
      <c r="AD157">
        <f t="shared" si="43"/>
        <v>59.093342851503728</v>
      </c>
      <c r="AE157">
        <f t="shared" si="44"/>
        <v>75.180866950966646</v>
      </c>
    </row>
    <row r="158" spans="1:31" x14ac:dyDescent="0.35">
      <c r="A158">
        <v>2005</v>
      </c>
      <c r="B158">
        <v>12010.627</v>
      </c>
      <c r="C158">
        <v>15008.285</v>
      </c>
      <c r="D158">
        <v>13651.439</v>
      </c>
      <c r="E158">
        <v>12009.871999999999</v>
      </c>
      <c r="F158">
        <v>15007.617</v>
      </c>
      <c r="G158">
        <v>14405.759</v>
      </c>
      <c r="H158">
        <v>12010.627</v>
      </c>
      <c r="I158">
        <v>15008.284</v>
      </c>
      <c r="J158">
        <v>13651.431</v>
      </c>
      <c r="N158">
        <f>IFERROR(SUM($B$3:$B158),"")</f>
        <v>676284.56799999985</v>
      </c>
      <c r="O158">
        <f>IFERROR(SUM($C$3:$C158),"")</f>
        <v>860123.62100000004</v>
      </c>
      <c r="P158">
        <f>IFERROR(SUM($D$3:$D158),"")</f>
        <v>293129.50599999994</v>
      </c>
      <c r="Q158">
        <f t="shared" si="36"/>
        <v>1153253.1269999999</v>
      </c>
      <c r="R158">
        <f t="shared" si="37"/>
        <v>58.641468396382677</v>
      </c>
      <c r="S158">
        <f t="shared" si="38"/>
        <v>74.582379259397413</v>
      </c>
      <c r="T158">
        <f>IFERROR(SUM($E$3:$E158),"")</f>
        <v>705338.14100000029</v>
      </c>
      <c r="U158">
        <f>IFERROR(SUM($F$3:$F158),"")</f>
        <v>901792.7490000003</v>
      </c>
      <c r="V158">
        <f>IFERROR(SUM($G$3:$G158),"")</f>
        <v>308676.04500000004</v>
      </c>
      <c r="W158">
        <f t="shared" si="39"/>
        <v>1210468.7940000002</v>
      </c>
      <c r="X158">
        <f t="shared" si="40"/>
        <v>58.269832687648794</v>
      </c>
      <c r="Y158">
        <f t="shared" si="41"/>
        <v>74.499462808952032</v>
      </c>
      <c r="Z158">
        <f>IFERROR(SUM($H$3:$H158),"")</f>
        <v>676284.56400000001</v>
      </c>
      <c r="AA158">
        <f>IFERROR(SUM($I$3:$I158),"")</f>
        <v>860123.62299999991</v>
      </c>
      <c r="AB158">
        <f>IFERROR(SUM($J$3:$J158),"")</f>
        <v>292645.68699999998</v>
      </c>
      <c r="AC158">
        <f t="shared" si="42"/>
        <v>1152769.3099999998</v>
      </c>
      <c r="AD158">
        <f t="shared" si="43"/>
        <v>58.666079859464695</v>
      </c>
      <c r="AE158">
        <f t="shared" si="44"/>
        <v>74.613681639390634</v>
      </c>
    </row>
    <row r="159" spans="1:31" x14ac:dyDescent="0.35">
      <c r="A159">
        <v>2006</v>
      </c>
      <c r="B159">
        <v>11904.31</v>
      </c>
      <c r="C159">
        <v>15019.94</v>
      </c>
      <c r="D159">
        <v>14583.616</v>
      </c>
      <c r="E159">
        <v>11902.674000000001</v>
      </c>
      <c r="F159">
        <v>15018.387000000001</v>
      </c>
      <c r="G159">
        <v>15207.983</v>
      </c>
      <c r="H159">
        <v>11904.31</v>
      </c>
      <c r="I159">
        <v>15019.94</v>
      </c>
      <c r="J159">
        <v>14583.609</v>
      </c>
      <c r="N159">
        <f>IFERROR(SUM($B$3:$B159),"")</f>
        <v>688188.87799999991</v>
      </c>
      <c r="O159">
        <f>IFERROR(SUM($C$3:$C159),"")</f>
        <v>875143.56099999999</v>
      </c>
      <c r="P159">
        <f>IFERROR(SUM($D$3:$D159),"")</f>
        <v>307713.12199999992</v>
      </c>
      <c r="Q159">
        <f t="shared" si="36"/>
        <v>1182856.683</v>
      </c>
      <c r="R159">
        <f t="shared" si="37"/>
        <v>58.180241773212352</v>
      </c>
      <c r="S159">
        <f t="shared" si="38"/>
        <v>73.985595514448306</v>
      </c>
      <c r="T159">
        <f>IFERROR(SUM($E$3:$E159),"")</f>
        <v>717240.81500000029</v>
      </c>
      <c r="U159">
        <f>IFERROR(SUM($F$3:$F159),"")</f>
        <v>916811.13600000029</v>
      </c>
      <c r="V159">
        <f>IFERROR(SUM($G$3:$G159),"")</f>
        <v>323884.02800000005</v>
      </c>
      <c r="W159">
        <f t="shared" si="39"/>
        <v>1240695.1640000003</v>
      </c>
      <c r="X159">
        <f t="shared" si="40"/>
        <v>57.80959221986619</v>
      </c>
      <c r="Y159">
        <f t="shared" si="41"/>
        <v>73.894955231726854</v>
      </c>
      <c r="Z159">
        <f>IFERROR(SUM($H$3:$H159),"")</f>
        <v>688188.87400000007</v>
      </c>
      <c r="AA159">
        <f>IFERROR(SUM($I$3:$I159),"")</f>
        <v>875143.56299999985</v>
      </c>
      <c r="AB159">
        <f>IFERROR(SUM($J$3:$J159),"")</f>
        <v>307229.29599999997</v>
      </c>
      <c r="AC159">
        <f t="shared" si="42"/>
        <v>1182372.8589999997</v>
      </c>
      <c r="AD159">
        <f t="shared" si="43"/>
        <v>58.20404864350833</v>
      </c>
      <c r="AE159">
        <f t="shared" si="44"/>
        <v>74.01587040319572</v>
      </c>
    </row>
    <row r="160" spans="1:31" x14ac:dyDescent="0.35">
      <c r="A160">
        <v>2007</v>
      </c>
      <c r="B160">
        <v>11974.504000000001</v>
      </c>
      <c r="C160">
        <v>15137.762000000001</v>
      </c>
      <c r="D160">
        <v>15313.24</v>
      </c>
      <c r="E160">
        <v>11973.079</v>
      </c>
      <c r="F160">
        <v>15136.416999999999</v>
      </c>
      <c r="G160">
        <v>15880.342000000001</v>
      </c>
      <c r="H160">
        <v>11974.504999999999</v>
      </c>
      <c r="I160">
        <v>15137.762000000001</v>
      </c>
      <c r="J160">
        <v>15313.23</v>
      </c>
      <c r="N160">
        <f>IFERROR(SUM($B$3:$B160),"")</f>
        <v>700163.38199999987</v>
      </c>
      <c r="O160">
        <f>IFERROR(SUM($C$3:$C160),"")</f>
        <v>890281.32299999997</v>
      </c>
      <c r="P160">
        <f>IFERROR(SUM($D$3:$D160),"")</f>
        <v>323026.36199999991</v>
      </c>
      <c r="Q160">
        <f t="shared" si="36"/>
        <v>1213307.6849999998</v>
      </c>
      <c r="R160">
        <f t="shared" si="37"/>
        <v>57.70699309466584</v>
      </c>
      <c r="S160">
        <f t="shared" si="38"/>
        <v>73.376385397245727</v>
      </c>
      <c r="T160">
        <f>IFERROR(SUM($E$3:$E160),"")</f>
        <v>729213.89400000032</v>
      </c>
      <c r="U160">
        <f>IFERROR(SUM($F$3:$F160),"")</f>
        <v>931947.55300000031</v>
      </c>
      <c r="V160">
        <f>IFERROR(SUM($G$3:$G160),"")</f>
        <v>339764.37000000005</v>
      </c>
      <c r="W160">
        <f t="shared" si="39"/>
        <v>1271711.9230000004</v>
      </c>
      <c r="X160">
        <f t="shared" si="40"/>
        <v>57.341122687578995</v>
      </c>
      <c r="Y160">
        <f t="shared" si="41"/>
        <v>73.282913853753342</v>
      </c>
      <c r="Z160">
        <f>IFERROR(SUM($H$3:$H160),"")</f>
        <v>700163.37900000007</v>
      </c>
      <c r="AA160">
        <f>IFERROR(SUM($I$3:$I160),"")</f>
        <v>890281.32499999984</v>
      </c>
      <c r="AB160">
        <f>IFERROR(SUM($J$3:$J160),"")</f>
        <v>322542.52599999995</v>
      </c>
      <c r="AC160">
        <f t="shared" si="42"/>
        <v>1212823.8509999998</v>
      </c>
      <c r="AD160">
        <f t="shared" si="43"/>
        <v>57.73001400184372</v>
      </c>
      <c r="AE160">
        <f t="shared" si="44"/>
        <v>73.405657735535414</v>
      </c>
    </row>
    <row r="161" spans="1:31" x14ac:dyDescent="0.35">
      <c r="A161">
        <v>2008</v>
      </c>
      <c r="B161">
        <v>11621.716</v>
      </c>
      <c r="C161">
        <v>14782.343000000001</v>
      </c>
      <c r="D161">
        <v>16209.136</v>
      </c>
      <c r="E161">
        <v>11621.495000000001</v>
      </c>
      <c r="F161">
        <v>14782.203</v>
      </c>
      <c r="G161">
        <v>16627.960999999999</v>
      </c>
      <c r="H161">
        <v>11621.716</v>
      </c>
      <c r="I161">
        <v>14782.343000000001</v>
      </c>
      <c r="J161">
        <v>16209.136</v>
      </c>
      <c r="N161">
        <f>IFERROR(SUM($B$3:$B161),"")</f>
        <v>711785.09799999988</v>
      </c>
      <c r="O161">
        <f>IFERROR(SUM($C$3:$C161),"")</f>
        <v>905063.66599999997</v>
      </c>
      <c r="P161">
        <f>IFERROR(SUM($D$3:$D161),"")</f>
        <v>339235.49799999991</v>
      </c>
      <c r="Q161">
        <f t="shared" si="36"/>
        <v>1244299.1639999999</v>
      </c>
      <c r="R161">
        <f t="shared" si="37"/>
        <v>57.203694946788531</v>
      </c>
      <c r="S161">
        <f t="shared" si="38"/>
        <v>72.736821833949264</v>
      </c>
      <c r="T161">
        <f>IFERROR(SUM($E$3:$E161),"")</f>
        <v>740835.38900000032</v>
      </c>
      <c r="U161">
        <f>IFERROR(SUM($F$3:$F161),"")</f>
        <v>946729.75600000028</v>
      </c>
      <c r="V161">
        <f>IFERROR(SUM($G$3:$G161),"")</f>
        <v>356392.33100000006</v>
      </c>
      <c r="W161">
        <f t="shared" si="39"/>
        <v>1303122.0870000003</v>
      </c>
      <c r="X161">
        <f t="shared" si="40"/>
        <v>56.850804417376146</v>
      </c>
      <c r="Y161">
        <f t="shared" si="41"/>
        <v>72.65088708453456</v>
      </c>
      <c r="Z161">
        <f>IFERROR(SUM($H$3:$H161),"")</f>
        <v>711785.09500000009</v>
      </c>
      <c r="AA161">
        <f>IFERROR(SUM($I$3:$I161),"")</f>
        <v>905063.66799999983</v>
      </c>
      <c r="AB161">
        <f>IFERROR(SUM($J$3:$J161),"")</f>
        <v>338751.66199999995</v>
      </c>
      <c r="AC161">
        <f t="shared" si="42"/>
        <v>1243815.3299999998</v>
      </c>
      <c r="AD161">
        <f t="shared" si="43"/>
        <v>57.225946475510966</v>
      </c>
      <c r="AE161">
        <f t="shared" si="44"/>
        <v>72.765116024096599</v>
      </c>
    </row>
    <row r="162" spans="1:31" x14ac:dyDescent="0.35">
      <c r="A162">
        <v>2009</v>
      </c>
      <c r="B162">
        <v>10806.821</v>
      </c>
      <c r="C162">
        <v>13746.255999999999</v>
      </c>
      <c r="D162">
        <v>16752.707999999999</v>
      </c>
      <c r="E162">
        <v>10807.492</v>
      </c>
      <c r="F162">
        <v>13746.998</v>
      </c>
      <c r="G162">
        <v>17118.637999999999</v>
      </c>
      <c r="H162">
        <v>10806.821</v>
      </c>
      <c r="I162">
        <v>13746.255999999999</v>
      </c>
      <c r="J162">
        <v>16752.707999999999</v>
      </c>
      <c r="N162">
        <f>IFERROR(SUM($B$3:$B162),"")</f>
        <v>722591.91899999988</v>
      </c>
      <c r="O162">
        <f>IFERROR(SUM($C$3:$C162),"")</f>
        <v>918809.92200000002</v>
      </c>
      <c r="P162">
        <f>IFERROR(SUM($D$3:$D162),"")</f>
        <v>355988.20599999989</v>
      </c>
      <c r="Q162">
        <f t="shared" si="36"/>
        <v>1274798.128</v>
      </c>
      <c r="R162">
        <f t="shared" si="37"/>
        <v>56.682850651315029</v>
      </c>
      <c r="S162">
        <f t="shared" si="38"/>
        <v>72.074934989236198</v>
      </c>
      <c r="T162">
        <f>IFERROR(SUM($E$3:$E162),"")</f>
        <v>751642.88100000028</v>
      </c>
      <c r="U162">
        <f>IFERROR(SUM($F$3:$F162),"")</f>
        <v>960476.75400000031</v>
      </c>
      <c r="V162">
        <f>IFERROR(SUM($G$3:$G162),"")</f>
        <v>373510.96900000004</v>
      </c>
      <c r="W162">
        <f t="shared" si="39"/>
        <v>1333987.7230000002</v>
      </c>
      <c r="X162">
        <f t="shared" si="40"/>
        <v>56.345562109794635</v>
      </c>
      <c r="Y162">
        <f t="shared" si="41"/>
        <v>72.000419302209735</v>
      </c>
      <c r="Z162">
        <f>IFERROR(SUM($H$3:$H162),"")</f>
        <v>722591.91600000008</v>
      </c>
      <c r="AA162">
        <f>IFERROR(SUM($I$3:$I162),"")</f>
        <v>918809.92399999988</v>
      </c>
      <c r="AB162">
        <f>IFERROR(SUM($J$3:$J162),"")</f>
        <v>355504.36999999994</v>
      </c>
      <c r="AC162">
        <f t="shared" si="42"/>
        <v>1274314.2939999998</v>
      </c>
      <c r="AD162">
        <f t="shared" si="43"/>
        <v>56.704371865109152</v>
      </c>
      <c r="AE162">
        <f t="shared" si="44"/>
        <v>72.102300690350731</v>
      </c>
    </row>
    <row r="163" spans="1:31" x14ac:dyDescent="0.35">
      <c r="A163">
        <v>2010</v>
      </c>
      <c r="B163">
        <v>11141.303</v>
      </c>
      <c r="C163">
        <v>14213.941000000001</v>
      </c>
      <c r="D163">
        <v>18031.7</v>
      </c>
      <c r="E163">
        <v>11143.599</v>
      </c>
      <c r="F163">
        <v>14216.308000000001</v>
      </c>
      <c r="G163">
        <v>18143.669000000002</v>
      </c>
      <c r="H163">
        <v>11141.303</v>
      </c>
      <c r="I163">
        <v>14213.941000000001</v>
      </c>
      <c r="J163">
        <v>18031.701000000001</v>
      </c>
      <c r="N163">
        <f>IFERROR(SUM($B$3:$B163),"")</f>
        <v>733733.22199999983</v>
      </c>
      <c r="O163">
        <f>IFERROR(SUM($C$3:$C163),"")</f>
        <v>933023.86300000001</v>
      </c>
      <c r="P163">
        <f>IFERROR(SUM($D$3:$D163),"")</f>
        <v>374019.9059999999</v>
      </c>
      <c r="Q163">
        <f t="shared" ref="Q163:Q177" si="45">IFERROR(O163+P163,"")</f>
        <v>1307043.7689999999</v>
      </c>
      <c r="R163">
        <f t="shared" ref="R163:R177" si="46">IFERROR(N163/Q163*100,NA())</f>
        <v>56.136851680289823</v>
      </c>
      <c r="S163">
        <f t="shared" ref="S163:S177" si="47">IFERROR(O163/Q163*100,NA())</f>
        <v>71.384286060584103</v>
      </c>
      <c r="T163">
        <f>IFERROR(SUM($E$3:$E163),"")</f>
        <v>762786.48000000033</v>
      </c>
      <c r="U163">
        <f>IFERROR(SUM($F$3:$F163),"")</f>
        <v>974693.06200000027</v>
      </c>
      <c r="V163">
        <f>IFERROR(SUM($G$3:$G163),"")</f>
        <v>391654.63800000004</v>
      </c>
      <c r="W163">
        <f t="shared" ref="W163:W177" si="48">IFERROR(U163+V163,"")</f>
        <v>1366347.7000000002</v>
      </c>
      <c r="X163">
        <f t="shared" ref="X163:X177" si="49">IFERROR(T163/W163*100,NA())</f>
        <v>55.826674279175073</v>
      </c>
      <c r="Y163">
        <f t="shared" ref="Y163:Y177" si="50">IFERROR(U163/W163*100,NA())</f>
        <v>71.335653582173862</v>
      </c>
      <c r="Z163">
        <f>IFERROR(SUM($H$3:$H163),"")</f>
        <v>733733.21900000004</v>
      </c>
      <c r="AA163">
        <f>IFERROR(SUM($I$3:$I163),"")</f>
        <v>933023.86499999987</v>
      </c>
      <c r="AB163">
        <f>IFERROR(SUM($J$3:$J163),"")</f>
        <v>373536.07099999994</v>
      </c>
      <c r="AC163">
        <f t="shared" ref="AC163:AC177" si="51">IFERROR(AA163+AB163,"")</f>
        <v>1306559.9359999998</v>
      </c>
      <c r="AD163">
        <f t="shared" ref="AD163:AD177" si="52">IFERROR(Z163/AC163*100,NA())</f>
        <v>56.15763952217192</v>
      </c>
      <c r="AE163">
        <f t="shared" ref="AE163:AE177" si="53">IFERROR(AA163/AC163*100,NA())</f>
        <v>71.410720571796261</v>
      </c>
    </row>
    <row r="164" spans="1:31" x14ac:dyDescent="0.35">
      <c r="A164">
        <v>2011</v>
      </c>
      <c r="B164">
        <v>10916.733</v>
      </c>
      <c r="C164">
        <v>14086.236000000001</v>
      </c>
      <c r="D164">
        <v>19287.698</v>
      </c>
      <c r="E164">
        <v>10919.867</v>
      </c>
      <c r="F164">
        <v>14089.395</v>
      </c>
      <c r="G164">
        <v>19459.196</v>
      </c>
      <c r="H164">
        <v>10916.733</v>
      </c>
      <c r="I164">
        <v>14086.236000000001</v>
      </c>
      <c r="J164">
        <v>19287.698</v>
      </c>
      <c r="N164">
        <f>IFERROR(SUM($B$3:$B164),"")</f>
        <v>744649.95499999984</v>
      </c>
      <c r="O164">
        <f>IFERROR(SUM($C$3:$C164),"")</f>
        <v>947110.09900000005</v>
      </c>
      <c r="P164">
        <f>IFERROR(SUM($D$3:$D164),"")</f>
        <v>393307.60399999988</v>
      </c>
      <c r="Q164">
        <f t="shared" si="45"/>
        <v>1340417.703</v>
      </c>
      <c r="R164">
        <f t="shared" si="46"/>
        <v>55.553575078379872</v>
      </c>
      <c r="S164">
        <f t="shared" si="47"/>
        <v>70.657832769610934</v>
      </c>
      <c r="T164">
        <f>IFERROR(SUM($E$3:$E164),"")</f>
        <v>773706.3470000003</v>
      </c>
      <c r="U164">
        <f>IFERROR(SUM($F$3:$F164),"")</f>
        <v>988782.45700000029</v>
      </c>
      <c r="V164">
        <f>IFERROR(SUM($G$3:$G164),"")</f>
        <v>411113.83400000003</v>
      </c>
      <c r="W164">
        <f t="shared" si="48"/>
        <v>1399896.2910000002</v>
      </c>
      <c r="X164">
        <f t="shared" si="49"/>
        <v>55.268833268163874</v>
      </c>
      <c r="Y164">
        <f t="shared" si="50"/>
        <v>70.63255066514067</v>
      </c>
      <c r="Z164">
        <f>IFERROR(SUM($H$3:$H164),"")</f>
        <v>744649.95200000005</v>
      </c>
      <c r="AA164">
        <f>IFERROR(SUM($I$3:$I164),"")</f>
        <v>947110.10099999991</v>
      </c>
      <c r="AB164">
        <f>IFERROR(SUM($J$3:$J164),"")</f>
        <v>392823.76899999991</v>
      </c>
      <c r="AC164">
        <f t="shared" si="51"/>
        <v>1339933.8699999999</v>
      </c>
      <c r="AD164">
        <f t="shared" si="52"/>
        <v>55.573634540635965</v>
      </c>
      <c r="AE164">
        <f t="shared" si="53"/>
        <v>70.683346559483567</v>
      </c>
    </row>
    <row r="165" spans="1:31" x14ac:dyDescent="0.35">
      <c r="A165">
        <v>2012</v>
      </c>
      <c r="B165">
        <v>10730.344999999999</v>
      </c>
      <c r="C165">
        <v>13898.321</v>
      </c>
      <c r="D165">
        <v>19962.321</v>
      </c>
      <c r="E165">
        <v>10733.005999999999</v>
      </c>
      <c r="F165">
        <v>13901.025</v>
      </c>
      <c r="G165">
        <v>20136.111000000001</v>
      </c>
      <c r="H165">
        <v>10730.344999999999</v>
      </c>
      <c r="I165">
        <v>13898.321</v>
      </c>
      <c r="J165">
        <v>19962.321</v>
      </c>
      <c r="N165">
        <f>IFERROR(SUM($B$3:$B165),"")</f>
        <v>755380.29999999981</v>
      </c>
      <c r="O165">
        <f>IFERROR(SUM($C$3:$C165),"")</f>
        <v>961008.42</v>
      </c>
      <c r="P165">
        <f>IFERROR(SUM($D$3:$D165),"")</f>
        <v>413269.92499999987</v>
      </c>
      <c r="Q165">
        <f t="shared" si="45"/>
        <v>1374278.345</v>
      </c>
      <c r="R165">
        <f t="shared" si="46"/>
        <v>54.965597234961869</v>
      </c>
      <c r="S165">
        <f t="shared" si="47"/>
        <v>69.928222582885851</v>
      </c>
      <c r="T165">
        <f>IFERROR(SUM($E$3:$E165),"")</f>
        <v>784439.35300000035</v>
      </c>
      <c r="U165">
        <f>IFERROR(SUM($F$3:$F165),"")</f>
        <v>1002683.4820000003</v>
      </c>
      <c r="V165">
        <f>IFERROR(SUM($G$3:$G165),"")</f>
        <v>431249.94500000001</v>
      </c>
      <c r="W165">
        <f t="shared" si="48"/>
        <v>1433933.4270000004</v>
      </c>
      <c r="X165">
        <f t="shared" si="49"/>
        <v>54.705423433859323</v>
      </c>
      <c r="Y165">
        <f t="shared" si="50"/>
        <v>69.925385873580041</v>
      </c>
      <c r="Z165">
        <f>IFERROR(SUM($H$3:$H165),"")</f>
        <v>755380.29700000002</v>
      </c>
      <c r="AA165">
        <f>IFERROR(SUM($I$3:$I165),"")</f>
        <v>961008.4219999999</v>
      </c>
      <c r="AB165">
        <f>IFERROR(SUM($J$3:$J165),"")</f>
        <v>412786.08999999991</v>
      </c>
      <c r="AC165">
        <f t="shared" si="51"/>
        <v>1373794.5119999999</v>
      </c>
      <c r="AD165">
        <f t="shared" si="52"/>
        <v>54.984955202674449</v>
      </c>
      <c r="AE165">
        <f t="shared" si="53"/>
        <v>69.952850561394584</v>
      </c>
    </row>
    <row r="166" spans="1:31" x14ac:dyDescent="0.35">
      <c r="A166">
        <v>2013</v>
      </c>
      <c r="B166">
        <v>10820.671</v>
      </c>
      <c r="C166">
        <v>13882.386</v>
      </c>
      <c r="D166">
        <v>20283.237000000001</v>
      </c>
      <c r="E166">
        <v>10824.115</v>
      </c>
      <c r="F166">
        <v>13885.794</v>
      </c>
      <c r="G166">
        <v>20516.026000000002</v>
      </c>
      <c r="H166">
        <v>10820.671</v>
      </c>
      <c r="I166">
        <v>13882.387000000001</v>
      </c>
      <c r="J166">
        <v>20283.237000000001</v>
      </c>
      <c r="N166">
        <f>IFERROR(SUM($B$3:$B166),"")</f>
        <v>766200.97099999979</v>
      </c>
      <c r="O166">
        <f>IFERROR(SUM($C$3:$C166),"")</f>
        <v>974890.8060000001</v>
      </c>
      <c r="P166">
        <f>IFERROR(SUM($D$3:$D166),"")</f>
        <v>433553.16199999989</v>
      </c>
      <c r="Q166">
        <f t="shared" si="45"/>
        <v>1408443.9679999999</v>
      </c>
      <c r="R166">
        <f t="shared" si="46"/>
        <v>54.400529123498643</v>
      </c>
      <c r="S166">
        <f t="shared" si="47"/>
        <v>69.217578274295974</v>
      </c>
      <c r="T166">
        <f>IFERROR(SUM($E$3:$E166),"")</f>
        <v>795263.46800000034</v>
      </c>
      <c r="U166">
        <f>IFERROR(SUM($F$3:$F166),"")</f>
        <v>1016569.2760000003</v>
      </c>
      <c r="V166">
        <f>IFERROR(SUM($G$3:$G166),"")</f>
        <v>451765.97100000002</v>
      </c>
      <c r="W166">
        <f t="shared" si="48"/>
        <v>1468335.2470000004</v>
      </c>
      <c r="X166">
        <f t="shared" si="49"/>
        <v>54.160892045929351</v>
      </c>
      <c r="Y166">
        <f t="shared" si="50"/>
        <v>69.232777601503699</v>
      </c>
      <c r="Z166">
        <f>IFERROR(SUM($H$3:$H166),"")</f>
        <v>766200.96799999999</v>
      </c>
      <c r="AA166">
        <f>IFERROR(SUM($I$3:$I166),"")</f>
        <v>974890.80899999989</v>
      </c>
      <c r="AB166">
        <f>IFERROR(SUM($J$3:$J166),"")</f>
        <v>433069.32699999993</v>
      </c>
      <c r="AC166">
        <f t="shared" si="51"/>
        <v>1407960.1359999999</v>
      </c>
      <c r="AD166">
        <f t="shared" si="52"/>
        <v>54.419223130618519</v>
      </c>
      <c r="AE166">
        <f t="shared" si="53"/>
        <v>69.241364444426281</v>
      </c>
    </row>
    <row r="167" spans="1:31" x14ac:dyDescent="0.35">
      <c r="A167">
        <v>2014</v>
      </c>
      <c r="B167">
        <v>10655.071</v>
      </c>
      <c r="C167">
        <v>13676.084000000001</v>
      </c>
      <c r="D167">
        <v>20673.762999999999</v>
      </c>
      <c r="E167">
        <v>10656.661</v>
      </c>
      <c r="F167">
        <v>13677.503000000001</v>
      </c>
      <c r="G167">
        <v>21072.636999999999</v>
      </c>
      <c r="H167">
        <v>10655.071</v>
      </c>
      <c r="I167">
        <v>13676.084000000001</v>
      </c>
      <c r="J167">
        <v>20673.762999999999</v>
      </c>
      <c r="N167">
        <f>IFERROR(SUM($B$3:$B167),"")</f>
        <v>776856.04199999978</v>
      </c>
      <c r="O167">
        <f>IFERROR(SUM($C$3:$C167),"")</f>
        <v>988566.89000000013</v>
      </c>
      <c r="P167">
        <f>IFERROR(SUM($D$3:$D167),"")</f>
        <v>454226.92499999987</v>
      </c>
      <c r="Q167">
        <f t="shared" si="45"/>
        <v>1442793.8149999999</v>
      </c>
      <c r="R167">
        <f t="shared" si="46"/>
        <v>53.843871100875198</v>
      </c>
      <c r="S167">
        <f t="shared" si="47"/>
        <v>68.517544206411799</v>
      </c>
      <c r="T167">
        <f>IFERROR(SUM($E$3:$E167),"")</f>
        <v>805920.12900000031</v>
      </c>
      <c r="U167">
        <f>IFERROR(SUM($F$3:$F167),"")</f>
        <v>1030246.7790000003</v>
      </c>
      <c r="V167">
        <f>IFERROR(SUM($G$3:$G167),"")</f>
        <v>472838.60800000001</v>
      </c>
      <c r="W167">
        <f t="shared" si="48"/>
        <v>1503085.3870000003</v>
      </c>
      <c r="X167">
        <f t="shared" si="49"/>
        <v>53.617720987131122</v>
      </c>
      <c r="Y167">
        <f t="shared" si="50"/>
        <v>68.542132596755806</v>
      </c>
      <c r="Z167">
        <f>IFERROR(SUM($H$3:$H167),"")</f>
        <v>776856.03899999999</v>
      </c>
      <c r="AA167">
        <f>IFERROR(SUM($I$3:$I167),"")</f>
        <v>988566.89299999992</v>
      </c>
      <c r="AB167">
        <f>IFERROR(SUM($J$3:$J167),"")</f>
        <v>453743.08999999991</v>
      </c>
      <c r="AC167">
        <f t="shared" si="51"/>
        <v>1442309.9829999998</v>
      </c>
      <c r="AD167">
        <f t="shared" si="52"/>
        <v>53.861933159759602</v>
      </c>
      <c r="AE167">
        <f t="shared" si="53"/>
        <v>68.540529057684552</v>
      </c>
    </row>
    <row r="168" spans="1:31" x14ac:dyDescent="0.35">
      <c r="A168">
        <v>2015</v>
      </c>
      <c r="B168">
        <v>10492.066999999999</v>
      </c>
      <c r="C168">
        <v>13498.848</v>
      </c>
      <c r="D168">
        <v>20752.060000000001</v>
      </c>
      <c r="E168">
        <v>10491.182000000001</v>
      </c>
      <c r="F168">
        <v>13497.718999999999</v>
      </c>
      <c r="G168">
        <v>21410.749</v>
      </c>
      <c r="H168">
        <v>10492.066999999999</v>
      </c>
      <c r="I168">
        <v>13498.848</v>
      </c>
      <c r="J168">
        <v>20752.061000000002</v>
      </c>
      <c r="N168">
        <f>IFERROR(SUM($B$3:$B168),"")</f>
        <v>787348.10899999982</v>
      </c>
      <c r="O168">
        <f>IFERROR(SUM($C$3:$C168),"")</f>
        <v>1002065.7380000001</v>
      </c>
      <c r="P168">
        <f>IFERROR(SUM($D$3:$D168),"")</f>
        <v>474978.98499999987</v>
      </c>
      <c r="Q168">
        <f t="shared" si="45"/>
        <v>1477044.723</v>
      </c>
      <c r="R168">
        <f t="shared" si="46"/>
        <v>53.30563771967789</v>
      </c>
      <c r="S168">
        <f t="shared" si="47"/>
        <v>67.842613185382888</v>
      </c>
      <c r="T168">
        <f>IFERROR(SUM($E$3:$E168),"")</f>
        <v>816411.31100000034</v>
      </c>
      <c r="U168">
        <f>IFERROR(SUM($F$3:$F168),"")</f>
        <v>1043744.4980000004</v>
      </c>
      <c r="V168">
        <f>IFERROR(SUM($G$3:$G168),"")</f>
        <v>494249.35700000002</v>
      </c>
      <c r="W168">
        <f t="shared" si="48"/>
        <v>1537993.8550000004</v>
      </c>
      <c r="X168">
        <f t="shared" si="49"/>
        <v>53.082872102892779</v>
      </c>
      <c r="Y168">
        <f t="shared" si="50"/>
        <v>67.864022642665248</v>
      </c>
      <c r="Z168">
        <f>IFERROR(SUM($H$3:$H168),"")</f>
        <v>787348.10600000003</v>
      </c>
      <c r="AA168">
        <f>IFERROR(SUM($I$3:$I168),"")</f>
        <v>1002065.7409999999</v>
      </c>
      <c r="AB168">
        <f>IFERROR(SUM($J$3:$J168),"")</f>
        <v>474495.1509999999</v>
      </c>
      <c r="AC168">
        <f t="shared" si="51"/>
        <v>1476560.8919999998</v>
      </c>
      <c r="AD168">
        <f t="shared" si="52"/>
        <v>53.323104401982235</v>
      </c>
      <c r="AE168">
        <f t="shared" si="53"/>
        <v>67.864843666738537</v>
      </c>
    </row>
    <row r="169" spans="1:31" x14ac:dyDescent="0.35">
      <c r="A169">
        <v>2016</v>
      </c>
      <c r="B169">
        <v>10311.272999999999</v>
      </c>
      <c r="C169">
        <v>13351.499</v>
      </c>
      <c r="D169">
        <v>20872.252</v>
      </c>
      <c r="E169">
        <v>10309.593000000001</v>
      </c>
      <c r="F169">
        <v>13349.697</v>
      </c>
      <c r="G169">
        <v>21656.738000000001</v>
      </c>
      <c r="H169">
        <v>10311.272999999999</v>
      </c>
      <c r="I169">
        <v>13351.499</v>
      </c>
      <c r="J169">
        <v>20872.252</v>
      </c>
      <c r="N169">
        <f>IFERROR(SUM($B$3:$B169),"")</f>
        <v>797659.38199999987</v>
      </c>
      <c r="O169">
        <f>IFERROR(SUM($C$3:$C169),"")</f>
        <v>1015417.2370000001</v>
      </c>
      <c r="P169">
        <f>IFERROR(SUM($D$3:$D169),"")</f>
        <v>495851.23699999985</v>
      </c>
      <c r="Q169">
        <f t="shared" si="45"/>
        <v>1511268.4739999999</v>
      </c>
      <c r="R169">
        <f t="shared" si="46"/>
        <v>52.780786188754966</v>
      </c>
      <c r="S169">
        <f t="shared" si="47"/>
        <v>67.189731968166512</v>
      </c>
      <c r="T169">
        <f>IFERROR(SUM($E$3:$E169),"")</f>
        <v>826720.90400000033</v>
      </c>
      <c r="U169">
        <f>IFERROR(SUM($F$3:$F169),"")</f>
        <v>1057094.1950000003</v>
      </c>
      <c r="V169">
        <f>IFERROR(SUM($G$3:$G169),"")</f>
        <v>515906.09500000003</v>
      </c>
      <c r="W169">
        <f t="shared" si="48"/>
        <v>1573000.2900000003</v>
      </c>
      <c r="X169">
        <f t="shared" si="49"/>
        <v>52.556945428153746</v>
      </c>
      <c r="Y169">
        <f t="shared" si="50"/>
        <v>67.202415773235501</v>
      </c>
      <c r="Z169">
        <f>IFERROR(SUM($H$3:$H169),"")</f>
        <v>797659.37900000007</v>
      </c>
      <c r="AA169">
        <f>IFERROR(SUM($I$3:$I169),"")</f>
        <v>1015417.2399999999</v>
      </c>
      <c r="AB169">
        <f>IFERROR(SUM($J$3:$J169),"")</f>
        <v>495367.40299999987</v>
      </c>
      <c r="AC169">
        <f t="shared" si="51"/>
        <v>1510784.6429999997</v>
      </c>
      <c r="AD169">
        <f t="shared" si="52"/>
        <v>52.797689114450463</v>
      </c>
      <c r="AE169">
        <f t="shared" si="53"/>
        <v>67.211249777047158</v>
      </c>
    </row>
    <row r="170" spans="1:31" x14ac:dyDescent="0.35">
      <c r="A170">
        <v>2017</v>
      </c>
      <c r="B170">
        <v>10249.216</v>
      </c>
      <c r="C170">
        <v>13361.929</v>
      </c>
      <c r="D170">
        <v>21411.564999999999</v>
      </c>
      <c r="E170">
        <v>10248.462</v>
      </c>
      <c r="F170">
        <v>13360.857</v>
      </c>
      <c r="G170">
        <v>22369.085999999999</v>
      </c>
      <c r="H170">
        <v>10249.216</v>
      </c>
      <c r="I170">
        <v>13361.929</v>
      </c>
      <c r="J170">
        <v>21411.564999999999</v>
      </c>
      <c r="N170">
        <f>IFERROR(SUM($B$3:$B170),"")</f>
        <v>807908.59799999988</v>
      </c>
      <c r="O170">
        <f>IFERROR(SUM($C$3:$C170),"")</f>
        <v>1028779.1660000001</v>
      </c>
      <c r="P170">
        <f>IFERROR(SUM($D$3:$D170),"")</f>
        <v>517262.80199999985</v>
      </c>
      <c r="Q170">
        <f t="shared" si="45"/>
        <v>1546041.9679999999</v>
      </c>
      <c r="R170">
        <f t="shared" si="46"/>
        <v>52.256576129374508</v>
      </c>
      <c r="S170">
        <f t="shared" si="47"/>
        <v>66.542770978646558</v>
      </c>
      <c r="T170">
        <f>IFERROR(SUM($E$3:$E170),"")</f>
        <v>836969.36600000039</v>
      </c>
      <c r="U170">
        <f>IFERROR(SUM($F$3:$F170),"")</f>
        <v>1070455.0520000004</v>
      </c>
      <c r="V170">
        <f>IFERROR(SUM($G$3:$G170),"")</f>
        <v>538275.18099999998</v>
      </c>
      <c r="W170">
        <f t="shared" si="48"/>
        <v>1608730.2330000005</v>
      </c>
      <c r="X170">
        <f t="shared" si="49"/>
        <v>52.02670707811582</v>
      </c>
      <c r="Y170">
        <f t="shared" si="50"/>
        <v>66.540370165343944</v>
      </c>
      <c r="Z170">
        <f>IFERROR(SUM($H$3:$H170),"")</f>
        <v>807908.59500000009</v>
      </c>
      <c r="AA170">
        <f>IFERROR(SUM($I$3:$I170),"")</f>
        <v>1028779.1689999999</v>
      </c>
      <c r="AB170">
        <f>IFERROR(SUM($J$3:$J170),"")</f>
        <v>516778.96799999988</v>
      </c>
      <c r="AC170">
        <f t="shared" si="51"/>
        <v>1545558.1369999996</v>
      </c>
      <c r="AD170">
        <f t="shared" si="52"/>
        <v>52.272934654414769</v>
      </c>
      <c r="AE170">
        <f t="shared" si="53"/>
        <v>66.563602129966341</v>
      </c>
    </row>
    <row r="171" spans="1:31" x14ac:dyDescent="0.35">
      <c r="A171">
        <v>2018</v>
      </c>
      <c r="B171">
        <v>10308.483</v>
      </c>
      <c r="C171">
        <v>13467.581</v>
      </c>
      <c r="D171">
        <v>22030.045999999998</v>
      </c>
      <c r="E171">
        <v>10308.871999999999</v>
      </c>
      <c r="F171">
        <v>13467.627</v>
      </c>
      <c r="G171">
        <v>22885.663</v>
      </c>
      <c r="H171">
        <v>10308.483</v>
      </c>
      <c r="I171">
        <v>13467.581</v>
      </c>
      <c r="J171">
        <v>22030.045999999998</v>
      </c>
      <c r="N171">
        <f>IFERROR(SUM($B$3:$B171),"")</f>
        <v>818217.08099999989</v>
      </c>
      <c r="O171">
        <f>IFERROR(SUM($C$3:$C171),"")</f>
        <v>1042246.7470000001</v>
      </c>
      <c r="P171">
        <f>IFERROR(SUM($D$3:$D171),"")</f>
        <v>539292.84799999988</v>
      </c>
      <c r="Q171">
        <f t="shared" si="45"/>
        <v>1581539.595</v>
      </c>
      <c r="R171">
        <f t="shared" si="46"/>
        <v>51.735478744052557</v>
      </c>
      <c r="S171">
        <f t="shared" si="47"/>
        <v>65.900768485028038</v>
      </c>
      <c r="T171">
        <f>IFERROR(SUM($E$3:$E171),"")</f>
        <v>847278.23800000036</v>
      </c>
      <c r="U171">
        <f>IFERROR(SUM($F$3:$F171),"")</f>
        <v>1083922.6790000005</v>
      </c>
      <c r="V171">
        <f>IFERROR(SUM($G$3:$G171),"")</f>
        <v>561160.84400000004</v>
      </c>
      <c r="W171">
        <f t="shared" si="48"/>
        <v>1645083.5230000005</v>
      </c>
      <c r="X171">
        <f t="shared" si="49"/>
        <v>51.503660826587719</v>
      </c>
      <c r="Y171">
        <f t="shared" si="50"/>
        <v>65.888610751102888</v>
      </c>
      <c r="Z171">
        <f>IFERROR(SUM($H$3:$H171),"")</f>
        <v>818217.0780000001</v>
      </c>
      <c r="AA171">
        <f>IFERROR(SUM($I$3:$I171),"")</f>
        <v>1042246.7499999999</v>
      </c>
      <c r="AB171">
        <f>IFERROR(SUM($J$3:$J171),"")</f>
        <v>538809.01399999985</v>
      </c>
      <c r="AC171">
        <f t="shared" si="51"/>
        <v>1581055.7639999997</v>
      </c>
      <c r="AD171">
        <f t="shared" si="52"/>
        <v>51.751310524933523</v>
      </c>
      <c r="AE171">
        <f t="shared" si="53"/>
        <v>65.920935474354337</v>
      </c>
    </row>
    <row r="172" spans="1:31" x14ac:dyDescent="0.35">
      <c r="A172">
        <v>2019</v>
      </c>
      <c r="B172">
        <v>10026.807000000001</v>
      </c>
      <c r="C172">
        <v>13117.094999999999</v>
      </c>
      <c r="D172">
        <v>22729.898000000001</v>
      </c>
      <c r="E172">
        <v>10027.263999999999</v>
      </c>
      <c r="F172">
        <v>13116.656999999999</v>
      </c>
      <c r="G172">
        <v>23281.241000000002</v>
      </c>
      <c r="H172">
        <v>10026.807000000001</v>
      </c>
      <c r="I172">
        <v>13117.094999999999</v>
      </c>
      <c r="J172">
        <v>22729.897000000001</v>
      </c>
      <c r="N172">
        <f>IFERROR(SUM($B$3:$B172),"")</f>
        <v>828243.88799999992</v>
      </c>
      <c r="O172">
        <f>IFERROR(SUM($C$3:$C172),"")</f>
        <v>1055363.8420000002</v>
      </c>
      <c r="P172">
        <f>IFERROR(SUM($D$3:$D172),"")</f>
        <v>562022.74599999993</v>
      </c>
      <c r="Q172">
        <f t="shared" si="45"/>
        <v>1617386.588</v>
      </c>
      <c r="R172">
        <f t="shared" si="46"/>
        <v>51.208776809765396</v>
      </c>
      <c r="S172">
        <f t="shared" si="47"/>
        <v>65.251180505028415</v>
      </c>
      <c r="T172">
        <f>IFERROR(SUM($E$3:$E172),"")</f>
        <v>857305.50200000033</v>
      </c>
      <c r="U172">
        <f>IFERROR(SUM($F$3:$F172),"")</f>
        <v>1097039.3360000004</v>
      </c>
      <c r="V172">
        <f>IFERROR(SUM($G$3:$G172),"")</f>
        <v>584442.08500000008</v>
      </c>
      <c r="W172">
        <f t="shared" si="48"/>
        <v>1681481.4210000006</v>
      </c>
      <c r="X172">
        <f t="shared" si="49"/>
        <v>50.985130807460763</v>
      </c>
      <c r="Y172">
        <f t="shared" si="50"/>
        <v>65.24242981808122</v>
      </c>
      <c r="Z172">
        <f>IFERROR(SUM($H$3:$H172),"")</f>
        <v>828243.88500000013</v>
      </c>
      <c r="AA172">
        <f>IFERROR(SUM($I$3:$I172),"")</f>
        <v>1055363.845</v>
      </c>
      <c r="AB172">
        <f>IFERROR(SUM($J$3:$J172),"")</f>
        <v>561538.91099999985</v>
      </c>
      <c r="AC172">
        <f t="shared" si="51"/>
        <v>1616902.7559999998</v>
      </c>
      <c r="AD172">
        <f t="shared" si="52"/>
        <v>51.22410002250006</v>
      </c>
      <c r="AE172">
        <f t="shared" si="53"/>
        <v>65.270706051044669</v>
      </c>
    </row>
    <row r="173" spans="1:31" x14ac:dyDescent="0.35">
      <c r="A173">
        <v>2020</v>
      </c>
      <c r="B173">
        <v>9065.8670000000002</v>
      </c>
      <c r="C173">
        <v>12030.968999999999</v>
      </c>
      <c r="D173">
        <v>22287.710999999999</v>
      </c>
      <c r="E173">
        <v>9068.3250000000007</v>
      </c>
      <c r="F173">
        <v>12033.268</v>
      </c>
      <c r="G173">
        <v>22809.496999999999</v>
      </c>
      <c r="H173">
        <v>9065.8670000000002</v>
      </c>
      <c r="I173">
        <v>12030.968999999999</v>
      </c>
      <c r="J173">
        <v>22287.710999999999</v>
      </c>
      <c r="N173">
        <f>IFERROR(SUM($B$3:$B173),"")</f>
        <v>837309.75499999989</v>
      </c>
      <c r="O173">
        <f>IFERROR(SUM($C$3:$C173),"")</f>
        <v>1067394.8110000002</v>
      </c>
      <c r="P173">
        <f>IFERROR(SUM($D$3:$D173),"")</f>
        <v>584310.45699999994</v>
      </c>
      <c r="Q173">
        <f t="shared" si="45"/>
        <v>1651705.2680000002</v>
      </c>
      <c r="R173">
        <f t="shared" si="46"/>
        <v>50.693654081146867</v>
      </c>
      <c r="S173">
        <f t="shared" si="47"/>
        <v>64.623806176538764</v>
      </c>
      <c r="T173">
        <f>IFERROR(SUM($E$3:$E173),"")</f>
        <v>866373.82700000028</v>
      </c>
      <c r="U173">
        <f>IFERROR(SUM($F$3:$F173),"")</f>
        <v>1109072.6040000003</v>
      </c>
      <c r="V173">
        <f>IFERROR(SUM($G$3:$G173),"")</f>
        <v>607251.58200000005</v>
      </c>
      <c r="W173">
        <f t="shared" si="48"/>
        <v>1716324.1860000002</v>
      </c>
      <c r="X173">
        <f t="shared" si="49"/>
        <v>50.47844888902592</v>
      </c>
      <c r="Y173">
        <f t="shared" si="50"/>
        <v>64.619062823134982</v>
      </c>
      <c r="Z173">
        <f>IFERROR(SUM($H$3:$H173),"")</f>
        <v>837309.75200000009</v>
      </c>
      <c r="AA173">
        <f>IFERROR(SUM($I$3:$I173),"")</f>
        <v>1067394.814</v>
      </c>
      <c r="AB173">
        <f>IFERROR(SUM($J$3:$J173),"")</f>
        <v>583826.62199999986</v>
      </c>
      <c r="AC173">
        <f t="shared" si="51"/>
        <v>1651221.4359999998</v>
      </c>
      <c r="AD173">
        <f t="shared" si="52"/>
        <v>50.708507880586907</v>
      </c>
      <c r="AE173">
        <f t="shared" si="53"/>
        <v>64.642742077386657</v>
      </c>
    </row>
    <row r="174" spans="1:31" x14ac:dyDescent="0.35">
      <c r="A174">
        <v>2021</v>
      </c>
      <c r="B174">
        <v>9562.25</v>
      </c>
      <c r="C174">
        <v>12666.99</v>
      </c>
      <c r="D174">
        <v>23320.791000000001</v>
      </c>
      <c r="E174">
        <v>9565.3970000000008</v>
      </c>
      <c r="F174">
        <v>12669.912</v>
      </c>
      <c r="G174">
        <v>23818.333999999999</v>
      </c>
      <c r="H174">
        <v>9562.25</v>
      </c>
      <c r="I174">
        <v>12666.99</v>
      </c>
      <c r="J174">
        <v>23320.79</v>
      </c>
      <c r="N174">
        <f>IFERROR(SUM($B$3:$B174),"")</f>
        <v>846872.00499999989</v>
      </c>
      <c r="O174">
        <f>IFERROR(SUM($C$3:$C174),"")</f>
        <v>1080061.8010000002</v>
      </c>
      <c r="P174">
        <f>IFERROR(SUM($D$3:$D174),"")</f>
        <v>607631.24799999991</v>
      </c>
      <c r="Q174">
        <f t="shared" si="45"/>
        <v>1687693.0490000001</v>
      </c>
      <c r="R174">
        <f t="shared" si="46"/>
        <v>50.179267225268987</v>
      </c>
      <c r="S174">
        <f t="shared" si="47"/>
        <v>63.996341137979066</v>
      </c>
      <c r="T174">
        <f>IFERROR(SUM($E$3:$E174),"")</f>
        <v>875939.22400000028</v>
      </c>
      <c r="U174">
        <f>IFERROR(SUM($F$3:$F174),"")</f>
        <v>1121742.5160000003</v>
      </c>
      <c r="V174">
        <f>IFERROR(SUM($G$3:$G174),"")</f>
        <v>631069.91600000008</v>
      </c>
      <c r="W174">
        <f t="shared" si="48"/>
        <v>1752812.4320000005</v>
      </c>
      <c r="X174">
        <f t="shared" si="49"/>
        <v>49.973357560028994</v>
      </c>
      <c r="Y174">
        <f t="shared" si="50"/>
        <v>63.996722953411819</v>
      </c>
      <c r="Z174">
        <f>IFERROR(SUM($H$3:$H174),"")</f>
        <v>846872.00200000009</v>
      </c>
      <c r="AA174">
        <f>IFERROR(SUM($I$3:$I174),"")</f>
        <v>1080061.804</v>
      </c>
      <c r="AB174">
        <f>IFERROR(SUM($J$3:$J174),"")</f>
        <v>607147.41199999989</v>
      </c>
      <c r="AC174">
        <f t="shared" si="51"/>
        <v>1687209.216</v>
      </c>
      <c r="AD174">
        <f t="shared" si="52"/>
        <v>50.193656718385306</v>
      </c>
      <c r="AE174">
        <f t="shared" si="53"/>
        <v>64.014693243591196</v>
      </c>
    </row>
    <row r="175" spans="1:31" x14ac:dyDescent="0.35">
      <c r="A175">
        <v>2022</v>
      </c>
      <c r="B175">
        <v>9496.6610000000001</v>
      </c>
      <c r="C175">
        <v>12493.547</v>
      </c>
      <c r="D175">
        <v>24068.555</v>
      </c>
      <c r="E175">
        <v>9514.3870000000006</v>
      </c>
      <c r="F175">
        <v>12511.111999999999</v>
      </c>
      <c r="G175">
        <v>24235.097000000002</v>
      </c>
      <c r="H175">
        <v>9496.6620000000003</v>
      </c>
      <c r="I175">
        <v>12493.547</v>
      </c>
      <c r="J175">
        <v>24068.555</v>
      </c>
      <c r="N175">
        <f>IFERROR(SUM($B$3:$B175),"")</f>
        <v>856368.66599999985</v>
      </c>
      <c r="O175">
        <f>IFERROR(SUM($C$3:$C175),"")</f>
        <v>1092555.3480000002</v>
      </c>
      <c r="P175">
        <f>IFERROR(SUM($D$3:$D175),"")</f>
        <v>631699.80299999996</v>
      </c>
      <c r="Q175">
        <f t="shared" si="45"/>
        <v>1724255.1510000001</v>
      </c>
      <c r="R175">
        <f t="shared" si="46"/>
        <v>49.666005956446746</v>
      </c>
      <c r="S175">
        <f t="shared" si="47"/>
        <v>63.36390222562833</v>
      </c>
      <c r="T175">
        <f>IFERROR(SUM($E$3:$E175),"")</f>
        <v>885453.61100000027</v>
      </c>
      <c r="U175">
        <f>IFERROR(SUM($F$3:$F175),"")</f>
        <v>1134253.6280000003</v>
      </c>
      <c r="V175">
        <f>IFERROR(SUM($G$3:$G175),"")</f>
        <v>655305.01300000004</v>
      </c>
      <c r="W175">
        <f t="shared" si="48"/>
        <v>1789558.6410000003</v>
      </c>
      <c r="X175">
        <f t="shared" si="49"/>
        <v>49.478882150808495</v>
      </c>
      <c r="Y175">
        <f t="shared" si="50"/>
        <v>63.381752461946853</v>
      </c>
      <c r="Z175">
        <f>IFERROR(SUM($H$3:$H175),"")</f>
        <v>856368.66400000011</v>
      </c>
      <c r="AA175">
        <f>IFERROR(SUM($I$3:$I175),"")</f>
        <v>1092555.351</v>
      </c>
      <c r="AB175">
        <f>IFERROR(SUM($J$3:$J175),"")</f>
        <v>631215.96699999995</v>
      </c>
      <c r="AC175">
        <f t="shared" si="51"/>
        <v>1723771.318</v>
      </c>
      <c r="AD175">
        <f t="shared" si="52"/>
        <v>49.679946235188496</v>
      </c>
      <c r="AE175">
        <f t="shared" si="53"/>
        <v>63.381687558627775</v>
      </c>
    </row>
    <row r="176" spans="1:31" x14ac:dyDescent="0.35">
      <c r="A176">
        <v>2023</v>
      </c>
      <c r="B176">
        <v>9126.6190000000006</v>
      </c>
      <c r="C176">
        <v>12149.120999999999</v>
      </c>
      <c r="D176">
        <v>24862.169000000002</v>
      </c>
      <c r="E176">
        <v>9125.7530000000006</v>
      </c>
      <c r="F176">
        <v>12104.227999999999</v>
      </c>
      <c r="G176">
        <v>25061.780999999999</v>
      </c>
      <c r="H176">
        <v>9126.6190000000006</v>
      </c>
      <c r="I176">
        <v>12149.120999999999</v>
      </c>
      <c r="J176">
        <v>24862.17</v>
      </c>
      <c r="N176">
        <f>IFERROR(SUM($B$3:$B176),"")</f>
        <v>865495.2849999998</v>
      </c>
      <c r="O176">
        <f>IFERROR(SUM($C$3:$C176),"")</f>
        <v>1104704.4690000003</v>
      </c>
      <c r="P176">
        <f>IFERROR(SUM($D$3:$D176),"")</f>
        <v>656561.97199999995</v>
      </c>
      <c r="Q176">
        <f t="shared" si="45"/>
        <v>1761266.4410000001</v>
      </c>
      <c r="R176">
        <f t="shared" si="46"/>
        <v>49.140508491639388</v>
      </c>
      <c r="S176">
        <f t="shared" si="47"/>
        <v>62.722166464080168</v>
      </c>
      <c r="T176">
        <f>IFERROR(SUM($E$3:$E176),"")</f>
        <v>894579.36400000029</v>
      </c>
      <c r="U176">
        <f>IFERROR(SUM($F$3:$F176),"")</f>
        <v>1146357.8560000001</v>
      </c>
      <c r="V176">
        <f>IFERROR(SUM($G$3:$G176),"")</f>
        <v>680366.79399999999</v>
      </c>
      <c r="W176">
        <f t="shared" si="48"/>
        <v>1826724.6500000001</v>
      </c>
      <c r="X176">
        <f t="shared" si="49"/>
        <v>48.971768350528372</v>
      </c>
      <c r="Y176">
        <f t="shared" si="50"/>
        <v>62.754824926679561</v>
      </c>
      <c r="Z176">
        <f>IFERROR(SUM($H$3:$H176),"")</f>
        <v>865495.28300000005</v>
      </c>
      <c r="AA176">
        <f>IFERROR(SUM($I$3:$I176),"")</f>
        <v>1104704.4720000001</v>
      </c>
      <c r="AB176">
        <f>IFERROR(SUM($J$3:$J176),"")</f>
        <v>656078.13699999999</v>
      </c>
      <c r="AC176">
        <f t="shared" si="51"/>
        <v>1760782.6090000002</v>
      </c>
      <c r="AD176">
        <f t="shared" si="52"/>
        <v>49.154011322927602</v>
      </c>
      <c r="AE176">
        <f t="shared" si="53"/>
        <v>62.739401579357605</v>
      </c>
    </row>
    <row r="177" spans="1:31" x14ac:dyDescent="0.35">
      <c r="A177">
        <v>2024</v>
      </c>
      <c r="B177">
        <v>9045.3469999999998</v>
      </c>
      <c r="C177">
        <v>12122.674999999999</v>
      </c>
      <c r="D177">
        <v>25283.438999999998</v>
      </c>
      <c r="E177">
        <v>8641.1509999999998</v>
      </c>
      <c r="F177">
        <v>11449.105</v>
      </c>
      <c r="G177">
        <v>24074.684000000001</v>
      </c>
      <c r="H177">
        <v>9045.3469999999998</v>
      </c>
      <c r="I177">
        <v>12122.674999999999</v>
      </c>
      <c r="J177">
        <v>25283.438999999998</v>
      </c>
      <c r="N177">
        <f>IFERROR(SUM($B$3:$B177),"")</f>
        <v>874540.63199999975</v>
      </c>
      <c r="O177">
        <f>IFERROR(SUM($C$3:$C177),"")</f>
        <v>1116827.1440000003</v>
      </c>
      <c r="P177">
        <f>IFERROR(SUM($D$3:$D177),"")</f>
        <v>681845.41099999996</v>
      </c>
      <c r="Q177">
        <f t="shared" si="45"/>
        <v>1798672.5550000002</v>
      </c>
      <c r="R177">
        <f t="shared" si="46"/>
        <v>48.621447498541478</v>
      </c>
      <c r="S177">
        <f t="shared" si="47"/>
        <v>62.091743207812513</v>
      </c>
      <c r="T177">
        <f>IFERROR(SUM($E$3:$E177),"")</f>
        <v>903220.51500000025</v>
      </c>
      <c r="U177">
        <f>IFERROR(SUM($F$3:$F177),"")</f>
        <v>1157806.9610000001</v>
      </c>
      <c r="V177">
        <f>IFERROR(SUM($G$3:$G177),"")</f>
        <v>704441.478</v>
      </c>
      <c r="W177">
        <f t="shared" si="48"/>
        <v>1862248.4390000002</v>
      </c>
      <c r="X177">
        <f t="shared" si="49"/>
        <v>48.501612141772895</v>
      </c>
      <c r="Y177">
        <f t="shared" si="50"/>
        <v>62.172529548298364</v>
      </c>
      <c r="Z177">
        <f>IFERROR(SUM($H$3:$H177),"")</f>
        <v>874540.63</v>
      </c>
      <c r="AA177">
        <f>IFERROR(SUM($I$3:$I177),"")</f>
        <v>1116827.1470000001</v>
      </c>
      <c r="AB177">
        <f>IFERROR(SUM($J$3:$J177),"")</f>
        <v>681361.576</v>
      </c>
      <c r="AC177">
        <f t="shared" si="51"/>
        <v>1798188.7230000002</v>
      </c>
      <c r="AD177">
        <f t="shared" si="52"/>
        <v>48.634529780665289</v>
      </c>
      <c r="AE177">
        <f t="shared" si="53"/>
        <v>62.108450170722151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7C86-DD92-44C9-B1DB-7FE26E098E3A}">
  <sheetPr>
    <tabColor rgb="FF5DBDD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37360-C7C1-4890-966F-71BA99849C73}">
  <dimension ref="A1"/>
  <sheetViews>
    <sheetView tabSelected="1" zoomScale="25" zoomScaleNormal="25" workbookViewId="0">
      <selection activeCell="AT36" sqref="AT36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ADAF7CDC05F468DC4656A04C1CC40" ma:contentTypeVersion="18" ma:contentTypeDescription="Create a new document." ma:contentTypeScope="" ma:versionID="28655e3f24d885ee784436a7f5e4a3c8">
  <xsd:schema xmlns:xsd="http://www.w3.org/2001/XMLSchema" xmlns:xs="http://www.w3.org/2001/XMLSchema" xmlns:p="http://schemas.microsoft.com/office/2006/metadata/properties" xmlns:ns2="06b04f7f-0f64-4a5e-bf04-53db9ee74c0c" xmlns:ns3="40aef5c5-d752-4158-9074-039719beadaa" targetNamespace="http://schemas.microsoft.com/office/2006/metadata/properties" ma:root="true" ma:fieldsID="e781938e59b70c2ee7f958117c5c3bb0" ns2:_="" ns3:_="">
    <xsd:import namespace="06b04f7f-0f64-4a5e-bf04-53db9ee74c0c"/>
    <xsd:import namespace="40aef5c5-d752-4158-9074-039719beada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04f7f-0f64-4a5e-bf04-53db9ee74c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735d8b-15eb-4829-8bca-35ad924c0e94}" ma:internalName="TaxCatchAll" ma:showField="CatchAllData" ma:web="06b04f7f-0f64-4a5e-bf04-53db9ee74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ef5c5-d752-4158-9074-039719be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3b87d99-7d78-42b6-8830-566c1c7d09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aef5c5-d752-4158-9074-039719beadaa">
      <Terms xmlns="http://schemas.microsoft.com/office/infopath/2007/PartnerControls"/>
    </lcf76f155ced4ddcb4097134ff3c332f>
    <TaxCatchAll xmlns="06b04f7f-0f64-4a5e-bf04-53db9ee74c0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574DE4-9BCD-4177-87DB-844F3120A9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b04f7f-0f64-4a5e-bf04-53db9ee74c0c"/>
    <ds:schemaRef ds:uri="40aef5c5-d752-4158-9074-039719be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68ABC6-E4D1-471A-BD78-276717FFD14C}">
  <ds:schemaRefs>
    <ds:schemaRef ds:uri="http://schemas.microsoft.com/office/2006/metadata/properties"/>
    <ds:schemaRef ds:uri="http://schemas.microsoft.com/office/infopath/2007/PartnerControls"/>
    <ds:schemaRef ds:uri="40aef5c5-d752-4158-9074-039719beadaa"/>
    <ds:schemaRef ds:uri="06b04f7f-0f64-4a5e-bf04-53db9ee74c0c"/>
  </ds:schemaRefs>
</ds:datastoreItem>
</file>

<file path=customXml/itemProps3.xml><?xml version="1.0" encoding="utf-8"?>
<ds:datastoreItem xmlns:ds="http://schemas.openxmlformats.org/officeDocument/2006/customXml" ds:itemID="{CEA4C6C7-67EB-4E20-B944-75CAB9C54B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vals_ghg_incLUC</vt:lpstr>
      <vt:lpstr>GHG incl LULUCF</vt:lpstr>
      <vt:lpstr>data_ghg_incLUC</vt:lpstr>
      <vt:lpstr>vals_ghg_excLUC</vt:lpstr>
      <vt:lpstr>GHG excl LULUCF</vt:lpstr>
      <vt:lpstr>data_ghg_excLUC</vt:lpstr>
      <vt:lpstr>vals_co2_incLUC</vt:lpstr>
      <vt:lpstr>CO2 incl LULUCF</vt:lpstr>
      <vt:lpstr>data_co2_incLUC</vt:lpstr>
      <vt:lpstr>data_co2_excLUC</vt:lpstr>
      <vt:lpstr>vals_co2_excLUC</vt:lpstr>
      <vt:lpstr>CO2 excl LULUCF</vt:lpstr>
      <vt:lpstr>All 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Wickstead</dc:creator>
  <cp:lastModifiedBy>Edward Wickstead</cp:lastModifiedBy>
  <dcterms:created xsi:type="dcterms:W3CDTF">2026-04-30T13:56:21Z</dcterms:created>
  <dcterms:modified xsi:type="dcterms:W3CDTF">2026-07-27T10:20:10Z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0x010100FD1ADAF7CDC05F468DC4656A04C1CC40</vt:lpwstr>
  </property>
</Properties>
</file>