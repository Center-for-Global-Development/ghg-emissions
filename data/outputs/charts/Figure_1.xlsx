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31" documentId="8_{82EDD6A9-C31F-40C7-8724-FE3F507239A3}" xr6:coauthVersionLast="47" xr6:coauthVersionMax="47" xr10:uidLastSave="{9349283A-8F5E-4F02-851D-AB87C2719623}"/>
  <bookViews>
    <workbookView xWindow="19090" yWindow="-10820" windowWidth="38620" windowHeight="21100" activeTab="1" xr2:uid="{006DEE52-431E-4995-95DF-665D39954E2D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<sst xmlns="http://schemas.openxmlformats.org/spreadsheetml/2006/main" count="15" uniqueCount="14">
  <si>
    <t>By gas</t>
  </si>
  <si>
    <t>Share (%)</t>
  </si>
  <si>
    <t>By sector</t>
  </si>
  <si>
    <t>Energy</t>
  </si>
  <si>
    <t>Agriculture</t>
  </si>
  <si>
    <t>Waste</t>
  </si>
  <si>
    <t>MANUAL STEPS: (1) Edit A1 to change the overall figure title (formula-linked to Chart sheet header). (2) Edit A2 to change chart 1 title ('By gas'); edit A9 to change chart 2 title ('By sector') - both are formula-linked to the charts. (3) Verify % shares against latest Climate Watch data. (4) Adjust slice labels / callout positions manually in Excel after generation.</t>
  </si>
  <si>
    <t>F-Gas</t>
  </si>
  <si>
    <t>Industrial Processes</t>
  </si>
  <si>
    <t>Composition of GHG emissions by gas and sector</t>
  </si>
  <si>
    <r>
      <t>CO</t>
    </r>
    <r>
      <rPr>
        <vertAlign val="subscript"/>
        <sz val="9"/>
        <color theme="1"/>
        <rFont val="Sofia Pro"/>
        <family val="3"/>
      </rPr>
      <t>₂</t>
    </r>
  </si>
  <si>
    <t>CH₄</t>
  </si>
  <si>
    <t>N₂O</t>
  </si>
  <si>
    <t>Land Use, Land-Use Change and Forestry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</si>
</sst>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  <font>
      <sz val="12"/>
      <color rgb="FF0B4C5B"/>
      <name val="Sofia Pro Semi Bold"/>
      <family val="3"/>
    </font>
    <font>
      <vertAlign val="subscript"/>
      <sz val="9"/>
      <color theme="1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EA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164" fontId="3" fillId="3" borderId="0" xfId="0" applyNumberFormat="1" applyFont="1" applyFill="1"/>
    <xf numFmtId="164" fontId="3" fillId="4" borderId="0" xfId="0" applyNumberFormat="1" applyFont="1" applyFill="1"/>
    <xf numFmtId="0" fontId="5" fillId="0" borderId="0" xfId="0" applyFont="1"/>
    <xf numFmtId="0" fontId="1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By gas</c:v>
          </c:tx>
          <c:dPt>
            <c:idx val="0"/>
            <c:bubble3D val="0"/>
            <c:spPr>
              <a:solidFill>
                <a:srgbClr val="0B4C5B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DD3-4D89-B78C-942A059A6546}"/>
              </c:ext>
            </c:extLst>
          </c:dPt>
          <c:dPt>
            <c:idx val="1"/>
            <c:bubble3D val="0"/>
            <c:spPr>
              <a:solidFill>
                <a:srgbClr val="FFB52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DDD3-4D89-B78C-942A059A6546}"/>
              </c:ext>
            </c:extLst>
          </c:dPt>
          <c:dPt>
            <c:idx val="2"/>
            <c:bubble3D val="0"/>
            <c:spPr>
              <a:solidFill>
                <a:srgbClr val="1A8A9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DD3-4D89-B78C-942A059A6546}"/>
              </c:ext>
            </c:extLst>
          </c:dPt>
          <c:dPt>
            <c:idx val="3"/>
            <c:bubble3D val="0"/>
            <c:spPr>
              <a:solidFill>
                <a:srgbClr val="CC8E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DDD3-4D89-B78C-942A059A65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40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DD3-4D89-B78C-942A059A65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Data!$A$3:$A$6</c:f>
              <c:strCache>
                <c:ptCount val="4"/>
                <c:pt idx="0">
                  <c:v>CO₂</c:v>
                </c:pt>
                <c:pt idx="1">
                  <c:v>CH₄</c:v>
                </c:pt>
                <c:pt idx="2">
                  <c:v>N₂O</c:v>
                </c:pt>
                <c:pt idx="3">
                  <c:v>F-Gas</c:v>
                </c:pt>
              </c:strCache>
            </c:strRef>
          </c:cat>
          <c:val>
            <c:numRef>
              <c:f>Data!$B$3:$B$6</c:f>
              <c:numCache>
                <c:formatCode>0.0</c:formatCode>
                <c:ptCount val="4"/>
                <c:pt idx="0">
                  <c:v>72.501000000000005</c:v>
                </c:pt>
                <c:pt idx="1">
                  <c:v>19.225000000000001</c:v>
                </c:pt>
                <c:pt idx="2">
                  <c:v>5.4880000000000004</c:v>
                </c:pt>
                <c:pt idx="3">
                  <c:v>2.786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3-4D89-B78C-942A059A6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By sector</c:v>
          </c:tx>
          <c:dPt>
            <c:idx val="0"/>
            <c:bubble3D val="0"/>
            <c:spPr>
              <a:solidFill>
                <a:srgbClr val="0B4C5B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9B8A-4371-9488-1F2B0C846B5C}"/>
              </c:ext>
            </c:extLst>
          </c:dPt>
          <c:dPt>
            <c:idx val="1"/>
            <c:bubble3D val="0"/>
            <c:spPr>
              <a:solidFill>
                <a:srgbClr val="FFB52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9B8A-4371-9488-1F2B0C846B5C}"/>
              </c:ext>
            </c:extLst>
          </c:dPt>
          <c:dPt>
            <c:idx val="2"/>
            <c:bubble3D val="0"/>
            <c:spPr>
              <a:solidFill>
                <a:srgbClr val="1A8A9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B8A-4371-9488-1F2B0C846B5C}"/>
              </c:ext>
            </c:extLst>
          </c:dPt>
          <c:dPt>
            <c:idx val="3"/>
            <c:bubble3D val="0"/>
            <c:spPr>
              <a:solidFill>
                <a:srgbClr val="CC8E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9B8A-4371-9488-1F2B0C846B5C}"/>
              </c:ext>
            </c:extLst>
          </c:dPt>
          <c:dPt>
            <c:idx val="4"/>
            <c:bubble3D val="0"/>
            <c:spPr>
              <a:solidFill>
                <a:srgbClr val="5DBDD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9B8A-4371-9488-1F2B0C846B5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40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B8A-4371-9488-1F2B0C846B5C}"/>
                </c:ext>
              </c:extLst>
            </c:dLbl>
            <c:dLbl>
              <c:idx val="2"/>
              <c:layout>
                <c:manualLayout>
                  <c:x val="-2.338934477648406E-2"/>
                  <c:y val="1.35448307229502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8A-4371-9488-1F2B0C846B5C}"/>
                </c:ext>
              </c:extLst>
            </c:dLbl>
            <c:dLbl>
              <c:idx val="4"/>
              <c:layout>
                <c:manualLayout>
                  <c:x val="0.35182387006275934"/>
                  <c:y val="-3.64547433389767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4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27911829379077"/>
                      <c:h val="0.141166803645881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B8A-4371-9488-1F2B0C846B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Data!$A$10:$A$14</c:f>
              <c:strCache>
                <c:ptCount val="5"/>
                <c:pt idx="0">
                  <c:v>Energy</c:v>
                </c:pt>
                <c:pt idx="1">
                  <c:v>Agriculture</c:v>
                </c:pt>
                <c:pt idx="2">
                  <c:v>Industrial Processes</c:v>
                </c:pt>
                <c:pt idx="3">
                  <c:v>Waste</c:v>
                </c:pt>
                <c:pt idx="4">
                  <c:v>Land Use, Land-Use Change and Forestry</c:v>
                </c:pt>
              </c:strCache>
            </c:strRef>
          </c:cat>
          <c:val>
            <c:numRef>
              <c:f>Data!$B$10:$B$14</c:f>
              <c:numCache>
                <c:formatCode>0.0</c:formatCode>
                <c:ptCount val="5"/>
                <c:pt idx="0">
                  <c:v>76.748000000000005</c:v>
                </c:pt>
                <c:pt idx="1">
                  <c:v>12.286</c:v>
                </c:pt>
                <c:pt idx="2">
                  <c:v>6.2110000000000003</c:v>
                </c:pt>
                <c:pt idx="3">
                  <c:v>3.8359999999999999</c:v>
                </c:pt>
                <c:pt idx="4">
                  <c:v>0.91900000000000004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A-4371-9488-1F2B0C84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</xdr:row>
      <xdr:rowOff>139700</xdr:rowOff>
    </xdr:from>
    <xdr:to>
      <xdr:col>17</xdr:col>
      <xdr:colOff>558800</xdr:colOff>
      <xdr:row>32</xdr:row>
      <xdr:rowOff>76200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5A5AEE7-25F0-FFF4-493E-F329BD3BA3CB}"/>
            </a:ext>
          </a:extLst>
        </xdr:cNvPr>
        <xdr:cNvGrpSpPr/>
      </xdr:nvGrpSpPr>
      <xdr:grpSpPr>
        <a:xfrm>
          <a:off x="127000" y="675309"/>
          <a:ext cx="10757452" cy="5403021"/>
          <a:chOff x="127000" y="682336"/>
          <a:chExt cx="10834255" cy="547831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D851B13-D3CC-9E8E-4F34-6A95BA73FAD1}"/>
              </a:ext>
            </a:extLst>
          </xdr:cNvPr>
          <xdr:cNvGraphicFramePr/>
        </xdr:nvGraphicFramePr>
        <xdr:xfrm>
          <a:off x="127000" y="682336"/>
          <a:ext cx="5288973" cy="5478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4E501F5-E487-10C5-B0DC-76ACDFCF6300}"/>
              </a:ext>
            </a:extLst>
          </xdr:cNvPr>
          <xdr:cNvGraphicFramePr/>
        </xdr:nvGraphicFramePr>
        <xdr:xfrm>
          <a:off x="5672282" y="682336"/>
          <a:ext cx="5288973" cy="5478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DD3-C7B4-4E34-AC95-947A3C0521FA}">
  <sheetPr>
    <tabColor rgb="FF0B4C5B"/>
  </sheetPr>
  <dimension ref="A1:C17"/>
  <sheetViews>
    <sheetView workbookViewId="0">
      <selection activeCell="A14" sqref="A14"/>
    </sheetView>
  </sheetViews>
  <sheetFormatPr defaultRowHeight="14.5" x14ac:dyDescent="0.35"/>
  <cols>
    <col min="1" max="1" width="35.6328125" customWidth="1"/>
    <col min="2" max="2" width="12.6328125" customWidth="1"/>
  </cols>
  <sheetData>
    <row r="1" spans="1:3" ht="30" customHeight="1" x14ac:dyDescent="0.35">
      <c r="A1" s="7" t="s">
        <v>9</v>
      </c>
      <c r="B1" s="7"/>
      <c r="C1" s="7"/>
    </row>
    <row r="2" spans="1:3" x14ac:dyDescent="0.35">
      <c r="A2" s="1" t="s">
        <v>0</v>
      </c>
      <c r="B2" s="1" t="s">
        <v>1</v>
      </c>
    </row>
    <row r="3" spans="1:3" x14ac:dyDescent="0.35">
      <c r="A3" s="2" t="s">
        <v>10</v>
      </c>
      <c r="B3" s="4">
        <v>72.501000000000005</v>
      </c>
    </row>
    <row r="4" spans="1:3" x14ac:dyDescent="0.35">
      <c r="A4" s="3" t="s">
        <v>11</v>
      </c>
      <c r="B4" s="5">
        <v>19.225000000000001</v>
      </c>
    </row>
    <row r="5" spans="1:3" x14ac:dyDescent="0.35">
      <c r="A5" s="2" t="s">
        <v>12</v>
      </c>
      <c r="B5" s="4">
        <v>5.4880000000000004</v>
      </c>
    </row>
    <row r="6" spans="1:3" x14ac:dyDescent="0.35">
      <c r="A6" s="3" t="s">
        <v>7</v>
      </c>
      <c r="B6" s="5">
        <v>2.786</v>
      </c>
    </row>
    <row r="7" spans="1:3" x14ac:dyDescent="0.35">
      <c r="A7" s="2"/>
      <c r="B7" s="2"/>
    </row>
    <row r="9" spans="1:3" x14ac:dyDescent="0.35">
      <c r="A9" s="1" t="s">
        <v>2</v>
      </c>
      <c r="B9" s="1" t="s">
        <v>1</v>
      </c>
    </row>
    <row r="10" spans="1:3" x14ac:dyDescent="0.35">
      <c r="A10" s="2" t="s">
        <v>3</v>
      </c>
      <c r="B10" s="4">
        <v>76.748000000000005</v>
      </c>
    </row>
    <row r="11" spans="1:3" x14ac:dyDescent="0.35">
      <c r="A11" s="3" t="s">
        <v>4</v>
      </c>
      <c r="B11" s="5">
        <v>12.286</v>
      </c>
    </row>
    <row r="12" spans="1:3" x14ac:dyDescent="0.35">
      <c r="A12" s="2" t="s">
        <v>8</v>
      </c>
      <c r="B12" s="4">
        <v>6.2110000000000003</v>
      </c>
    </row>
    <row r="13" spans="1:3" x14ac:dyDescent="0.35">
      <c r="A13" s="3" t="s">
        <v>5</v>
      </c>
      <c r="B13" s="5">
        <v>3.8359999999999999</v>
      </c>
    </row>
    <row r="14" spans="1:3" x14ac:dyDescent="0.35">
      <c r="A14" s="2" t="s">
        <v>13</v>
      </c>
      <c r="B14" s="4">
        <v>0.91900000000000004</v>
      </c>
    </row>
    <row r="15" spans="1:3" x14ac:dyDescent="0.35">
      <c r="A15" s="3"/>
      <c r="B15" s="3"/>
    </row>
    <row r="17" spans="1:3" ht="36" customHeight="1" x14ac:dyDescent="0.35">
      <c r="A17" s="8" t="s">
        <v>6</v>
      </c>
      <c r="B17" s="9"/>
      <c r="C17" s="9"/>
    </row>
  </sheetData>
  <mergeCells count="2">
    <mergeCell ref="A1:C1"/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8C9B-E9CE-4A3C-85A4-26D377362FF1}">
  <sheetPr>
    <tabColor rgb="FFFFB52C"/>
  </sheetPr>
  <dimension ref="A1:L1"/>
  <sheetViews>
    <sheetView tabSelected="1" zoomScale="115" zoomScaleNormal="115" workbookViewId="0">
      <selection activeCell="T7" sqref="T7"/>
    </sheetView>
  </sheetViews>
  <sheetFormatPr defaultRowHeight="14.5" x14ac:dyDescent="0.35"/>
  <sheetData>
    <row r="1" spans="1:12" ht="28" customHeight="1" x14ac:dyDescent="0.4">
      <c r="A1" s="6" t="str">
        <f>Data!$A$1</f>
        <v>Composition of GHG emissions by gas and sector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</sheetData>
  <mergeCells count="1">
    <mergeCell ref="A1:L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300102-F356-4B65-936A-10D03F2D40C9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2.xml><?xml version="1.0" encoding="utf-8"?>
<ds:datastoreItem xmlns:ds="http://schemas.openxmlformats.org/officeDocument/2006/customXml" ds:itemID="{C64499B8-4B59-4AD2-B321-1B727802C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D4F030-9B4D-4D4E-A349-64622FC7E7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2026-04-30T13:55:45Z</dcterms:created>
  <dcterms:modified xsi:type="dcterms:W3CDTF">2026-07-29T11:37:59Z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