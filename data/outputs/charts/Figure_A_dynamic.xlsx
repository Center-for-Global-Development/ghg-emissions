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nterforglobaldevelop.sharepoint.com/sites/EDPL/Shared Documents/08.Climate/1.Research/GHG emissions analysis/QA/data/outputs/charts/"/>
    </mc:Choice>
  </mc:AlternateContent>
  <xr:revisionPtr revIDLastSave="0" documentId="8_{D2C69D7D-E609-43AB-AA5D-99EC394A13CF}" xr6:coauthVersionLast="47" xr6:coauthVersionMax="47" xr10:uidLastSave="{00000000-0000-0000-0000-000000000000}"/>
  <bookViews>
    <workbookView xWindow="2280" yWindow="2280" windowWidth="14400" windowHeight="7270" firstSheet="2" activeTab="4" xr2:uid="{50CDAB7C-0BC5-4AA6-BBE0-15274DC77CD5}"/>
  </bookViews>
  <sheets>
    <sheet name="raw_co2_excLUC" sheetId="3" r:id="rId1"/>
    <sheet name="raw_co2_incLUC" sheetId="4" r:id="rId2"/>
    <sheet name="raw_ghg_excLUC" sheetId="5" r:id="rId3"/>
    <sheet name="raw_ghg_incLUC" sheetId="6" r:id="rId4"/>
    <sheet name="gmst" sheetId="7" r:id="rId5"/>
    <sheet name="Data" sheetId="1" r:id="rId6"/>
    <sheet name="Chart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M11" i="1"/>
  <c r="L11" i="1"/>
  <c r="R11" i="1" s="1"/>
  <c r="S11" i="1" s="1"/>
  <c r="R8" i="1"/>
  <c r="S8" i="1" s="1"/>
  <c r="Q8" i="1"/>
  <c r="O8" i="1"/>
  <c r="M8" i="1"/>
  <c r="L8" i="1"/>
  <c r="P8" i="1" s="1"/>
  <c r="Q5" i="1"/>
  <c r="P5" i="1"/>
  <c r="O5" i="1"/>
  <c r="M5" i="1"/>
  <c r="L5" i="1"/>
  <c r="R5" i="1" s="1"/>
  <c r="S5" i="1" s="1"/>
  <c r="K13" i="1"/>
  <c r="J13" i="1"/>
  <c r="I13" i="1"/>
  <c r="H13" i="1"/>
  <c r="G13" i="1"/>
  <c r="F13" i="1"/>
  <c r="E13" i="1"/>
  <c r="D13" i="1"/>
  <c r="C13" i="1"/>
  <c r="M13" i="1" s="1"/>
  <c r="K12" i="1"/>
  <c r="J12" i="1"/>
  <c r="I12" i="1"/>
  <c r="H12" i="1"/>
  <c r="G12" i="1"/>
  <c r="F12" i="1"/>
  <c r="E12" i="1"/>
  <c r="D12" i="1"/>
  <c r="C12" i="1"/>
  <c r="M12" i="1" s="1"/>
  <c r="K10" i="1"/>
  <c r="J10" i="1"/>
  <c r="I10" i="1"/>
  <c r="H10" i="1"/>
  <c r="G10" i="1"/>
  <c r="F10" i="1"/>
  <c r="E10" i="1"/>
  <c r="D10" i="1"/>
  <c r="C10" i="1"/>
  <c r="M10" i="1" s="1"/>
  <c r="K9" i="1"/>
  <c r="J9" i="1"/>
  <c r="I9" i="1"/>
  <c r="H9" i="1"/>
  <c r="G9" i="1"/>
  <c r="F9" i="1"/>
  <c r="E9" i="1"/>
  <c r="D9" i="1"/>
  <c r="C9" i="1"/>
  <c r="M9" i="1" s="1"/>
  <c r="K7" i="1"/>
  <c r="J7" i="1"/>
  <c r="I7" i="1"/>
  <c r="H7" i="1"/>
  <c r="G7" i="1"/>
  <c r="F7" i="1"/>
  <c r="E7" i="1"/>
  <c r="D7" i="1"/>
  <c r="C7" i="1"/>
  <c r="M7" i="1" s="1"/>
  <c r="K6" i="1"/>
  <c r="J6" i="1"/>
  <c r="I6" i="1"/>
  <c r="H6" i="1"/>
  <c r="G6" i="1"/>
  <c r="F6" i="1"/>
  <c r="E6" i="1"/>
  <c r="D6" i="1"/>
  <c r="C6" i="1"/>
  <c r="L6" i="1" s="1"/>
  <c r="K4" i="1"/>
  <c r="J4" i="1"/>
  <c r="I4" i="1"/>
  <c r="H4" i="1"/>
  <c r="G4" i="1"/>
  <c r="F4" i="1"/>
  <c r="E4" i="1"/>
  <c r="D4" i="1"/>
  <c r="C4" i="1"/>
  <c r="M4" i="1" s="1"/>
  <c r="K3" i="1"/>
  <c r="J3" i="1"/>
  <c r="I3" i="1"/>
  <c r="H3" i="1"/>
  <c r="G3" i="1"/>
  <c r="F3" i="1"/>
  <c r="E3" i="1"/>
  <c r="D3" i="1"/>
  <c r="C3" i="1"/>
  <c r="M3" i="1" s="1"/>
  <c r="R6" i="1" l="1"/>
  <c r="S6" i="1" s="1"/>
  <c r="P6" i="1"/>
  <c r="M6" i="1"/>
  <c r="O6" i="1" s="1"/>
  <c r="Q6" i="1" s="1"/>
  <c r="L13" i="1"/>
  <c r="L4" i="1"/>
  <c r="L12" i="1"/>
  <c r="L3" i="1"/>
  <c r="L10" i="1"/>
  <c r="L9" i="1"/>
  <c r="O11" i="1"/>
  <c r="P11" i="1"/>
  <c r="L7" i="1"/>
  <c r="Q11" i="1"/>
  <c r="R12" i="1" l="1"/>
  <c r="S12" i="1" s="1"/>
  <c r="P12" i="1"/>
  <c r="O12" i="1"/>
  <c r="Q12" i="1" s="1"/>
  <c r="R7" i="1"/>
  <c r="S7" i="1" s="1"/>
  <c r="P7" i="1"/>
  <c r="O7" i="1"/>
  <c r="Q7" i="1" s="1"/>
  <c r="R13" i="1"/>
  <c r="S13" i="1" s="1"/>
  <c r="P13" i="1"/>
  <c r="O13" i="1"/>
  <c r="Q13" i="1" s="1"/>
  <c r="R4" i="1"/>
  <c r="S4" i="1" s="1"/>
  <c r="P4" i="1"/>
  <c r="O4" i="1"/>
  <c r="Q4" i="1" s="1"/>
  <c r="P9" i="1"/>
  <c r="O9" i="1"/>
  <c r="R9" i="1"/>
  <c r="S9" i="1" s="1"/>
  <c r="Q9" i="1"/>
  <c r="P10" i="1"/>
  <c r="O10" i="1"/>
  <c r="Q10" i="1" s="1"/>
  <c r="R10" i="1"/>
  <c r="S10" i="1" s="1"/>
  <c r="R3" i="1"/>
  <c r="S3" i="1" s="1"/>
  <c r="P3" i="1"/>
  <c r="O3" i="1"/>
  <c r="Q3" i="1" s="1"/>
</calcChain>
</file>

<file path=xl/sharedStrings.xml><?xml version="1.0" encoding="utf-8"?>
<sst xmlns="http://schemas.openxmlformats.org/spreadsheetml/2006/main" count="138" uniqueCount="62">
  <si>
    <t>Y_pos</t>
  </si>
  <si>
    <t>Category label</t>
  </si>
  <si>
    <t>[ConnX_1]</t>
  </si>
  <si>
    <t>[ConnX_2]</t>
  </si>
  <si>
    <t>[ConnY_1]</t>
  </si>
  <si>
    <t>[ConnY_2]</t>
  </si>
  <si>
    <t>Start year</t>
  </si>
  <si>
    <t>End year</t>
  </si>
  <si>
    <t>year</t>
  </si>
  <si>
    <t>annex2_OWID</t>
  </si>
  <si>
    <t>annex1_OWID</t>
  </si>
  <si>
    <t>nona1_OWID</t>
  </si>
  <si>
    <t>annex2_PRIMAP</t>
  </si>
  <si>
    <t>annex1_PRIMAP</t>
  </si>
  <si>
    <t>nona1_PRIMAP</t>
  </si>
  <si>
    <t>annex2_GCP_fossil</t>
  </si>
  <si>
    <t>annex1_GCP_fossil</t>
  </si>
  <si>
    <t>nona1_GCP_fossil</t>
  </si>
  <si>
    <t>annex2_GCP_BLUE</t>
  </si>
  <si>
    <t>annex1_GCP_BLUE</t>
  </si>
  <si>
    <t>nona1_GCP_BLUE</t>
  </si>
  <si>
    <t>annex2_GCP_OSCAR</t>
  </si>
  <si>
    <t>annex1_GCP_OSCAR</t>
  </si>
  <si>
    <t>nona1_GCP_OSCAR</t>
  </si>
  <si>
    <t>annex2_GCP_LUCE</t>
  </si>
  <si>
    <t>annex1_GCP_LUCE</t>
  </si>
  <si>
    <t>nona1_GCP_LUCE</t>
  </si>
  <si>
    <t>annex2_EDGAR</t>
  </si>
  <si>
    <t>annex1_EDGAR</t>
  </si>
  <si>
    <t>nona1_EDGAR</t>
  </si>
  <si>
    <t>annex2_ClimateWatch</t>
  </si>
  <si>
    <t>annex1_ClimateWatch</t>
  </si>
  <si>
    <t>nona1_ClimateWatch</t>
  </si>
  <si>
    <t>annex2_co2_excLUC</t>
  </si>
  <si>
    <t>annex1_co2_excLUC</t>
  </si>
  <si>
    <t>world_co2_excLUC</t>
  </si>
  <si>
    <t>annex2_co2_incLUC</t>
  </si>
  <si>
    <t>annex1_co2_incLUC</t>
  </si>
  <si>
    <t>world_co2_incLUC</t>
  </si>
  <si>
    <t>annex2_ghg_excLUC</t>
  </si>
  <si>
    <t>annex1_ghg_excLUC</t>
  </si>
  <si>
    <t>world_ghg_excLUC</t>
  </si>
  <si>
    <t>annex2_ghg_incLUC</t>
  </si>
  <si>
    <t>annex1_ghg_incLUC</t>
  </si>
  <si>
    <t>world_ghg_incLUC</t>
  </si>
  <si>
    <t>OWID</t>
  </si>
  <si>
    <t>PRIMAP</t>
  </si>
  <si>
    <t>GCP fossil</t>
  </si>
  <si>
    <t>GCP BLUE</t>
  </si>
  <si>
    <t>GCP OSCAR</t>
  </si>
  <si>
    <t>GCP LUCE</t>
  </si>
  <si>
    <t>EDGAR</t>
  </si>
  <si>
    <t>Climate Watch</t>
  </si>
  <si>
    <t>GMST</t>
  </si>
  <si>
    <t>CO2 excl. LULUCF — Annex I</t>
  </si>
  <si>
    <t>CO2 excl. LULUCF — Annex II</t>
  </si>
  <si>
    <t>All GHG excl. LULUCF — Annex I</t>
  </si>
  <si>
    <t>All GHG excl. LULUCF — Annex II</t>
  </si>
  <si>
    <t>CO2 incl. LULUCF — Annex I</t>
  </si>
  <si>
    <t>CO2 incl. LULUCF — Annex II</t>
  </si>
  <si>
    <t>All GHG incl. LULUCF — Annex I</t>
  </si>
  <si>
    <t>All GHG incl. LULUCF — Annex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</si>
</sst>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FFFFFF"/>
      <name val="Sofia Pro Semi Bold"/>
      <family val="3"/>
    </font>
    <font>
      <b/>
      <sz val="9"/>
      <color rgb="FFFFFFFF"/>
      <name val="Sofia Pro Semi Bold"/>
      <family val="3"/>
    </font>
    <font>
      <sz val="9"/>
      <color theme="1"/>
      <name val="Sofia Pro"/>
      <family val="3"/>
    </font>
    <font>
      <i/>
      <sz val="8"/>
      <color rgb="FF0B4C5B"/>
      <name val="Sofia Pro"/>
      <family val="3"/>
    </font>
    <font>
      <b/>
      <sz val="11"/>
      <color theme="1"/>
      <name val="Aptos Narrow"/>
      <family val="2"/>
      <scheme val="minor"/>
    </font>
    <font>
      <b/>
      <sz val="11"/>
      <color theme="1"/>
      <name val="Sofia Pro"/>
      <family val="3"/>
    </font>
  </fonts>
  <fills count="8">
    <fill>
      <patternFill patternType="none"/>
    </fill>
    <fill>
      <patternFill patternType="gray125"/>
    </fill>
    <fill>
      <patternFill patternType="solid">
        <fgColor rgb="FF0B4C5B"/>
        <bgColor indexed="64"/>
      </patternFill>
    </fill>
    <fill>
      <patternFill patternType="solid">
        <fgColor rgb="FF1A8A9E"/>
        <bgColor indexed="64"/>
      </patternFill>
    </fill>
    <fill>
      <patternFill patternType="solid">
        <fgColor rgb="FF5B8C96"/>
        <bgColor indexed="64"/>
      </patternFill>
    </fill>
    <fill>
      <patternFill patternType="solid">
        <fgColor rgb="FFEAF5F7"/>
        <bgColor indexed="64"/>
      </patternFill>
    </fill>
    <fill>
      <patternFill patternType="solid">
        <fgColor rgb="FFD6EAED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3" fillId="6" borderId="0" xfId="0" applyFont="1" applyFill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6" fillId="0" borderId="0" xfId="0" applyFont="1"/>
    <xf numFmtId="0" fontId="5" fillId="7" borderId="0" xfId="0" applyFont="1" applyFill="1"/>
    <xf numFmtId="0" fontId="0" fillId="0" borderId="0" xfId="0" applyFill="1"/>
    <xf numFmtId="0" fontId="5" fillId="0" borderId="0" xfId="0" applyFont="1" applyFill="1" applyAlignment="1"/>
    <xf numFmtId="164" fontId="3" fillId="6" borderId="0" xfId="0" applyNumberFormat="1" applyFont="1" applyFill="1"/>
    <xf numFmtId="164" fontId="3" fillId="5" borderId="0" xfId="0" applyNumberFormat="1" applyFont="1" applyFill="1"/>
    <xf numFmtId="164" fontId="3" fillId="0" borderId="0" xfId="0" applyNumberFormat="1" applyFont="1"/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Data!$A$1</c:f>
          <c:strCache>
            <c:ptCount val="1"/>
            <c:pt idx="0">
              <c:v>Emissions shares and contribution to increase in GMST (1850–2024)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25747126436781609"/>
          <c:y val="0.11428571428571428"/>
          <c:w val="0.66666666666666663"/>
          <c:h val="0.7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OWID</c:v>
                </c:pt>
              </c:strCache>
            </c:strRef>
          </c:tx>
          <c:spPr>
            <a:ln w="25400">
              <a:noFill/>
            </a:ln>
          </c:spPr>
          <c:marker>
            <c:symbol val="circle"/>
            <c:size val="9"/>
            <c:spPr>
              <a:solidFill>
                <a:srgbClr val="0B4C5B"/>
              </a:solidFill>
              <a:ln>
                <a:solidFill>
                  <a:srgbClr val="0B4C5B"/>
                </a:solidFill>
                <a:prstDash val="solid"/>
              </a:ln>
            </c:spPr>
          </c:marker>
          <c:xVal>
            <c:numRef>
              <c:f>Data!$C$3:$C$13</c:f>
              <c:numCache>
                <c:formatCode>0.0</c:formatCode>
                <c:ptCount val="11"/>
                <c:pt idx="0">
                  <c:v>62.091743207812513</c:v>
                </c:pt>
                <c:pt idx="1">
                  <c:v>48.621447498541478</c:v>
                </c:pt>
                <c:pt idx="3">
                  <c:v>59.40210000367545</c:v>
                </c:pt>
                <c:pt idx="4">
                  <c:v>45.862868523155718</c:v>
                </c:pt>
                <c:pt idx="6">
                  <c:v>51.211261402049942</c:v>
                </c:pt>
                <c:pt idx="7">
                  <c:v>37.734536444647119</c:v>
                </c:pt>
                <c:pt idx="9">
                  <c:v>49.389955639381689</c:v>
                </c:pt>
                <c:pt idx="10">
                  <c:v>36.435551692977214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2-4FC0-9380-BE3389CF9C20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PRIMAP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FFB52C"/>
              </a:solidFill>
              <a:ln>
                <a:solidFill>
                  <a:srgbClr val="FFB52C"/>
                </a:solidFill>
                <a:prstDash val="solid"/>
              </a:ln>
            </c:spPr>
          </c:marker>
          <c:xVal>
            <c:numRef>
              <c:f>Data!$D$3:$D$13</c:f>
              <c:numCache>
                <c:formatCode>0.0</c:formatCode>
                <c:ptCount val="11"/>
                <c:pt idx="0">
                  <c:v>62.172529548298364</c:v>
                </c:pt>
                <c:pt idx="1">
                  <c:v>48.501612141772895</c:v>
                </c:pt>
                <c:pt idx="3">
                  <c:v>56.150527593055919</c:v>
                </c:pt>
                <c:pt idx="4">
                  <c:v>42.96309628573384</c:v>
                </c:pt>
                <c:pt idx="6">
                  <c:v>53.670885927601717</c:v>
                </c:pt>
                <c:pt idx="7">
                  <c:v>42.30043645994909</c:v>
                </c:pt>
                <c:pt idx="9">
                  <c:v>50.956620873612302</c:v>
                </c:pt>
                <c:pt idx="10">
                  <c:v>39.454284995586661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92-4FC0-9380-BE3389CF9C20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GCP fossil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Data!$E$3:$E$13</c:f>
              <c:numCache>
                <c:formatCode>0.0</c:formatCode>
                <c:ptCount val="11"/>
                <c:pt idx="0">
                  <c:v>62.108450170722151</c:v>
                </c:pt>
                <c:pt idx="1">
                  <c:v>48.634529780665289</c:v>
                </c:pt>
                <c:pt idx="3">
                  <c:v>#N/A</c:v>
                </c:pt>
                <c:pt idx="4">
                  <c:v>#N/A</c:v>
                </c:pt>
                <c:pt idx="6">
                  <c:v>#N/A</c:v>
                </c:pt>
                <c:pt idx="7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92-4FC0-9380-BE3389CF9C20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GCP BLUE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Data!$F$3:$F$13</c:f>
              <c:numCache>
                <c:formatCode>0.0</c:formatCode>
                <c:ptCount val="11"/>
                <c:pt idx="0">
                  <c:v>#N/A</c:v>
                </c:pt>
                <c:pt idx="1">
                  <c:v>#N/A</c:v>
                </c:pt>
                <c:pt idx="3">
                  <c:v>#N/A</c:v>
                </c:pt>
                <c:pt idx="4">
                  <c:v>#N/A</c:v>
                </c:pt>
                <c:pt idx="6">
                  <c:v>51.219936102049566</c:v>
                </c:pt>
                <c:pt idx="7">
                  <c:v>37.740928293666151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92-4FC0-9380-BE3389CF9C20}"/>
            </c:ext>
          </c:extLst>
        </c:ser>
        <c:ser>
          <c:idx val="4"/>
          <c:order val="4"/>
          <c:tx>
            <c:strRef>
              <c:f>Data!$G$2</c:f>
              <c:strCache>
                <c:ptCount val="1"/>
                <c:pt idx="0">
                  <c:v>GCP OSCAR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Data!$G$3:$G$13</c:f>
              <c:numCache>
                <c:formatCode>0.0</c:formatCode>
                <c:ptCount val="11"/>
                <c:pt idx="0">
                  <c:v>#N/A</c:v>
                </c:pt>
                <c:pt idx="1">
                  <c:v>#N/A</c:v>
                </c:pt>
                <c:pt idx="3">
                  <c:v>#N/A</c:v>
                </c:pt>
                <c:pt idx="4">
                  <c:v>#N/A</c:v>
                </c:pt>
                <c:pt idx="6">
                  <c:v>52.00917706374404</c:v>
                </c:pt>
                <c:pt idx="7">
                  <c:v>40.194727015845629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92-4FC0-9380-BE3389CF9C20}"/>
            </c:ext>
          </c:extLst>
        </c:ser>
        <c:ser>
          <c:idx val="5"/>
          <c:order val="5"/>
          <c:tx>
            <c:strRef>
              <c:f>Data!$H$2</c:f>
              <c:strCache>
                <c:ptCount val="1"/>
                <c:pt idx="0">
                  <c:v>GCP LUCE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1A8A9E"/>
              </a:solidFill>
              <a:ln>
                <a:solidFill>
                  <a:srgbClr val="1A8A9E"/>
                </a:solidFill>
                <a:prstDash val="solid"/>
              </a:ln>
            </c:spPr>
          </c:marker>
          <c:xVal>
            <c:numRef>
              <c:f>Data!$H$3:$H$13</c:f>
              <c:numCache>
                <c:formatCode>0.0</c:formatCode>
                <c:ptCount val="11"/>
                <c:pt idx="0">
                  <c:v>#N/A</c:v>
                </c:pt>
                <c:pt idx="1">
                  <c:v>#N/A</c:v>
                </c:pt>
                <c:pt idx="3">
                  <c:v>#N/A</c:v>
                </c:pt>
                <c:pt idx="4">
                  <c:v>#N/A</c:v>
                </c:pt>
                <c:pt idx="6">
                  <c:v>53.884482352721072</c:v>
                </c:pt>
                <c:pt idx="7">
                  <c:v>39.541654492889819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92-4FC0-9380-BE3389CF9C20}"/>
            </c:ext>
          </c:extLst>
        </c:ser>
        <c:ser>
          <c:idx val="6"/>
          <c:order val="6"/>
          <c:tx>
            <c:strRef>
              <c:f>Data!$I$2</c:f>
              <c:strCache>
                <c:ptCount val="1"/>
                <c:pt idx="0">
                  <c:v>EDGAR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CC8E00"/>
              </a:solidFill>
              <a:ln>
                <a:solidFill>
                  <a:srgbClr val="CC8E00"/>
                </a:solidFill>
                <a:prstDash val="solid"/>
              </a:ln>
            </c:spPr>
          </c:marker>
          <c:xVal>
            <c:numRef>
              <c:f>Data!$I$3:$I$13</c:f>
              <c:numCache>
                <c:formatCode>0.0</c:formatCode>
                <c:ptCount val="11"/>
                <c:pt idx="0">
                  <c:v>#N/A</c:v>
                </c:pt>
                <c:pt idx="1">
                  <c:v>#N/A</c:v>
                </c:pt>
                <c:pt idx="3">
                  <c:v>#N/A</c:v>
                </c:pt>
                <c:pt idx="4">
                  <c:v>#N/A</c:v>
                </c:pt>
                <c:pt idx="6">
                  <c:v>#N/A</c:v>
                </c:pt>
                <c:pt idx="7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92-4FC0-9380-BE3389CF9C20}"/>
            </c:ext>
          </c:extLst>
        </c:ser>
        <c:ser>
          <c:idx val="7"/>
          <c:order val="7"/>
          <c:tx>
            <c:strRef>
              <c:f>Data!$J$2</c:f>
              <c:strCache>
                <c:ptCount val="1"/>
                <c:pt idx="0">
                  <c:v>Climate Watch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rgbClr val="5DBDD0"/>
              </a:solidFill>
              <a:ln>
                <a:solidFill>
                  <a:srgbClr val="5DBDD0"/>
                </a:solidFill>
                <a:prstDash val="solid"/>
              </a:ln>
            </c:spPr>
          </c:marker>
          <c:xVal>
            <c:numRef>
              <c:f>Data!$J$3:$J$13</c:f>
              <c:numCache>
                <c:formatCode>0.0</c:formatCode>
                <c:ptCount val="11"/>
                <c:pt idx="0">
                  <c:v>#N/A</c:v>
                </c:pt>
                <c:pt idx="1">
                  <c:v>#N/A</c:v>
                </c:pt>
                <c:pt idx="3">
                  <c:v>#N/A</c:v>
                </c:pt>
                <c:pt idx="4">
                  <c:v>#N/A</c:v>
                </c:pt>
                <c:pt idx="6">
                  <c:v>#N/A</c:v>
                </c:pt>
                <c:pt idx="7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92-4FC0-9380-BE3389CF9C20}"/>
            </c:ext>
          </c:extLst>
        </c:ser>
        <c:ser>
          <c:idx val="8"/>
          <c:order val="8"/>
          <c:tx>
            <c:strRef>
              <c:f>Data!$K$2</c:f>
              <c:strCache>
                <c:ptCount val="1"/>
                <c:pt idx="0">
                  <c:v>GMST</c:v>
                </c:pt>
              </c:strCache>
            </c:strRef>
          </c:tx>
          <c:spPr>
            <a:ln w="38100">
              <a:noFill/>
            </a:ln>
          </c:spPr>
          <c:marker>
            <c:symbol val="square"/>
            <c:size val="11"/>
            <c:spPr>
              <a:noFill/>
              <a:ln>
                <a:solidFill>
                  <a:srgbClr val="5B8C96"/>
                </a:solidFill>
                <a:prstDash val="solid"/>
              </a:ln>
            </c:spPr>
          </c:marker>
          <c:xVal>
            <c:numRef>
              <c:f>Data!$K$3:$K$13</c:f>
              <c:numCache>
                <c:formatCode>0.0</c:formatCode>
                <c:ptCount val="11"/>
                <c:pt idx="0">
                  <c:v>62.114938496391801</c:v>
                </c:pt>
                <c:pt idx="1">
                  <c:v>48.637507936547152</c:v>
                </c:pt>
                <c:pt idx="3">
                  <c:v>55.906592883448667</c:v>
                </c:pt>
                <c:pt idx="4">
                  <c:v>42.810611225154339</c:v>
                </c:pt>
                <c:pt idx="6">
                  <c:v>52.349790225201588</c:v>
                </c:pt>
                <c:pt idx="7">
                  <c:v>39.119093864971141</c:v>
                </c:pt>
                <c:pt idx="9">
                  <c:v>46.37703441893283</c:v>
                </c:pt>
                <c:pt idx="10">
                  <c:v>34.295456834354454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92-4FC0-9380-BE3389CF9C20}"/>
            </c:ext>
          </c:extLst>
        </c:ser>
        <c:ser>
          <c:idx val="9"/>
          <c:order val="9"/>
          <c:tx>
            <c:v>_Labels</c:v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GB"/>
                      <a:t>CO2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{A64C6BD5-7BDA-4755-A9B0-84FC6533C0E9}</c15:txfldGUID>
                      <c15:f>"CO2 excl. LULUCF — Annex I"</c15:f>
                      <c15:dlblFieldTableCache>
                        <c:ptCount val="1"/>
                        <c:pt idx="0">
                          <c:v>CO2 excl. LULUCF — Annex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592-4FC0-9380-BE3389CF9C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GB"/>
                      <a:t>CO2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{32FCB2B4-4F57-4135-A6A1-DBB09772541B}</c15:txfldGUID>
                      <c15:f>"CO2 excl. LULUCF — Annex II"</c15:f>
                      <c15:dlblFieldTableCache>
                        <c:ptCount val="1"/>
                        <c:pt idx="0">
                          <c:v>CO2 excl. LULUCF — Annex II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592-4FC0-9380-BE3389CF9C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{CC165E47-2538-411A-A590-584E00B2F412}</c15:txfldGUID>
                      <c15:f>""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592-4FC0-9380-BE3389CF9C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GB"/>
                      <a:t>All GHG excl.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{49064F33-1C79-46CE-A22C-4D46CF47EE55}</c15:txfldGUID>
                      <c15:f>"All GHG excl. LULUCF — Annex I"</c15:f>
                      <c15:dlblFieldTableCache>
                        <c:ptCount val="1"/>
                        <c:pt idx="0">
                          <c:v>All GHG excl. LULUCF — Annex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592-4FC0-9380-BE3389CF9C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GB"/>
                      <a:t>All GHG excl.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{0EF9B2F7-280F-4EFB-8782-B60DA161E2F1}</c15:txfldGUID>
                      <c15:f>"All GHG excl. LULUCF — Annex II"</c15:f>
                      <c15:dlblFieldTableCache>
                        <c:ptCount val="1"/>
                        <c:pt idx="0">
                          <c:v>All GHG excl. LULUCF — Annex II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592-4FC0-9380-BE3389CF9C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{8010D182-EA17-42AE-8CBC-306E87D5B35B}</c15:txfldGUID>
                      <c15:f>""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592-4FC0-9380-BE3389CF9C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GB"/>
                      <a:t>CO2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{7CEE98B6-2E8E-48B0-82C9-7A8E5CA8FC06}</c15:txfldGUID>
                      <c15:f>"CO2 incl. LULUCF — Annex I"</c15:f>
                      <c15:dlblFieldTableCache>
                        <c:ptCount val="1"/>
                        <c:pt idx="0">
                          <c:v>CO2 incl. LULUCF — Annex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6592-4FC0-9380-BE3389CF9C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GB"/>
                      <a:t>CO2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{9FEE952B-A3FB-426D-9F44-AA6A62CE3B73}</c15:txfldGUID>
                      <c15:f>"CO2 incl. LULUCF — Annex II"</c15:f>
                      <c15:dlblFieldTableCache>
                        <c:ptCount val="1"/>
                        <c:pt idx="0">
                          <c:v>CO2 incl. LULUCF — Annex II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592-4FC0-9380-BE3389CF9C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{3D14EEF8-3EB0-4B7E-8EE8-32C7ECF9547F}</c15:txfldGUID>
                      <c15:f>""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6592-4FC0-9380-BE3389CF9C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GB"/>
                      <a:t>All GHG incl. LULUCF — Annex 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{806F56C5-68E1-4A59-94B2-5457276A058F}</c15:txfldGUID>
                      <c15:f>"All GHG incl. LULUCF — Annex I"</c15:f>
                      <c15:dlblFieldTableCache>
                        <c:ptCount val="1"/>
                        <c:pt idx="0">
                          <c:v>All GHG incl. LULUCF — Annex 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6592-4FC0-9380-BE3389CF9C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GB"/>
                      <a:t>All GHG incl. LULUCF — Annex II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{76C70AED-95CD-40CE-83B7-736E16197CE9}</c15:txfldGUID>
                      <c15:f>"All GHG incl. LULUCF — Annex II"</c15:f>
                      <c15:dlblFieldTableCache>
                        <c:ptCount val="1"/>
                        <c:pt idx="0">
                          <c:v>All GHG incl. LULUCF — Annex II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6592-4FC0-9380-BE3389CF9C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rgbClr val="333333"/>
                    </a:solidFill>
                    <a:latin typeface="Sofia Pro"/>
                    <a:ea typeface="Sofia Pro"/>
                    <a:cs typeface="Sofia Pro"/>
                  </a:defRPr>
                </a:pPr>
                <a:endParaRPr lang="en-US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Data!$N$3:$N$13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Data!$A$3:$A$13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9">
                  <c:v>10</c:v>
                </c:pt>
                <c:pt idx="1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92-4FC0-9380-BE3389CF9C20}"/>
            </c:ext>
          </c:extLst>
        </c:ser>
        <c:ser>
          <c:idx val="10"/>
          <c:order val="1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Data!$P$3:$Q$3</c:f>
              <c:numCache>
                <c:formatCode>General</c:formatCode>
                <c:ptCount val="2"/>
                <c:pt idx="0">
                  <c:v>62.091743207812513</c:v>
                </c:pt>
                <c:pt idx="1">
                  <c:v>62.172529548298364</c:v>
                </c:pt>
              </c:numCache>
            </c:numRef>
          </c:xVal>
          <c:yVal>
            <c:numRef>
              <c:f>Data!$R$3:$S$3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6592-4FC0-9380-BE3389CF9C20}"/>
            </c:ext>
          </c:extLst>
        </c:ser>
        <c:ser>
          <c:idx val="11"/>
          <c:order val="11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Data!$P$4:$Q$4</c:f>
              <c:numCache>
                <c:formatCode>General</c:formatCode>
                <c:ptCount val="2"/>
                <c:pt idx="0">
                  <c:v>48.501612141772895</c:v>
                </c:pt>
                <c:pt idx="1">
                  <c:v>48.634529780665289</c:v>
                </c:pt>
              </c:numCache>
            </c:numRef>
          </c:xVal>
          <c:yVal>
            <c:numRef>
              <c:f>Data!$R$4:$S$4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6592-4FC0-9380-BE3389CF9C20}"/>
            </c:ext>
          </c:extLst>
        </c:ser>
        <c:ser>
          <c:idx val="12"/>
          <c:order val="12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Data!$P$5:$Q$5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Data!$R$5:$S$5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592-4FC0-9380-BE3389CF9C20}"/>
            </c:ext>
          </c:extLst>
        </c:ser>
        <c:ser>
          <c:idx val="13"/>
          <c:order val="13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Data!$P$6:$Q$6</c:f>
              <c:numCache>
                <c:formatCode>General</c:formatCode>
                <c:ptCount val="2"/>
                <c:pt idx="0">
                  <c:v>56.150527593055919</c:v>
                </c:pt>
                <c:pt idx="1">
                  <c:v>59.40210000367545</c:v>
                </c:pt>
              </c:numCache>
            </c:numRef>
          </c:xVal>
          <c:yVal>
            <c:numRef>
              <c:f>Data!$R$6:$S$6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6592-4FC0-9380-BE3389CF9C20}"/>
            </c:ext>
          </c:extLst>
        </c:ser>
        <c:ser>
          <c:idx val="14"/>
          <c:order val="14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Data!$P$7:$Q$7</c:f>
              <c:numCache>
                <c:formatCode>General</c:formatCode>
                <c:ptCount val="2"/>
                <c:pt idx="0">
                  <c:v>42.96309628573384</c:v>
                </c:pt>
                <c:pt idx="1">
                  <c:v>45.862868523155718</c:v>
                </c:pt>
              </c:numCache>
            </c:numRef>
          </c:xVal>
          <c:yVal>
            <c:numRef>
              <c:f>Data!$R$7:$S$7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6592-4FC0-9380-BE3389CF9C20}"/>
            </c:ext>
          </c:extLst>
        </c:ser>
        <c:ser>
          <c:idx val="15"/>
          <c:order val="15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Data!$P$8:$Q$8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Data!$R$8:$S$8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6592-4FC0-9380-BE3389CF9C20}"/>
            </c:ext>
          </c:extLst>
        </c:ser>
        <c:ser>
          <c:idx val="16"/>
          <c:order val="16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Data!$P$9:$Q$9</c:f>
              <c:numCache>
                <c:formatCode>General</c:formatCode>
                <c:ptCount val="2"/>
                <c:pt idx="0">
                  <c:v>51.211261402049942</c:v>
                </c:pt>
                <c:pt idx="1">
                  <c:v>53.884482352721072</c:v>
                </c:pt>
              </c:numCache>
            </c:numRef>
          </c:xVal>
          <c:yVal>
            <c:numRef>
              <c:f>Data!$R$9:$S$9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6592-4FC0-9380-BE3389CF9C20}"/>
            </c:ext>
          </c:extLst>
        </c:ser>
        <c:ser>
          <c:idx val="17"/>
          <c:order val="17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Data!$P$10:$Q$10</c:f>
              <c:numCache>
                <c:formatCode>General</c:formatCode>
                <c:ptCount val="2"/>
                <c:pt idx="0">
                  <c:v>37.734536444647119</c:v>
                </c:pt>
                <c:pt idx="1">
                  <c:v>42.30043645994909</c:v>
                </c:pt>
              </c:numCache>
            </c:numRef>
          </c:xVal>
          <c:yVal>
            <c:numRef>
              <c:f>Data!$R$10:$S$10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6592-4FC0-9380-BE3389CF9C20}"/>
            </c:ext>
          </c:extLst>
        </c:ser>
        <c:ser>
          <c:idx val="18"/>
          <c:order val="18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Data!$P$11:$Q$11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Data!$R$11:$S$11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6592-4FC0-9380-BE3389CF9C20}"/>
            </c:ext>
          </c:extLst>
        </c:ser>
        <c:ser>
          <c:idx val="19"/>
          <c:order val="19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Data!$P$12:$Q$12</c:f>
              <c:numCache>
                <c:formatCode>General</c:formatCode>
                <c:ptCount val="2"/>
                <c:pt idx="0">
                  <c:v>49.389955639381689</c:v>
                </c:pt>
                <c:pt idx="1">
                  <c:v>50.956620873612302</c:v>
                </c:pt>
              </c:numCache>
            </c:numRef>
          </c:xVal>
          <c:yVal>
            <c:numRef>
              <c:f>Data!$R$12:$S$12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6592-4FC0-9380-BE3389CF9C20}"/>
            </c:ext>
          </c:extLst>
        </c:ser>
        <c:ser>
          <c:idx val="20"/>
          <c:order val="20"/>
          <c:tx>
            <c:v>_Conn</c:v>
          </c:tx>
          <c:spPr>
            <a:ln w="28575">
              <a:solidFill>
                <a:srgbClr val="A8D5DB"/>
              </a:solidFill>
            </a:ln>
          </c:spPr>
          <c:marker>
            <c:symbol val="none"/>
          </c:marker>
          <c:xVal>
            <c:numRef>
              <c:f>Data!$P$13:$Q$13</c:f>
              <c:numCache>
                <c:formatCode>General</c:formatCode>
                <c:ptCount val="2"/>
                <c:pt idx="0">
                  <c:v>36.435551692977214</c:v>
                </c:pt>
                <c:pt idx="1">
                  <c:v>39.454284995586661</c:v>
                </c:pt>
              </c:numCache>
            </c:numRef>
          </c:xVal>
          <c:yVal>
            <c:numRef>
              <c:f>Data!$R$13:$S$13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6592-4FC0-9380-BE3389CF9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747999"/>
        <c:axId val="2112748479"/>
      </c:scatterChart>
      <c:valAx>
        <c:axId val="2112747999"/>
        <c:scaling>
          <c:orientation val="minMax"/>
          <c:max val="100"/>
          <c:min val="0"/>
        </c:scaling>
        <c:delete val="0"/>
        <c:axPos val="b"/>
        <c:majorGridlines>
          <c:spPr>
            <a:ln w="9525">
              <a:solidFill>
                <a:srgbClr val="D6EAED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>
                    <a:latin typeface="Sofia Pro"/>
                    <a:ea typeface="Sofia Pro"/>
                    <a:cs typeface="Sofia Pro"/>
                  </a:defRPr>
                </a:pPr>
                <a:r>
                  <a:rPr lang="en-GB"/>
                  <a:t>Share of cumulative emissions (%) or of contribution to rise in GMST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spPr>
          <a:ln>
            <a:solidFill>
              <a:srgbClr val="D6EAED"/>
            </a:solidFill>
          </a:ln>
        </c:spPr>
        <c:txPr>
          <a:bodyPr/>
          <a:lstStyle/>
          <a:p>
            <a:pPr>
              <a:defRPr sz="1200">
                <a:latin typeface="Sofia Pro"/>
                <a:ea typeface="Sofia Pro"/>
                <a:cs typeface="Sofia Pro"/>
              </a:defRPr>
            </a:pPr>
            <a:endParaRPr lang="en-US"/>
          </a:p>
        </c:txPr>
        <c:crossAx val="2112748479"/>
        <c:crosses val="autoZero"/>
        <c:crossBetween val="midCat"/>
        <c:majorUnit val="10"/>
      </c:valAx>
      <c:valAx>
        <c:axId val="2112748479"/>
        <c:scaling>
          <c:orientation val="minMax"/>
          <c:max val="12"/>
          <c:min val="0"/>
        </c:scaling>
        <c:delete val="0"/>
        <c:axPos val="l"/>
        <c:numFmt formatCode=";;;" sourceLinked="0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112747999"/>
        <c:crosses val="autoZero"/>
        <c:crossBetween val="midCat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overlay val="0"/>
      <c:txPr>
        <a:bodyPr/>
        <a:lstStyle/>
        <a:p>
          <a:pPr>
            <a:defRPr sz="1200">
              <a:latin typeface="Sofia Pro"/>
              <a:ea typeface="Sofia Pro"/>
              <a:cs typeface="Sofia Pro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900">
          <a:latin typeface="Sofia Pro"/>
          <a:ea typeface="Sofia Pro"/>
          <a:cs typeface="Sofia Pro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18</xdr:col>
      <xdr:colOff>203200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3F335-6F85-FF58-32C6-3BDBB2072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D275-3743-4071-B732-4C218A489429}">
  <dimension ref="A1:Y276"/>
  <sheetViews>
    <sheetView workbookViewId="0"/>
  </sheetViews>
  <sheetFormatPr defaultRowHeight="14.5" x14ac:dyDescent="0.35"/>
  <cols>
    <col min="1" max="1" width="4.81640625" bestFit="1" customWidth="1"/>
    <col min="2" max="3" width="12.453125" bestFit="1" customWidth="1"/>
    <col min="4" max="4" width="11.54296875" bestFit="1" customWidth="1"/>
    <col min="5" max="6" width="14.26953125" bestFit="1" customWidth="1"/>
    <col min="7" max="7" width="13.36328125" bestFit="1" customWidth="1"/>
    <col min="8" max="9" width="16.81640625" bestFit="1" customWidth="1"/>
    <col min="10" max="10" width="15.90625" bestFit="1" customWidth="1"/>
    <col min="11" max="12" width="16.54296875" bestFit="1" customWidth="1"/>
    <col min="13" max="13" width="15.6328125" bestFit="1" customWidth="1"/>
    <col min="14" max="15" width="18.26953125" bestFit="1" customWidth="1"/>
    <col min="16" max="16" width="17.36328125" bestFit="1" customWidth="1"/>
    <col min="17" max="18" width="16.7265625" bestFit="1" customWidth="1"/>
    <col min="19" max="19" width="15.81640625" bestFit="1" customWidth="1"/>
    <col min="20" max="21" width="13.6328125" bestFit="1" customWidth="1"/>
    <col min="22" max="22" width="12.6328125" bestFit="1" customWidth="1"/>
    <col min="23" max="24" width="19.90625" bestFit="1" customWidth="1"/>
    <col min="25" max="25" width="19" bestFit="1" customWidth="1"/>
  </cols>
  <sheetData>
    <row r="1" spans="1:25" x14ac:dyDescent="0.35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12" t="s">
        <v>32</v>
      </c>
    </row>
    <row r="2" spans="1:25" x14ac:dyDescent="0.35">
      <c r="A2" s="11">
        <v>1750</v>
      </c>
      <c r="B2" s="11">
        <v>9.3059999999999992</v>
      </c>
      <c r="C2" s="11">
        <v>9.3059999999999992</v>
      </c>
      <c r="D2" s="11">
        <v>0</v>
      </c>
      <c r="E2" s="11">
        <v>0.33700000000000002</v>
      </c>
      <c r="F2" s="11">
        <v>0.33700000000000002</v>
      </c>
      <c r="G2" s="11">
        <v>5.0000000000000001E-3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35">
      <c r="A3" s="11">
        <v>1751</v>
      </c>
      <c r="B3" s="11">
        <v>9.407</v>
      </c>
      <c r="C3" s="11">
        <v>9.407</v>
      </c>
      <c r="D3" s="11">
        <v>0</v>
      </c>
      <c r="E3" s="11">
        <v>9.4710000000000001</v>
      </c>
      <c r="F3" s="11">
        <v>9.4710000000000001</v>
      </c>
      <c r="G3" s="11">
        <v>5.0000000000000001E-3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35">
      <c r="A4" s="11">
        <v>1752</v>
      </c>
      <c r="B4" s="11">
        <v>9.5050000000000008</v>
      </c>
      <c r="C4" s="11">
        <v>9.5050000000000008</v>
      </c>
      <c r="D4" s="11">
        <v>0</v>
      </c>
      <c r="E4" s="11">
        <v>9.4749999999999996</v>
      </c>
      <c r="F4" s="11">
        <v>9.4749999999999996</v>
      </c>
      <c r="G4" s="11">
        <v>5.0000000000000001E-3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35">
      <c r="A5" s="11">
        <v>1753</v>
      </c>
      <c r="B5" s="11">
        <v>9.61</v>
      </c>
      <c r="C5" s="11">
        <v>9.61</v>
      </c>
      <c r="D5" s="11">
        <v>0</v>
      </c>
      <c r="E5" s="11">
        <v>9.4749999999999996</v>
      </c>
      <c r="F5" s="11">
        <v>9.4749999999999996</v>
      </c>
      <c r="G5" s="11">
        <v>5.0000000000000001E-3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35">
      <c r="A6" s="11">
        <v>1754</v>
      </c>
      <c r="B6" s="11">
        <v>9.734</v>
      </c>
      <c r="C6" s="11">
        <v>9.734</v>
      </c>
      <c r="D6" s="11">
        <v>0</v>
      </c>
      <c r="E6" s="11">
        <v>9.4789999999999992</v>
      </c>
      <c r="F6" s="11">
        <v>9.4789999999999992</v>
      </c>
      <c r="G6" s="11">
        <v>5.0000000000000001E-3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35">
      <c r="A7" s="11">
        <v>1755</v>
      </c>
      <c r="B7" s="11">
        <v>9.7929999999999993</v>
      </c>
      <c r="C7" s="11">
        <v>9.7929999999999993</v>
      </c>
      <c r="D7" s="11">
        <v>0</v>
      </c>
      <c r="E7" s="11">
        <v>9.4830000000000005</v>
      </c>
      <c r="F7" s="11">
        <v>9.4830000000000005</v>
      </c>
      <c r="G7" s="11">
        <v>5.0000000000000001E-3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35">
      <c r="A8" s="11">
        <v>1756</v>
      </c>
      <c r="B8" s="11">
        <v>9.91</v>
      </c>
      <c r="C8" s="11">
        <v>9.91</v>
      </c>
      <c r="D8" s="11">
        <v>0</v>
      </c>
      <c r="E8" s="11">
        <v>10.132999999999999</v>
      </c>
      <c r="F8" s="11">
        <v>10.132999999999999</v>
      </c>
      <c r="G8" s="11">
        <v>5.0000000000000001E-3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35">
      <c r="A9" s="11">
        <v>1757</v>
      </c>
      <c r="B9" s="11">
        <v>10.093999999999999</v>
      </c>
      <c r="C9" s="11">
        <v>10.093999999999999</v>
      </c>
      <c r="D9" s="11">
        <v>0</v>
      </c>
      <c r="E9" s="11">
        <v>10.137</v>
      </c>
      <c r="F9" s="11">
        <v>10.137</v>
      </c>
      <c r="G9" s="11">
        <v>5.0000000000000001E-3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35">
      <c r="A10" s="11">
        <v>1758</v>
      </c>
      <c r="B10" s="11">
        <v>10.215999999999999</v>
      </c>
      <c r="C10" s="11">
        <v>10.215999999999999</v>
      </c>
      <c r="D10" s="11">
        <v>0</v>
      </c>
      <c r="E10" s="11">
        <v>10.141</v>
      </c>
      <c r="F10" s="11">
        <v>10.141</v>
      </c>
      <c r="G10" s="11">
        <v>5.0000000000000001E-3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35">
      <c r="A11" s="11">
        <v>1759</v>
      </c>
      <c r="B11" s="11">
        <v>10.339</v>
      </c>
      <c r="C11" s="11">
        <v>10.339</v>
      </c>
      <c r="D11" s="11">
        <v>0</v>
      </c>
      <c r="E11" s="11">
        <v>10.145</v>
      </c>
      <c r="F11" s="11">
        <v>10.145</v>
      </c>
      <c r="G11" s="11">
        <v>5.0000000000000001E-3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35">
      <c r="A12" s="11">
        <v>1760</v>
      </c>
      <c r="B12" s="11">
        <v>10.513999999999999</v>
      </c>
      <c r="C12" s="11">
        <v>10.513999999999999</v>
      </c>
      <c r="D12" s="11">
        <v>0</v>
      </c>
      <c r="E12" s="11">
        <v>10.145</v>
      </c>
      <c r="F12" s="11">
        <v>10.145</v>
      </c>
      <c r="G12" s="11">
        <v>5.0000000000000001E-3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35">
      <c r="A13" s="11">
        <v>1761</v>
      </c>
      <c r="B13" s="11">
        <v>10.747999999999999</v>
      </c>
      <c r="C13" s="11">
        <v>10.747999999999999</v>
      </c>
      <c r="D13" s="11">
        <v>0</v>
      </c>
      <c r="E13" s="11">
        <v>11.109</v>
      </c>
      <c r="F13" s="11">
        <v>11.109</v>
      </c>
      <c r="G13" s="11">
        <v>5.0000000000000001E-3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35">
      <c r="A14" s="11">
        <v>1762</v>
      </c>
      <c r="B14" s="11">
        <v>10.952</v>
      </c>
      <c r="C14" s="11">
        <v>10.952</v>
      </c>
      <c r="D14" s="11">
        <v>0</v>
      </c>
      <c r="E14" s="11">
        <v>11.113</v>
      </c>
      <c r="F14" s="11">
        <v>11.113</v>
      </c>
      <c r="G14" s="11">
        <v>5.0000000000000001E-3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35">
      <c r="A15" s="11">
        <v>1763</v>
      </c>
      <c r="B15" s="11">
        <v>11.192</v>
      </c>
      <c r="C15" s="11">
        <v>11.192</v>
      </c>
      <c r="D15" s="11">
        <v>0</v>
      </c>
      <c r="E15" s="11">
        <v>11.117000000000001</v>
      </c>
      <c r="F15" s="11">
        <v>11.117000000000001</v>
      </c>
      <c r="G15" s="11">
        <v>5.0000000000000001E-3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35">
      <c r="A16" s="11">
        <v>1764</v>
      </c>
      <c r="B16" s="11">
        <v>11.397</v>
      </c>
      <c r="C16" s="11">
        <v>11.397</v>
      </c>
      <c r="D16" s="11">
        <v>0</v>
      </c>
      <c r="E16" s="11">
        <v>11.121</v>
      </c>
      <c r="F16" s="11">
        <v>11.121</v>
      </c>
      <c r="G16" s="11">
        <v>5.0000000000000001E-3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35">
      <c r="A17" s="11">
        <v>1765</v>
      </c>
      <c r="B17" s="11">
        <v>11.643000000000001</v>
      </c>
      <c r="C17" s="11">
        <v>11.643000000000001</v>
      </c>
      <c r="D17" s="11">
        <v>0</v>
      </c>
      <c r="E17" s="11">
        <v>11.125</v>
      </c>
      <c r="F17" s="11">
        <v>11.125</v>
      </c>
      <c r="G17" s="11">
        <v>5.0000000000000001E-3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35">
      <c r="A18" s="11">
        <v>1766</v>
      </c>
      <c r="B18" s="11">
        <v>11.875999999999999</v>
      </c>
      <c r="C18" s="11">
        <v>11.875999999999999</v>
      </c>
      <c r="D18" s="11">
        <v>0</v>
      </c>
      <c r="E18" s="11">
        <v>12.407</v>
      </c>
      <c r="F18" s="11">
        <v>12.407</v>
      </c>
      <c r="G18" s="11">
        <v>5.0000000000000001E-3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35">
      <c r="A19" s="11">
        <v>1767</v>
      </c>
      <c r="B19" s="11">
        <v>12.153</v>
      </c>
      <c r="C19" s="11">
        <v>12.153</v>
      </c>
      <c r="D19" s="11">
        <v>0</v>
      </c>
      <c r="E19" s="11">
        <v>12.411</v>
      </c>
      <c r="F19" s="11">
        <v>12.411</v>
      </c>
      <c r="G19" s="11">
        <v>5.0000000000000001E-3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35">
      <c r="A20" s="11">
        <v>1768</v>
      </c>
      <c r="B20" s="11">
        <v>12.467000000000001</v>
      </c>
      <c r="C20" s="11">
        <v>12.467000000000001</v>
      </c>
      <c r="D20" s="11">
        <v>0</v>
      </c>
      <c r="E20" s="11">
        <v>12.414999999999999</v>
      </c>
      <c r="F20" s="11">
        <v>12.414999999999999</v>
      </c>
      <c r="G20" s="11">
        <v>5.0000000000000001E-3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35">
      <c r="A21" s="11">
        <v>1769</v>
      </c>
      <c r="B21" s="11">
        <v>12.78</v>
      </c>
      <c r="C21" s="11">
        <v>12.78</v>
      </c>
      <c r="D21" s="11">
        <v>0</v>
      </c>
      <c r="E21" s="11">
        <v>12.419</v>
      </c>
      <c r="F21" s="11">
        <v>12.419</v>
      </c>
      <c r="G21" s="11">
        <v>5.0000000000000001E-3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35">
      <c r="A22" s="11">
        <v>1770</v>
      </c>
      <c r="B22" s="11">
        <v>13.097</v>
      </c>
      <c r="C22" s="11">
        <v>13.097</v>
      </c>
      <c r="D22" s="11">
        <v>0</v>
      </c>
      <c r="E22" s="11">
        <v>12.423</v>
      </c>
      <c r="F22" s="11">
        <v>12.423</v>
      </c>
      <c r="G22" s="11">
        <v>5.0000000000000001E-3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35">
      <c r="A23" s="11">
        <v>1771</v>
      </c>
      <c r="B23" s="11">
        <v>13.369</v>
      </c>
      <c r="C23" s="11">
        <v>13.369</v>
      </c>
      <c r="D23" s="11">
        <v>0</v>
      </c>
      <c r="E23" s="11">
        <v>13.771000000000001</v>
      </c>
      <c r="F23" s="11">
        <v>13.771000000000001</v>
      </c>
      <c r="G23" s="11">
        <v>6.0000000000000001E-3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35">
      <c r="A24" s="11">
        <v>1772</v>
      </c>
      <c r="B24" s="11">
        <v>13.624000000000001</v>
      </c>
      <c r="C24" s="11">
        <v>13.624000000000001</v>
      </c>
      <c r="D24" s="11">
        <v>0</v>
      </c>
      <c r="E24" s="11">
        <v>13.775</v>
      </c>
      <c r="F24" s="11">
        <v>13.775</v>
      </c>
      <c r="G24" s="11">
        <v>6.0000000000000001E-3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35">
      <c r="A25" s="11">
        <v>1773</v>
      </c>
      <c r="B25" s="11">
        <v>13.808</v>
      </c>
      <c r="C25" s="11">
        <v>13.808</v>
      </c>
      <c r="D25" s="11">
        <v>0</v>
      </c>
      <c r="E25" s="11">
        <v>13.779</v>
      </c>
      <c r="F25" s="11">
        <v>13.779</v>
      </c>
      <c r="G25" s="11">
        <v>6.0000000000000001E-3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35">
      <c r="A26" s="11">
        <v>1774</v>
      </c>
      <c r="B26" s="11">
        <v>14.012</v>
      </c>
      <c r="C26" s="11">
        <v>14.012</v>
      </c>
      <c r="D26" s="11">
        <v>0</v>
      </c>
      <c r="E26" s="11">
        <v>13.782999999999999</v>
      </c>
      <c r="F26" s="11">
        <v>13.782999999999999</v>
      </c>
      <c r="G26" s="11">
        <v>6.0000000000000001E-3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35">
      <c r="A27" s="11">
        <v>1775</v>
      </c>
      <c r="B27" s="11">
        <v>14.339</v>
      </c>
      <c r="C27" s="11">
        <v>14.339</v>
      </c>
      <c r="D27" s="11">
        <v>0</v>
      </c>
      <c r="E27" s="11">
        <v>13.787000000000001</v>
      </c>
      <c r="F27" s="11">
        <v>13.787000000000001</v>
      </c>
      <c r="G27" s="11">
        <v>6.0000000000000001E-3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35">
      <c r="A28" s="11">
        <v>1776</v>
      </c>
      <c r="B28" s="11">
        <v>14.654</v>
      </c>
      <c r="C28" s="11">
        <v>14.654</v>
      </c>
      <c r="D28" s="11">
        <v>0</v>
      </c>
      <c r="E28" s="11">
        <v>15.209</v>
      </c>
      <c r="F28" s="11">
        <v>15.209</v>
      </c>
      <c r="G28" s="11">
        <v>6.0000000000000001E-3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35">
      <c r="A29" s="11">
        <v>1777</v>
      </c>
      <c r="B29" s="11">
        <v>14.96</v>
      </c>
      <c r="C29" s="11">
        <v>14.96</v>
      </c>
      <c r="D29" s="11">
        <v>0</v>
      </c>
      <c r="E29" s="11">
        <v>15.260999999999999</v>
      </c>
      <c r="F29" s="11">
        <v>15.260999999999999</v>
      </c>
      <c r="G29" s="11">
        <v>6.0000000000000001E-3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35">
      <c r="A30" s="11">
        <v>1778</v>
      </c>
      <c r="B30" s="11">
        <v>15.243</v>
      </c>
      <c r="C30" s="11">
        <v>15.243</v>
      </c>
      <c r="D30" s="11">
        <v>0</v>
      </c>
      <c r="E30" s="11">
        <v>15.315</v>
      </c>
      <c r="F30" s="11">
        <v>15.315</v>
      </c>
      <c r="G30" s="11">
        <v>6.0000000000000001E-3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35">
      <c r="A31" s="11">
        <v>1779</v>
      </c>
      <c r="B31" s="11">
        <v>15.535</v>
      </c>
      <c r="C31" s="11">
        <v>15.535</v>
      </c>
      <c r="D31" s="11">
        <v>0</v>
      </c>
      <c r="E31" s="11">
        <v>15.37</v>
      </c>
      <c r="F31" s="11">
        <v>15.371</v>
      </c>
      <c r="G31" s="11">
        <v>6.0000000000000001E-3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35">
      <c r="A32" s="11">
        <v>1780</v>
      </c>
      <c r="B32" s="11">
        <v>15.879</v>
      </c>
      <c r="C32" s="11">
        <v>15.879</v>
      </c>
      <c r="D32" s="11">
        <v>0</v>
      </c>
      <c r="E32" s="11">
        <v>15.430999999999999</v>
      </c>
      <c r="F32" s="11">
        <v>15.430999999999999</v>
      </c>
      <c r="G32" s="11">
        <v>6.0000000000000001E-3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35">
      <c r="A33" s="11">
        <v>1781</v>
      </c>
      <c r="B33" s="11">
        <v>16.234000000000002</v>
      </c>
      <c r="C33" s="11">
        <v>16.234000000000002</v>
      </c>
      <c r="D33" s="11">
        <v>0</v>
      </c>
      <c r="E33" s="11">
        <v>17.291</v>
      </c>
      <c r="F33" s="11">
        <v>17.292000000000002</v>
      </c>
      <c r="G33" s="11">
        <v>6.0000000000000001E-3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35">
      <c r="A34" s="11">
        <v>1782</v>
      </c>
      <c r="B34" s="11">
        <v>16.581</v>
      </c>
      <c r="C34" s="11">
        <v>16.581</v>
      </c>
      <c r="D34" s="11">
        <v>0</v>
      </c>
      <c r="E34" s="11">
        <v>17.356000000000002</v>
      </c>
      <c r="F34" s="11">
        <v>17.356000000000002</v>
      </c>
      <c r="G34" s="11">
        <v>6.0000000000000001E-3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35">
      <c r="A35" s="11">
        <v>1783</v>
      </c>
      <c r="B35" s="11">
        <v>17.062999999999999</v>
      </c>
      <c r="C35" s="11">
        <v>17.062999999999999</v>
      </c>
      <c r="D35" s="11">
        <v>0</v>
      </c>
      <c r="E35" s="11">
        <v>17.427</v>
      </c>
      <c r="F35" s="11">
        <v>17.428000000000001</v>
      </c>
      <c r="G35" s="11">
        <v>6.0000000000000001E-3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35">
      <c r="A36" s="11">
        <v>1784</v>
      </c>
      <c r="B36" s="11">
        <v>17.471</v>
      </c>
      <c r="C36" s="11">
        <v>17.471</v>
      </c>
      <c r="D36" s="11">
        <v>0</v>
      </c>
      <c r="E36" s="11">
        <v>17.498000000000001</v>
      </c>
      <c r="F36" s="11">
        <v>17.498000000000001</v>
      </c>
      <c r="G36" s="11">
        <v>6.0000000000000001E-3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35">
      <c r="A37" s="11">
        <v>1785</v>
      </c>
      <c r="B37" s="11">
        <v>17.965</v>
      </c>
      <c r="C37" s="11">
        <v>17.965</v>
      </c>
      <c r="D37" s="11">
        <v>0</v>
      </c>
      <c r="E37" s="11">
        <v>17.579000000000001</v>
      </c>
      <c r="F37" s="11">
        <v>17.579000000000001</v>
      </c>
      <c r="G37" s="11">
        <v>6.0000000000000001E-3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35">
      <c r="A38" s="11">
        <v>1786</v>
      </c>
      <c r="B38" s="11">
        <v>18.446999999999999</v>
      </c>
      <c r="C38" s="11">
        <v>18.446999999999999</v>
      </c>
      <c r="D38" s="11">
        <v>0</v>
      </c>
      <c r="E38" s="11">
        <v>19.952000000000002</v>
      </c>
      <c r="F38" s="11">
        <v>19.952000000000002</v>
      </c>
      <c r="G38" s="11">
        <v>6.0000000000000001E-3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35">
      <c r="A39" s="11">
        <v>1787</v>
      </c>
      <c r="B39" s="11">
        <v>18.859000000000002</v>
      </c>
      <c r="C39" s="11">
        <v>18.859000000000002</v>
      </c>
      <c r="D39" s="11">
        <v>0</v>
      </c>
      <c r="E39" s="11">
        <v>20.033999999999999</v>
      </c>
      <c r="F39" s="11">
        <v>20.035</v>
      </c>
      <c r="G39" s="11">
        <v>6.0000000000000001E-3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35">
      <c r="A40" s="11">
        <v>1788</v>
      </c>
      <c r="B40" s="11">
        <v>19.286000000000001</v>
      </c>
      <c r="C40" s="11">
        <v>19.286000000000001</v>
      </c>
      <c r="D40" s="11">
        <v>0</v>
      </c>
      <c r="E40" s="11">
        <v>20.116</v>
      </c>
      <c r="F40" s="11">
        <v>20.117000000000001</v>
      </c>
      <c r="G40" s="11">
        <v>6.0000000000000001E-3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35">
      <c r="A41" s="11">
        <v>1789</v>
      </c>
      <c r="B41" s="11">
        <v>19.863</v>
      </c>
      <c r="C41" s="11">
        <v>19.863</v>
      </c>
      <c r="D41" s="11">
        <v>0</v>
      </c>
      <c r="E41" s="11">
        <v>20.204999999999998</v>
      </c>
      <c r="F41" s="11">
        <v>20.206</v>
      </c>
      <c r="G41" s="11">
        <v>7.0000000000000001E-3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35">
      <c r="A42" s="11">
        <v>1790</v>
      </c>
      <c r="B42" s="11">
        <v>20.398</v>
      </c>
      <c r="C42" s="11">
        <v>20.398</v>
      </c>
      <c r="D42" s="11">
        <v>0</v>
      </c>
      <c r="E42" s="11">
        <v>20.295999999999999</v>
      </c>
      <c r="F42" s="11">
        <v>20.297000000000001</v>
      </c>
      <c r="G42" s="11">
        <v>7.0000000000000001E-3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35">
      <c r="A43" s="11">
        <v>1791</v>
      </c>
      <c r="B43" s="11">
        <v>20.931999999999999</v>
      </c>
      <c r="C43" s="11">
        <v>20.931999999999999</v>
      </c>
      <c r="D43" s="11">
        <v>0</v>
      </c>
      <c r="E43" s="11">
        <v>22.643000000000001</v>
      </c>
      <c r="F43" s="11">
        <v>22.643999999999998</v>
      </c>
      <c r="G43" s="11">
        <v>7.0000000000000001E-3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35">
      <c r="A44" s="11">
        <v>1792</v>
      </c>
      <c r="B44" s="11">
        <v>21.928999999999998</v>
      </c>
      <c r="C44" s="11">
        <v>21.928999999999998</v>
      </c>
      <c r="D44" s="11">
        <v>0</v>
      </c>
      <c r="E44" s="11">
        <v>23.25</v>
      </c>
      <c r="F44" s="11">
        <v>23.25</v>
      </c>
      <c r="G44" s="11">
        <v>7.0000000000000001E-3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35">
      <c r="A45" s="11">
        <v>1793</v>
      </c>
      <c r="B45" s="11">
        <v>22.297000000000001</v>
      </c>
      <c r="C45" s="11">
        <v>22.297000000000001</v>
      </c>
      <c r="D45" s="11">
        <v>0</v>
      </c>
      <c r="E45" s="11">
        <v>23.361999999999998</v>
      </c>
      <c r="F45" s="11">
        <v>23.361999999999998</v>
      </c>
      <c r="G45" s="11">
        <v>7.0000000000000001E-3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35">
      <c r="A46" s="11">
        <v>1794</v>
      </c>
      <c r="B46" s="11">
        <v>22.52</v>
      </c>
      <c r="C46" s="11">
        <v>22.52</v>
      </c>
      <c r="D46" s="11">
        <v>0</v>
      </c>
      <c r="E46" s="11">
        <v>23.420999999999999</v>
      </c>
      <c r="F46" s="11">
        <v>23.422000000000001</v>
      </c>
      <c r="G46" s="11">
        <v>7.0000000000000001E-3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35">
      <c r="A47" s="11">
        <v>1795</v>
      </c>
      <c r="B47" s="11">
        <v>22.315000000000001</v>
      </c>
      <c r="C47" s="11">
        <v>22.315000000000001</v>
      </c>
      <c r="D47" s="11">
        <v>0</v>
      </c>
      <c r="E47" s="11">
        <v>23.530999999999999</v>
      </c>
      <c r="F47" s="11">
        <v>23.532</v>
      </c>
      <c r="G47" s="11">
        <v>7.0000000000000001E-3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35">
      <c r="A48" s="11">
        <v>1796</v>
      </c>
      <c r="B48" s="11">
        <v>22.120999999999999</v>
      </c>
      <c r="C48" s="11">
        <v>22.120999999999999</v>
      </c>
      <c r="D48" s="11">
        <v>0</v>
      </c>
      <c r="E48" s="11">
        <v>24.707000000000001</v>
      </c>
      <c r="F48" s="11">
        <v>24.707000000000001</v>
      </c>
      <c r="G48" s="11">
        <v>7.0000000000000001E-3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35">
      <c r="A49" s="11">
        <v>1797</v>
      </c>
      <c r="B49" s="11">
        <v>22.09</v>
      </c>
      <c r="C49" s="11">
        <v>22.09</v>
      </c>
      <c r="D49" s="11">
        <v>0</v>
      </c>
      <c r="E49" s="11">
        <v>25.963999999999999</v>
      </c>
      <c r="F49" s="11">
        <v>25.965</v>
      </c>
      <c r="G49" s="11">
        <v>7.0000000000000001E-3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35">
      <c r="A50" s="11">
        <v>1798</v>
      </c>
      <c r="B50" s="11">
        <v>23.106000000000002</v>
      </c>
      <c r="C50" s="11">
        <v>23.106000000000002</v>
      </c>
      <c r="D50" s="11">
        <v>0</v>
      </c>
      <c r="E50" s="11">
        <v>27.081</v>
      </c>
      <c r="F50" s="11">
        <v>27.082000000000001</v>
      </c>
      <c r="G50" s="11">
        <v>7.0000000000000001E-3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35">
      <c r="A51" s="11">
        <v>1799</v>
      </c>
      <c r="B51" s="11">
        <v>27.484999999999999</v>
      </c>
      <c r="C51" s="11">
        <v>27.484999999999999</v>
      </c>
      <c r="D51" s="11">
        <v>0</v>
      </c>
      <c r="E51" s="11">
        <v>28.539000000000001</v>
      </c>
      <c r="F51" s="11">
        <v>28.54</v>
      </c>
      <c r="G51" s="11">
        <v>8.0000000000000002E-3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35">
      <c r="A52" s="11">
        <v>1800</v>
      </c>
      <c r="B52" s="11">
        <v>32.392000000000003</v>
      </c>
      <c r="C52" s="11">
        <v>32.798000000000002</v>
      </c>
      <c r="D52" s="11">
        <v>0</v>
      </c>
      <c r="E52" s="11">
        <v>29.94</v>
      </c>
      <c r="F52" s="11">
        <v>30.356999999999999</v>
      </c>
      <c r="G52" s="11">
        <v>8.0000000000000002E-3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35">
      <c r="A53" s="11">
        <v>1801</v>
      </c>
      <c r="B53" s="11">
        <v>31.542999999999999</v>
      </c>
      <c r="C53" s="11">
        <v>31.986000000000001</v>
      </c>
      <c r="D53" s="11">
        <v>0</v>
      </c>
      <c r="E53" s="11">
        <v>29.864000000000001</v>
      </c>
      <c r="F53" s="11">
        <v>30.318000000000001</v>
      </c>
      <c r="G53" s="11">
        <v>8.0000000000000002E-3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35">
      <c r="A54" s="11">
        <v>1802</v>
      </c>
      <c r="B54" s="11">
        <v>39.86</v>
      </c>
      <c r="C54" s="11">
        <v>40.31</v>
      </c>
      <c r="D54" s="11">
        <v>0</v>
      </c>
      <c r="E54" s="11">
        <v>37.302</v>
      </c>
      <c r="F54" s="11">
        <v>37.762999999999998</v>
      </c>
      <c r="G54" s="11">
        <v>8.9999999999999993E-3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35">
      <c r="A55" s="11">
        <v>1803</v>
      </c>
      <c r="B55" s="11">
        <v>29.077000000000002</v>
      </c>
      <c r="C55" s="11">
        <v>29.539000000000001</v>
      </c>
      <c r="D55" s="11">
        <v>0</v>
      </c>
      <c r="E55" s="11">
        <v>39.686</v>
      </c>
      <c r="F55" s="11">
        <v>40.158999999999999</v>
      </c>
      <c r="G55" s="11">
        <v>8.0000000000000002E-3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35">
      <c r="A56" s="11">
        <v>1804</v>
      </c>
      <c r="B56" s="11">
        <v>31.311</v>
      </c>
      <c r="C56" s="11">
        <v>31.768999999999998</v>
      </c>
      <c r="D56" s="11">
        <v>0</v>
      </c>
      <c r="E56" s="11">
        <v>40.582000000000001</v>
      </c>
      <c r="F56" s="11">
        <v>41.051000000000002</v>
      </c>
      <c r="G56" s="11">
        <v>8.0000000000000002E-3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35">
      <c r="A57" s="11">
        <v>1805</v>
      </c>
      <c r="B57" s="11">
        <v>30.68</v>
      </c>
      <c r="C57" s="11">
        <v>31.251999999999999</v>
      </c>
      <c r="D57" s="11">
        <v>0</v>
      </c>
      <c r="E57" s="11">
        <v>41.527000000000001</v>
      </c>
      <c r="F57" s="11">
        <v>42.112000000000002</v>
      </c>
      <c r="G57" s="11">
        <v>8.0000000000000002E-3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35">
      <c r="A58" s="11">
        <v>1806</v>
      </c>
      <c r="B58" s="11">
        <v>32.183999999999997</v>
      </c>
      <c r="C58" s="11">
        <v>32.704999999999998</v>
      </c>
      <c r="D58" s="11">
        <v>0</v>
      </c>
      <c r="E58" s="11">
        <v>43.203000000000003</v>
      </c>
      <c r="F58" s="11">
        <v>43.734999999999999</v>
      </c>
      <c r="G58" s="11">
        <v>8.9999999999999993E-3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35">
      <c r="A59" s="11">
        <v>1807</v>
      </c>
      <c r="B59" s="11">
        <v>35.823</v>
      </c>
      <c r="C59" s="11">
        <v>36.201000000000001</v>
      </c>
      <c r="D59" s="11">
        <v>0</v>
      </c>
      <c r="E59" s="11">
        <v>45.362000000000002</v>
      </c>
      <c r="F59" s="11">
        <v>45.747999999999998</v>
      </c>
      <c r="G59" s="11">
        <v>8.9999999999999993E-3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35">
      <c r="A60" s="11">
        <v>1808</v>
      </c>
      <c r="B60" s="11">
        <v>34.996000000000002</v>
      </c>
      <c r="C60" s="11">
        <v>35.497999999999998</v>
      </c>
      <c r="D60" s="11">
        <v>0</v>
      </c>
      <c r="E60" s="11">
        <v>43.390999999999998</v>
      </c>
      <c r="F60" s="11">
        <v>43.905000000000001</v>
      </c>
      <c r="G60" s="11">
        <v>8.9999999999999993E-3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35">
      <c r="A61" s="11">
        <v>1809</v>
      </c>
      <c r="B61" s="11">
        <v>35.860999999999997</v>
      </c>
      <c r="C61" s="11">
        <v>36.334000000000003</v>
      </c>
      <c r="D61" s="11">
        <v>0</v>
      </c>
      <c r="E61" s="11">
        <v>43.441000000000003</v>
      </c>
      <c r="F61" s="11">
        <v>43.924999999999997</v>
      </c>
      <c r="G61" s="11">
        <v>8.9999999999999993E-3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35">
      <c r="A62" s="11">
        <v>1810</v>
      </c>
      <c r="B62" s="11">
        <v>38.923999999999999</v>
      </c>
      <c r="C62" s="11">
        <v>39.491999999999997</v>
      </c>
      <c r="D62" s="11">
        <v>0</v>
      </c>
      <c r="E62" s="11">
        <v>43.726999999999997</v>
      </c>
      <c r="F62" s="11">
        <v>44.308999999999997</v>
      </c>
      <c r="G62" s="11">
        <v>8.9999999999999993E-3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35">
      <c r="A63" s="11">
        <v>1811</v>
      </c>
      <c r="B63" s="11">
        <v>39.587000000000003</v>
      </c>
      <c r="C63" s="11">
        <v>40.177</v>
      </c>
      <c r="D63" s="11">
        <v>0</v>
      </c>
      <c r="E63" s="11">
        <v>45.92</v>
      </c>
      <c r="F63" s="11">
        <v>46.524000000000001</v>
      </c>
      <c r="G63" s="11">
        <v>8.9999999999999993E-3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35">
      <c r="A64" s="11">
        <v>1812</v>
      </c>
      <c r="B64" s="11">
        <v>40.36</v>
      </c>
      <c r="C64" s="11">
        <v>40.814999999999998</v>
      </c>
      <c r="D64" s="11">
        <v>0</v>
      </c>
      <c r="E64" s="11">
        <v>47.502000000000002</v>
      </c>
      <c r="F64" s="11">
        <v>47.968000000000004</v>
      </c>
      <c r="G64" s="11">
        <v>8.9999999999999993E-3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35">
      <c r="A65" s="11">
        <v>1813</v>
      </c>
      <c r="B65" s="11">
        <v>40.825000000000003</v>
      </c>
      <c r="C65" s="11">
        <v>41.206000000000003</v>
      </c>
      <c r="D65" s="11">
        <v>0</v>
      </c>
      <c r="E65" s="11">
        <v>47.784999999999997</v>
      </c>
      <c r="F65" s="11">
        <v>48.176000000000002</v>
      </c>
      <c r="G65" s="11">
        <v>0.01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35">
      <c r="A66" s="11">
        <v>1814</v>
      </c>
      <c r="B66" s="11">
        <v>41.725000000000001</v>
      </c>
      <c r="C66" s="11">
        <v>42.226999999999997</v>
      </c>
      <c r="D66" s="11">
        <v>0</v>
      </c>
      <c r="E66" s="11">
        <v>48.585999999999999</v>
      </c>
      <c r="F66" s="11">
        <v>49.1</v>
      </c>
      <c r="G66" s="11">
        <v>0.01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35">
      <c r="A67" s="11">
        <v>1815</v>
      </c>
      <c r="B67" s="11">
        <v>42.997</v>
      </c>
      <c r="C67" s="11">
        <v>43.587000000000003</v>
      </c>
      <c r="D67" s="11">
        <v>0</v>
      </c>
      <c r="E67" s="11">
        <v>49.896000000000001</v>
      </c>
      <c r="F67" s="11">
        <v>50.5</v>
      </c>
      <c r="G67" s="11">
        <v>0.01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35">
      <c r="A68" s="11">
        <v>1816</v>
      </c>
      <c r="B68" s="11">
        <v>44.819000000000003</v>
      </c>
      <c r="C68" s="11">
        <v>45.497</v>
      </c>
      <c r="D68" s="11">
        <v>0</v>
      </c>
      <c r="E68" s="11">
        <v>54.137</v>
      </c>
      <c r="F68" s="11">
        <v>54.831000000000003</v>
      </c>
      <c r="G68" s="11">
        <v>0.01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35">
      <c r="A69" s="11">
        <v>1817</v>
      </c>
      <c r="B69" s="11">
        <v>48.531999999999996</v>
      </c>
      <c r="C69" s="11">
        <v>49.276000000000003</v>
      </c>
      <c r="D69" s="11">
        <v>0</v>
      </c>
      <c r="E69" s="11">
        <v>55.944000000000003</v>
      </c>
      <c r="F69" s="11">
        <v>56.704999999999998</v>
      </c>
      <c r="G69" s="11">
        <v>0.01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35">
      <c r="A70" s="11">
        <v>1818</v>
      </c>
      <c r="B70" s="11">
        <v>50.469000000000001</v>
      </c>
      <c r="C70" s="11">
        <v>51.392000000000003</v>
      </c>
      <c r="D70" s="11">
        <v>0</v>
      </c>
      <c r="E70" s="11">
        <v>55.985999999999997</v>
      </c>
      <c r="F70" s="11">
        <v>56.930999999999997</v>
      </c>
      <c r="G70" s="11">
        <v>0.01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35">
      <c r="A71" s="11">
        <v>1819</v>
      </c>
      <c r="B71" s="11">
        <v>50.171999999999997</v>
      </c>
      <c r="C71" s="11">
        <v>50.93</v>
      </c>
      <c r="D71" s="11">
        <v>0</v>
      </c>
      <c r="E71" s="11">
        <v>56.268000000000001</v>
      </c>
      <c r="F71" s="11">
        <v>57.043999999999997</v>
      </c>
      <c r="G71" s="11">
        <v>1.0999999999999999E-2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35">
      <c r="A72" s="11">
        <v>1820</v>
      </c>
      <c r="B72" s="11">
        <v>49.985999999999997</v>
      </c>
      <c r="C72" s="11">
        <v>50.732999999999997</v>
      </c>
      <c r="D72" s="11">
        <v>0</v>
      </c>
      <c r="E72" s="11">
        <v>57.061</v>
      </c>
      <c r="F72" s="11">
        <v>57.826000000000001</v>
      </c>
      <c r="G72" s="11">
        <v>1.0999999999999999E-2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35">
      <c r="A73" s="11">
        <v>1821</v>
      </c>
      <c r="B73" s="11">
        <v>51.231000000000002</v>
      </c>
      <c r="C73" s="11">
        <v>52.058999999999997</v>
      </c>
      <c r="D73" s="11">
        <v>0</v>
      </c>
      <c r="E73" s="11">
        <v>57.749000000000002</v>
      </c>
      <c r="F73" s="11">
        <v>58.595999999999997</v>
      </c>
      <c r="G73" s="11">
        <v>1.0999999999999999E-2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35">
      <c r="A74" s="11">
        <v>1822</v>
      </c>
      <c r="B74" s="11">
        <v>53.113</v>
      </c>
      <c r="C74" s="11">
        <v>54.021999999999998</v>
      </c>
      <c r="D74" s="11">
        <v>0</v>
      </c>
      <c r="E74" s="11">
        <v>59.720999999999997</v>
      </c>
      <c r="F74" s="11">
        <v>60.651000000000003</v>
      </c>
      <c r="G74" s="11">
        <v>1.0999999999999999E-2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35">
      <c r="A75" s="11">
        <v>1823</v>
      </c>
      <c r="B75" s="11">
        <v>55.137999999999998</v>
      </c>
      <c r="C75" s="11">
        <v>56.357999999999997</v>
      </c>
      <c r="D75" s="11">
        <v>0</v>
      </c>
      <c r="E75" s="11">
        <v>62.534999999999997</v>
      </c>
      <c r="F75" s="11">
        <v>63.783000000000001</v>
      </c>
      <c r="G75" s="11">
        <v>1.0999999999999999E-2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35">
      <c r="A76" s="11">
        <v>1824</v>
      </c>
      <c r="B76" s="11">
        <v>56.308999999999997</v>
      </c>
      <c r="C76" s="11">
        <v>57.584000000000003</v>
      </c>
      <c r="D76" s="11">
        <v>0</v>
      </c>
      <c r="E76" s="11">
        <v>64.427000000000007</v>
      </c>
      <c r="F76" s="11">
        <v>65.731999999999999</v>
      </c>
      <c r="G76" s="11">
        <v>1.2E-2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35">
      <c r="A77" s="11">
        <v>1825</v>
      </c>
      <c r="B77" s="11">
        <v>59.404000000000003</v>
      </c>
      <c r="C77" s="11">
        <v>60.731000000000002</v>
      </c>
      <c r="D77" s="11">
        <v>0</v>
      </c>
      <c r="E77" s="11">
        <v>66.722999999999999</v>
      </c>
      <c r="F77" s="11">
        <v>68.08</v>
      </c>
      <c r="G77" s="11">
        <v>1.2E-2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35">
      <c r="A78" s="11">
        <v>1826</v>
      </c>
      <c r="B78" s="11">
        <v>60.161999999999999</v>
      </c>
      <c r="C78" s="11">
        <v>61.381999999999998</v>
      </c>
      <c r="D78" s="11">
        <v>0</v>
      </c>
      <c r="E78" s="11">
        <v>67.497</v>
      </c>
      <c r="F78" s="11">
        <v>68.745999999999995</v>
      </c>
      <c r="G78" s="11">
        <v>1.2E-2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35">
      <c r="A79" s="11">
        <v>1827</v>
      </c>
      <c r="B79" s="11">
        <v>64.430999999999997</v>
      </c>
      <c r="C79" s="11">
        <v>65.739000000000004</v>
      </c>
      <c r="D79" s="11">
        <v>0</v>
      </c>
      <c r="E79" s="11">
        <v>72.042000000000002</v>
      </c>
      <c r="F79" s="11">
        <v>73.381</v>
      </c>
      <c r="G79" s="11">
        <v>1.2E-2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35">
      <c r="A80" s="11">
        <v>1828</v>
      </c>
      <c r="B80" s="11">
        <v>65.472999999999999</v>
      </c>
      <c r="C80" s="11">
        <v>66.682000000000002</v>
      </c>
      <c r="D80" s="11">
        <v>0</v>
      </c>
      <c r="E80" s="11">
        <v>72.869</v>
      </c>
      <c r="F80" s="11">
        <v>74.106999999999999</v>
      </c>
      <c r="G80" s="11">
        <v>1.2E-2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35">
      <c r="A81" s="11">
        <v>1829</v>
      </c>
      <c r="B81" s="11">
        <v>65.241</v>
      </c>
      <c r="C81" s="11">
        <v>66.307000000000002</v>
      </c>
      <c r="D81" s="11">
        <v>0</v>
      </c>
      <c r="E81" s="11">
        <v>72.715000000000003</v>
      </c>
      <c r="F81" s="11">
        <v>73.807000000000002</v>
      </c>
      <c r="G81" s="11">
        <v>1.2999999999999999E-2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35">
      <c r="A82" s="11">
        <v>1830</v>
      </c>
      <c r="B82" s="11">
        <v>87.867000000000004</v>
      </c>
      <c r="C82" s="11">
        <v>88.986000000000004</v>
      </c>
      <c r="D82" s="11">
        <v>3.0000000000000001E-3</v>
      </c>
      <c r="E82" s="11">
        <v>90.096999999999994</v>
      </c>
      <c r="F82" s="11">
        <v>91.230999999999995</v>
      </c>
      <c r="G82" s="11">
        <v>1.7999999999999999E-2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35">
      <c r="A83" s="11">
        <v>1831</v>
      </c>
      <c r="B83" s="11">
        <v>82.35</v>
      </c>
      <c r="C83" s="11">
        <v>83.248000000000005</v>
      </c>
      <c r="D83" s="11">
        <v>3.0000000000000001E-3</v>
      </c>
      <c r="E83" s="11">
        <v>85.516000000000005</v>
      </c>
      <c r="F83" s="11">
        <v>86.429000000000002</v>
      </c>
      <c r="G83" s="11">
        <v>1.7999999999999999E-2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35">
      <c r="A84" s="11">
        <v>1832</v>
      </c>
      <c r="B84" s="11">
        <v>80.956000000000003</v>
      </c>
      <c r="C84" s="11">
        <v>82.09</v>
      </c>
      <c r="D84" s="11">
        <v>2E-3</v>
      </c>
      <c r="E84" s="11">
        <v>85.852000000000004</v>
      </c>
      <c r="F84" s="11">
        <v>87.004000000000005</v>
      </c>
      <c r="G84" s="11">
        <v>1.7000000000000001E-2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35">
      <c r="A85" s="11">
        <v>1833</v>
      </c>
      <c r="B85" s="11">
        <v>82.090999999999994</v>
      </c>
      <c r="C85" s="11">
        <v>83.245999999999995</v>
      </c>
      <c r="D85" s="11">
        <v>3.0000000000000001E-3</v>
      </c>
      <c r="E85" s="11">
        <v>87.626999999999995</v>
      </c>
      <c r="F85" s="11">
        <v>88.804000000000002</v>
      </c>
      <c r="G85" s="11">
        <v>1.7999999999999999E-2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35">
      <c r="A86" s="11">
        <v>1834</v>
      </c>
      <c r="B86" s="11">
        <v>87.564999999999998</v>
      </c>
      <c r="C86" s="11">
        <v>88.763000000000005</v>
      </c>
      <c r="D86" s="11">
        <v>0</v>
      </c>
      <c r="E86" s="11">
        <v>89.415999999999997</v>
      </c>
      <c r="F86" s="11">
        <v>90.653999999999996</v>
      </c>
      <c r="G86" s="11">
        <v>1.7999999999999999E-2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35">
      <c r="A87" s="11">
        <v>1835</v>
      </c>
      <c r="B87" s="11">
        <v>96.138999999999996</v>
      </c>
      <c r="C87" s="11">
        <v>97.4</v>
      </c>
      <c r="D87" s="11">
        <v>0</v>
      </c>
      <c r="E87" s="11">
        <v>91.486999999999995</v>
      </c>
      <c r="F87" s="11">
        <v>92.793999999999997</v>
      </c>
      <c r="G87" s="11">
        <v>1.9E-2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35">
      <c r="A88" s="11">
        <v>1836</v>
      </c>
      <c r="B88" s="11">
        <v>105.44</v>
      </c>
      <c r="C88" s="11">
        <v>106.89400000000001</v>
      </c>
      <c r="D88" s="11">
        <v>0</v>
      </c>
      <c r="E88" s="11">
        <v>105.916</v>
      </c>
      <c r="F88" s="11">
        <v>107.42100000000001</v>
      </c>
      <c r="G88" s="11">
        <v>2.1000000000000001E-2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35">
      <c r="A89" s="11">
        <v>1837</v>
      </c>
      <c r="B89" s="11">
        <v>104.657</v>
      </c>
      <c r="C89" s="11">
        <v>106.199</v>
      </c>
      <c r="D89" s="11">
        <v>0</v>
      </c>
      <c r="E89" s="11">
        <v>105.914</v>
      </c>
      <c r="F89" s="11">
        <v>107.514</v>
      </c>
      <c r="G89" s="11">
        <v>2.1000000000000001E-2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35">
      <c r="A90" s="11">
        <v>1838</v>
      </c>
      <c r="B90" s="11">
        <v>104.196</v>
      </c>
      <c r="C90" s="11">
        <v>105.845</v>
      </c>
      <c r="D90" s="11">
        <v>0</v>
      </c>
      <c r="E90" s="11">
        <v>109.366</v>
      </c>
      <c r="F90" s="11">
        <v>111.07899999999999</v>
      </c>
      <c r="G90" s="11">
        <v>2.1999999999999999E-2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35">
      <c r="A91" s="11">
        <v>1839</v>
      </c>
      <c r="B91" s="11">
        <v>107.83199999999999</v>
      </c>
      <c r="C91" s="11">
        <v>109.65300000000001</v>
      </c>
      <c r="D91" s="11">
        <v>0</v>
      </c>
      <c r="E91" s="11">
        <v>112.89100000000001</v>
      </c>
      <c r="F91" s="11">
        <v>114.774</v>
      </c>
      <c r="G91" s="11">
        <v>2.3E-2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35">
      <c r="A92" s="11">
        <v>1840</v>
      </c>
      <c r="B92" s="11">
        <v>116.705</v>
      </c>
      <c r="C92" s="11">
        <v>118.809</v>
      </c>
      <c r="D92" s="11">
        <v>0</v>
      </c>
      <c r="E92" s="11">
        <v>120.27800000000001</v>
      </c>
      <c r="F92" s="11">
        <v>122.453</v>
      </c>
      <c r="G92" s="11">
        <v>2.4E-2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35">
      <c r="A93" s="11">
        <v>1841</v>
      </c>
      <c r="B93" s="11">
        <v>119.883</v>
      </c>
      <c r="C93" s="11">
        <v>122.166</v>
      </c>
      <c r="D93" s="11">
        <v>0</v>
      </c>
      <c r="E93" s="11">
        <v>124.004</v>
      </c>
      <c r="F93" s="11">
        <v>126.36499999999999</v>
      </c>
      <c r="G93" s="11">
        <v>2.5000000000000001E-2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35">
      <c r="A94" s="11">
        <v>1842</v>
      </c>
      <c r="B94" s="11">
        <v>127.02200000000001</v>
      </c>
      <c r="C94" s="11">
        <v>129.38900000000001</v>
      </c>
      <c r="D94" s="11">
        <v>0</v>
      </c>
      <c r="E94" s="11">
        <v>131.16</v>
      </c>
      <c r="F94" s="11">
        <v>133.61799999999999</v>
      </c>
      <c r="G94" s="11">
        <v>2.7E-2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35">
      <c r="A95" s="11">
        <v>1843</v>
      </c>
      <c r="B95" s="11">
        <v>130.035</v>
      </c>
      <c r="C95" s="11">
        <v>132.369</v>
      </c>
      <c r="D95" s="11">
        <v>0</v>
      </c>
      <c r="E95" s="11">
        <v>134.422</v>
      </c>
      <c r="F95" s="11">
        <v>136.85</v>
      </c>
      <c r="G95" s="11">
        <v>2.8000000000000001E-2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35">
      <c r="A96" s="11">
        <v>1844</v>
      </c>
      <c r="B96" s="11">
        <v>139.363</v>
      </c>
      <c r="C96" s="11">
        <v>141.94200000000001</v>
      </c>
      <c r="D96" s="11">
        <v>2.4E-2</v>
      </c>
      <c r="E96" s="11">
        <v>143.126</v>
      </c>
      <c r="F96" s="11">
        <v>145.79900000000001</v>
      </c>
      <c r="G96" s="11">
        <v>2.9000000000000001E-2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35">
      <c r="A97" s="11">
        <v>1845</v>
      </c>
      <c r="B97" s="11">
        <v>152.15700000000001</v>
      </c>
      <c r="C97" s="11">
        <v>155.03700000000001</v>
      </c>
      <c r="D97" s="11">
        <v>3.5999999999999997E-2</v>
      </c>
      <c r="E97" s="11">
        <v>157.19999999999999</v>
      </c>
      <c r="F97" s="11">
        <v>160.197</v>
      </c>
      <c r="G97" s="11">
        <v>3.1E-2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35">
      <c r="A98" s="11">
        <v>1846</v>
      </c>
      <c r="B98" s="11">
        <v>154.64400000000001</v>
      </c>
      <c r="C98" s="11">
        <v>157.65600000000001</v>
      </c>
      <c r="D98" s="11">
        <v>4.5999999999999999E-2</v>
      </c>
      <c r="E98" s="11">
        <v>160.33600000000001</v>
      </c>
      <c r="F98" s="11">
        <v>163.476</v>
      </c>
      <c r="G98" s="11">
        <v>3.3000000000000002E-2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35">
      <c r="A99" s="11">
        <v>1847</v>
      </c>
      <c r="B99" s="11">
        <v>167.553</v>
      </c>
      <c r="C99" s="11">
        <v>170.74100000000001</v>
      </c>
      <c r="D99" s="11">
        <v>5.6000000000000001E-2</v>
      </c>
      <c r="E99" s="11">
        <v>175.28399999999999</v>
      </c>
      <c r="F99" s="11">
        <v>178.6</v>
      </c>
      <c r="G99" s="11">
        <v>3.5000000000000003E-2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35">
      <c r="A100" s="11">
        <v>1848</v>
      </c>
      <c r="B100" s="11">
        <v>170.535</v>
      </c>
      <c r="C100" s="11">
        <v>173.58</v>
      </c>
      <c r="D100" s="11">
        <v>6.4000000000000001E-2</v>
      </c>
      <c r="E100" s="11">
        <v>176.75399999999999</v>
      </c>
      <c r="F100" s="11">
        <v>179.94800000000001</v>
      </c>
      <c r="G100" s="11">
        <v>3.6999999999999998E-2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35">
      <c r="A101" s="11">
        <v>1849</v>
      </c>
      <c r="B101" s="11">
        <v>181.928</v>
      </c>
      <c r="C101" s="11">
        <v>184.93199999999999</v>
      </c>
      <c r="D101" s="11">
        <v>0.11600000000000001</v>
      </c>
      <c r="E101" s="11">
        <v>186.66800000000001</v>
      </c>
      <c r="F101" s="11">
        <v>189.83</v>
      </c>
      <c r="G101" s="11">
        <v>3.9E-2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35">
      <c r="A102" s="11">
        <v>1850</v>
      </c>
      <c r="B102" s="11">
        <v>193.43799999999999</v>
      </c>
      <c r="C102" s="11">
        <v>196.738</v>
      </c>
      <c r="D102" s="11">
        <v>0.11</v>
      </c>
      <c r="E102" s="11">
        <v>200.25800000000001</v>
      </c>
      <c r="F102" s="11">
        <v>203.64099999999999</v>
      </c>
      <c r="G102" s="11">
        <v>4.2999999999999997E-2</v>
      </c>
      <c r="H102" s="11">
        <v>193.43799999999999</v>
      </c>
      <c r="I102" s="11">
        <v>196.738</v>
      </c>
      <c r="J102" s="11">
        <v>0.11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35">
      <c r="A103" s="11">
        <v>1851</v>
      </c>
      <c r="B103" s="11">
        <v>194.934</v>
      </c>
      <c r="C103" s="11">
        <v>198.66800000000001</v>
      </c>
      <c r="D103" s="11">
        <v>0.11</v>
      </c>
      <c r="E103" s="11">
        <v>202.58699999999999</v>
      </c>
      <c r="F103" s="11">
        <v>206.49299999999999</v>
      </c>
      <c r="G103" s="11">
        <v>4.4999999999999998E-2</v>
      </c>
      <c r="H103" s="11">
        <v>194.934</v>
      </c>
      <c r="I103" s="11">
        <v>198.66800000000001</v>
      </c>
      <c r="J103" s="11">
        <v>0.11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35">
      <c r="A104" s="11">
        <v>1852</v>
      </c>
      <c r="B104" s="11">
        <v>202.94</v>
      </c>
      <c r="C104" s="11">
        <v>207.41399999999999</v>
      </c>
      <c r="D104" s="11">
        <v>0.18099999999999999</v>
      </c>
      <c r="E104" s="11">
        <v>211.279</v>
      </c>
      <c r="F104" s="11">
        <v>215.97</v>
      </c>
      <c r="G104" s="11">
        <v>5.0999999999999997E-2</v>
      </c>
      <c r="H104" s="11">
        <v>202.94</v>
      </c>
      <c r="I104" s="11">
        <v>207.41399999999999</v>
      </c>
      <c r="J104" s="11">
        <v>0.18099999999999999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35">
      <c r="A105" s="11">
        <v>1853</v>
      </c>
      <c r="B105" s="11">
        <v>212.46</v>
      </c>
      <c r="C105" s="11">
        <v>217.12</v>
      </c>
      <c r="D105" s="11">
        <v>0.11700000000000001</v>
      </c>
      <c r="E105" s="11">
        <v>221.48099999999999</v>
      </c>
      <c r="F105" s="11">
        <v>226.41</v>
      </c>
      <c r="G105" s="11">
        <v>0.06</v>
      </c>
      <c r="H105" s="11">
        <v>212.46</v>
      </c>
      <c r="I105" s="11">
        <v>217.12</v>
      </c>
      <c r="J105" s="11">
        <v>0.11700000000000001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35">
      <c r="A106" s="11">
        <v>1854</v>
      </c>
      <c r="B106" s="11">
        <v>249.81899999999999</v>
      </c>
      <c r="C106" s="11">
        <v>255.03299999999999</v>
      </c>
      <c r="D106" s="11">
        <v>5.0000000000000001E-3</v>
      </c>
      <c r="E106" s="11">
        <v>260.35700000000003</v>
      </c>
      <c r="F106" s="11">
        <v>265.89</v>
      </c>
      <c r="G106" s="11">
        <v>7.0999999999999994E-2</v>
      </c>
      <c r="H106" s="11">
        <v>249.81899999999999</v>
      </c>
      <c r="I106" s="11">
        <v>255.03299999999999</v>
      </c>
      <c r="J106" s="11">
        <v>5.0000000000000001E-3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35">
      <c r="A107" s="11">
        <v>1855</v>
      </c>
      <c r="B107" s="11">
        <v>253.69</v>
      </c>
      <c r="C107" s="11">
        <v>260.06099999999998</v>
      </c>
      <c r="D107" s="11">
        <v>0.19900000000000001</v>
      </c>
      <c r="E107" s="11">
        <v>264.88099999999997</v>
      </c>
      <c r="F107" s="11">
        <v>271.36399999999998</v>
      </c>
      <c r="G107" s="11">
        <v>0.08</v>
      </c>
      <c r="H107" s="11">
        <v>253.69</v>
      </c>
      <c r="I107" s="11">
        <v>260.06099999999998</v>
      </c>
      <c r="J107" s="11">
        <v>0.19900000000000001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35">
      <c r="A108" s="11">
        <v>1856</v>
      </c>
      <c r="B108" s="11">
        <v>270.50299999999999</v>
      </c>
      <c r="C108" s="11">
        <v>277.29599999999999</v>
      </c>
      <c r="D108" s="11">
        <v>0.94899999999999995</v>
      </c>
      <c r="E108" s="11">
        <v>282.54000000000002</v>
      </c>
      <c r="F108" s="11">
        <v>289.76900000000001</v>
      </c>
      <c r="G108" s="11">
        <v>8.6999999999999994E-2</v>
      </c>
      <c r="H108" s="11">
        <v>270.50299999999999</v>
      </c>
      <c r="I108" s="11">
        <v>277.29599999999999</v>
      </c>
      <c r="J108" s="11">
        <v>0.94899999999999995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35">
      <c r="A109" s="11">
        <v>1857</v>
      </c>
      <c r="B109" s="11">
        <v>272.67</v>
      </c>
      <c r="C109" s="11">
        <v>279.93200000000002</v>
      </c>
      <c r="D109" s="11">
        <v>1.2490000000000001</v>
      </c>
      <c r="E109" s="11">
        <v>285.185</v>
      </c>
      <c r="F109" s="11">
        <v>292.92700000000002</v>
      </c>
      <c r="G109" s="11">
        <v>9.4E-2</v>
      </c>
      <c r="H109" s="11">
        <v>272.67</v>
      </c>
      <c r="I109" s="11">
        <v>279.93200000000002</v>
      </c>
      <c r="J109" s="11">
        <v>1.2490000000000001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35">
      <c r="A110" s="11">
        <v>1858</v>
      </c>
      <c r="B110" s="11">
        <v>275.26299999999998</v>
      </c>
      <c r="C110" s="11">
        <v>283.77</v>
      </c>
      <c r="D110" s="11">
        <v>1.7789999999999999</v>
      </c>
      <c r="E110" s="11">
        <v>288.35899999999998</v>
      </c>
      <c r="F110" s="11">
        <v>297.03899999999999</v>
      </c>
      <c r="G110" s="11">
        <v>0.52500000000000002</v>
      </c>
      <c r="H110" s="11">
        <v>275.26299999999998</v>
      </c>
      <c r="I110" s="11">
        <v>283.77</v>
      </c>
      <c r="J110" s="11">
        <v>1.7789999999999999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35">
      <c r="A111" s="11">
        <v>1859</v>
      </c>
      <c r="B111" s="11">
        <v>292.45400000000001</v>
      </c>
      <c r="C111" s="11">
        <v>300.77999999999997</v>
      </c>
      <c r="D111" s="11">
        <v>1.792</v>
      </c>
      <c r="E111" s="11">
        <v>305.76100000000002</v>
      </c>
      <c r="F111" s="11">
        <v>314.214</v>
      </c>
      <c r="G111" s="11">
        <v>0.79</v>
      </c>
      <c r="H111" s="11">
        <v>292.45400000000001</v>
      </c>
      <c r="I111" s="11">
        <v>300.77999999999997</v>
      </c>
      <c r="J111" s="11">
        <v>1.792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35">
      <c r="A112" s="11">
        <v>1860</v>
      </c>
      <c r="B112" s="11">
        <v>320.98</v>
      </c>
      <c r="C112" s="11">
        <v>330.22500000000002</v>
      </c>
      <c r="D112" s="11">
        <v>2.073</v>
      </c>
      <c r="E112" s="11">
        <v>335.12200000000001</v>
      </c>
      <c r="F112" s="11">
        <v>344.52499999999998</v>
      </c>
      <c r="G112" s="11">
        <v>0.82499999999999996</v>
      </c>
      <c r="H112" s="11">
        <v>320.98</v>
      </c>
      <c r="I112" s="11">
        <v>330.22500000000002</v>
      </c>
      <c r="J112" s="11">
        <v>2.073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35">
      <c r="A113" s="11">
        <v>1861</v>
      </c>
      <c r="B113" s="11">
        <v>336.91199999999998</v>
      </c>
      <c r="C113" s="11">
        <v>347.16899999999998</v>
      </c>
      <c r="D113" s="11">
        <v>2.0219999999999998</v>
      </c>
      <c r="E113" s="11">
        <v>352.73099999999999</v>
      </c>
      <c r="F113" s="11">
        <v>363.21600000000001</v>
      </c>
      <c r="G113" s="11">
        <v>0.69899999999999995</v>
      </c>
      <c r="H113" s="11">
        <v>336.91199999999998</v>
      </c>
      <c r="I113" s="11">
        <v>347.16899999999998</v>
      </c>
      <c r="J113" s="11">
        <v>2.0219999999999998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35">
      <c r="A114" s="11">
        <v>1862</v>
      </c>
      <c r="B114" s="11">
        <v>341.69400000000002</v>
      </c>
      <c r="C114" s="11">
        <v>353.83</v>
      </c>
      <c r="D114" s="11">
        <v>2.161</v>
      </c>
      <c r="E114" s="11">
        <v>357.80900000000003</v>
      </c>
      <c r="F114" s="11">
        <v>370.23</v>
      </c>
      <c r="G114" s="11">
        <v>0.74399999999999999</v>
      </c>
      <c r="H114" s="11">
        <v>341.69400000000002</v>
      </c>
      <c r="I114" s="11">
        <v>353.83</v>
      </c>
      <c r="J114" s="11">
        <v>2.161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35">
      <c r="A115" s="11">
        <v>1863</v>
      </c>
      <c r="B115" s="11">
        <v>363.37200000000001</v>
      </c>
      <c r="C115" s="11">
        <v>377.45699999999999</v>
      </c>
      <c r="D115" s="11">
        <v>2.0779999999999998</v>
      </c>
      <c r="E115" s="11">
        <v>380.03899999999999</v>
      </c>
      <c r="F115" s="11">
        <v>394.49</v>
      </c>
      <c r="G115" s="11">
        <v>0.81499999999999995</v>
      </c>
      <c r="H115" s="11">
        <v>363.37200000000001</v>
      </c>
      <c r="I115" s="11">
        <v>377.45699999999999</v>
      </c>
      <c r="J115" s="11">
        <v>2.0779999999999998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35">
      <c r="A116" s="11">
        <v>1864</v>
      </c>
      <c r="B116" s="11">
        <v>391.06799999999998</v>
      </c>
      <c r="C116" s="11">
        <v>407.02199999999999</v>
      </c>
      <c r="D116" s="11">
        <v>2.5030000000000001</v>
      </c>
      <c r="E116" s="11">
        <v>408.69200000000001</v>
      </c>
      <c r="F116" s="11">
        <v>425.10199999999998</v>
      </c>
      <c r="G116" s="11">
        <v>0.79800000000000004</v>
      </c>
      <c r="H116" s="11">
        <v>391.06799999999998</v>
      </c>
      <c r="I116" s="11">
        <v>407.02199999999999</v>
      </c>
      <c r="J116" s="11">
        <v>2.5030000000000001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35">
      <c r="A117" s="11">
        <v>1865</v>
      </c>
      <c r="B117" s="11">
        <v>414.23599999999999</v>
      </c>
      <c r="C117" s="11">
        <v>432.17099999999999</v>
      </c>
      <c r="D117" s="11">
        <v>2.681</v>
      </c>
      <c r="E117" s="11">
        <v>433.00799999999998</v>
      </c>
      <c r="F117" s="11">
        <v>451.47500000000002</v>
      </c>
      <c r="G117" s="11">
        <v>0.78500000000000003</v>
      </c>
      <c r="H117" s="11">
        <v>414.23599999999999</v>
      </c>
      <c r="I117" s="11">
        <v>432.17099999999999</v>
      </c>
      <c r="J117" s="11">
        <v>2.681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35">
      <c r="A118" s="11">
        <v>1866</v>
      </c>
      <c r="B118" s="11">
        <v>425.392</v>
      </c>
      <c r="C118" s="11">
        <v>445.53</v>
      </c>
      <c r="D118" s="11">
        <v>3.5369999999999999</v>
      </c>
      <c r="E118" s="11">
        <v>444.34</v>
      </c>
      <c r="F118" s="11">
        <v>465.15100000000001</v>
      </c>
      <c r="G118" s="11">
        <v>1.141</v>
      </c>
      <c r="H118" s="11">
        <v>425.392</v>
      </c>
      <c r="I118" s="11">
        <v>445.53</v>
      </c>
      <c r="J118" s="11">
        <v>3.5369999999999999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35">
      <c r="A119" s="11">
        <v>1867</v>
      </c>
      <c r="B119" s="11">
        <v>455.19799999999998</v>
      </c>
      <c r="C119" s="11">
        <v>477.72</v>
      </c>
      <c r="D119" s="11">
        <v>3.0939999999999999</v>
      </c>
      <c r="E119" s="11">
        <v>476.27600000000001</v>
      </c>
      <c r="F119" s="11">
        <v>499.548</v>
      </c>
      <c r="G119" s="11">
        <v>1.268</v>
      </c>
      <c r="H119" s="11">
        <v>455.19799999999998</v>
      </c>
      <c r="I119" s="11">
        <v>477.72</v>
      </c>
      <c r="J119" s="11">
        <v>3.0939999999999999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35">
      <c r="A120" s="11">
        <v>1868</v>
      </c>
      <c r="B120" s="11">
        <v>466.61099999999999</v>
      </c>
      <c r="C120" s="11">
        <v>491.185</v>
      </c>
      <c r="D120" s="11">
        <v>3.3079999999999998</v>
      </c>
      <c r="E120" s="11">
        <v>488.53199999999998</v>
      </c>
      <c r="F120" s="11">
        <v>513.91800000000001</v>
      </c>
      <c r="G120" s="11">
        <v>1.3</v>
      </c>
      <c r="H120" s="11">
        <v>466.61099999999999</v>
      </c>
      <c r="I120" s="11">
        <v>491.185</v>
      </c>
      <c r="J120" s="11">
        <v>3.3079999999999998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35">
      <c r="A121" s="11">
        <v>1869</v>
      </c>
      <c r="B121" s="11">
        <v>494.71600000000001</v>
      </c>
      <c r="C121" s="11">
        <v>521.45699999999999</v>
      </c>
      <c r="D121" s="11">
        <v>3.274</v>
      </c>
      <c r="E121" s="11">
        <v>517.41099999999994</v>
      </c>
      <c r="F121" s="11">
        <v>545.06799999999998</v>
      </c>
      <c r="G121" s="11">
        <v>1.5589999999999999</v>
      </c>
      <c r="H121" s="11">
        <v>494.71600000000001</v>
      </c>
      <c r="I121" s="11">
        <v>521.45699999999999</v>
      </c>
      <c r="J121" s="11">
        <v>3.274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35">
      <c r="A122" s="11">
        <v>1870</v>
      </c>
      <c r="B122" s="11">
        <v>504.07</v>
      </c>
      <c r="C122" s="11">
        <v>532.79899999999998</v>
      </c>
      <c r="D122" s="11">
        <v>3.3250000000000002</v>
      </c>
      <c r="E122" s="11">
        <v>527.90800000000002</v>
      </c>
      <c r="F122" s="11">
        <v>557.63499999999999</v>
      </c>
      <c r="G122" s="11">
        <v>1.732</v>
      </c>
      <c r="H122" s="11">
        <v>504.07</v>
      </c>
      <c r="I122" s="11">
        <v>532.79899999999998</v>
      </c>
      <c r="J122" s="11">
        <v>3.3250000000000002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35">
      <c r="A123" s="11">
        <v>1871</v>
      </c>
      <c r="B123" s="11">
        <v>532.79100000000005</v>
      </c>
      <c r="C123" s="11">
        <v>566.16300000000001</v>
      </c>
      <c r="D123" s="11">
        <v>3.6139999999999999</v>
      </c>
      <c r="E123" s="11">
        <v>558.33699999999999</v>
      </c>
      <c r="F123" s="11">
        <v>592.846</v>
      </c>
      <c r="G123" s="11">
        <v>2.0619999999999998</v>
      </c>
      <c r="H123" s="11">
        <v>532.79100000000005</v>
      </c>
      <c r="I123" s="11">
        <v>566.16300000000001</v>
      </c>
      <c r="J123" s="11">
        <v>3.6139999999999999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35">
      <c r="A124" s="11">
        <v>1872</v>
      </c>
      <c r="B124" s="11">
        <v>590.577</v>
      </c>
      <c r="C124" s="11">
        <v>626.553</v>
      </c>
      <c r="D124" s="11">
        <v>4.4080000000000004</v>
      </c>
      <c r="E124" s="11">
        <v>619.19500000000005</v>
      </c>
      <c r="F124" s="11">
        <v>656.39599999999996</v>
      </c>
      <c r="G124" s="11">
        <v>2.2149999999999999</v>
      </c>
      <c r="H124" s="11">
        <v>590.577</v>
      </c>
      <c r="I124" s="11">
        <v>626.553</v>
      </c>
      <c r="J124" s="11">
        <v>4.4080000000000004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35">
      <c r="A125" s="11">
        <v>1873</v>
      </c>
      <c r="B125" s="11">
        <v>627.63599999999997</v>
      </c>
      <c r="C125" s="11">
        <v>665.779</v>
      </c>
      <c r="D125" s="11">
        <v>4.6879999999999997</v>
      </c>
      <c r="E125" s="11">
        <v>657.92399999999998</v>
      </c>
      <c r="F125" s="11">
        <v>697.36099999999999</v>
      </c>
      <c r="G125" s="11">
        <v>2.2930000000000001</v>
      </c>
      <c r="H125" s="11">
        <v>627.63499999999999</v>
      </c>
      <c r="I125" s="11">
        <v>665.779</v>
      </c>
      <c r="J125" s="11">
        <v>4.6879999999999997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35">
      <c r="A126" s="11">
        <v>1874</v>
      </c>
      <c r="B126" s="11">
        <v>581.88800000000003</v>
      </c>
      <c r="C126" s="11">
        <v>623.38</v>
      </c>
      <c r="D126" s="11">
        <v>5.282</v>
      </c>
      <c r="E126" s="11">
        <v>609.18600000000004</v>
      </c>
      <c r="F126" s="11">
        <v>652.19100000000003</v>
      </c>
      <c r="G126" s="11">
        <v>2.5609999999999999</v>
      </c>
      <c r="H126" s="11">
        <v>581.88800000000003</v>
      </c>
      <c r="I126" s="11">
        <v>623.38</v>
      </c>
      <c r="J126" s="11">
        <v>5.282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35">
      <c r="A127" s="11">
        <v>1875</v>
      </c>
      <c r="B127" s="11">
        <v>633.49400000000003</v>
      </c>
      <c r="C127" s="11">
        <v>676.13300000000004</v>
      </c>
      <c r="D127" s="11">
        <v>4.915</v>
      </c>
      <c r="E127" s="11">
        <v>664.91700000000003</v>
      </c>
      <c r="F127" s="11">
        <v>709.15800000000002</v>
      </c>
      <c r="G127" s="11">
        <v>2.798</v>
      </c>
      <c r="H127" s="11">
        <v>633.49400000000003</v>
      </c>
      <c r="I127" s="11">
        <v>676.13300000000004</v>
      </c>
      <c r="J127" s="11">
        <v>4.915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35">
      <c r="A128" s="11">
        <v>1876</v>
      </c>
      <c r="B128" s="11">
        <v>633.96400000000006</v>
      </c>
      <c r="C128" s="11">
        <v>685.56200000000001</v>
      </c>
      <c r="D128" s="11">
        <v>5.0199999999999996</v>
      </c>
      <c r="E128" s="11">
        <v>665.89099999999996</v>
      </c>
      <c r="F128" s="11">
        <v>719.85699999999997</v>
      </c>
      <c r="G128" s="11">
        <v>3.1280000000000001</v>
      </c>
      <c r="H128" s="11">
        <v>633.96400000000006</v>
      </c>
      <c r="I128" s="11">
        <v>685.56200000000001</v>
      </c>
      <c r="J128" s="11">
        <v>5.0199999999999996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35">
      <c r="A129" s="11">
        <v>1877</v>
      </c>
      <c r="B129" s="11">
        <v>647.73400000000004</v>
      </c>
      <c r="C129" s="11">
        <v>699.16200000000003</v>
      </c>
      <c r="D129" s="11">
        <v>4.8710000000000004</v>
      </c>
      <c r="E129" s="11">
        <v>680.28899999999999</v>
      </c>
      <c r="F129" s="11">
        <v>734.11400000000003</v>
      </c>
      <c r="G129" s="11">
        <v>3.21</v>
      </c>
      <c r="H129" s="11">
        <v>647.73400000000004</v>
      </c>
      <c r="I129" s="11">
        <v>699.16200000000003</v>
      </c>
      <c r="J129" s="11">
        <v>4.8710000000000004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35">
      <c r="A130" s="11">
        <v>1878</v>
      </c>
      <c r="B130" s="11">
        <v>646.90200000000004</v>
      </c>
      <c r="C130" s="11">
        <v>702.58199999999999</v>
      </c>
      <c r="D130" s="11">
        <v>7.0670000000000002</v>
      </c>
      <c r="E130" s="11">
        <v>678.654</v>
      </c>
      <c r="F130" s="11">
        <v>736.98500000000001</v>
      </c>
      <c r="G130" s="11">
        <v>3.7090000000000001</v>
      </c>
      <c r="H130" s="11">
        <v>646.90200000000004</v>
      </c>
      <c r="I130" s="11">
        <v>702.58199999999999</v>
      </c>
      <c r="J130" s="11">
        <v>7.0670000000000002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35">
      <c r="A131" s="11">
        <v>1879</v>
      </c>
      <c r="B131" s="11">
        <v>693.40300000000002</v>
      </c>
      <c r="C131" s="11">
        <v>752.64</v>
      </c>
      <c r="D131" s="11">
        <v>7.1550000000000002</v>
      </c>
      <c r="E131" s="11">
        <v>728.45899999999995</v>
      </c>
      <c r="F131" s="11">
        <v>790.548</v>
      </c>
      <c r="G131" s="11">
        <v>3.6739999999999999</v>
      </c>
      <c r="H131" s="11">
        <v>693.40300000000002</v>
      </c>
      <c r="I131" s="11">
        <v>752.64</v>
      </c>
      <c r="J131" s="11">
        <v>7.1550000000000002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35">
      <c r="A132" s="11">
        <v>1880</v>
      </c>
      <c r="B132" s="11">
        <v>787.75599999999997</v>
      </c>
      <c r="C132" s="11">
        <v>850.24699999999996</v>
      </c>
      <c r="D132" s="11">
        <v>7.9809999999999999</v>
      </c>
      <c r="E132" s="11">
        <v>831.26900000000001</v>
      </c>
      <c r="F132" s="11">
        <v>896.803</v>
      </c>
      <c r="G132" s="11">
        <v>4.2080000000000002</v>
      </c>
      <c r="H132" s="11">
        <v>787.75599999999997</v>
      </c>
      <c r="I132" s="11">
        <v>850.24699999999996</v>
      </c>
      <c r="J132" s="11">
        <v>7.9809999999999999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35">
      <c r="A133" s="11">
        <v>1881</v>
      </c>
      <c r="B133" s="11">
        <v>815.39200000000005</v>
      </c>
      <c r="C133" s="11">
        <v>879.85299999999995</v>
      </c>
      <c r="D133" s="11">
        <v>8.3190000000000008</v>
      </c>
      <c r="E133" s="11">
        <v>856.41200000000003</v>
      </c>
      <c r="F133" s="11">
        <v>924.06799999999998</v>
      </c>
      <c r="G133" s="11">
        <v>4.2939999999999996</v>
      </c>
      <c r="H133" s="11">
        <v>815.39200000000005</v>
      </c>
      <c r="I133" s="11">
        <v>879.85299999999995</v>
      </c>
      <c r="J133" s="11">
        <v>8.3190000000000008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35">
      <c r="A134" s="11">
        <v>1882</v>
      </c>
      <c r="B134" s="11">
        <v>862.44399999999996</v>
      </c>
      <c r="C134" s="11">
        <v>929.26499999999999</v>
      </c>
      <c r="D134" s="11">
        <v>8.8930000000000007</v>
      </c>
      <c r="E134" s="11">
        <v>906.86400000000003</v>
      </c>
      <c r="F134" s="11">
        <v>977.00800000000004</v>
      </c>
      <c r="G134" s="11">
        <v>4.8</v>
      </c>
      <c r="H134" s="11">
        <v>862.44399999999996</v>
      </c>
      <c r="I134" s="11">
        <v>929.26499999999999</v>
      </c>
      <c r="J134" s="11">
        <v>8.8930000000000007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35">
      <c r="A135" s="11">
        <v>1883</v>
      </c>
      <c r="B135" s="11">
        <v>914.63599999999997</v>
      </c>
      <c r="C135" s="11">
        <v>988.19200000000001</v>
      </c>
      <c r="D135" s="11">
        <v>9.6709999999999994</v>
      </c>
      <c r="E135" s="11">
        <v>961.88199999999995</v>
      </c>
      <c r="F135" s="11">
        <v>1039.0609999999999</v>
      </c>
      <c r="G135" s="11">
        <v>5.4059999999999997</v>
      </c>
      <c r="H135" s="11">
        <v>914.63599999999997</v>
      </c>
      <c r="I135" s="11">
        <v>988.19200000000001</v>
      </c>
      <c r="J135" s="11">
        <v>9.6709999999999994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35">
      <c r="A136" s="11">
        <v>1884</v>
      </c>
      <c r="B136" s="11">
        <v>923.02300000000002</v>
      </c>
      <c r="C136" s="11">
        <v>999.20399999999995</v>
      </c>
      <c r="D136" s="11">
        <v>10.558</v>
      </c>
      <c r="E136" s="11">
        <v>971.20299999999997</v>
      </c>
      <c r="F136" s="11">
        <v>1051.135</v>
      </c>
      <c r="G136" s="11">
        <v>5.8209999999999997</v>
      </c>
      <c r="H136" s="11">
        <v>923.02300000000002</v>
      </c>
      <c r="I136" s="11">
        <v>999.20399999999995</v>
      </c>
      <c r="J136" s="11">
        <v>10.558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35">
      <c r="A137" s="11">
        <v>1885</v>
      </c>
      <c r="B137" s="11">
        <v>926.5</v>
      </c>
      <c r="C137" s="11">
        <v>1006.731</v>
      </c>
      <c r="D137" s="11">
        <v>10.757999999999999</v>
      </c>
      <c r="E137" s="11">
        <v>976.27300000000002</v>
      </c>
      <c r="F137" s="11">
        <v>1060.52</v>
      </c>
      <c r="G137" s="11">
        <v>5.8410000000000002</v>
      </c>
      <c r="H137" s="11">
        <v>926.5</v>
      </c>
      <c r="I137" s="11">
        <v>1006.731</v>
      </c>
      <c r="J137" s="11">
        <v>10.757999999999999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35">
      <c r="A138" s="11">
        <v>1886</v>
      </c>
      <c r="B138" s="11">
        <v>939.66600000000005</v>
      </c>
      <c r="C138" s="11">
        <v>1022.164</v>
      </c>
      <c r="D138" s="11">
        <v>10.823</v>
      </c>
      <c r="E138" s="11">
        <v>989.56200000000001</v>
      </c>
      <c r="F138" s="11">
        <v>1076.271</v>
      </c>
      <c r="G138" s="11">
        <v>6.2690000000000001</v>
      </c>
      <c r="H138" s="11">
        <v>939.66600000000005</v>
      </c>
      <c r="I138" s="11">
        <v>1022.164</v>
      </c>
      <c r="J138" s="11">
        <v>10.823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35">
      <c r="A139" s="11">
        <v>1887</v>
      </c>
      <c r="B139" s="11">
        <v>986.875</v>
      </c>
      <c r="C139" s="11">
        <v>1072.134</v>
      </c>
      <c r="D139" s="11">
        <v>12.148999999999999</v>
      </c>
      <c r="E139" s="11">
        <v>1038.9390000000001</v>
      </c>
      <c r="F139" s="11">
        <v>1128.653</v>
      </c>
      <c r="G139" s="11">
        <v>8.0139999999999993</v>
      </c>
      <c r="H139" s="11">
        <v>986.875</v>
      </c>
      <c r="I139" s="11">
        <v>1072.134</v>
      </c>
      <c r="J139" s="11">
        <v>12.148999999999999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35">
      <c r="A140" s="11">
        <v>1888</v>
      </c>
      <c r="B140" s="11">
        <v>1095.0250000000001</v>
      </c>
      <c r="C140" s="11">
        <v>1187.414</v>
      </c>
      <c r="D140" s="11">
        <v>13.927</v>
      </c>
      <c r="E140" s="11">
        <v>1152.9839999999999</v>
      </c>
      <c r="F140" s="11">
        <v>1250.1479999999999</v>
      </c>
      <c r="G140" s="11">
        <v>8.3710000000000004</v>
      </c>
      <c r="H140" s="11">
        <v>1095.0250000000001</v>
      </c>
      <c r="I140" s="11">
        <v>1187.414</v>
      </c>
      <c r="J140" s="11">
        <v>13.927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35">
      <c r="A141" s="11">
        <v>1889</v>
      </c>
      <c r="B141" s="11">
        <v>1086.749</v>
      </c>
      <c r="C141" s="11">
        <v>1185.9480000000001</v>
      </c>
      <c r="D141" s="11">
        <v>16.149999999999999</v>
      </c>
      <c r="E141" s="11">
        <v>1145.8879999999999</v>
      </c>
      <c r="F141" s="11">
        <v>1250.171</v>
      </c>
      <c r="G141" s="11">
        <v>10.297000000000001</v>
      </c>
      <c r="H141" s="11">
        <v>1086.749</v>
      </c>
      <c r="I141" s="11">
        <v>1185.9480000000001</v>
      </c>
      <c r="J141" s="11">
        <v>16.149999999999999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35">
      <c r="A142" s="11">
        <v>1890</v>
      </c>
      <c r="B142" s="11">
        <v>1184.876</v>
      </c>
      <c r="C142" s="11">
        <v>1291.0530000000001</v>
      </c>
      <c r="D142" s="11">
        <v>16.202000000000002</v>
      </c>
      <c r="E142" s="11">
        <v>1249.345</v>
      </c>
      <c r="F142" s="11">
        <v>1361.0319999999999</v>
      </c>
      <c r="G142" s="11">
        <v>11.061</v>
      </c>
      <c r="H142" s="11">
        <v>1184.876</v>
      </c>
      <c r="I142" s="11">
        <v>1291.0530000000001</v>
      </c>
      <c r="J142" s="11">
        <v>16.202000000000002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35">
      <c r="A143" s="11">
        <v>1891</v>
      </c>
      <c r="B143" s="11">
        <v>1237.6759999999999</v>
      </c>
      <c r="C143" s="11">
        <v>1351.5840000000001</v>
      </c>
      <c r="D143" s="11">
        <v>18.015000000000001</v>
      </c>
      <c r="E143" s="11">
        <v>1305.3869999999999</v>
      </c>
      <c r="F143" s="11">
        <v>1425.2080000000001</v>
      </c>
      <c r="G143" s="11">
        <v>12.18</v>
      </c>
      <c r="H143" s="11">
        <v>1237.6759999999999</v>
      </c>
      <c r="I143" s="11">
        <v>1351.5840000000001</v>
      </c>
      <c r="J143" s="11">
        <v>18.015000000000001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35">
      <c r="A144" s="11">
        <v>1892</v>
      </c>
      <c r="B144" s="11">
        <v>1246.539</v>
      </c>
      <c r="C144" s="11">
        <v>1360.43</v>
      </c>
      <c r="D144" s="11">
        <v>20.106000000000002</v>
      </c>
      <c r="E144" s="11">
        <v>1314.8620000000001</v>
      </c>
      <c r="F144" s="11">
        <v>1434.749</v>
      </c>
      <c r="G144" s="11">
        <v>14.156000000000001</v>
      </c>
      <c r="H144" s="11">
        <v>1246.539</v>
      </c>
      <c r="I144" s="11">
        <v>1360.43</v>
      </c>
      <c r="J144" s="11">
        <v>20.106000000000002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35">
      <c r="A145" s="11">
        <v>1893</v>
      </c>
      <c r="B145" s="11">
        <v>1218.2840000000001</v>
      </c>
      <c r="C145" s="11">
        <v>1340.2850000000001</v>
      </c>
      <c r="D145" s="11">
        <v>22.895</v>
      </c>
      <c r="E145" s="11">
        <v>1287.6969999999999</v>
      </c>
      <c r="F145" s="11">
        <v>1416.162</v>
      </c>
      <c r="G145" s="11">
        <v>17.506</v>
      </c>
      <c r="H145" s="11">
        <v>1218.2840000000001</v>
      </c>
      <c r="I145" s="11">
        <v>1340.2850000000001</v>
      </c>
      <c r="J145" s="11">
        <v>22.895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35">
      <c r="A146" s="11">
        <v>1894</v>
      </c>
      <c r="B146" s="11">
        <v>1262.067</v>
      </c>
      <c r="C146" s="11">
        <v>1386.73</v>
      </c>
      <c r="D146" s="11">
        <v>25.497</v>
      </c>
      <c r="E146" s="11">
        <v>1334.7560000000001</v>
      </c>
      <c r="F146" s="11">
        <v>1465.9570000000001</v>
      </c>
      <c r="G146" s="11">
        <v>18.850999999999999</v>
      </c>
      <c r="H146" s="11">
        <v>1262.067</v>
      </c>
      <c r="I146" s="11">
        <v>1386.73</v>
      </c>
      <c r="J146" s="11">
        <v>25.497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35">
      <c r="A147" s="11">
        <v>1895</v>
      </c>
      <c r="B147" s="11">
        <v>1332.797</v>
      </c>
      <c r="C147" s="11">
        <v>1467.0889999999999</v>
      </c>
      <c r="D147" s="11">
        <v>28.875</v>
      </c>
      <c r="E147" s="11">
        <v>1409.4449999999999</v>
      </c>
      <c r="F147" s="11">
        <v>1550.9269999999999</v>
      </c>
      <c r="G147" s="11">
        <v>23.312999999999999</v>
      </c>
      <c r="H147" s="11">
        <v>1332.797</v>
      </c>
      <c r="I147" s="11">
        <v>1467.0889999999999</v>
      </c>
      <c r="J147" s="11">
        <v>28.875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35">
      <c r="A148" s="11">
        <v>1896</v>
      </c>
      <c r="B148" s="11">
        <v>1373.6990000000001</v>
      </c>
      <c r="C148" s="11">
        <v>1514.0260000000001</v>
      </c>
      <c r="D148" s="11">
        <v>31.425000000000001</v>
      </c>
      <c r="E148" s="11">
        <v>1452.633</v>
      </c>
      <c r="F148" s="11">
        <v>1600.403</v>
      </c>
      <c r="G148" s="11">
        <v>25.541</v>
      </c>
      <c r="H148" s="11">
        <v>1373.6990000000001</v>
      </c>
      <c r="I148" s="11">
        <v>1514.0260000000001</v>
      </c>
      <c r="J148" s="11">
        <v>31.425000000000001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35">
      <c r="A149" s="11">
        <v>1897</v>
      </c>
      <c r="B149" s="11">
        <v>1433.442</v>
      </c>
      <c r="C149" s="11">
        <v>1584.5440000000001</v>
      </c>
      <c r="D149" s="11">
        <v>33.860999999999997</v>
      </c>
      <c r="E149" s="11">
        <v>1517.1020000000001</v>
      </c>
      <c r="F149" s="11">
        <v>1676.373</v>
      </c>
      <c r="G149" s="11">
        <v>28.189</v>
      </c>
      <c r="H149" s="11">
        <v>1433.442</v>
      </c>
      <c r="I149" s="11">
        <v>1584.5440000000001</v>
      </c>
      <c r="J149" s="11">
        <v>33.860999999999997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35">
      <c r="A150" s="11">
        <v>1898</v>
      </c>
      <c r="B150" s="11">
        <v>1504.634</v>
      </c>
      <c r="C150" s="11">
        <v>1668.5640000000001</v>
      </c>
      <c r="D150" s="11">
        <v>38.402000000000001</v>
      </c>
      <c r="E150" s="11">
        <v>1592.796</v>
      </c>
      <c r="F150" s="11">
        <v>1765.415</v>
      </c>
      <c r="G150" s="11">
        <v>32.625999999999998</v>
      </c>
      <c r="H150" s="11">
        <v>1504.634</v>
      </c>
      <c r="I150" s="11">
        <v>1668.5640000000001</v>
      </c>
      <c r="J150" s="11">
        <v>38.402000000000001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35">
      <c r="A151" s="11">
        <v>1899</v>
      </c>
      <c r="B151" s="11">
        <v>1648.3879999999999</v>
      </c>
      <c r="C151" s="11">
        <v>1823.2270000000001</v>
      </c>
      <c r="D151" s="11">
        <v>41.197000000000003</v>
      </c>
      <c r="E151" s="11">
        <v>1746.1959999999999</v>
      </c>
      <c r="F151" s="11">
        <v>1930.45</v>
      </c>
      <c r="G151" s="11">
        <v>35.130000000000003</v>
      </c>
      <c r="H151" s="11">
        <v>1648.3879999999999</v>
      </c>
      <c r="I151" s="11">
        <v>1823.2270000000001</v>
      </c>
      <c r="J151" s="11">
        <v>41.197000000000003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35">
      <c r="A152" s="11">
        <v>1900</v>
      </c>
      <c r="B152" s="11">
        <v>1737.3140000000001</v>
      </c>
      <c r="C152" s="11">
        <v>1922.241</v>
      </c>
      <c r="D152" s="11">
        <v>40.643000000000001</v>
      </c>
      <c r="E152" s="11">
        <v>1844.5119999999999</v>
      </c>
      <c r="F152" s="11">
        <v>2039.3330000000001</v>
      </c>
      <c r="G152" s="11">
        <v>34.926000000000002</v>
      </c>
      <c r="H152" s="11">
        <v>1737.3140000000001</v>
      </c>
      <c r="I152" s="11">
        <v>1922.241</v>
      </c>
      <c r="J152" s="11">
        <v>40.643000000000001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35">
      <c r="A153" s="11">
        <v>1901</v>
      </c>
      <c r="B153" s="11">
        <v>1786.6420000000001</v>
      </c>
      <c r="C153" s="11">
        <v>1979.2629999999999</v>
      </c>
      <c r="D153" s="11">
        <v>46.365000000000002</v>
      </c>
      <c r="E153" s="11">
        <v>1893.808</v>
      </c>
      <c r="F153" s="11">
        <v>2096.8180000000002</v>
      </c>
      <c r="G153" s="11">
        <v>44.545999999999999</v>
      </c>
      <c r="H153" s="11">
        <v>1786.6420000000001</v>
      </c>
      <c r="I153" s="11">
        <v>1979.2629999999999</v>
      </c>
      <c r="J153" s="11">
        <v>46.365000000000002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35">
      <c r="A154" s="11">
        <v>1902</v>
      </c>
      <c r="B154" s="11">
        <v>1838.635</v>
      </c>
      <c r="C154" s="11">
        <v>2027.4780000000001</v>
      </c>
      <c r="D154" s="11">
        <v>49.478000000000002</v>
      </c>
      <c r="E154" s="11">
        <v>1947.749</v>
      </c>
      <c r="F154" s="11">
        <v>2146.9270000000001</v>
      </c>
      <c r="G154" s="11">
        <v>48.182000000000002</v>
      </c>
      <c r="H154" s="11">
        <v>1838.635</v>
      </c>
      <c r="I154" s="11">
        <v>2027.4780000000001</v>
      </c>
      <c r="J154" s="11">
        <v>49.478000000000002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35">
      <c r="A155" s="11">
        <v>1903</v>
      </c>
      <c r="B155" s="11">
        <v>2018.0139999999999</v>
      </c>
      <c r="C155" s="11">
        <v>2210.0970000000002</v>
      </c>
      <c r="D155" s="11">
        <v>54.494999999999997</v>
      </c>
      <c r="E155" s="11">
        <v>2136.3119999999999</v>
      </c>
      <c r="F155" s="11">
        <v>2338.75</v>
      </c>
      <c r="G155" s="11">
        <v>54.465000000000003</v>
      </c>
      <c r="H155" s="11">
        <v>2018.0139999999999</v>
      </c>
      <c r="I155" s="11">
        <v>2210.0970000000002</v>
      </c>
      <c r="J155" s="11">
        <v>54.494999999999997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35">
      <c r="A156" s="11">
        <v>1904</v>
      </c>
      <c r="B156" s="11">
        <v>2029.0329999999999</v>
      </c>
      <c r="C156" s="11">
        <v>2230.2370000000001</v>
      </c>
      <c r="D156" s="11">
        <v>60.018000000000001</v>
      </c>
      <c r="E156" s="11">
        <v>2146.8820000000001</v>
      </c>
      <c r="F156" s="11">
        <v>2359.0790000000002</v>
      </c>
      <c r="G156" s="11">
        <v>60.863</v>
      </c>
      <c r="H156" s="11">
        <v>2029.0329999999999</v>
      </c>
      <c r="I156" s="11">
        <v>2230.2370000000001</v>
      </c>
      <c r="J156" s="11">
        <v>60.018000000000001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35">
      <c r="A157" s="11">
        <v>1905</v>
      </c>
      <c r="B157" s="11">
        <v>2175.154</v>
      </c>
      <c r="C157" s="11">
        <v>2376.6619999999998</v>
      </c>
      <c r="D157" s="11">
        <v>63.908999999999999</v>
      </c>
      <c r="E157" s="11">
        <v>2299.511</v>
      </c>
      <c r="F157" s="11">
        <v>2511.4989999999998</v>
      </c>
      <c r="G157" s="11">
        <v>63.024000000000001</v>
      </c>
      <c r="H157" s="11">
        <v>2175.154</v>
      </c>
      <c r="I157" s="11">
        <v>2376.6619999999998</v>
      </c>
      <c r="J157" s="11">
        <v>63.908999999999999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35">
      <c r="A158" s="11">
        <v>1906</v>
      </c>
      <c r="B158" s="11">
        <v>2257.6930000000002</v>
      </c>
      <c r="C158" s="11">
        <v>2475.7249999999999</v>
      </c>
      <c r="D158" s="11">
        <v>73.253</v>
      </c>
      <c r="E158" s="11">
        <v>2387.1790000000001</v>
      </c>
      <c r="F158" s="11">
        <v>2616.4859999999999</v>
      </c>
      <c r="G158" s="11">
        <v>88.668000000000006</v>
      </c>
      <c r="H158" s="11">
        <v>2257.6930000000002</v>
      </c>
      <c r="I158" s="11">
        <v>2475.7249999999999</v>
      </c>
      <c r="J158" s="11">
        <v>73.253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35">
      <c r="A159" s="11">
        <v>1907</v>
      </c>
      <c r="B159" s="11">
        <v>2563.8319999999999</v>
      </c>
      <c r="C159" s="11">
        <v>2803.0169999999998</v>
      </c>
      <c r="D159" s="11">
        <v>101.932</v>
      </c>
      <c r="E159" s="11">
        <v>2714.1950000000002</v>
      </c>
      <c r="F159" s="11">
        <v>2965.933</v>
      </c>
      <c r="G159" s="11">
        <v>95.777000000000001</v>
      </c>
      <c r="H159" s="11">
        <v>2563.8319999999999</v>
      </c>
      <c r="I159" s="11">
        <v>2803.0169999999998</v>
      </c>
      <c r="J159" s="11">
        <v>101.932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35">
      <c r="A160" s="11">
        <v>1908</v>
      </c>
      <c r="B160" s="11">
        <v>2433.6660000000002</v>
      </c>
      <c r="C160" s="11">
        <v>2680.5859999999998</v>
      </c>
      <c r="D160" s="11">
        <v>109.809</v>
      </c>
      <c r="E160" s="11">
        <v>2586.4549999999999</v>
      </c>
      <c r="F160" s="11">
        <v>2846.47</v>
      </c>
      <c r="G160" s="11">
        <v>110.419</v>
      </c>
      <c r="H160" s="11">
        <v>2433.6660000000002</v>
      </c>
      <c r="I160" s="11">
        <v>2680.5859999999998</v>
      </c>
      <c r="J160" s="11">
        <v>109.809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35">
      <c r="A161" s="11">
        <v>1909</v>
      </c>
      <c r="B161" s="11">
        <v>2537.627</v>
      </c>
      <c r="C161" s="11">
        <v>2792.9850000000001</v>
      </c>
      <c r="D161" s="11">
        <v>114.126</v>
      </c>
      <c r="E161" s="11">
        <v>2688.9609999999998</v>
      </c>
      <c r="F161" s="11">
        <v>2957.8339999999998</v>
      </c>
      <c r="G161" s="11">
        <v>110.2</v>
      </c>
      <c r="H161" s="11">
        <v>2537.6280000000002</v>
      </c>
      <c r="I161" s="11">
        <v>2792.9859999999999</v>
      </c>
      <c r="J161" s="11">
        <v>114.126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35">
      <c r="A162" s="11">
        <v>1910</v>
      </c>
      <c r="B162" s="11">
        <v>2678.8359999999998</v>
      </c>
      <c r="C162" s="11">
        <v>2930.7280000000001</v>
      </c>
      <c r="D162" s="11">
        <v>119.545</v>
      </c>
      <c r="E162" s="11">
        <v>2838.2330000000002</v>
      </c>
      <c r="F162" s="11">
        <v>3103.3330000000001</v>
      </c>
      <c r="G162" s="11">
        <v>115.015</v>
      </c>
      <c r="H162" s="11">
        <v>2678.8359999999998</v>
      </c>
      <c r="I162" s="11">
        <v>2930.7280000000001</v>
      </c>
      <c r="J162" s="11">
        <v>119.545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35">
      <c r="A163" s="11">
        <v>1911</v>
      </c>
      <c r="B163" s="11">
        <v>2706.087</v>
      </c>
      <c r="C163" s="11">
        <v>2968.7</v>
      </c>
      <c r="D163" s="11">
        <v>128.50700000000001</v>
      </c>
      <c r="E163" s="11">
        <v>2865.3020000000001</v>
      </c>
      <c r="F163" s="11">
        <v>3141.2289999999998</v>
      </c>
      <c r="G163" s="11">
        <v>132.90100000000001</v>
      </c>
      <c r="H163" s="11">
        <v>2706.087</v>
      </c>
      <c r="I163" s="11">
        <v>2968.7</v>
      </c>
      <c r="J163" s="11">
        <v>128.50700000000001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35">
      <c r="A164" s="11">
        <v>1912</v>
      </c>
      <c r="B164" s="11">
        <v>2836.694</v>
      </c>
      <c r="C164" s="11">
        <v>3125.9520000000002</v>
      </c>
      <c r="D164" s="11">
        <v>127.977</v>
      </c>
      <c r="E164" s="11">
        <v>3009.4659999999999</v>
      </c>
      <c r="F164" s="11">
        <v>3313.123</v>
      </c>
      <c r="G164" s="11">
        <v>122.404</v>
      </c>
      <c r="H164" s="11">
        <v>2836.694</v>
      </c>
      <c r="I164" s="11">
        <v>3125.9520000000002</v>
      </c>
      <c r="J164" s="11">
        <v>127.977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35">
      <c r="A165" s="11">
        <v>1913</v>
      </c>
      <c r="B165" s="11">
        <v>3068.6469999999999</v>
      </c>
      <c r="C165" s="11">
        <v>3376.7280000000001</v>
      </c>
      <c r="D165" s="11">
        <v>148.11799999999999</v>
      </c>
      <c r="E165" s="11">
        <v>3253.4250000000002</v>
      </c>
      <c r="F165" s="11">
        <v>3576.5610000000001</v>
      </c>
      <c r="G165" s="11">
        <v>138.119</v>
      </c>
      <c r="H165" s="11">
        <v>3068.6480000000001</v>
      </c>
      <c r="I165" s="11">
        <v>3376.7280000000001</v>
      </c>
      <c r="J165" s="11">
        <v>148.11799999999999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35">
      <c r="A166" s="11">
        <v>1914</v>
      </c>
      <c r="B166" s="11">
        <v>2787.6089999999999</v>
      </c>
      <c r="C166" s="11">
        <v>3056.8470000000002</v>
      </c>
      <c r="D166" s="11">
        <v>140.90299999999999</v>
      </c>
      <c r="E166" s="11">
        <v>2956.114</v>
      </c>
      <c r="F166" s="11">
        <v>3239.6329999999998</v>
      </c>
      <c r="G166" s="11">
        <v>135.32900000000001</v>
      </c>
      <c r="H166" s="11">
        <v>2787.6089999999999</v>
      </c>
      <c r="I166" s="11">
        <v>3056.8470000000002</v>
      </c>
      <c r="J166" s="11">
        <v>140.90299999999999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35">
      <c r="A167" s="11">
        <v>1915</v>
      </c>
      <c r="B167" s="11">
        <v>2751.989</v>
      </c>
      <c r="C167" s="11">
        <v>3009.4760000000001</v>
      </c>
      <c r="D167" s="11">
        <v>138.554</v>
      </c>
      <c r="E167" s="11">
        <v>2915.5610000000001</v>
      </c>
      <c r="F167" s="11">
        <v>3186.6819999999998</v>
      </c>
      <c r="G167" s="11">
        <v>138.41300000000001</v>
      </c>
      <c r="H167" s="11">
        <v>2751.989</v>
      </c>
      <c r="I167" s="11">
        <v>3009.4760000000001</v>
      </c>
      <c r="J167" s="11">
        <v>138.554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35">
      <c r="A168" s="11">
        <v>1916</v>
      </c>
      <c r="B168" s="11">
        <v>2969.3020000000001</v>
      </c>
      <c r="C168" s="11">
        <v>3247.779</v>
      </c>
      <c r="D168" s="11">
        <v>152.453</v>
      </c>
      <c r="E168" s="11">
        <v>3134.4830000000002</v>
      </c>
      <c r="F168" s="11">
        <v>3427.8609999999999</v>
      </c>
      <c r="G168" s="11">
        <v>148.64699999999999</v>
      </c>
      <c r="H168" s="11">
        <v>2969.3020000000001</v>
      </c>
      <c r="I168" s="11">
        <v>3247.779</v>
      </c>
      <c r="J168" s="11">
        <v>152.453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35">
      <c r="A169" s="11">
        <v>1917</v>
      </c>
      <c r="B169" s="11">
        <v>3111.7530000000002</v>
      </c>
      <c r="C169" s="11">
        <v>3390.8069999999998</v>
      </c>
      <c r="D169" s="11">
        <v>165.691</v>
      </c>
      <c r="E169" s="11">
        <v>3257.07</v>
      </c>
      <c r="F169" s="11">
        <v>3550.366</v>
      </c>
      <c r="G169" s="11">
        <v>159.30500000000001</v>
      </c>
      <c r="H169" s="11">
        <v>3111.7530000000002</v>
      </c>
      <c r="I169" s="11">
        <v>3390.8069999999998</v>
      </c>
      <c r="J169" s="11">
        <v>165.691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35">
      <c r="A170" s="11">
        <v>1918</v>
      </c>
      <c r="B170" s="11">
        <v>3137.6390000000001</v>
      </c>
      <c r="C170" s="11">
        <v>3337.2559999999999</v>
      </c>
      <c r="D170" s="11">
        <v>168.82900000000001</v>
      </c>
      <c r="E170" s="11">
        <v>3291.721</v>
      </c>
      <c r="F170" s="11">
        <v>3500.3969999999999</v>
      </c>
      <c r="G170" s="11">
        <v>161.05600000000001</v>
      </c>
      <c r="H170" s="11">
        <v>3137.6390000000001</v>
      </c>
      <c r="I170" s="11">
        <v>3337.2559999999999</v>
      </c>
      <c r="J170" s="11">
        <v>168.82900000000001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35">
      <c r="A171" s="11">
        <v>1919</v>
      </c>
      <c r="B171" s="11">
        <v>2760.8159999999998</v>
      </c>
      <c r="C171" s="11">
        <v>2850.3339999999998</v>
      </c>
      <c r="D171" s="11">
        <v>190.779</v>
      </c>
      <c r="E171" s="11">
        <v>2895.7469999999998</v>
      </c>
      <c r="F171" s="11">
        <v>2991.5149999999999</v>
      </c>
      <c r="G171" s="11">
        <v>183.261</v>
      </c>
      <c r="H171" s="11">
        <v>2760.8159999999998</v>
      </c>
      <c r="I171" s="11">
        <v>2850.3339999999998</v>
      </c>
      <c r="J171" s="11">
        <v>190.779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35">
      <c r="A172" s="11">
        <v>1920</v>
      </c>
      <c r="B172" s="11">
        <v>3154.5430000000001</v>
      </c>
      <c r="C172" s="11">
        <v>3317.4250000000002</v>
      </c>
      <c r="D172" s="11">
        <v>229.333</v>
      </c>
      <c r="E172" s="11">
        <v>3301.5410000000002</v>
      </c>
      <c r="F172" s="11">
        <v>3471.7910000000002</v>
      </c>
      <c r="G172" s="11">
        <v>217.744</v>
      </c>
      <c r="H172" s="11">
        <v>3154.5430000000001</v>
      </c>
      <c r="I172" s="11">
        <v>3317.4250000000002</v>
      </c>
      <c r="J172" s="11">
        <v>229.333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35">
      <c r="A173" s="11">
        <v>1921</v>
      </c>
      <c r="B173" s="11">
        <v>2704.346</v>
      </c>
      <c r="C173" s="11">
        <v>2870.1329999999998</v>
      </c>
      <c r="D173" s="11">
        <v>244.86099999999999</v>
      </c>
      <c r="E173" s="11">
        <v>2828.77</v>
      </c>
      <c r="F173" s="11">
        <v>3001.4830000000002</v>
      </c>
      <c r="G173" s="11">
        <v>234.78299999999999</v>
      </c>
      <c r="H173" s="11">
        <v>2704.346</v>
      </c>
      <c r="I173" s="11">
        <v>2870.1329999999998</v>
      </c>
      <c r="J173" s="11">
        <v>244.86099999999999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35">
      <c r="A174" s="11">
        <v>1922</v>
      </c>
      <c r="B174" s="11">
        <v>2852.5239999999999</v>
      </c>
      <c r="C174" s="11">
        <v>3020.723</v>
      </c>
      <c r="D174" s="11">
        <v>243.994</v>
      </c>
      <c r="E174" s="11">
        <v>2993.5529999999999</v>
      </c>
      <c r="F174" s="11">
        <v>3168.3809999999999</v>
      </c>
      <c r="G174" s="11">
        <v>237.285</v>
      </c>
      <c r="H174" s="11">
        <v>2852.5239999999999</v>
      </c>
      <c r="I174" s="11">
        <v>3020.723</v>
      </c>
      <c r="J174" s="11">
        <v>243.994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35">
      <c r="A175" s="11">
        <v>1923</v>
      </c>
      <c r="B175" s="11">
        <v>3292.88</v>
      </c>
      <c r="C175" s="11">
        <v>3450.66</v>
      </c>
      <c r="D175" s="11">
        <v>252.33600000000001</v>
      </c>
      <c r="E175" s="11">
        <v>3448.4290000000001</v>
      </c>
      <c r="F175" s="11">
        <v>3612.855</v>
      </c>
      <c r="G175" s="11">
        <v>247.339</v>
      </c>
      <c r="H175" s="11">
        <v>3292.88</v>
      </c>
      <c r="I175" s="11">
        <v>3450.66</v>
      </c>
      <c r="J175" s="11">
        <v>252.33600000000001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35">
      <c r="A176" s="11">
        <v>1924</v>
      </c>
      <c r="B176" s="11">
        <v>3279.4810000000002</v>
      </c>
      <c r="C176" s="11">
        <v>3451.5010000000002</v>
      </c>
      <c r="D176" s="11">
        <v>264.642</v>
      </c>
      <c r="E176" s="11">
        <v>3439.422</v>
      </c>
      <c r="F176" s="11">
        <v>3619.328</v>
      </c>
      <c r="G176" s="11">
        <v>262.10700000000003</v>
      </c>
      <c r="H176" s="11">
        <v>3279.4810000000002</v>
      </c>
      <c r="I176" s="11">
        <v>3451.5010000000002</v>
      </c>
      <c r="J176" s="11">
        <v>264.642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35">
      <c r="A177" s="11">
        <v>1925</v>
      </c>
      <c r="B177" s="11">
        <v>3314.5189999999998</v>
      </c>
      <c r="C177" s="11">
        <v>3483.8739999999998</v>
      </c>
      <c r="D177" s="11">
        <v>256.75900000000001</v>
      </c>
      <c r="E177" s="11">
        <v>3498.4389999999999</v>
      </c>
      <c r="F177" s="11">
        <v>3675.4110000000001</v>
      </c>
      <c r="G177" s="11">
        <v>257.62</v>
      </c>
      <c r="H177" s="11">
        <v>3314.5189999999998</v>
      </c>
      <c r="I177" s="11">
        <v>3483.8739999999998</v>
      </c>
      <c r="J177" s="11">
        <v>256.75900000000001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35">
      <c r="A178" s="11">
        <v>1926</v>
      </c>
      <c r="B178" s="11">
        <v>3231.8629999999998</v>
      </c>
      <c r="C178" s="11">
        <v>3427.5259999999998</v>
      </c>
      <c r="D178" s="11">
        <v>249.88</v>
      </c>
      <c r="E178" s="11">
        <v>3409.0619999999999</v>
      </c>
      <c r="F178" s="11">
        <v>3613.5909999999999</v>
      </c>
      <c r="G178" s="11">
        <v>261.85700000000003</v>
      </c>
      <c r="H178" s="11">
        <v>3231.8629999999998</v>
      </c>
      <c r="I178" s="11">
        <v>3427.5259999999998</v>
      </c>
      <c r="J178" s="11">
        <v>249.88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35">
      <c r="A179" s="11">
        <v>1927</v>
      </c>
      <c r="B179" s="11">
        <v>3530.0419999999999</v>
      </c>
      <c r="C179" s="11">
        <v>3761.45</v>
      </c>
      <c r="D179" s="11">
        <v>251.49700000000001</v>
      </c>
      <c r="E179" s="11">
        <v>3735.9659999999999</v>
      </c>
      <c r="F179" s="11">
        <v>3981.0520000000001</v>
      </c>
      <c r="G179" s="11">
        <v>268.71199999999999</v>
      </c>
      <c r="H179" s="11">
        <v>3530.0419999999999</v>
      </c>
      <c r="I179" s="11">
        <v>3761.45</v>
      </c>
      <c r="J179" s="11">
        <v>251.49700000000001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35">
      <c r="A180" s="11">
        <v>1928</v>
      </c>
      <c r="B180" s="11">
        <v>3491.248</v>
      </c>
      <c r="C180" s="11">
        <v>3740.0320000000002</v>
      </c>
      <c r="D180" s="11">
        <v>256.279</v>
      </c>
      <c r="E180" s="11">
        <v>3683.21</v>
      </c>
      <c r="F180" s="11">
        <v>3944.6179999999999</v>
      </c>
      <c r="G180" s="11">
        <v>290.52699999999999</v>
      </c>
      <c r="H180" s="11">
        <v>3491.248</v>
      </c>
      <c r="I180" s="11">
        <v>3740.0320000000002</v>
      </c>
      <c r="J180" s="11">
        <v>256.279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35">
      <c r="A181" s="11">
        <v>1929</v>
      </c>
      <c r="B181" s="11">
        <v>3745.6320000000001</v>
      </c>
      <c r="C181" s="11">
        <v>4022.3220000000001</v>
      </c>
      <c r="D181" s="11">
        <v>265.88799999999998</v>
      </c>
      <c r="E181" s="11">
        <v>3954.39</v>
      </c>
      <c r="F181" s="11">
        <v>4244.4189999999999</v>
      </c>
      <c r="G181" s="11">
        <v>311.21899999999999</v>
      </c>
      <c r="H181" s="11">
        <v>3745.6320000000001</v>
      </c>
      <c r="I181" s="11">
        <v>4022.3220000000001</v>
      </c>
      <c r="J181" s="11">
        <v>265.88799999999998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35">
      <c r="A182" s="11">
        <v>1930</v>
      </c>
      <c r="B182" s="11">
        <v>3403.625</v>
      </c>
      <c r="C182" s="11">
        <v>3692.9180000000001</v>
      </c>
      <c r="D182" s="11">
        <v>265.17700000000002</v>
      </c>
      <c r="E182" s="11">
        <v>3588.0920000000001</v>
      </c>
      <c r="F182" s="11">
        <v>3893.1309999999999</v>
      </c>
      <c r="G182" s="11">
        <v>320.66899999999998</v>
      </c>
      <c r="H182" s="11">
        <v>3403.625</v>
      </c>
      <c r="I182" s="11">
        <v>3692.9180000000001</v>
      </c>
      <c r="J182" s="11">
        <v>265.17700000000002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35">
      <c r="A183" s="11">
        <v>1931</v>
      </c>
      <c r="B183" s="11">
        <v>2974.7719999999999</v>
      </c>
      <c r="C183" s="11">
        <v>3286.8589999999999</v>
      </c>
      <c r="D183" s="11">
        <v>252.46</v>
      </c>
      <c r="E183" s="11">
        <v>3137.3440000000001</v>
      </c>
      <c r="F183" s="11">
        <v>3466.8820000000001</v>
      </c>
      <c r="G183" s="11">
        <v>301.03500000000003</v>
      </c>
      <c r="H183" s="11">
        <v>2974.7719999999999</v>
      </c>
      <c r="I183" s="11">
        <v>3286.8589999999999</v>
      </c>
      <c r="J183" s="11">
        <v>252.46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35">
      <c r="A184" s="11">
        <v>1932</v>
      </c>
      <c r="B184" s="11">
        <v>2626.5079999999998</v>
      </c>
      <c r="C184" s="11">
        <v>2940.5410000000002</v>
      </c>
      <c r="D184" s="11">
        <v>252.04900000000001</v>
      </c>
      <c r="E184" s="11">
        <v>2770.1640000000002</v>
      </c>
      <c r="F184" s="11">
        <v>3101.7260000000001</v>
      </c>
      <c r="G184" s="11">
        <v>298.14</v>
      </c>
      <c r="H184" s="11">
        <v>2626.5079999999998</v>
      </c>
      <c r="I184" s="11">
        <v>2940.5410000000002</v>
      </c>
      <c r="J184" s="11">
        <v>252.04900000000001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35">
      <c r="A185" s="11">
        <v>1933</v>
      </c>
      <c r="B185" s="11">
        <v>2759.7240000000002</v>
      </c>
      <c r="C185" s="11">
        <v>3092.6289999999999</v>
      </c>
      <c r="D185" s="11">
        <v>270.053</v>
      </c>
      <c r="E185" s="11">
        <v>2908.3690000000001</v>
      </c>
      <c r="F185" s="11">
        <v>3259.6019999999999</v>
      </c>
      <c r="G185" s="11">
        <v>319.05599999999998</v>
      </c>
      <c r="H185" s="11">
        <v>2759.7240000000002</v>
      </c>
      <c r="I185" s="11">
        <v>3092.6289999999999</v>
      </c>
      <c r="J185" s="11">
        <v>270.053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35">
      <c r="A186" s="11">
        <v>1934</v>
      </c>
      <c r="B186" s="11">
        <v>2965.8159999999998</v>
      </c>
      <c r="C186" s="11">
        <v>3349.5549999999998</v>
      </c>
      <c r="D186" s="11">
        <v>306.63</v>
      </c>
      <c r="E186" s="11">
        <v>3126.36</v>
      </c>
      <c r="F186" s="11">
        <v>3531.4549999999999</v>
      </c>
      <c r="G186" s="11">
        <v>364.60599999999999</v>
      </c>
      <c r="H186" s="11">
        <v>2965.8159999999998</v>
      </c>
      <c r="I186" s="11">
        <v>3349.5549999999998</v>
      </c>
      <c r="J186" s="11">
        <v>306.63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35">
      <c r="A187" s="11">
        <v>1935</v>
      </c>
      <c r="B187" s="11">
        <v>3077.8879999999999</v>
      </c>
      <c r="C187" s="11">
        <v>3496.8510000000001</v>
      </c>
      <c r="D187" s="11">
        <v>338.89</v>
      </c>
      <c r="E187" s="11">
        <v>3246.6579999999999</v>
      </c>
      <c r="F187" s="11">
        <v>3689.3649999999998</v>
      </c>
      <c r="G187" s="11">
        <v>408.315</v>
      </c>
      <c r="H187" s="11">
        <v>3077.8879999999999</v>
      </c>
      <c r="I187" s="11">
        <v>3496.8510000000001</v>
      </c>
      <c r="J187" s="11">
        <v>338.89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35">
      <c r="A188" s="11">
        <v>1936</v>
      </c>
      <c r="B188" s="11">
        <v>3378.7060000000001</v>
      </c>
      <c r="C188" s="11">
        <v>3848.183</v>
      </c>
      <c r="D188" s="11">
        <v>359.74599999999998</v>
      </c>
      <c r="E188" s="11">
        <v>3561.6529999999998</v>
      </c>
      <c r="F188" s="11">
        <v>4058.2739999999999</v>
      </c>
      <c r="G188" s="11">
        <v>438.99900000000002</v>
      </c>
      <c r="H188" s="11">
        <v>3378.7060000000001</v>
      </c>
      <c r="I188" s="11">
        <v>3848.183</v>
      </c>
      <c r="J188" s="11">
        <v>359.74599999999998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35">
      <c r="A189" s="11">
        <v>1937</v>
      </c>
      <c r="B189" s="11">
        <v>3615.6889999999999</v>
      </c>
      <c r="C189" s="11">
        <v>4104.1409999999996</v>
      </c>
      <c r="D189" s="11">
        <v>392.57299999999998</v>
      </c>
      <c r="E189" s="11">
        <v>3818.835</v>
      </c>
      <c r="F189" s="11">
        <v>4336.2190000000001</v>
      </c>
      <c r="G189" s="11">
        <v>483.072</v>
      </c>
      <c r="H189" s="11">
        <v>3615.6889999999999</v>
      </c>
      <c r="I189" s="11">
        <v>4104.1409999999996</v>
      </c>
      <c r="J189" s="11">
        <v>392.57299999999998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35">
      <c r="A190" s="11">
        <v>1938</v>
      </c>
      <c r="B190" s="11">
        <v>3317.5329999999999</v>
      </c>
      <c r="C190" s="11">
        <v>3835.578</v>
      </c>
      <c r="D190" s="11">
        <v>394.03899999999999</v>
      </c>
      <c r="E190" s="11">
        <v>3499.7539999999999</v>
      </c>
      <c r="F190" s="11">
        <v>4048.7890000000002</v>
      </c>
      <c r="G190" s="11">
        <v>494.541</v>
      </c>
      <c r="H190" s="11">
        <v>3317.5329999999999</v>
      </c>
      <c r="I190" s="11">
        <v>3835.578</v>
      </c>
      <c r="J190" s="11">
        <v>394.03899999999999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35">
      <c r="A191" s="11">
        <v>1939</v>
      </c>
      <c r="B191" s="11">
        <v>3527.6080000000002</v>
      </c>
      <c r="C191" s="11">
        <v>4046.7689999999998</v>
      </c>
      <c r="D191" s="11">
        <v>423.363</v>
      </c>
      <c r="E191" s="11">
        <v>3733.1410000000001</v>
      </c>
      <c r="F191" s="11">
        <v>4283.1490000000003</v>
      </c>
      <c r="G191" s="11">
        <v>533.34299999999996</v>
      </c>
      <c r="H191" s="11">
        <v>3527.6080000000002</v>
      </c>
      <c r="I191" s="11">
        <v>4046.7689999999998</v>
      </c>
      <c r="J191" s="11">
        <v>423.363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35">
      <c r="A192" s="11">
        <v>1940</v>
      </c>
      <c r="B192" s="11">
        <v>3709.15</v>
      </c>
      <c r="C192" s="11">
        <v>4423.4170000000004</v>
      </c>
      <c r="D192" s="11">
        <v>461.24400000000003</v>
      </c>
      <c r="E192" s="11">
        <v>3888.4140000000002</v>
      </c>
      <c r="F192" s="11">
        <v>4640.5529999999999</v>
      </c>
      <c r="G192" s="11">
        <v>555.303</v>
      </c>
      <c r="H192" s="11">
        <v>3709.15</v>
      </c>
      <c r="I192" s="11">
        <v>4423.4170000000004</v>
      </c>
      <c r="J192" s="11">
        <v>461.24400000000003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35">
      <c r="A193" s="11">
        <v>1941</v>
      </c>
      <c r="B193" s="11">
        <v>3877.7779999999998</v>
      </c>
      <c r="C193" s="11">
        <v>4537.3339999999998</v>
      </c>
      <c r="D193" s="11">
        <v>461.75599999999997</v>
      </c>
      <c r="E193" s="11">
        <v>4051.846</v>
      </c>
      <c r="F193" s="11">
        <v>4748.8819999999996</v>
      </c>
      <c r="G193" s="11">
        <v>567.13199999999995</v>
      </c>
      <c r="H193" s="11">
        <v>3877.777</v>
      </c>
      <c r="I193" s="11">
        <v>4537.3339999999998</v>
      </c>
      <c r="J193" s="11">
        <v>461.75599999999997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35">
      <c r="A194" s="11">
        <v>1942</v>
      </c>
      <c r="B194" s="11">
        <v>4030.2849999999999</v>
      </c>
      <c r="C194" s="11">
        <v>4547.3280000000004</v>
      </c>
      <c r="D194" s="11">
        <v>435.19499999999999</v>
      </c>
      <c r="E194" s="11">
        <v>4211.799</v>
      </c>
      <c r="F194" s="11">
        <v>4815.3649999999998</v>
      </c>
      <c r="G194" s="11">
        <v>518.52099999999996</v>
      </c>
      <c r="H194" s="11">
        <v>4030.2849999999999</v>
      </c>
      <c r="I194" s="11">
        <v>4547.3280000000004</v>
      </c>
      <c r="J194" s="11">
        <v>435.19499999999999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35">
      <c r="A195" s="11">
        <v>1943</v>
      </c>
      <c r="B195" s="11">
        <v>4098.326</v>
      </c>
      <c r="C195" s="11">
        <v>4649.4279999999999</v>
      </c>
      <c r="D195" s="11">
        <v>425.84500000000003</v>
      </c>
      <c r="E195" s="11">
        <v>4265.4170000000004</v>
      </c>
      <c r="F195" s="11">
        <v>4969.1499999999996</v>
      </c>
      <c r="G195" s="11">
        <v>544.84400000000005</v>
      </c>
      <c r="H195" s="11">
        <v>4098.326</v>
      </c>
      <c r="I195" s="11">
        <v>4649.4279999999999</v>
      </c>
      <c r="J195" s="11">
        <v>425.846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35">
      <c r="A196" s="11">
        <v>1944</v>
      </c>
      <c r="B196" s="11">
        <v>4090.645</v>
      </c>
      <c r="C196" s="11">
        <v>4711.6570000000002</v>
      </c>
      <c r="D196" s="11">
        <v>450.82799999999997</v>
      </c>
      <c r="E196" s="11">
        <v>4224.5140000000001</v>
      </c>
      <c r="F196" s="11">
        <v>4882.5240000000003</v>
      </c>
      <c r="G196" s="11">
        <v>577.04600000000005</v>
      </c>
      <c r="H196" s="11">
        <v>4090.645</v>
      </c>
      <c r="I196" s="11">
        <v>4711.6570000000002</v>
      </c>
      <c r="J196" s="11">
        <v>450.82799999999997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35">
      <c r="A197" s="11">
        <v>1945</v>
      </c>
      <c r="B197" s="11">
        <v>3413.9369999999999</v>
      </c>
      <c r="C197" s="11">
        <v>3880.7930000000001</v>
      </c>
      <c r="D197" s="11">
        <v>408.51900000000001</v>
      </c>
      <c r="E197" s="11">
        <v>3512.7840000000001</v>
      </c>
      <c r="F197" s="11">
        <v>4010.0360000000001</v>
      </c>
      <c r="G197" s="11">
        <v>565.28300000000002</v>
      </c>
      <c r="H197" s="11">
        <v>3413.9369999999999</v>
      </c>
      <c r="I197" s="11">
        <v>3880.7930000000001</v>
      </c>
      <c r="J197" s="11">
        <v>408.51900000000001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35">
      <c r="A198" s="11">
        <v>1946</v>
      </c>
      <c r="B198" s="11">
        <v>3612.6550000000002</v>
      </c>
      <c r="C198" s="11">
        <v>4177.92</v>
      </c>
      <c r="D198" s="11">
        <v>430.625</v>
      </c>
      <c r="E198" s="11">
        <v>3771.8330000000001</v>
      </c>
      <c r="F198" s="11">
        <v>4376.1890000000003</v>
      </c>
      <c r="G198" s="11">
        <v>657.79600000000005</v>
      </c>
      <c r="H198" s="11">
        <v>3612.6550000000002</v>
      </c>
      <c r="I198" s="11">
        <v>4177.9210000000003</v>
      </c>
      <c r="J198" s="11">
        <v>430.625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35">
      <c r="A199" s="11">
        <v>1947</v>
      </c>
      <c r="B199" s="11">
        <v>4035.6329999999998</v>
      </c>
      <c r="C199" s="11">
        <v>4673.5469999999996</v>
      </c>
      <c r="D199" s="11">
        <v>491.65699999999998</v>
      </c>
      <c r="E199" s="11">
        <v>4249.7380000000003</v>
      </c>
      <c r="F199" s="11">
        <v>4936.8819999999996</v>
      </c>
      <c r="G199" s="11">
        <v>684.98800000000006</v>
      </c>
      <c r="H199" s="11">
        <v>4035.6329999999998</v>
      </c>
      <c r="I199" s="11">
        <v>4673.5469999999996</v>
      </c>
      <c r="J199" s="11">
        <v>491.65699999999998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35">
      <c r="A200" s="11">
        <v>1948</v>
      </c>
      <c r="B200" s="11">
        <v>4277.8819999999996</v>
      </c>
      <c r="C200" s="11">
        <v>4956.8519999999999</v>
      </c>
      <c r="D200" s="11">
        <v>491.03100000000001</v>
      </c>
      <c r="E200" s="11">
        <v>4516.0060000000003</v>
      </c>
      <c r="F200" s="11">
        <v>5251.317</v>
      </c>
      <c r="G200" s="11">
        <v>680.18899999999996</v>
      </c>
      <c r="H200" s="11">
        <v>4277.8819999999996</v>
      </c>
      <c r="I200" s="11">
        <v>4956.8519999999999</v>
      </c>
      <c r="J200" s="11">
        <v>491.03100000000001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35">
      <c r="A201" s="11">
        <v>1949</v>
      </c>
      <c r="B201" s="11">
        <v>3947.9859999999999</v>
      </c>
      <c r="C201" s="11">
        <v>4716.0649999999996</v>
      </c>
      <c r="D201" s="11">
        <v>487.96800000000002</v>
      </c>
      <c r="E201" s="11">
        <v>4180.9780000000001</v>
      </c>
      <c r="F201" s="11">
        <v>5014.6360000000004</v>
      </c>
      <c r="G201" s="11">
        <v>723.26400000000001</v>
      </c>
      <c r="H201" s="11">
        <v>3947.9859999999999</v>
      </c>
      <c r="I201" s="11">
        <v>4716.0649999999996</v>
      </c>
      <c r="J201" s="11">
        <v>487.96800000000002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35">
      <c r="A202" s="11">
        <v>1950</v>
      </c>
      <c r="B202" s="11">
        <v>4400.9690000000001</v>
      </c>
      <c r="C202" s="11">
        <v>5233.9160000000002</v>
      </c>
      <c r="D202" s="11">
        <v>565.77599999999995</v>
      </c>
      <c r="E202" s="11">
        <v>4654.3280000000004</v>
      </c>
      <c r="F202" s="11">
        <v>5567.4229999999998</v>
      </c>
      <c r="G202" s="11">
        <v>616.00900000000001</v>
      </c>
      <c r="H202" s="11">
        <v>4400.9690000000001</v>
      </c>
      <c r="I202" s="11">
        <v>5233.9160000000002</v>
      </c>
      <c r="J202" s="11">
        <v>565.77599999999995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35">
      <c r="A203" s="11">
        <v>1951</v>
      </c>
      <c r="B203" s="11">
        <v>4688.3320000000003</v>
      </c>
      <c r="C203" s="11">
        <v>5593.2619999999997</v>
      </c>
      <c r="D203" s="11">
        <v>632.92499999999995</v>
      </c>
      <c r="E203" s="11">
        <v>4971.2910000000002</v>
      </c>
      <c r="F203" s="11">
        <v>5967.799</v>
      </c>
      <c r="G203" s="11">
        <v>696.43799999999999</v>
      </c>
      <c r="H203" s="11">
        <v>4688.3320000000003</v>
      </c>
      <c r="I203" s="11">
        <v>5593.2619999999997</v>
      </c>
      <c r="J203" s="11">
        <v>632.92499999999995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35">
      <c r="A204" s="11">
        <v>1952</v>
      </c>
      <c r="B204" s="11">
        <v>4643.6120000000001</v>
      </c>
      <c r="C204" s="11">
        <v>5615.7169999999996</v>
      </c>
      <c r="D204" s="11">
        <v>693.85599999999999</v>
      </c>
      <c r="E204" s="11">
        <v>4926.9250000000002</v>
      </c>
      <c r="F204" s="11">
        <v>6001.2740000000003</v>
      </c>
      <c r="G204" s="11">
        <v>758.88900000000001</v>
      </c>
      <c r="H204" s="11">
        <v>4643.6120000000001</v>
      </c>
      <c r="I204" s="11">
        <v>5615.7169999999996</v>
      </c>
      <c r="J204" s="11">
        <v>693.85599999999999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35">
      <c r="A205" s="11">
        <v>1953</v>
      </c>
      <c r="B205" s="11">
        <v>4735.7889999999998</v>
      </c>
      <c r="C205" s="11">
        <v>5773.7479999999996</v>
      </c>
      <c r="D205" s="11">
        <v>713.61300000000006</v>
      </c>
      <c r="E205" s="11">
        <v>5027.9110000000001</v>
      </c>
      <c r="F205" s="11">
        <v>6178.9359999999997</v>
      </c>
      <c r="G205" s="11">
        <v>786.94799999999998</v>
      </c>
      <c r="H205" s="11">
        <v>4735.7889999999998</v>
      </c>
      <c r="I205" s="11">
        <v>5773.7479999999996</v>
      </c>
      <c r="J205" s="11">
        <v>713.61300000000006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35">
      <c r="A206" s="11">
        <v>1954</v>
      </c>
      <c r="B206" s="11">
        <v>4704.8249999999998</v>
      </c>
      <c r="C206" s="11">
        <v>5830.9219999999996</v>
      </c>
      <c r="D206" s="11">
        <v>794.73</v>
      </c>
      <c r="E206" s="11">
        <v>5013.7060000000001</v>
      </c>
      <c r="F206" s="11">
        <v>6267.8220000000001</v>
      </c>
      <c r="G206" s="11">
        <v>879.99599999999998</v>
      </c>
      <c r="H206" s="11">
        <v>4704.8249999999998</v>
      </c>
      <c r="I206" s="11">
        <v>5830.9219999999996</v>
      </c>
      <c r="J206" s="11">
        <v>794.73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35">
      <c r="A207" s="11">
        <v>1955</v>
      </c>
      <c r="B207" s="11">
        <v>5092.7169999999996</v>
      </c>
      <c r="C207" s="11">
        <v>6340.7730000000001</v>
      </c>
      <c r="D207" s="11">
        <v>915.04399999999998</v>
      </c>
      <c r="E207" s="11">
        <v>5432.2910000000002</v>
      </c>
      <c r="F207" s="11">
        <v>6829.2879999999996</v>
      </c>
      <c r="G207" s="11">
        <v>1001.139</v>
      </c>
      <c r="H207" s="11">
        <v>5092.7169999999996</v>
      </c>
      <c r="I207" s="11">
        <v>6340.7730000000001</v>
      </c>
      <c r="J207" s="11">
        <v>915.03300000000002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35">
      <c r="A208" s="11">
        <v>1956</v>
      </c>
      <c r="B208" s="11">
        <v>5366.8339999999998</v>
      </c>
      <c r="C208" s="11">
        <v>6724.3069999999998</v>
      </c>
      <c r="D208" s="11">
        <v>999.88699999999994</v>
      </c>
      <c r="E208" s="11">
        <v>5730.0039999999999</v>
      </c>
      <c r="F208" s="11">
        <v>7254.05</v>
      </c>
      <c r="G208" s="11">
        <v>1092.8879999999999</v>
      </c>
      <c r="H208" s="11">
        <v>5366.8339999999998</v>
      </c>
      <c r="I208" s="11">
        <v>6724.3069999999998</v>
      </c>
      <c r="J208" s="11">
        <v>999.87599999999998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35">
      <c r="A209" s="11">
        <v>1957</v>
      </c>
      <c r="B209" s="11">
        <v>5387.076</v>
      </c>
      <c r="C209" s="11">
        <v>6867.692</v>
      </c>
      <c r="D209" s="11">
        <v>1093.9159999999999</v>
      </c>
      <c r="E209" s="11">
        <v>5758.6930000000002</v>
      </c>
      <c r="F209" s="11">
        <v>7425.3590000000004</v>
      </c>
      <c r="G209" s="11">
        <v>1212.0229999999999</v>
      </c>
      <c r="H209" s="11">
        <v>5387.0749999999998</v>
      </c>
      <c r="I209" s="11">
        <v>6867.692</v>
      </c>
      <c r="J209" s="11">
        <v>1093.9010000000001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35">
      <c r="A210" s="11">
        <v>1958</v>
      </c>
      <c r="B210" s="11">
        <v>5245.5479999999998</v>
      </c>
      <c r="C210" s="11">
        <v>6812.2669999999998</v>
      </c>
      <c r="D210" s="11">
        <v>1396.816</v>
      </c>
      <c r="E210" s="11">
        <v>5614.9290000000001</v>
      </c>
      <c r="F210" s="11">
        <v>7383.3419999999996</v>
      </c>
      <c r="G210" s="11">
        <v>1547.7809999999999</v>
      </c>
      <c r="H210" s="11">
        <v>5245.5479999999998</v>
      </c>
      <c r="I210" s="11">
        <v>6812.2669999999998</v>
      </c>
      <c r="J210" s="11">
        <v>1396.8009999999999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35">
      <c r="A211" s="11">
        <v>1959</v>
      </c>
      <c r="B211" s="11">
        <v>5346.9449999999997</v>
      </c>
      <c r="C211" s="11">
        <v>6995.2150000000001</v>
      </c>
      <c r="D211" s="11">
        <v>1646.1130000000001</v>
      </c>
      <c r="E211" s="11">
        <v>5735.2449999999999</v>
      </c>
      <c r="F211" s="11">
        <v>7599.9650000000001</v>
      </c>
      <c r="G211" s="11">
        <v>1817.6510000000001</v>
      </c>
      <c r="H211" s="11">
        <v>5346.9449999999997</v>
      </c>
      <c r="I211" s="11">
        <v>6995.2150000000001</v>
      </c>
      <c r="J211" s="11">
        <v>1646.0989999999999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35">
      <c r="A212" s="11">
        <v>1960</v>
      </c>
      <c r="B212" s="11">
        <v>5639.1260000000002</v>
      </c>
      <c r="C212" s="11">
        <v>7363.95</v>
      </c>
      <c r="D212" s="11">
        <v>1786.3489999999999</v>
      </c>
      <c r="E212" s="11">
        <v>6026.884</v>
      </c>
      <c r="F212" s="11">
        <v>7981.18</v>
      </c>
      <c r="G212" s="11">
        <v>1974.7809999999999</v>
      </c>
      <c r="H212" s="11">
        <v>5639.1260000000002</v>
      </c>
      <c r="I212" s="11">
        <v>7363.95</v>
      </c>
      <c r="J212" s="11">
        <v>1786.335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35">
      <c r="A213" s="11">
        <v>1961</v>
      </c>
      <c r="B213" s="11">
        <v>5755.4679999999998</v>
      </c>
      <c r="C213" s="11">
        <v>7548.625</v>
      </c>
      <c r="D213" s="11">
        <v>1604.85</v>
      </c>
      <c r="E213" s="11">
        <v>6152.0330000000004</v>
      </c>
      <c r="F213" s="11">
        <v>8183.9380000000001</v>
      </c>
      <c r="G213" s="11">
        <v>1799.278</v>
      </c>
      <c r="H213" s="11">
        <v>5755.4679999999998</v>
      </c>
      <c r="I213" s="11">
        <v>7548.625</v>
      </c>
      <c r="J213" s="11">
        <v>1604.799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35">
      <c r="A214" s="11">
        <v>1962</v>
      </c>
      <c r="B214" s="11">
        <v>6017.5209999999997</v>
      </c>
      <c r="C214" s="11">
        <v>7912.0389999999998</v>
      </c>
      <c r="D214" s="11">
        <v>1564.155</v>
      </c>
      <c r="E214" s="11">
        <v>6446.95</v>
      </c>
      <c r="F214" s="11">
        <v>8592.9449999999997</v>
      </c>
      <c r="G214" s="11">
        <v>1770.6969999999999</v>
      </c>
      <c r="H214" s="11">
        <v>6017.5209999999997</v>
      </c>
      <c r="I214" s="11">
        <v>7912.0389999999998</v>
      </c>
      <c r="J214" s="11">
        <v>1564.104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35">
      <c r="A215" s="11">
        <v>1963</v>
      </c>
      <c r="B215" s="11">
        <v>6324.9139999999998</v>
      </c>
      <c r="C215" s="11">
        <v>8356.7870000000003</v>
      </c>
      <c r="D215" s="11">
        <v>1625.952</v>
      </c>
      <c r="E215" s="11">
        <v>6823.6139999999996</v>
      </c>
      <c r="F215" s="11">
        <v>9125.7289999999994</v>
      </c>
      <c r="G215" s="11">
        <v>1852.6189999999999</v>
      </c>
      <c r="H215" s="11">
        <v>6324.9139999999998</v>
      </c>
      <c r="I215" s="11">
        <v>8356.7860000000001</v>
      </c>
      <c r="J215" s="11">
        <v>1625.8969999999999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35">
      <c r="A216" s="11">
        <v>1964</v>
      </c>
      <c r="B216" s="11">
        <v>6627.8119999999999</v>
      </c>
      <c r="C216" s="11">
        <v>8792.4330000000009</v>
      </c>
      <c r="D216" s="11">
        <v>1720.671</v>
      </c>
      <c r="E216" s="11">
        <v>7138.2240000000002</v>
      </c>
      <c r="F216" s="11">
        <v>9591.8009999999995</v>
      </c>
      <c r="G216" s="11">
        <v>1943.5129999999999</v>
      </c>
      <c r="H216" s="11">
        <v>6627.8119999999999</v>
      </c>
      <c r="I216" s="11">
        <v>8792.4330000000009</v>
      </c>
      <c r="J216" s="11">
        <v>1720.6120000000001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35">
      <c r="A217" s="11">
        <v>1965</v>
      </c>
      <c r="B217" s="11">
        <v>6852.8149999999996</v>
      </c>
      <c r="C217" s="11">
        <v>9121.2610000000004</v>
      </c>
      <c r="D217" s="11">
        <v>1867.393</v>
      </c>
      <c r="E217" s="11">
        <v>7403.5349999999999</v>
      </c>
      <c r="F217" s="11">
        <v>9980.6749999999993</v>
      </c>
      <c r="G217" s="11">
        <v>2093.7719999999999</v>
      </c>
      <c r="H217" s="11">
        <v>6852.8149999999996</v>
      </c>
      <c r="I217" s="11">
        <v>9121.2610000000004</v>
      </c>
      <c r="J217" s="11">
        <v>1867.327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35">
      <c r="A218" s="11">
        <v>1966</v>
      </c>
      <c r="B218" s="11">
        <v>7133.3969999999999</v>
      </c>
      <c r="C218" s="11">
        <v>9510.152</v>
      </c>
      <c r="D218" s="11">
        <v>2004.0619999999999</v>
      </c>
      <c r="E218" s="11">
        <v>7678.9390000000003</v>
      </c>
      <c r="F218" s="11">
        <v>10385.483</v>
      </c>
      <c r="G218" s="11">
        <v>2264.27</v>
      </c>
      <c r="H218" s="11">
        <v>7133.3969999999999</v>
      </c>
      <c r="I218" s="11">
        <v>9510.152</v>
      </c>
      <c r="J218" s="11">
        <v>2003.9960000000001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35">
      <c r="A219" s="11">
        <v>1967</v>
      </c>
      <c r="B219" s="11">
        <v>7382.3209999999999</v>
      </c>
      <c r="C219" s="11">
        <v>9857.6919999999991</v>
      </c>
      <c r="D219" s="11">
        <v>2006.9090000000001</v>
      </c>
      <c r="E219" s="11">
        <v>7943.3029999999999</v>
      </c>
      <c r="F219" s="11">
        <v>10761.748</v>
      </c>
      <c r="G219" s="11">
        <v>2237.4639999999999</v>
      </c>
      <c r="H219" s="11">
        <v>7382.3209999999999</v>
      </c>
      <c r="I219" s="11">
        <v>9857.6919999999991</v>
      </c>
      <c r="J219" s="11">
        <v>2006.835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x14ac:dyDescent="0.35">
      <c r="A220" s="11">
        <v>1968</v>
      </c>
      <c r="B220" s="11">
        <v>7769.8149999999996</v>
      </c>
      <c r="C220" s="11">
        <v>10338.859</v>
      </c>
      <c r="D220" s="11">
        <v>2172.2220000000002</v>
      </c>
      <c r="E220" s="11">
        <v>8350.5499999999993</v>
      </c>
      <c r="F220" s="11">
        <v>11272.227999999999</v>
      </c>
      <c r="G220" s="11">
        <v>2437.6590000000001</v>
      </c>
      <c r="H220" s="11">
        <v>7769.8149999999996</v>
      </c>
      <c r="I220" s="11">
        <v>10338.859</v>
      </c>
      <c r="J220" s="11">
        <v>2172.145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x14ac:dyDescent="0.35">
      <c r="A221" s="11">
        <v>1969</v>
      </c>
      <c r="B221" s="11">
        <v>8240.8050000000003</v>
      </c>
      <c r="C221" s="11">
        <v>10937.124</v>
      </c>
      <c r="D221" s="11">
        <v>2412.172</v>
      </c>
      <c r="E221" s="11">
        <v>8855.0329999999994</v>
      </c>
      <c r="F221" s="11">
        <v>11918.591</v>
      </c>
      <c r="G221" s="11">
        <v>2693.0909999999999</v>
      </c>
      <c r="H221" s="11">
        <v>8240.8050000000003</v>
      </c>
      <c r="I221" s="11">
        <v>10937.124</v>
      </c>
      <c r="J221" s="11">
        <v>2412.04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x14ac:dyDescent="0.35">
      <c r="A222" s="11">
        <v>1970</v>
      </c>
      <c r="B222" s="11">
        <v>8822.9850000000006</v>
      </c>
      <c r="C222" s="11">
        <v>11675.703</v>
      </c>
      <c r="D222" s="11">
        <v>2788.864</v>
      </c>
      <c r="E222" s="11">
        <v>9418.8559999999998</v>
      </c>
      <c r="F222" s="11">
        <v>12641.286</v>
      </c>
      <c r="G222" s="11">
        <v>3106.6260000000002</v>
      </c>
      <c r="H222" s="11">
        <v>8822.9850000000006</v>
      </c>
      <c r="I222" s="11">
        <v>11675.703</v>
      </c>
      <c r="J222" s="11">
        <v>2788.6590000000001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>
        <v>9355.11</v>
      </c>
      <c r="U222" s="11">
        <v>12119.234</v>
      </c>
      <c r="V222" s="11">
        <v>3107.7489999999998</v>
      </c>
      <c r="W222" s="11"/>
      <c r="X222" s="11"/>
      <c r="Y222" s="11"/>
    </row>
    <row r="223" spans="1:25" x14ac:dyDescent="0.35">
      <c r="A223" s="11">
        <v>1971</v>
      </c>
      <c r="B223" s="11">
        <v>8964.1810000000005</v>
      </c>
      <c r="C223" s="11">
        <v>11974.58</v>
      </c>
      <c r="D223" s="11">
        <v>3070.2249999999999</v>
      </c>
      <c r="E223" s="11">
        <v>9534.4760000000006</v>
      </c>
      <c r="F223" s="11">
        <v>12880.087</v>
      </c>
      <c r="G223" s="11">
        <v>3380.5479999999998</v>
      </c>
      <c r="H223" s="11">
        <v>8964.1810000000005</v>
      </c>
      <c r="I223" s="11">
        <v>11974.58</v>
      </c>
      <c r="J223" s="11">
        <v>3069.9760000000001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>
        <v>9223.2360000000008</v>
      </c>
      <c r="U223" s="11">
        <v>12003.829</v>
      </c>
      <c r="V223" s="11">
        <v>3154.9839999999999</v>
      </c>
      <c r="W223" s="11"/>
      <c r="X223" s="11"/>
      <c r="Y223" s="11"/>
    </row>
    <row r="224" spans="1:25" x14ac:dyDescent="0.35">
      <c r="A224" s="11">
        <v>1972</v>
      </c>
      <c r="B224" s="11">
        <v>9356.3780000000006</v>
      </c>
      <c r="C224" s="11">
        <v>12511.487999999999</v>
      </c>
      <c r="D224" s="11">
        <v>3223.373</v>
      </c>
      <c r="E224" s="11">
        <v>9953.9490000000005</v>
      </c>
      <c r="F224" s="11">
        <v>13471.791999999999</v>
      </c>
      <c r="G224" s="11">
        <v>3532.2510000000002</v>
      </c>
      <c r="H224" s="11">
        <v>9356.3780000000006</v>
      </c>
      <c r="I224" s="11">
        <v>12511.487999999999</v>
      </c>
      <c r="J224" s="11">
        <v>3223.116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>
        <v>9656.4310000000005</v>
      </c>
      <c r="U224" s="11">
        <v>12570.457</v>
      </c>
      <c r="V224" s="11">
        <v>3358.1190000000001</v>
      </c>
      <c r="W224" s="11"/>
      <c r="X224" s="11"/>
      <c r="Y224" s="11"/>
    </row>
    <row r="225" spans="1:25" x14ac:dyDescent="0.35">
      <c r="A225" s="11">
        <v>1973</v>
      </c>
      <c r="B225" s="11">
        <v>9790.0859999999993</v>
      </c>
      <c r="C225" s="11">
        <v>13076.36</v>
      </c>
      <c r="D225" s="11">
        <v>3477.1509999999998</v>
      </c>
      <c r="E225" s="11">
        <v>10428.007</v>
      </c>
      <c r="F225" s="11">
        <v>14095.019</v>
      </c>
      <c r="G225" s="11">
        <v>3791.261</v>
      </c>
      <c r="H225" s="11">
        <v>9790.0859999999993</v>
      </c>
      <c r="I225" s="11">
        <v>13076.36</v>
      </c>
      <c r="J225" s="11">
        <v>3476.9050000000002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>
        <v>10171.718000000001</v>
      </c>
      <c r="U225" s="11">
        <v>13253.683999999999</v>
      </c>
      <c r="V225" s="11">
        <v>3628.71</v>
      </c>
      <c r="W225" s="11"/>
      <c r="X225" s="11"/>
      <c r="Y225" s="11"/>
    </row>
    <row r="226" spans="1:25" x14ac:dyDescent="0.35">
      <c r="A226" s="11">
        <v>1974</v>
      </c>
      <c r="B226" s="11">
        <v>9531.6980000000003</v>
      </c>
      <c r="C226" s="11">
        <v>12931.427</v>
      </c>
      <c r="D226" s="11">
        <v>3580.11</v>
      </c>
      <c r="E226" s="11">
        <v>10127.852999999999</v>
      </c>
      <c r="F226" s="11">
        <v>13882.816999999999</v>
      </c>
      <c r="G226" s="11">
        <v>3890.5219999999999</v>
      </c>
      <c r="H226" s="11">
        <v>9531.6980000000003</v>
      </c>
      <c r="I226" s="11">
        <v>12931.428</v>
      </c>
      <c r="J226" s="11">
        <v>3579.7919999999999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>
        <v>9897.5560000000005</v>
      </c>
      <c r="U226" s="11">
        <v>13096.398999999999</v>
      </c>
      <c r="V226" s="11">
        <v>3755.2260000000001</v>
      </c>
      <c r="W226" s="11"/>
      <c r="X226" s="11"/>
      <c r="Y226" s="11"/>
    </row>
    <row r="227" spans="1:25" x14ac:dyDescent="0.35">
      <c r="A227" s="11">
        <v>1975</v>
      </c>
      <c r="B227" s="11">
        <v>9162.3240000000005</v>
      </c>
      <c r="C227" s="11">
        <v>12745.973</v>
      </c>
      <c r="D227" s="11">
        <v>3797.4670000000001</v>
      </c>
      <c r="E227" s="11">
        <v>9672.8680000000004</v>
      </c>
      <c r="F227" s="11">
        <v>13600.438</v>
      </c>
      <c r="G227" s="11">
        <v>4110.6689999999999</v>
      </c>
      <c r="H227" s="11">
        <v>9162.3240000000005</v>
      </c>
      <c r="I227" s="11">
        <v>12745.973</v>
      </c>
      <c r="J227" s="11">
        <v>3797.1370000000002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>
        <v>9464.107</v>
      </c>
      <c r="U227" s="11">
        <v>12833.871999999999</v>
      </c>
      <c r="V227" s="11">
        <v>3978.2220000000002</v>
      </c>
      <c r="W227" s="11"/>
      <c r="X227" s="11"/>
      <c r="Y227" s="11"/>
    </row>
    <row r="228" spans="1:25" x14ac:dyDescent="0.35">
      <c r="A228" s="11">
        <v>1976</v>
      </c>
      <c r="B228" s="11">
        <v>9630.5349999999999</v>
      </c>
      <c r="C228" s="11">
        <v>13372.009</v>
      </c>
      <c r="D228" s="11">
        <v>4054.3270000000002</v>
      </c>
      <c r="E228" s="11">
        <v>10199.027</v>
      </c>
      <c r="F228" s="11">
        <v>14295.599</v>
      </c>
      <c r="G228" s="11">
        <v>4350.2700000000004</v>
      </c>
      <c r="H228" s="11">
        <v>9630.5349999999999</v>
      </c>
      <c r="I228" s="11">
        <v>13372.009</v>
      </c>
      <c r="J228" s="11">
        <v>4054.0889999999999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>
        <v>10029.513000000001</v>
      </c>
      <c r="U228" s="11">
        <v>13543.544</v>
      </c>
      <c r="V228" s="11">
        <v>4245.2479999999996</v>
      </c>
      <c r="W228" s="11"/>
      <c r="X228" s="11"/>
      <c r="Y228" s="11"/>
    </row>
    <row r="229" spans="1:25" x14ac:dyDescent="0.35">
      <c r="A229" s="11">
        <v>1977</v>
      </c>
      <c r="B229" s="11">
        <v>9735.9719999999998</v>
      </c>
      <c r="C229" s="11">
        <v>13612.130999999999</v>
      </c>
      <c r="D229" s="11">
        <v>4299.7960000000003</v>
      </c>
      <c r="E229" s="11">
        <v>10281.288</v>
      </c>
      <c r="F229" s="11">
        <v>14501.748</v>
      </c>
      <c r="G229" s="11">
        <v>4586.2259999999997</v>
      </c>
      <c r="H229" s="11">
        <v>9735.9719999999998</v>
      </c>
      <c r="I229" s="11">
        <v>13612.132</v>
      </c>
      <c r="J229" s="11">
        <v>4299.5219999999999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>
        <v>10190.61</v>
      </c>
      <c r="U229" s="11">
        <v>13810.288</v>
      </c>
      <c r="V229" s="11">
        <v>4517.3209999999999</v>
      </c>
      <c r="W229" s="11"/>
      <c r="X229" s="11"/>
      <c r="Y229" s="11"/>
    </row>
    <row r="230" spans="1:25" x14ac:dyDescent="0.35">
      <c r="A230" s="11">
        <v>1978</v>
      </c>
      <c r="B230" s="11">
        <v>9951.5619999999999</v>
      </c>
      <c r="C230" s="11">
        <v>13962.567999999999</v>
      </c>
      <c r="D230" s="11">
        <v>4608.9530000000004</v>
      </c>
      <c r="E230" s="11">
        <v>10528.058999999999</v>
      </c>
      <c r="F230" s="11">
        <v>14887.385</v>
      </c>
      <c r="G230" s="11">
        <v>4876.45</v>
      </c>
      <c r="H230" s="11">
        <v>9951.5619999999999</v>
      </c>
      <c r="I230" s="11">
        <v>13962.567999999999</v>
      </c>
      <c r="J230" s="11">
        <v>4608.7510000000002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>
        <v>10256.907999999999</v>
      </c>
      <c r="U230" s="11">
        <v>14102.87</v>
      </c>
      <c r="V230" s="11">
        <v>4825.5119999999997</v>
      </c>
      <c r="W230" s="11"/>
      <c r="X230" s="11"/>
      <c r="Y230" s="11"/>
    </row>
    <row r="231" spans="1:25" x14ac:dyDescent="0.35">
      <c r="A231" s="11">
        <v>1979</v>
      </c>
      <c r="B231" s="11">
        <v>10184.583000000001</v>
      </c>
      <c r="C231" s="11">
        <v>14222.119000000001</v>
      </c>
      <c r="D231" s="11">
        <v>4831.6130000000003</v>
      </c>
      <c r="E231" s="11">
        <v>10793.316999999999</v>
      </c>
      <c r="F231" s="11">
        <v>15190.695</v>
      </c>
      <c r="G231" s="11">
        <v>5105.3540000000003</v>
      </c>
      <c r="H231" s="11">
        <v>10184.583000000001</v>
      </c>
      <c r="I231" s="11">
        <v>14222.119000000001</v>
      </c>
      <c r="J231" s="11">
        <v>4831.3900000000003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>
        <v>10495.478999999999</v>
      </c>
      <c r="U231" s="11">
        <v>14400.572</v>
      </c>
      <c r="V231" s="11">
        <v>5049.22</v>
      </c>
      <c r="W231" s="11"/>
      <c r="X231" s="11"/>
      <c r="Y231" s="11"/>
    </row>
    <row r="232" spans="1:25" x14ac:dyDescent="0.35">
      <c r="A232" s="11">
        <v>1980</v>
      </c>
      <c r="B232" s="11">
        <v>9880.0750000000007</v>
      </c>
      <c r="C232" s="11">
        <v>14055.347</v>
      </c>
      <c r="D232" s="11">
        <v>4910.1310000000003</v>
      </c>
      <c r="E232" s="11">
        <v>10426.483</v>
      </c>
      <c r="F232" s="11">
        <v>14950.561</v>
      </c>
      <c r="G232" s="11">
        <v>5157.3370000000004</v>
      </c>
      <c r="H232" s="11">
        <v>9880.0750000000007</v>
      </c>
      <c r="I232" s="11">
        <v>14055.347</v>
      </c>
      <c r="J232" s="11">
        <v>4909.8739999999998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>
        <v>10099.422</v>
      </c>
      <c r="U232" s="11">
        <v>14102.255999999999</v>
      </c>
      <c r="V232" s="11">
        <v>5110.34</v>
      </c>
      <c r="W232" s="11"/>
      <c r="X232" s="11"/>
      <c r="Y232" s="11"/>
    </row>
    <row r="233" spans="1:25" x14ac:dyDescent="0.35">
      <c r="A233" s="11">
        <v>1981</v>
      </c>
      <c r="B233" s="11">
        <v>9488.0130000000008</v>
      </c>
      <c r="C233" s="11">
        <v>13559.878000000001</v>
      </c>
      <c r="D233" s="11">
        <v>4909.71</v>
      </c>
      <c r="E233" s="11">
        <v>10031.494000000001</v>
      </c>
      <c r="F233" s="11">
        <v>14438.316999999999</v>
      </c>
      <c r="G233" s="11">
        <v>5178.8850000000002</v>
      </c>
      <c r="H233" s="11">
        <v>9488.0120000000006</v>
      </c>
      <c r="I233" s="11">
        <v>13559.878000000001</v>
      </c>
      <c r="J233" s="11">
        <v>4909.45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>
        <v>9826.9480000000003</v>
      </c>
      <c r="U233" s="11">
        <v>13773.477999999999</v>
      </c>
      <c r="V233" s="11">
        <v>5094.3649999999998</v>
      </c>
      <c r="W233" s="11"/>
      <c r="X233" s="11"/>
      <c r="Y233" s="11"/>
    </row>
    <row r="234" spans="1:25" x14ac:dyDescent="0.35">
      <c r="A234" s="11">
        <v>1982</v>
      </c>
      <c r="B234" s="11">
        <v>9093.1129999999994</v>
      </c>
      <c r="C234" s="11">
        <v>13242.053</v>
      </c>
      <c r="D234" s="11">
        <v>5116.3040000000001</v>
      </c>
      <c r="E234" s="11">
        <v>9547.9760000000006</v>
      </c>
      <c r="F234" s="11">
        <v>14027.572</v>
      </c>
      <c r="G234" s="11">
        <v>5345.7349999999997</v>
      </c>
      <c r="H234" s="11">
        <v>9093.1129999999994</v>
      </c>
      <c r="I234" s="11">
        <v>13242.053</v>
      </c>
      <c r="J234" s="11">
        <v>5116.0730000000003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>
        <v>9403.6139999999996</v>
      </c>
      <c r="U234" s="11">
        <v>13393.764999999999</v>
      </c>
      <c r="V234" s="11">
        <v>5254.2020000000002</v>
      </c>
      <c r="W234" s="11"/>
      <c r="X234" s="11"/>
      <c r="Y234" s="11"/>
    </row>
    <row r="235" spans="1:25" x14ac:dyDescent="0.35">
      <c r="A235" s="11">
        <v>1983</v>
      </c>
      <c r="B235" s="11">
        <v>9041.973</v>
      </c>
      <c r="C235" s="11">
        <v>13246.703</v>
      </c>
      <c r="D235" s="11">
        <v>5298.3149999999996</v>
      </c>
      <c r="E235" s="11">
        <v>9512.7720000000008</v>
      </c>
      <c r="F235" s="11">
        <v>14046.02</v>
      </c>
      <c r="G235" s="11">
        <v>5521.1139999999996</v>
      </c>
      <c r="H235" s="11">
        <v>9041.973</v>
      </c>
      <c r="I235" s="11">
        <v>13246.703</v>
      </c>
      <c r="J235" s="11">
        <v>5298.0770000000002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>
        <v>9341.9</v>
      </c>
      <c r="U235" s="11">
        <v>13380.087</v>
      </c>
      <c r="V235" s="11">
        <v>5430.6279999999997</v>
      </c>
      <c r="W235" s="11"/>
      <c r="X235" s="11"/>
      <c r="Y235" s="11"/>
    </row>
    <row r="236" spans="1:25" x14ac:dyDescent="0.35">
      <c r="A236" s="11">
        <v>1984</v>
      </c>
      <c r="B236" s="11">
        <v>9268.99</v>
      </c>
      <c r="C236" s="11">
        <v>13514.973</v>
      </c>
      <c r="D236" s="11">
        <v>5584.125</v>
      </c>
      <c r="E236" s="11">
        <v>9776.3520000000008</v>
      </c>
      <c r="F236" s="11">
        <v>14362.081</v>
      </c>
      <c r="G236" s="11">
        <v>5844.9840000000004</v>
      </c>
      <c r="H236" s="11">
        <v>9268.99</v>
      </c>
      <c r="I236" s="11">
        <v>13514.973</v>
      </c>
      <c r="J236" s="11">
        <v>5583.9669999999996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>
        <v>9640.4940000000006</v>
      </c>
      <c r="U236" s="11">
        <v>13739.365</v>
      </c>
      <c r="V236" s="11">
        <v>5678.9709999999995</v>
      </c>
      <c r="W236" s="11"/>
      <c r="X236" s="11"/>
      <c r="Y236" s="11"/>
    </row>
    <row r="237" spans="1:25" x14ac:dyDescent="0.35">
      <c r="A237" s="11">
        <v>1985</v>
      </c>
      <c r="B237" s="11">
        <v>9332.9279999999999</v>
      </c>
      <c r="C237" s="11">
        <v>13842.078</v>
      </c>
      <c r="D237" s="11">
        <v>5936.9219999999996</v>
      </c>
      <c r="E237" s="11">
        <v>9823.9050000000007</v>
      </c>
      <c r="F237" s="11">
        <v>14661.217000000001</v>
      </c>
      <c r="G237" s="11">
        <v>6202.3159999999998</v>
      </c>
      <c r="H237" s="11">
        <v>9332.9279999999999</v>
      </c>
      <c r="I237" s="11">
        <v>13842.078</v>
      </c>
      <c r="J237" s="11">
        <v>5936.7610000000004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>
        <v>9690.7420000000002</v>
      </c>
      <c r="U237" s="11">
        <v>13846.4</v>
      </c>
      <c r="V237" s="11">
        <v>5802.95</v>
      </c>
      <c r="W237" s="11"/>
      <c r="X237" s="11"/>
      <c r="Y237" s="11"/>
    </row>
    <row r="238" spans="1:25" x14ac:dyDescent="0.35">
      <c r="A238" s="11">
        <v>1986</v>
      </c>
      <c r="B238" s="11">
        <v>9304.0079999999998</v>
      </c>
      <c r="C238" s="11">
        <v>13846.648999999999</v>
      </c>
      <c r="D238" s="11">
        <v>6199.2160000000003</v>
      </c>
      <c r="E238" s="11">
        <v>9780.1290000000008</v>
      </c>
      <c r="F238" s="11">
        <v>14667.307000000001</v>
      </c>
      <c r="G238" s="11">
        <v>6441.7889999999998</v>
      </c>
      <c r="H238" s="11">
        <v>9304.0079999999998</v>
      </c>
      <c r="I238" s="11">
        <v>13846.648999999999</v>
      </c>
      <c r="J238" s="11">
        <v>6199.0550000000003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>
        <v>9652.3259999999991</v>
      </c>
      <c r="U238" s="11">
        <v>13911.662</v>
      </c>
      <c r="V238" s="11">
        <v>6054.9939999999997</v>
      </c>
      <c r="W238" s="11"/>
      <c r="X238" s="11"/>
      <c r="Y238" s="11"/>
    </row>
    <row r="239" spans="1:25" x14ac:dyDescent="0.35">
      <c r="A239" s="11">
        <v>1987</v>
      </c>
      <c r="B239" s="11">
        <v>9542.5529999999999</v>
      </c>
      <c r="C239" s="11">
        <v>14105.314</v>
      </c>
      <c r="D239" s="11">
        <v>6474.7669999999998</v>
      </c>
      <c r="E239" s="11">
        <v>10033.656999999999</v>
      </c>
      <c r="F239" s="11">
        <v>14936.527</v>
      </c>
      <c r="G239" s="11">
        <v>6721.8440000000001</v>
      </c>
      <c r="H239" s="11">
        <v>9542.5529999999999</v>
      </c>
      <c r="I239" s="11">
        <v>14105.314</v>
      </c>
      <c r="J239" s="11">
        <v>6474.6019999999999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>
        <v>9861.6730000000007</v>
      </c>
      <c r="U239" s="11">
        <v>14241.195</v>
      </c>
      <c r="V239" s="11">
        <v>6373.607</v>
      </c>
      <c r="W239" s="11"/>
      <c r="X239" s="11"/>
      <c r="Y239" s="11"/>
    </row>
    <row r="240" spans="1:25" x14ac:dyDescent="0.35">
      <c r="A240" s="11">
        <v>1988</v>
      </c>
      <c r="B240" s="11">
        <v>9853.8279999999995</v>
      </c>
      <c r="C240" s="11">
        <v>14456.523999999999</v>
      </c>
      <c r="D240" s="11">
        <v>6917.9229999999998</v>
      </c>
      <c r="E240" s="11">
        <v>10374.199000000001</v>
      </c>
      <c r="F240" s="11">
        <v>15308.794</v>
      </c>
      <c r="G240" s="11">
        <v>7143.4459999999999</v>
      </c>
      <c r="H240" s="11">
        <v>9853.8279999999995</v>
      </c>
      <c r="I240" s="11">
        <v>14456.523999999999</v>
      </c>
      <c r="J240" s="11">
        <v>6917.732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>
        <v>10196.605</v>
      </c>
      <c r="U240" s="11">
        <v>14621.32</v>
      </c>
      <c r="V240" s="11">
        <v>6721.7809999999999</v>
      </c>
      <c r="W240" s="11"/>
      <c r="X240" s="11"/>
      <c r="Y240" s="11"/>
    </row>
    <row r="241" spans="1:25" x14ac:dyDescent="0.35">
      <c r="A241" s="11">
        <v>1989</v>
      </c>
      <c r="B241" s="11">
        <v>10056.172</v>
      </c>
      <c r="C241" s="11">
        <v>14556.763000000001</v>
      </c>
      <c r="D241" s="11">
        <v>7079.4979999999996</v>
      </c>
      <c r="E241" s="11">
        <v>10583.754999999999</v>
      </c>
      <c r="F241" s="11">
        <v>15407.316000000001</v>
      </c>
      <c r="G241" s="11">
        <v>7398.4660000000003</v>
      </c>
      <c r="H241" s="11">
        <v>10056.172</v>
      </c>
      <c r="I241" s="11">
        <v>14556.763000000001</v>
      </c>
      <c r="J241" s="11">
        <v>7079.2640000000001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10346.592000000001</v>
      </c>
      <c r="U241" s="11">
        <v>14748.977999999999</v>
      </c>
      <c r="V241" s="11">
        <v>6965.1909999999998</v>
      </c>
      <c r="W241" s="11"/>
      <c r="X241" s="11"/>
      <c r="Y241" s="11"/>
    </row>
    <row r="242" spans="1:25" x14ac:dyDescent="0.35">
      <c r="A242" s="11">
        <v>1990</v>
      </c>
      <c r="B242" s="11">
        <v>10535.674999999999</v>
      </c>
      <c r="C242" s="11">
        <v>15107.8</v>
      </c>
      <c r="D242" s="11">
        <v>7076.4740000000002</v>
      </c>
      <c r="E242" s="11">
        <v>10530.674000000001</v>
      </c>
      <c r="F242" s="11">
        <v>15102.897000000001</v>
      </c>
      <c r="G242" s="11">
        <v>7293.6530000000002</v>
      </c>
      <c r="H242" s="11">
        <v>10535.674999999999</v>
      </c>
      <c r="I242" s="11">
        <v>15107.8</v>
      </c>
      <c r="J242" s="11">
        <v>7076.2290000000003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10282.404</v>
      </c>
      <c r="U242" s="11">
        <v>14843.132</v>
      </c>
      <c r="V242" s="11">
        <v>7185.0110000000004</v>
      </c>
      <c r="W242" s="11">
        <v>9842.9279999999999</v>
      </c>
      <c r="X242" s="11">
        <v>14031.973</v>
      </c>
      <c r="Y242" s="11">
        <v>6442.3549999999996</v>
      </c>
    </row>
    <row r="243" spans="1:25" x14ac:dyDescent="0.35">
      <c r="A243" s="11">
        <v>1991</v>
      </c>
      <c r="B243" s="11">
        <v>10516.541999999999</v>
      </c>
      <c r="C243" s="11">
        <v>14800.344999999999</v>
      </c>
      <c r="D243" s="11">
        <v>7862.576</v>
      </c>
      <c r="E243" s="11">
        <v>10513.905000000001</v>
      </c>
      <c r="F243" s="11">
        <v>14797.806</v>
      </c>
      <c r="G243" s="11">
        <v>7892.1239999999998</v>
      </c>
      <c r="H243" s="11">
        <v>10516.541999999999</v>
      </c>
      <c r="I243" s="11">
        <v>14800.344999999999</v>
      </c>
      <c r="J243" s="11">
        <v>7384.402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>
        <v>10292.428</v>
      </c>
      <c r="U243" s="11">
        <v>14668.921</v>
      </c>
      <c r="V243" s="11">
        <v>7486.2359999999999</v>
      </c>
      <c r="W243" s="11">
        <v>9860.6540000000005</v>
      </c>
      <c r="X243" s="11">
        <v>13908.939</v>
      </c>
      <c r="Y243" s="11">
        <v>6703.5829999999996</v>
      </c>
    </row>
    <row r="244" spans="1:25" x14ac:dyDescent="0.35">
      <c r="A244" s="11">
        <v>1992</v>
      </c>
      <c r="B244" s="11">
        <v>10576.052</v>
      </c>
      <c r="C244" s="11">
        <v>14298.457</v>
      </c>
      <c r="D244" s="11">
        <v>7668.15</v>
      </c>
      <c r="E244" s="11">
        <v>10571.72</v>
      </c>
      <c r="F244" s="11">
        <v>14294.228999999999</v>
      </c>
      <c r="G244" s="11">
        <v>7834.7209999999995</v>
      </c>
      <c r="H244" s="11">
        <v>10576.052</v>
      </c>
      <c r="I244" s="11">
        <v>14298.457</v>
      </c>
      <c r="J244" s="11">
        <v>7668.1350000000002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>
        <v>10312.032999999999</v>
      </c>
      <c r="U244" s="11">
        <v>14333.858</v>
      </c>
      <c r="V244" s="11">
        <v>7704.067</v>
      </c>
      <c r="W244" s="11">
        <v>9901.8719999999994</v>
      </c>
      <c r="X244" s="11">
        <v>13603.361999999999</v>
      </c>
      <c r="Y244" s="11">
        <v>6909.67</v>
      </c>
    </row>
    <row r="245" spans="1:25" x14ac:dyDescent="0.35">
      <c r="A245" s="11">
        <v>1993</v>
      </c>
      <c r="B245" s="11">
        <v>10616.224</v>
      </c>
      <c r="C245" s="11">
        <v>14131.370999999999</v>
      </c>
      <c r="D245" s="11">
        <v>8061.0659999999998</v>
      </c>
      <c r="E245" s="11">
        <v>10612.349</v>
      </c>
      <c r="F245" s="11">
        <v>14127.598</v>
      </c>
      <c r="G245" s="11">
        <v>8186.6689999999999</v>
      </c>
      <c r="H245" s="11">
        <v>10616.224</v>
      </c>
      <c r="I245" s="11">
        <v>14131.370999999999</v>
      </c>
      <c r="J245" s="11">
        <v>8061.0519999999997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>
        <v>10365.019</v>
      </c>
      <c r="U245" s="11">
        <v>14084.457</v>
      </c>
      <c r="V245" s="11">
        <v>8054.4409999999998</v>
      </c>
      <c r="W245" s="11">
        <v>9953.4840000000004</v>
      </c>
      <c r="X245" s="11">
        <v>13398.888000000001</v>
      </c>
      <c r="Y245" s="11">
        <v>7251.5749999999998</v>
      </c>
    </row>
    <row r="246" spans="1:25" x14ac:dyDescent="0.35">
      <c r="A246" s="11">
        <v>1994</v>
      </c>
      <c r="B246" s="11">
        <v>10770.22</v>
      </c>
      <c r="C246" s="11">
        <v>13936.629000000001</v>
      </c>
      <c r="D246" s="11">
        <v>8453.1389999999992</v>
      </c>
      <c r="E246" s="11">
        <v>10765.217000000001</v>
      </c>
      <c r="F246" s="11">
        <v>13931.728999999999</v>
      </c>
      <c r="G246" s="11">
        <v>8501.76</v>
      </c>
      <c r="H246" s="11">
        <v>10770.22</v>
      </c>
      <c r="I246" s="11">
        <v>13936.629000000001</v>
      </c>
      <c r="J246" s="11">
        <v>8453.125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>
        <v>10529.450999999999</v>
      </c>
      <c r="U246" s="11">
        <v>13918.130999999999</v>
      </c>
      <c r="V246" s="11">
        <v>8425.75</v>
      </c>
      <c r="W246" s="11">
        <v>10105.578</v>
      </c>
      <c r="X246" s="11">
        <v>13237.525</v>
      </c>
      <c r="Y246" s="11">
        <v>7530.5450000000001</v>
      </c>
    </row>
    <row r="247" spans="1:25" x14ac:dyDescent="0.35">
      <c r="A247" s="11">
        <v>1995</v>
      </c>
      <c r="B247" s="11">
        <v>10906.266</v>
      </c>
      <c r="C247" s="11">
        <v>14026.71</v>
      </c>
      <c r="D247" s="11">
        <v>8872.6710000000003</v>
      </c>
      <c r="E247" s="11">
        <v>10901.18</v>
      </c>
      <c r="F247" s="11">
        <v>14021.724</v>
      </c>
      <c r="G247" s="11">
        <v>8955.51</v>
      </c>
      <c r="H247" s="11">
        <v>10906.264999999999</v>
      </c>
      <c r="I247" s="11">
        <v>14026.71</v>
      </c>
      <c r="J247" s="11">
        <v>8872.6669999999995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>
        <v>10657.226000000001</v>
      </c>
      <c r="U247" s="11">
        <v>14006.392</v>
      </c>
      <c r="V247" s="11">
        <v>8954.2520000000004</v>
      </c>
      <c r="W247" s="11">
        <v>10227.049000000001</v>
      </c>
      <c r="X247" s="11">
        <v>13303.846</v>
      </c>
      <c r="Y247" s="11">
        <v>8050.0150000000003</v>
      </c>
    </row>
    <row r="248" spans="1:25" x14ac:dyDescent="0.35">
      <c r="A248" s="11">
        <v>1996</v>
      </c>
      <c r="B248" s="11">
        <v>11201.388999999999</v>
      </c>
      <c r="C248" s="11">
        <v>14297.953</v>
      </c>
      <c r="D248" s="11">
        <v>9267.009</v>
      </c>
      <c r="E248" s="11">
        <v>11196.349</v>
      </c>
      <c r="F248" s="11">
        <v>14293.014999999999</v>
      </c>
      <c r="G248" s="11">
        <v>9410.8140000000003</v>
      </c>
      <c r="H248" s="11">
        <v>11201.388999999999</v>
      </c>
      <c r="I248" s="11">
        <v>14297.951999999999</v>
      </c>
      <c r="J248" s="11">
        <v>9267.0049999999992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>
        <v>10942.136</v>
      </c>
      <c r="U248" s="11">
        <v>14228.450999999999</v>
      </c>
      <c r="V248" s="11">
        <v>9178.5679999999993</v>
      </c>
      <c r="W248" s="11">
        <v>10515.587</v>
      </c>
      <c r="X248" s="11">
        <v>13550.162</v>
      </c>
      <c r="Y248" s="11">
        <v>8261.59</v>
      </c>
    </row>
    <row r="249" spans="1:25" x14ac:dyDescent="0.35">
      <c r="A249" s="11">
        <v>1997</v>
      </c>
      <c r="B249" s="11">
        <v>11227.772999999999</v>
      </c>
      <c r="C249" s="11">
        <v>14192.091</v>
      </c>
      <c r="D249" s="11">
        <v>9484.9470000000001</v>
      </c>
      <c r="E249" s="11">
        <v>11224.334000000001</v>
      </c>
      <c r="F249" s="11">
        <v>14188.753000000001</v>
      </c>
      <c r="G249" s="11">
        <v>9684.3520000000008</v>
      </c>
      <c r="H249" s="11">
        <v>11227.772999999999</v>
      </c>
      <c r="I249" s="11">
        <v>14192.091</v>
      </c>
      <c r="J249" s="11">
        <v>9484.9429999999993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>
        <v>11165.468999999999</v>
      </c>
      <c r="U249" s="11">
        <v>14297.919</v>
      </c>
      <c r="V249" s="11">
        <v>9533.1479999999992</v>
      </c>
      <c r="W249" s="11">
        <v>10733.084999999999</v>
      </c>
      <c r="X249" s="11">
        <v>13620.065000000001</v>
      </c>
      <c r="Y249" s="11">
        <v>8570.9639999999999</v>
      </c>
    </row>
    <row r="250" spans="1:25" x14ac:dyDescent="0.35">
      <c r="A250" s="11">
        <v>1998</v>
      </c>
      <c r="B250" s="11">
        <v>11320.306</v>
      </c>
      <c r="C250" s="11">
        <v>14204.212</v>
      </c>
      <c r="D250" s="11">
        <v>9345.2469999999994</v>
      </c>
      <c r="E250" s="11">
        <v>11317.325999999999</v>
      </c>
      <c r="F250" s="11">
        <v>14201.332</v>
      </c>
      <c r="G250" s="11">
        <v>9597.0930000000008</v>
      </c>
      <c r="H250" s="11">
        <v>11320.306</v>
      </c>
      <c r="I250" s="11">
        <v>14204.212</v>
      </c>
      <c r="J250" s="11">
        <v>9345.2430000000004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>
        <v>11241.331</v>
      </c>
      <c r="U250" s="11">
        <v>14307.635</v>
      </c>
      <c r="V250" s="11">
        <v>9656.8770000000004</v>
      </c>
      <c r="W250" s="11">
        <v>10810.268</v>
      </c>
      <c r="X250" s="11">
        <v>13625.294</v>
      </c>
      <c r="Y250" s="11">
        <v>8684.5589999999993</v>
      </c>
    </row>
    <row r="251" spans="1:25" x14ac:dyDescent="0.35">
      <c r="A251" s="11">
        <v>1999</v>
      </c>
      <c r="B251" s="11">
        <v>11430.447</v>
      </c>
      <c r="C251" s="11">
        <v>14260.550999999999</v>
      </c>
      <c r="D251" s="11">
        <v>9803.7999999999993</v>
      </c>
      <c r="E251" s="11">
        <v>11427.69</v>
      </c>
      <c r="F251" s="11">
        <v>14257.896000000001</v>
      </c>
      <c r="G251" s="11">
        <v>10091.358</v>
      </c>
      <c r="H251" s="11">
        <v>11430.447</v>
      </c>
      <c r="I251" s="11">
        <v>14260.550999999999</v>
      </c>
      <c r="J251" s="11">
        <v>9803.7960000000003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>
        <v>11294.514999999999</v>
      </c>
      <c r="U251" s="11">
        <v>14360.031000000001</v>
      </c>
      <c r="V251" s="11">
        <v>9746.3469999999998</v>
      </c>
      <c r="W251" s="11">
        <v>10867.343000000001</v>
      </c>
      <c r="X251" s="11">
        <v>13670.128000000001</v>
      </c>
      <c r="Y251" s="11">
        <v>8754.8420000000006</v>
      </c>
    </row>
    <row r="252" spans="1:25" x14ac:dyDescent="0.35">
      <c r="A252" s="11">
        <v>2000</v>
      </c>
      <c r="B252" s="11">
        <v>11728.933000000001</v>
      </c>
      <c r="C252" s="11">
        <v>14544.698</v>
      </c>
      <c r="D252" s="11">
        <v>10183.264999999999</v>
      </c>
      <c r="E252" s="11">
        <v>11726.013000000001</v>
      </c>
      <c r="F252" s="11">
        <v>14541.876</v>
      </c>
      <c r="G252" s="11">
        <v>10505.543</v>
      </c>
      <c r="H252" s="11">
        <v>11728.933000000001</v>
      </c>
      <c r="I252" s="11">
        <v>14544.698</v>
      </c>
      <c r="J252" s="11">
        <v>10183.262000000001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>
        <v>11530.634</v>
      </c>
      <c r="U252" s="11">
        <v>14628.751</v>
      </c>
      <c r="V252" s="11">
        <v>10207.382</v>
      </c>
      <c r="W252" s="11">
        <v>11094.066999999999</v>
      </c>
      <c r="X252" s="11">
        <v>13942.757</v>
      </c>
      <c r="Y252" s="11">
        <v>9153.7980000000007</v>
      </c>
    </row>
    <row r="253" spans="1:25" x14ac:dyDescent="0.35">
      <c r="A253" s="11">
        <v>2001</v>
      </c>
      <c r="B253" s="11">
        <v>11652.799000000001</v>
      </c>
      <c r="C253" s="11">
        <v>14520.19</v>
      </c>
      <c r="D253" s="11">
        <v>10395.299999999999</v>
      </c>
      <c r="E253" s="11">
        <v>11650.412</v>
      </c>
      <c r="F253" s="11">
        <v>14517.901</v>
      </c>
      <c r="G253" s="11">
        <v>10794.508</v>
      </c>
      <c r="H253" s="11">
        <v>11652.799000000001</v>
      </c>
      <c r="I253" s="11">
        <v>14520.191000000001</v>
      </c>
      <c r="J253" s="11">
        <v>10395.296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>
        <v>11518.518</v>
      </c>
      <c r="U253" s="11">
        <v>14609.807000000001</v>
      </c>
      <c r="V253" s="11">
        <v>10564.812</v>
      </c>
      <c r="W253" s="11">
        <v>11116.550999999999</v>
      </c>
      <c r="X253" s="11">
        <v>13963.978999999999</v>
      </c>
      <c r="Y253" s="11">
        <v>9533.3019999999997</v>
      </c>
    </row>
    <row r="254" spans="1:25" x14ac:dyDescent="0.35">
      <c r="A254" s="11">
        <v>2002</v>
      </c>
      <c r="B254" s="11">
        <v>11731.258</v>
      </c>
      <c r="C254" s="11">
        <v>14573.849</v>
      </c>
      <c r="D254" s="11">
        <v>10894.637000000001</v>
      </c>
      <c r="E254" s="11">
        <v>11729.474</v>
      </c>
      <c r="F254" s="11">
        <v>14572.163</v>
      </c>
      <c r="G254" s="11">
        <v>11381.293</v>
      </c>
      <c r="H254" s="11">
        <v>11731.258</v>
      </c>
      <c r="I254" s="11">
        <v>14573.849</v>
      </c>
      <c r="J254" s="11">
        <v>10894.633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>
        <v>11418.217000000001</v>
      </c>
      <c r="U254" s="11">
        <v>14495.273999999999</v>
      </c>
      <c r="V254" s="11">
        <v>11054.725</v>
      </c>
      <c r="W254" s="11">
        <v>11011.373</v>
      </c>
      <c r="X254" s="11">
        <v>13855.662</v>
      </c>
      <c r="Y254" s="11">
        <v>9967.5849999999991</v>
      </c>
    </row>
    <row r="255" spans="1:25" x14ac:dyDescent="0.35">
      <c r="A255" s="11">
        <v>2003</v>
      </c>
      <c r="B255" s="11">
        <v>11885.857</v>
      </c>
      <c r="C255" s="11">
        <v>14819.578</v>
      </c>
      <c r="D255" s="11">
        <v>12003.852000000001</v>
      </c>
      <c r="E255" s="11">
        <v>11883.811</v>
      </c>
      <c r="F255" s="11">
        <v>14817.628000000001</v>
      </c>
      <c r="G255" s="11">
        <v>12506.084000000001</v>
      </c>
      <c r="H255" s="11">
        <v>11885.856</v>
      </c>
      <c r="I255" s="11">
        <v>14819.578</v>
      </c>
      <c r="J255" s="11">
        <v>12003.849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>
        <v>11594.699000000001</v>
      </c>
      <c r="U255" s="11">
        <v>14813.11</v>
      </c>
      <c r="V255" s="11">
        <v>11958.627</v>
      </c>
      <c r="W255" s="11">
        <v>11183.326999999999</v>
      </c>
      <c r="X255" s="11">
        <v>14139.373</v>
      </c>
      <c r="Y255" s="11">
        <v>10810.111000000001</v>
      </c>
    </row>
    <row r="256" spans="1:25" x14ac:dyDescent="0.35">
      <c r="A256" s="11">
        <v>2004</v>
      </c>
      <c r="B256" s="11">
        <v>11998.119000000001</v>
      </c>
      <c r="C256" s="11">
        <v>14956.597</v>
      </c>
      <c r="D256" s="11">
        <v>12749.960999999999</v>
      </c>
      <c r="E256" s="11">
        <v>11996.934999999999</v>
      </c>
      <c r="F256" s="11">
        <v>14955.502</v>
      </c>
      <c r="G256" s="11">
        <v>13379.914000000001</v>
      </c>
      <c r="H256" s="11">
        <v>11998.119000000001</v>
      </c>
      <c r="I256" s="11">
        <v>14956.597</v>
      </c>
      <c r="J256" s="11">
        <v>12749.954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>
        <v>11687.486000000001</v>
      </c>
      <c r="U256" s="11">
        <v>14890.558000000001</v>
      </c>
      <c r="V256" s="11">
        <v>13079.644</v>
      </c>
      <c r="W256" s="11">
        <v>11260.222</v>
      </c>
      <c r="X256" s="11">
        <v>14192.12</v>
      </c>
      <c r="Y256" s="11">
        <v>11854.162</v>
      </c>
    </row>
    <row r="257" spans="1:25" x14ac:dyDescent="0.35">
      <c r="A257" s="11">
        <v>2005</v>
      </c>
      <c r="B257" s="11">
        <v>12010.627</v>
      </c>
      <c r="C257" s="11">
        <v>15008.285</v>
      </c>
      <c r="D257" s="11">
        <v>13651.439</v>
      </c>
      <c r="E257" s="11">
        <v>12009.871999999999</v>
      </c>
      <c r="F257" s="11">
        <v>15007.617</v>
      </c>
      <c r="G257" s="11">
        <v>14405.759</v>
      </c>
      <c r="H257" s="11">
        <v>12010.627</v>
      </c>
      <c r="I257" s="11">
        <v>15008.284</v>
      </c>
      <c r="J257" s="11">
        <v>13651.431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>
        <v>11708.581</v>
      </c>
      <c r="U257" s="11">
        <v>14910.757</v>
      </c>
      <c r="V257" s="11">
        <v>14103.593999999999</v>
      </c>
      <c r="W257" s="11">
        <v>11281.114</v>
      </c>
      <c r="X257" s="11">
        <v>14222.708000000001</v>
      </c>
      <c r="Y257" s="11">
        <v>12806.540999999999</v>
      </c>
    </row>
    <row r="258" spans="1:25" x14ac:dyDescent="0.35">
      <c r="A258" s="11">
        <v>2006</v>
      </c>
      <c r="B258" s="11">
        <v>11904.31</v>
      </c>
      <c r="C258" s="11">
        <v>15019.94</v>
      </c>
      <c r="D258" s="11">
        <v>14583.616</v>
      </c>
      <c r="E258" s="11">
        <v>11902.674000000001</v>
      </c>
      <c r="F258" s="11">
        <v>15018.387000000001</v>
      </c>
      <c r="G258" s="11">
        <v>15207.983</v>
      </c>
      <c r="H258" s="11">
        <v>11904.31</v>
      </c>
      <c r="I258" s="11">
        <v>15019.94</v>
      </c>
      <c r="J258" s="11">
        <v>14583.609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>
        <v>11579.897000000001</v>
      </c>
      <c r="U258" s="11">
        <v>14872.111999999999</v>
      </c>
      <c r="V258" s="11">
        <v>15111.42</v>
      </c>
      <c r="W258" s="11">
        <v>11146.645</v>
      </c>
      <c r="X258" s="11">
        <v>14187.155000000001</v>
      </c>
      <c r="Y258" s="11">
        <v>13710.120999999999</v>
      </c>
    </row>
    <row r="259" spans="1:25" x14ac:dyDescent="0.35">
      <c r="A259" s="11">
        <v>2007</v>
      </c>
      <c r="B259" s="11">
        <v>11974.504000000001</v>
      </c>
      <c r="C259" s="11">
        <v>15137.762000000001</v>
      </c>
      <c r="D259" s="11">
        <v>15313.24</v>
      </c>
      <c r="E259" s="11">
        <v>11973.079</v>
      </c>
      <c r="F259" s="11">
        <v>15136.416999999999</v>
      </c>
      <c r="G259" s="11">
        <v>15880.342000000001</v>
      </c>
      <c r="H259" s="11">
        <v>11974.504999999999</v>
      </c>
      <c r="I259" s="11">
        <v>15137.762000000001</v>
      </c>
      <c r="J259" s="11">
        <v>15313.23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>
        <v>11674.213</v>
      </c>
      <c r="U259" s="11">
        <v>15011.188</v>
      </c>
      <c r="V259" s="11">
        <v>16091.096</v>
      </c>
      <c r="W259" s="11">
        <v>11243.584000000001</v>
      </c>
      <c r="X259" s="11">
        <v>14327.624</v>
      </c>
      <c r="Y259" s="11">
        <v>14631.413</v>
      </c>
    </row>
    <row r="260" spans="1:25" x14ac:dyDescent="0.35">
      <c r="A260" s="11">
        <v>2008</v>
      </c>
      <c r="B260" s="11">
        <v>11621.716</v>
      </c>
      <c r="C260" s="11">
        <v>14782.343000000001</v>
      </c>
      <c r="D260" s="11">
        <v>16209.136</v>
      </c>
      <c r="E260" s="11">
        <v>11621.495000000001</v>
      </c>
      <c r="F260" s="11">
        <v>14782.203</v>
      </c>
      <c r="G260" s="11">
        <v>16627.960999999999</v>
      </c>
      <c r="H260" s="11">
        <v>11621.716</v>
      </c>
      <c r="I260" s="11">
        <v>14782.343000000001</v>
      </c>
      <c r="J260" s="11">
        <v>16209.136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>
        <v>11324.498</v>
      </c>
      <c r="U260" s="11">
        <v>14613.669</v>
      </c>
      <c r="V260" s="11">
        <v>16687.38</v>
      </c>
      <c r="W260" s="11">
        <v>10907.906999999999</v>
      </c>
      <c r="X260" s="11">
        <v>13961.653</v>
      </c>
      <c r="Y260" s="11">
        <v>15226.449000000001</v>
      </c>
    </row>
    <row r="261" spans="1:25" x14ac:dyDescent="0.35">
      <c r="A261" s="11">
        <v>2009</v>
      </c>
      <c r="B261" s="11">
        <v>10806.821</v>
      </c>
      <c r="C261" s="11">
        <v>13746.255999999999</v>
      </c>
      <c r="D261" s="11">
        <v>16752.707999999999</v>
      </c>
      <c r="E261" s="11">
        <v>10807.492</v>
      </c>
      <c r="F261" s="11">
        <v>13746.998</v>
      </c>
      <c r="G261" s="11">
        <v>17118.637999999999</v>
      </c>
      <c r="H261" s="11">
        <v>10806.821</v>
      </c>
      <c r="I261" s="11">
        <v>13746.255999999999</v>
      </c>
      <c r="J261" s="11">
        <v>16752.707999999999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>
        <v>10555.447</v>
      </c>
      <c r="U261" s="11">
        <v>13612.782999999999</v>
      </c>
      <c r="V261" s="11">
        <v>17294.495999999999</v>
      </c>
      <c r="W261" s="11">
        <v>10184.016</v>
      </c>
      <c r="X261" s="11">
        <v>13021.544</v>
      </c>
      <c r="Y261" s="11">
        <v>15812.891</v>
      </c>
    </row>
    <row r="262" spans="1:25" x14ac:dyDescent="0.35">
      <c r="A262" s="11">
        <v>2010</v>
      </c>
      <c r="B262" s="11">
        <v>11141.303</v>
      </c>
      <c r="C262" s="11">
        <v>14213.941000000001</v>
      </c>
      <c r="D262" s="11">
        <v>18031.7</v>
      </c>
      <c r="E262" s="11">
        <v>11143.599</v>
      </c>
      <c r="F262" s="11">
        <v>14216.308000000001</v>
      </c>
      <c r="G262" s="11">
        <v>18143.669000000002</v>
      </c>
      <c r="H262" s="11">
        <v>11141.303</v>
      </c>
      <c r="I262" s="11">
        <v>14213.941000000001</v>
      </c>
      <c r="J262" s="11">
        <v>18031.701000000001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>
        <v>10988.456</v>
      </c>
      <c r="U262" s="11">
        <v>14198.79</v>
      </c>
      <c r="V262" s="11">
        <v>18639.440999999999</v>
      </c>
      <c r="W262" s="11">
        <v>10573.099</v>
      </c>
      <c r="X262" s="11">
        <v>13536.956</v>
      </c>
      <c r="Y262" s="11">
        <v>17053.087</v>
      </c>
    </row>
    <row r="263" spans="1:25" x14ac:dyDescent="0.35">
      <c r="A263" s="11">
        <v>2011</v>
      </c>
      <c r="B263" s="11">
        <v>10916.733</v>
      </c>
      <c r="C263" s="11">
        <v>14086.236000000001</v>
      </c>
      <c r="D263" s="11">
        <v>19287.698</v>
      </c>
      <c r="E263" s="11">
        <v>10919.867</v>
      </c>
      <c r="F263" s="11">
        <v>14089.395</v>
      </c>
      <c r="G263" s="11">
        <v>19459.196</v>
      </c>
      <c r="H263" s="11">
        <v>10916.733</v>
      </c>
      <c r="I263" s="11">
        <v>14086.236000000001</v>
      </c>
      <c r="J263" s="11">
        <v>19287.698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>
        <v>10693.447</v>
      </c>
      <c r="U263" s="11">
        <v>14025.746999999999</v>
      </c>
      <c r="V263" s="11">
        <v>19865.429</v>
      </c>
      <c r="W263" s="11">
        <v>10284.895</v>
      </c>
      <c r="X263" s="11">
        <v>13362.885</v>
      </c>
      <c r="Y263" s="11">
        <v>18211.341</v>
      </c>
    </row>
    <row r="264" spans="1:25" x14ac:dyDescent="0.35">
      <c r="A264" s="11">
        <v>2012</v>
      </c>
      <c r="B264" s="11">
        <v>10730.344999999999</v>
      </c>
      <c r="C264" s="11">
        <v>13898.321</v>
      </c>
      <c r="D264" s="11">
        <v>19962.321</v>
      </c>
      <c r="E264" s="11">
        <v>10733.005999999999</v>
      </c>
      <c r="F264" s="11">
        <v>13901.025</v>
      </c>
      <c r="G264" s="11">
        <v>20136.111000000001</v>
      </c>
      <c r="H264" s="11">
        <v>10730.344999999999</v>
      </c>
      <c r="I264" s="11">
        <v>13898.321</v>
      </c>
      <c r="J264" s="11">
        <v>19962.321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>
        <v>10491.055</v>
      </c>
      <c r="U264" s="11">
        <v>13787.165999999999</v>
      </c>
      <c r="V264" s="11">
        <v>20599.897000000001</v>
      </c>
      <c r="W264" s="11">
        <v>10096.544</v>
      </c>
      <c r="X264" s="11">
        <v>13133.54</v>
      </c>
      <c r="Y264" s="11">
        <v>18874.134999999998</v>
      </c>
    </row>
    <row r="265" spans="1:25" x14ac:dyDescent="0.35">
      <c r="A265" s="11">
        <v>2013</v>
      </c>
      <c r="B265" s="11">
        <v>10820.671</v>
      </c>
      <c r="C265" s="11">
        <v>13882.386</v>
      </c>
      <c r="D265" s="11">
        <v>20283.237000000001</v>
      </c>
      <c r="E265" s="11">
        <v>10824.115</v>
      </c>
      <c r="F265" s="11">
        <v>13885.794</v>
      </c>
      <c r="G265" s="11">
        <v>20516.026000000002</v>
      </c>
      <c r="H265" s="11">
        <v>10820.671</v>
      </c>
      <c r="I265" s="11">
        <v>13882.387000000001</v>
      </c>
      <c r="J265" s="11">
        <v>20283.237000000001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>
        <v>10574.83</v>
      </c>
      <c r="U265" s="11">
        <v>13769.933999999999</v>
      </c>
      <c r="V265" s="11">
        <v>21298.852999999999</v>
      </c>
      <c r="W265" s="11">
        <v>10185.933999999999</v>
      </c>
      <c r="X265" s="11">
        <v>13134.751</v>
      </c>
      <c r="Y265" s="11">
        <v>19566.797999999999</v>
      </c>
    </row>
    <row r="266" spans="1:25" x14ac:dyDescent="0.35">
      <c r="A266" s="11">
        <v>2014</v>
      </c>
      <c r="B266" s="11">
        <v>10655.071</v>
      </c>
      <c r="C266" s="11">
        <v>13676.084000000001</v>
      </c>
      <c r="D266" s="11">
        <v>20673.762999999999</v>
      </c>
      <c r="E266" s="11">
        <v>10656.661</v>
      </c>
      <c r="F266" s="11">
        <v>13677.503000000001</v>
      </c>
      <c r="G266" s="11">
        <v>21072.636999999999</v>
      </c>
      <c r="H266" s="11">
        <v>10655.071</v>
      </c>
      <c r="I266" s="11">
        <v>13676.084000000001</v>
      </c>
      <c r="J266" s="11">
        <v>20673.762999999999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10373.848</v>
      </c>
      <c r="U266" s="11">
        <v>13512.191999999999</v>
      </c>
      <c r="V266" s="11">
        <v>21740.787</v>
      </c>
      <c r="W266" s="11">
        <v>9979.0349999999999</v>
      </c>
      <c r="X266" s="11">
        <v>12877.026</v>
      </c>
      <c r="Y266" s="11">
        <v>19895.151999999998</v>
      </c>
    </row>
    <row r="267" spans="1:25" x14ac:dyDescent="0.35">
      <c r="A267" s="11">
        <v>2015</v>
      </c>
      <c r="B267" s="11">
        <v>10492.066999999999</v>
      </c>
      <c r="C267" s="11">
        <v>13498.848</v>
      </c>
      <c r="D267" s="11">
        <v>20752.060000000001</v>
      </c>
      <c r="E267" s="11">
        <v>10491.182000000001</v>
      </c>
      <c r="F267" s="11">
        <v>13497.718999999999</v>
      </c>
      <c r="G267" s="11">
        <v>21410.749</v>
      </c>
      <c r="H267" s="11">
        <v>10492.066999999999</v>
      </c>
      <c r="I267" s="11">
        <v>13498.848</v>
      </c>
      <c r="J267" s="11">
        <v>20752.061000000002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>
        <v>10256.209999999999</v>
      </c>
      <c r="U267" s="11">
        <v>13375.934999999999</v>
      </c>
      <c r="V267" s="11">
        <v>21719.821</v>
      </c>
      <c r="W267" s="11">
        <v>9857.4009999999998</v>
      </c>
      <c r="X267" s="11">
        <v>12705.415999999999</v>
      </c>
      <c r="Y267" s="11">
        <v>19850.366000000002</v>
      </c>
    </row>
    <row r="268" spans="1:25" x14ac:dyDescent="0.35">
      <c r="A268" s="11">
        <v>2016</v>
      </c>
      <c r="B268" s="11">
        <v>10311.272999999999</v>
      </c>
      <c r="C268" s="11">
        <v>13351.499</v>
      </c>
      <c r="D268" s="11">
        <v>20872.252</v>
      </c>
      <c r="E268" s="11">
        <v>10309.593000000001</v>
      </c>
      <c r="F268" s="11">
        <v>13349.697</v>
      </c>
      <c r="G268" s="11">
        <v>21656.738000000001</v>
      </c>
      <c r="H268" s="11">
        <v>10311.272999999999</v>
      </c>
      <c r="I268" s="11">
        <v>13351.499</v>
      </c>
      <c r="J268" s="11">
        <v>20872.252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>
        <v>10128.633</v>
      </c>
      <c r="U268" s="11">
        <v>13260.402</v>
      </c>
      <c r="V268" s="11">
        <v>21889.861000000001</v>
      </c>
      <c r="W268" s="11">
        <v>9723.3629999999994</v>
      </c>
      <c r="X268" s="11">
        <v>12593.362999999999</v>
      </c>
      <c r="Y268" s="11">
        <v>19999.085999999999</v>
      </c>
    </row>
    <row r="269" spans="1:25" x14ac:dyDescent="0.35">
      <c r="A269" s="11">
        <v>2017</v>
      </c>
      <c r="B269" s="11">
        <v>10249.216</v>
      </c>
      <c r="C269" s="11">
        <v>13361.929</v>
      </c>
      <c r="D269" s="11">
        <v>21411.564999999999</v>
      </c>
      <c r="E269" s="11">
        <v>10248.462</v>
      </c>
      <c r="F269" s="11">
        <v>13360.857</v>
      </c>
      <c r="G269" s="11">
        <v>22369.085999999999</v>
      </c>
      <c r="H269" s="11">
        <v>10249.216</v>
      </c>
      <c r="I269" s="11">
        <v>13361.929</v>
      </c>
      <c r="J269" s="11">
        <v>21411.564999999999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>
        <v>10050.759</v>
      </c>
      <c r="U269" s="11">
        <v>13259.994000000001</v>
      </c>
      <c r="V269" s="11">
        <v>22463.03</v>
      </c>
      <c r="W269" s="11">
        <v>9636.2160000000003</v>
      </c>
      <c r="X269" s="11">
        <v>12570.205</v>
      </c>
      <c r="Y269" s="11">
        <v>20533.969000000001</v>
      </c>
    </row>
    <row r="270" spans="1:25" x14ac:dyDescent="0.35">
      <c r="A270" s="11">
        <v>2018</v>
      </c>
      <c r="B270" s="11">
        <v>10308.483</v>
      </c>
      <c r="C270" s="11">
        <v>13467.581</v>
      </c>
      <c r="D270" s="11">
        <v>22030.045999999998</v>
      </c>
      <c r="E270" s="11">
        <v>10308.871999999999</v>
      </c>
      <c r="F270" s="11">
        <v>13467.627</v>
      </c>
      <c r="G270" s="11">
        <v>22885.663</v>
      </c>
      <c r="H270" s="11">
        <v>10308.483</v>
      </c>
      <c r="I270" s="11">
        <v>13467.581</v>
      </c>
      <c r="J270" s="11">
        <v>22030.045999999998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>
        <v>10105.355</v>
      </c>
      <c r="U270" s="11">
        <v>13392.15</v>
      </c>
      <c r="V270" s="11">
        <v>23188.043000000001</v>
      </c>
      <c r="W270" s="11">
        <v>9695.4279999999999</v>
      </c>
      <c r="X270" s="11">
        <v>12690.348</v>
      </c>
      <c r="Y270" s="11">
        <v>21152.580999999998</v>
      </c>
    </row>
    <row r="271" spans="1:25" x14ac:dyDescent="0.35">
      <c r="A271" s="11">
        <v>2019</v>
      </c>
      <c r="B271" s="11">
        <v>10026.807000000001</v>
      </c>
      <c r="C271" s="11">
        <v>13117.094999999999</v>
      </c>
      <c r="D271" s="11">
        <v>22729.898000000001</v>
      </c>
      <c r="E271" s="11">
        <v>10027.263999999999</v>
      </c>
      <c r="F271" s="11">
        <v>13116.656999999999</v>
      </c>
      <c r="G271" s="11">
        <v>23281.241000000002</v>
      </c>
      <c r="H271" s="11">
        <v>10026.807000000001</v>
      </c>
      <c r="I271" s="11">
        <v>13117.094999999999</v>
      </c>
      <c r="J271" s="11">
        <v>22729.897000000001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>
        <v>9792.9660000000003</v>
      </c>
      <c r="U271" s="11">
        <v>13041.906999999999</v>
      </c>
      <c r="V271" s="11">
        <v>23648.641</v>
      </c>
      <c r="W271" s="11">
        <v>9374.3349999999991</v>
      </c>
      <c r="X271" s="11">
        <v>12312.216</v>
      </c>
      <c r="Y271" s="11">
        <v>21564.766</v>
      </c>
    </row>
    <row r="272" spans="1:25" x14ac:dyDescent="0.35">
      <c r="A272" s="11">
        <v>2020</v>
      </c>
      <c r="B272" s="11">
        <v>9065.8670000000002</v>
      </c>
      <c r="C272" s="11">
        <v>12030.968999999999</v>
      </c>
      <c r="D272" s="11">
        <v>22287.710999999999</v>
      </c>
      <c r="E272" s="11">
        <v>9068.3250000000007</v>
      </c>
      <c r="F272" s="11">
        <v>12033.268</v>
      </c>
      <c r="G272" s="11">
        <v>22809.496999999999</v>
      </c>
      <c r="H272" s="11">
        <v>9065.8670000000002</v>
      </c>
      <c r="I272" s="11">
        <v>12030.968999999999</v>
      </c>
      <c r="J272" s="11">
        <v>22287.710999999999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>
        <v>8881.6190000000006</v>
      </c>
      <c r="U272" s="11">
        <v>12007.937</v>
      </c>
      <c r="V272" s="11">
        <v>23270.524000000001</v>
      </c>
      <c r="W272" s="11">
        <v>8490.1720000000005</v>
      </c>
      <c r="X272" s="11">
        <v>11309.228999999999</v>
      </c>
      <c r="Y272" s="11">
        <v>21207.948</v>
      </c>
    </row>
    <row r="273" spans="1:25" x14ac:dyDescent="0.35">
      <c r="A273" s="11">
        <v>2021</v>
      </c>
      <c r="B273" s="11">
        <v>9562.25</v>
      </c>
      <c r="C273" s="11">
        <v>12666.99</v>
      </c>
      <c r="D273" s="11">
        <v>23320.791000000001</v>
      </c>
      <c r="E273" s="11">
        <v>9565.3970000000008</v>
      </c>
      <c r="F273" s="11">
        <v>12669.912</v>
      </c>
      <c r="G273" s="11">
        <v>23818.333999999999</v>
      </c>
      <c r="H273" s="11">
        <v>9562.25</v>
      </c>
      <c r="I273" s="11">
        <v>12666.99</v>
      </c>
      <c r="J273" s="11">
        <v>23320.79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>
        <v>9344.7270000000008</v>
      </c>
      <c r="U273" s="11">
        <v>12709.152</v>
      </c>
      <c r="V273" s="11">
        <v>24527.121999999999</v>
      </c>
      <c r="W273" s="11">
        <v>8938.5709999999999</v>
      </c>
      <c r="X273" s="11">
        <v>11991.606</v>
      </c>
      <c r="Y273" s="11">
        <v>22384.042000000001</v>
      </c>
    </row>
    <row r="274" spans="1:25" x14ac:dyDescent="0.35">
      <c r="A274" s="11">
        <v>2022</v>
      </c>
      <c r="B274" s="11">
        <v>9496.6610000000001</v>
      </c>
      <c r="C274" s="11">
        <v>12493.547</v>
      </c>
      <c r="D274" s="11">
        <v>24068.555</v>
      </c>
      <c r="E274" s="11">
        <v>9514.3870000000006</v>
      </c>
      <c r="F274" s="11">
        <v>12511.111999999999</v>
      </c>
      <c r="G274" s="11">
        <v>24235.097000000002</v>
      </c>
      <c r="H274" s="11">
        <v>9496.6620000000003</v>
      </c>
      <c r="I274" s="11">
        <v>12493.547</v>
      </c>
      <c r="J274" s="11">
        <v>24068.555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>
        <v>9320.5310000000009</v>
      </c>
      <c r="U274" s="11">
        <v>12522.34</v>
      </c>
      <c r="V274" s="11">
        <v>24894.994999999999</v>
      </c>
      <c r="W274" s="11">
        <v>8918.8379999999997</v>
      </c>
      <c r="X274" s="11">
        <v>11871.599</v>
      </c>
      <c r="Y274" s="11">
        <v>22719.518</v>
      </c>
    </row>
    <row r="275" spans="1:25" x14ac:dyDescent="0.35">
      <c r="A275" s="11">
        <v>2023</v>
      </c>
      <c r="B275" s="11">
        <v>9126.6190000000006</v>
      </c>
      <c r="C275" s="11">
        <v>12149.120999999999</v>
      </c>
      <c r="D275" s="11">
        <v>24862.169000000002</v>
      </c>
      <c r="E275" s="11">
        <v>9125.7530000000006</v>
      </c>
      <c r="F275" s="11">
        <v>12104.227999999999</v>
      </c>
      <c r="G275" s="11">
        <v>25061.780999999999</v>
      </c>
      <c r="H275" s="11">
        <v>9126.6190000000006</v>
      </c>
      <c r="I275" s="11">
        <v>12149.120999999999</v>
      </c>
      <c r="J275" s="11">
        <v>24862.17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>
        <v>8870.81</v>
      </c>
      <c r="U275" s="11">
        <v>12060.303</v>
      </c>
      <c r="V275" s="11">
        <v>25769.264999999999</v>
      </c>
      <c r="W275" s="11">
        <v>8494.5959999999995</v>
      </c>
      <c r="X275" s="11">
        <v>11430.079</v>
      </c>
      <c r="Y275" s="11">
        <v>23545.223000000002</v>
      </c>
    </row>
    <row r="276" spans="1:25" x14ac:dyDescent="0.35">
      <c r="A276" s="11">
        <v>2024</v>
      </c>
      <c r="B276" s="11">
        <v>9045.3469999999998</v>
      </c>
      <c r="C276" s="11">
        <v>12122.674999999999</v>
      </c>
      <c r="D276" s="11">
        <v>25283.438999999998</v>
      </c>
      <c r="E276" s="11">
        <v>8641.1509999999998</v>
      </c>
      <c r="F276" s="11">
        <v>11449.105</v>
      </c>
      <c r="G276" s="11">
        <v>24074.684000000001</v>
      </c>
      <c r="H276" s="11">
        <v>9045.3469999999998</v>
      </c>
      <c r="I276" s="11">
        <v>12122.674999999999</v>
      </c>
      <c r="J276" s="11">
        <v>25283.438999999998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>
        <v>8826.4670000000006</v>
      </c>
      <c r="U276" s="11">
        <v>12071.331</v>
      </c>
      <c r="V276" s="11">
        <v>26249.279999999999</v>
      </c>
      <c r="W276" s="11"/>
      <c r="X276" s="11"/>
      <c r="Y27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1ECE-058B-4C4C-863F-E71A8F110E73}">
  <dimension ref="A1:Y276"/>
  <sheetViews>
    <sheetView workbookViewId="0"/>
  </sheetViews>
  <sheetFormatPr defaultRowHeight="14.5" x14ac:dyDescent="0.35"/>
  <cols>
    <col min="1" max="1" width="4.81640625" bestFit="1" customWidth="1"/>
    <col min="2" max="3" width="12.453125" bestFit="1" customWidth="1"/>
    <col min="4" max="4" width="11.54296875" bestFit="1" customWidth="1"/>
    <col min="5" max="6" width="14.26953125" bestFit="1" customWidth="1"/>
    <col min="7" max="7" width="13.36328125" bestFit="1" customWidth="1"/>
    <col min="8" max="9" width="16.81640625" bestFit="1" customWidth="1"/>
    <col min="10" max="10" width="15.90625" bestFit="1" customWidth="1"/>
    <col min="11" max="12" width="16.54296875" bestFit="1" customWidth="1"/>
    <col min="13" max="13" width="15.6328125" bestFit="1" customWidth="1"/>
    <col min="14" max="15" width="18.26953125" bestFit="1" customWidth="1"/>
    <col min="16" max="16" width="17.36328125" bestFit="1" customWidth="1"/>
    <col min="17" max="18" width="16.7265625" bestFit="1" customWidth="1"/>
    <col min="19" max="19" width="15.81640625" bestFit="1" customWidth="1"/>
    <col min="20" max="21" width="13.6328125" bestFit="1" customWidth="1"/>
    <col min="22" max="22" width="12.6328125" bestFit="1" customWidth="1"/>
    <col min="23" max="24" width="19.90625" bestFit="1" customWidth="1"/>
    <col min="25" max="25" width="19" bestFit="1" customWidth="1"/>
  </cols>
  <sheetData>
    <row r="1" spans="1:25" x14ac:dyDescent="0.35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12" t="s">
        <v>32</v>
      </c>
    </row>
    <row r="2" spans="1:25" x14ac:dyDescent="0.35">
      <c r="A2" s="11">
        <v>1750</v>
      </c>
      <c r="B2" s="11">
        <v>9.3059999999999992</v>
      </c>
      <c r="C2" s="11">
        <v>9.3059999999999992</v>
      </c>
      <c r="D2" s="11">
        <v>0</v>
      </c>
      <c r="E2" s="11">
        <v>0.33700000000000002</v>
      </c>
      <c r="F2" s="11">
        <v>0.33700000000000002</v>
      </c>
      <c r="G2" s="11">
        <v>5.0000000000000001E-3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35">
      <c r="A3" s="11">
        <v>1751</v>
      </c>
      <c r="B3" s="11">
        <v>9.407</v>
      </c>
      <c r="C3" s="11">
        <v>9.407</v>
      </c>
      <c r="D3" s="11">
        <v>0</v>
      </c>
      <c r="E3" s="11">
        <v>18.817</v>
      </c>
      <c r="F3" s="11">
        <v>22.042000000000002</v>
      </c>
      <c r="G3" s="11">
        <v>7.4770000000000003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35">
      <c r="A4" s="11">
        <v>1752</v>
      </c>
      <c r="B4" s="11">
        <v>9.5050000000000008</v>
      </c>
      <c r="C4" s="11">
        <v>9.5050000000000008</v>
      </c>
      <c r="D4" s="11">
        <v>0</v>
      </c>
      <c r="E4" s="11">
        <v>28.167000000000002</v>
      </c>
      <c r="F4" s="11">
        <v>34.616</v>
      </c>
      <c r="G4" s="11">
        <v>14.95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35">
      <c r="A5" s="11">
        <v>1753</v>
      </c>
      <c r="B5" s="11">
        <v>9.61</v>
      </c>
      <c r="C5" s="11">
        <v>9.61</v>
      </c>
      <c r="D5" s="11">
        <v>0</v>
      </c>
      <c r="E5" s="11">
        <v>37.514000000000003</v>
      </c>
      <c r="F5" s="11">
        <v>47.186999999999998</v>
      </c>
      <c r="G5" s="11">
        <v>22.422999999999998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35">
      <c r="A6" s="11">
        <v>1754</v>
      </c>
      <c r="B6" s="11">
        <v>9.734</v>
      </c>
      <c r="C6" s="11">
        <v>9.734</v>
      </c>
      <c r="D6" s="11">
        <v>0</v>
      </c>
      <c r="E6" s="11">
        <v>46.863999999999997</v>
      </c>
      <c r="F6" s="11">
        <v>59.762</v>
      </c>
      <c r="G6" s="11">
        <v>29.895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35">
      <c r="A7" s="11">
        <v>1755</v>
      </c>
      <c r="B7" s="11">
        <v>9.7929999999999993</v>
      </c>
      <c r="C7" s="11">
        <v>9.7929999999999993</v>
      </c>
      <c r="D7" s="11">
        <v>0</v>
      </c>
      <c r="E7" s="11">
        <v>56.213999999999999</v>
      </c>
      <c r="F7" s="11">
        <v>72.335999999999999</v>
      </c>
      <c r="G7" s="11">
        <v>37.368000000000002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35">
      <c r="A8" s="11">
        <v>1756</v>
      </c>
      <c r="B8" s="11">
        <v>9.91</v>
      </c>
      <c r="C8" s="11">
        <v>9.91</v>
      </c>
      <c r="D8" s="11">
        <v>0</v>
      </c>
      <c r="E8" s="11">
        <v>66.210999999999999</v>
      </c>
      <c r="F8" s="11">
        <v>85.557000000000002</v>
      </c>
      <c r="G8" s="11">
        <v>44.84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35">
      <c r="A9" s="11">
        <v>1757</v>
      </c>
      <c r="B9" s="11">
        <v>10.093999999999999</v>
      </c>
      <c r="C9" s="11">
        <v>10.093999999999999</v>
      </c>
      <c r="D9" s="11">
        <v>0</v>
      </c>
      <c r="E9" s="11">
        <v>75.561000000000007</v>
      </c>
      <c r="F9" s="11">
        <v>98.132000000000005</v>
      </c>
      <c r="G9" s="11">
        <v>52.313000000000002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35">
      <c r="A10" s="11">
        <v>1758</v>
      </c>
      <c r="B10" s="11">
        <v>10.215999999999999</v>
      </c>
      <c r="C10" s="11">
        <v>10.215999999999999</v>
      </c>
      <c r="D10" s="11">
        <v>0</v>
      </c>
      <c r="E10" s="11">
        <v>84.911000000000001</v>
      </c>
      <c r="F10" s="11">
        <v>110.706</v>
      </c>
      <c r="G10" s="11">
        <v>59.786000000000001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35">
      <c r="A11" s="11">
        <v>1759</v>
      </c>
      <c r="B11" s="11">
        <v>10.339</v>
      </c>
      <c r="C11" s="11">
        <v>10.339</v>
      </c>
      <c r="D11" s="11">
        <v>0</v>
      </c>
      <c r="E11" s="11">
        <v>94.262</v>
      </c>
      <c r="F11" s="11">
        <v>123.28100000000001</v>
      </c>
      <c r="G11" s="11">
        <v>67.257999999999996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35">
      <c r="A12" s="11">
        <v>1760</v>
      </c>
      <c r="B12" s="11">
        <v>10.513999999999999</v>
      </c>
      <c r="C12" s="11">
        <v>10.513999999999999</v>
      </c>
      <c r="D12" s="11">
        <v>0</v>
      </c>
      <c r="E12" s="11">
        <v>103.608</v>
      </c>
      <c r="F12" s="11">
        <v>135.852</v>
      </c>
      <c r="G12" s="11">
        <v>74.730999999999995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35">
      <c r="A13" s="11">
        <v>1761</v>
      </c>
      <c r="B13" s="11">
        <v>10.747999999999999</v>
      </c>
      <c r="C13" s="11">
        <v>10.747999999999999</v>
      </c>
      <c r="D13" s="11">
        <v>0</v>
      </c>
      <c r="E13" s="11">
        <v>113.91800000000001</v>
      </c>
      <c r="F13" s="11">
        <v>149.387</v>
      </c>
      <c r="G13" s="11">
        <v>82.203999999999994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35">
      <c r="A14" s="11">
        <v>1762</v>
      </c>
      <c r="B14" s="11">
        <v>10.952</v>
      </c>
      <c r="C14" s="11">
        <v>10.952</v>
      </c>
      <c r="D14" s="11">
        <v>0</v>
      </c>
      <c r="E14" s="11">
        <v>123.26900000000001</v>
      </c>
      <c r="F14" s="11">
        <v>161.96100000000001</v>
      </c>
      <c r="G14" s="11">
        <v>89.676000000000002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35">
      <c r="A15" s="11">
        <v>1763</v>
      </c>
      <c r="B15" s="11">
        <v>11.192</v>
      </c>
      <c r="C15" s="11">
        <v>11.192</v>
      </c>
      <c r="D15" s="11">
        <v>0</v>
      </c>
      <c r="E15" s="11">
        <v>132.619</v>
      </c>
      <c r="F15" s="11">
        <v>174.536</v>
      </c>
      <c r="G15" s="11">
        <v>97.149000000000001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35">
      <c r="A16" s="11">
        <v>1764</v>
      </c>
      <c r="B16" s="11">
        <v>11.397</v>
      </c>
      <c r="C16" s="11">
        <v>11.397</v>
      </c>
      <c r="D16" s="11">
        <v>0</v>
      </c>
      <c r="E16" s="11">
        <v>141.96899999999999</v>
      </c>
      <c r="F16" s="11">
        <v>187.11</v>
      </c>
      <c r="G16" s="11">
        <v>104.622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35">
      <c r="A17" s="11">
        <v>1765</v>
      </c>
      <c r="B17" s="11">
        <v>11.643000000000001</v>
      </c>
      <c r="C17" s="11">
        <v>11.643000000000001</v>
      </c>
      <c r="D17" s="11">
        <v>0</v>
      </c>
      <c r="E17" s="11">
        <v>151.32</v>
      </c>
      <c r="F17" s="11">
        <v>199.685</v>
      </c>
      <c r="G17" s="11">
        <v>112.09399999999999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35">
      <c r="A18" s="11">
        <v>1766</v>
      </c>
      <c r="B18" s="11">
        <v>11.875999999999999</v>
      </c>
      <c r="C18" s="11">
        <v>11.875999999999999</v>
      </c>
      <c r="D18" s="11">
        <v>0</v>
      </c>
      <c r="E18" s="11">
        <v>161.94800000000001</v>
      </c>
      <c r="F18" s="11">
        <v>213.53700000000001</v>
      </c>
      <c r="G18" s="11">
        <v>119.56699999999999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35">
      <c r="A19" s="11">
        <v>1767</v>
      </c>
      <c r="B19" s="11">
        <v>12.153</v>
      </c>
      <c r="C19" s="11">
        <v>12.153</v>
      </c>
      <c r="D19" s="11">
        <v>0</v>
      </c>
      <c r="E19" s="11">
        <v>171.298</v>
      </c>
      <c r="F19" s="11">
        <v>226.11199999999999</v>
      </c>
      <c r="G19" s="11">
        <v>127.04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35">
      <c r="A20" s="11">
        <v>1768</v>
      </c>
      <c r="B20" s="11">
        <v>12.467000000000001</v>
      </c>
      <c r="C20" s="11">
        <v>12.467000000000001</v>
      </c>
      <c r="D20" s="11">
        <v>0</v>
      </c>
      <c r="E20" s="11">
        <v>180.648</v>
      </c>
      <c r="F20" s="11">
        <v>238.68700000000001</v>
      </c>
      <c r="G20" s="11">
        <v>134.512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35">
      <c r="A21" s="11">
        <v>1769</v>
      </c>
      <c r="B21" s="11">
        <v>12.78</v>
      </c>
      <c r="C21" s="11">
        <v>12.78</v>
      </c>
      <c r="D21" s="11">
        <v>0</v>
      </c>
      <c r="E21" s="11">
        <v>189.99799999999999</v>
      </c>
      <c r="F21" s="11">
        <v>251.261</v>
      </c>
      <c r="G21" s="11">
        <v>141.98500000000001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35">
      <c r="A22" s="11">
        <v>1770</v>
      </c>
      <c r="B22" s="11">
        <v>13.097</v>
      </c>
      <c r="C22" s="11">
        <v>13.097</v>
      </c>
      <c r="D22" s="11">
        <v>0</v>
      </c>
      <c r="E22" s="11">
        <v>199.34899999999999</v>
      </c>
      <c r="F22" s="11">
        <v>263.83600000000001</v>
      </c>
      <c r="G22" s="11">
        <v>149.45699999999999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35">
      <c r="A23" s="11">
        <v>1771</v>
      </c>
      <c r="B23" s="11">
        <v>13.369</v>
      </c>
      <c r="C23" s="11">
        <v>13.369</v>
      </c>
      <c r="D23" s="11">
        <v>0</v>
      </c>
      <c r="E23" s="11">
        <v>210.04300000000001</v>
      </c>
      <c r="F23" s="11">
        <v>277.755</v>
      </c>
      <c r="G23" s="11">
        <v>156.93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35">
      <c r="A24" s="11">
        <v>1772</v>
      </c>
      <c r="B24" s="11">
        <v>13.624000000000001</v>
      </c>
      <c r="C24" s="11">
        <v>13.624000000000001</v>
      </c>
      <c r="D24" s="11">
        <v>0</v>
      </c>
      <c r="E24" s="11">
        <v>219.393</v>
      </c>
      <c r="F24" s="11">
        <v>290.32900000000001</v>
      </c>
      <c r="G24" s="11">
        <v>164.40299999999999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35">
      <c r="A25" s="11">
        <v>1773</v>
      </c>
      <c r="B25" s="11">
        <v>13.808</v>
      </c>
      <c r="C25" s="11">
        <v>13.808</v>
      </c>
      <c r="D25" s="11">
        <v>0</v>
      </c>
      <c r="E25" s="11">
        <v>228.744</v>
      </c>
      <c r="F25" s="11">
        <v>302.904</v>
      </c>
      <c r="G25" s="11">
        <v>171.875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35">
      <c r="A26" s="11">
        <v>1774</v>
      </c>
      <c r="B26" s="11">
        <v>14.012</v>
      </c>
      <c r="C26" s="11">
        <v>14.012</v>
      </c>
      <c r="D26" s="11">
        <v>0</v>
      </c>
      <c r="E26" s="11">
        <v>238.09399999999999</v>
      </c>
      <c r="F26" s="11">
        <v>315.47899999999998</v>
      </c>
      <c r="G26" s="11">
        <v>179.34800000000001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35">
      <c r="A27" s="11">
        <v>1775</v>
      </c>
      <c r="B27" s="11">
        <v>14.339</v>
      </c>
      <c r="C27" s="11">
        <v>14.339</v>
      </c>
      <c r="D27" s="11">
        <v>0</v>
      </c>
      <c r="E27" s="11">
        <v>247.44399999999999</v>
      </c>
      <c r="F27" s="11">
        <v>328.053</v>
      </c>
      <c r="G27" s="11">
        <v>186.821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35">
      <c r="A28" s="11">
        <v>1776</v>
      </c>
      <c r="B28" s="11">
        <v>14.654</v>
      </c>
      <c r="C28" s="11">
        <v>14.654</v>
      </c>
      <c r="D28" s="11">
        <v>0</v>
      </c>
      <c r="E28" s="11">
        <v>258.21300000000002</v>
      </c>
      <c r="F28" s="11">
        <v>342.04599999999999</v>
      </c>
      <c r="G28" s="11">
        <v>194.29300000000001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35">
      <c r="A29" s="11">
        <v>1777</v>
      </c>
      <c r="B29" s="11">
        <v>14.96</v>
      </c>
      <c r="C29" s="11">
        <v>14.96</v>
      </c>
      <c r="D29" s="11">
        <v>0</v>
      </c>
      <c r="E29" s="11">
        <v>267.61099999999999</v>
      </c>
      <c r="F29" s="11">
        <v>354.66899999999998</v>
      </c>
      <c r="G29" s="11">
        <v>201.76599999999999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35">
      <c r="A30" s="11">
        <v>1778</v>
      </c>
      <c r="B30" s="11">
        <v>15.243</v>
      </c>
      <c r="C30" s="11">
        <v>15.243</v>
      </c>
      <c r="D30" s="11">
        <v>0</v>
      </c>
      <c r="E30" s="11">
        <v>277.01100000000002</v>
      </c>
      <c r="F30" s="11">
        <v>367.29300000000001</v>
      </c>
      <c r="G30" s="11">
        <v>209.239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35">
      <c r="A31" s="11">
        <v>1779</v>
      </c>
      <c r="B31" s="11">
        <v>15.535</v>
      </c>
      <c r="C31" s="11">
        <v>15.535</v>
      </c>
      <c r="D31" s="11">
        <v>0</v>
      </c>
      <c r="E31" s="11">
        <v>286.41300000000001</v>
      </c>
      <c r="F31" s="11">
        <v>379.91899999999998</v>
      </c>
      <c r="G31" s="11">
        <v>216.71100000000001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35">
      <c r="A32" s="11">
        <v>1780</v>
      </c>
      <c r="B32" s="11">
        <v>15.879</v>
      </c>
      <c r="C32" s="11">
        <v>15.879</v>
      </c>
      <c r="D32" s="11">
        <v>0</v>
      </c>
      <c r="E32" s="11">
        <v>295.82</v>
      </c>
      <c r="F32" s="11">
        <v>392.55099999999999</v>
      </c>
      <c r="G32" s="11">
        <v>224.184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35">
      <c r="A33" s="11">
        <v>1781</v>
      </c>
      <c r="B33" s="11">
        <v>16.234000000000002</v>
      </c>
      <c r="C33" s="11">
        <v>16.234000000000002</v>
      </c>
      <c r="D33" s="11">
        <v>0</v>
      </c>
      <c r="E33" s="11">
        <v>307.02699999999999</v>
      </c>
      <c r="F33" s="11">
        <v>406.98200000000003</v>
      </c>
      <c r="G33" s="11">
        <v>231.65700000000001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35">
      <c r="A34" s="11">
        <v>1782</v>
      </c>
      <c r="B34" s="11">
        <v>16.581</v>
      </c>
      <c r="C34" s="11">
        <v>16.581</v>
      </c>
      <c r="D34" s="11">
        <v>0</v>
      </c>
      <c r="E34" s="11">
        <v>316.43799999999999</v>
      </c>
      <c r="F34" s="11">
        <v>419.61700000000002</v>
      </c>
      <c r="G34" s="11">
        <v>239.12899999999999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35">
      <c r="A35" s="11">
        <v>1783</v>
      </c>
      <c r="B35" s="11">
        <v>17.062999999999999</v>
      </c>
      <c r="C35" s="11">
        <v>17.062999999999999</v>
      </c>
      <c r="D35" s="11">
        <v>0</v>
      </c>
      <c r="E35" s="11">
        <v>325.85500000000002</v>
      </c>
      <c r="F35" s="11">
        <v>432.25900000000001</v>
      </c>
      <c r="G35" s="11">
        <v>246.602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35">
      <c r="A36" s="11">
        <v>1784</v>
      </c>
      <c r="B36" s="11">
        <v>17.471</v>
      </c>
      <c r="C36" s="11">
        <v>17.471</v>
      </c>
      <c r="D36" s="11">
        <v>0</v>
      </c>
      <c r="E36" s="11">
        <v>335.27199999999999</v>
      </c>
      <c r="F36" s="11">
        <v>444.9</v>
      </c>
      <c r="G36" s="11">
        <v>254.07499999999999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35">
      <c r="A37" s="11">
        <v>1785</v>
      </c>
      <c r="B37" s="11">
        <v>17.965</v>
      </c>
      <c r="C37" s="11">
        <v>17.965</v>
      </c>
      <c r="D37" s="11">
        <v>0</v>
      </c>
      <c r="E37" s="11">
        <v>344.69900000000001</v>
      </c>
      <c r="F37" s="11">
        <v>457.55200000000002</v>
      </c>
      <c r="G37" s="11">
        <v>261.54700000000003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35">
      <c r="A38" s="11">
        <v>1786</v>
      </c>
      <c r="B38" s="11">
        <v>18.446999999999999</v>
      </c>
      <c r="C38" s="11">
        <v>18.446999999999999</v>
      </c>
      <c r="D38" s="11">
        <v>0</v>
      </c>
      <c r="E38" s="11">
        <v>356.41899999999998</v>
      </c>
      <c r="F38" s="11">
        <v>472.495</v>
      </c>
      <c r="G38" s="11">
        <v>269.02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35">
      <c r="A39" s="11">
        <v>1787</v>
      </c>
      <c r="B39" s="11">
        <v>18.859000000000002</v>
      </c>
      <c r="C39" s="11">
        <v>18.859000000000002</v>
      </c>
      <c r="D39" s="11">
        <v>0</v>
      </c>
      <c r="E39" s="11">
        <v>365.84800000000001</v>
      </c>
      <c r="F39" s="11">
        <v>485.149</v>
      </c>
      <c r="G39" s="11">
        <v>276.49299999999999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35">
      <c r="A40" s="11">
        <v>1788</v>
      </c>
      <c r="B40" s="11">
        <v>19.286000000000001</v>
      </c>
      <c r="C40" s="11">
        <v>19.286000000000001</v>
      </c>
      <c r="D40" s="11">
        <v>0</v>
      </c>
      <c r="E40" s="11">
        <v>375.27600000000001</v>
      </c>
      <c r="F40" s="11">
        <v>497.80200000000002</v>
      </c>
      <c r="G40" s="11">
        <v>283.96499999999997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35">
      <c r="A41" s="11">
        <v>1789</v>
      </c>
      <c r="B41" s="11">
        <v>19.863</v>
      </c>
      <c r="C41" s="11">
        <v>19.863</v>
      </c>
      <c r="D41" s="11">
        <v>0</v>
      </c>
      <c r="E41" s="11">
        <v>384.71100000000001</v>
      </c>
      <c r="F41" s="11">
        <v>510.46100000000001</v>
      </c>
      <c r="G41" s="11">
        <v>291.43799999999999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35">
      <c r="A42" s="11">
        <v>1790</v>
      </c>
      <c r="B42" s="11">
        <v>20.398</v>
      </c>
      <c r="C42" s="11">
        <v>20.398</v>
      </c>
      <c r="D42" s="11">
        <v>0</v>
      </c>
      <c r="E42" s="11">
        <v>394.149</v>
      </c>
      <c r="F42" s="11">
        <v>523.12300000000005</v>
      </c>
      <c r="G42" s="11">
        <v>298.911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35">
      <c r="A43" s="11">
        <v>1791</v>
      </c>
      <c r="B43" s="11">
        <v>20.931999999999999</v>
      </c>
      <c r="C43" s="11">
        <v>20.931999999999999</v>
      </c>
      <c r="D43" s="11">
        <v>0</v>
      </c>
      <c r="E43" s="11">
        <v>405.84199999999998</v>
      </c>
      <c r="F43" s="11">
        <v>538.04</v>
      </c>
      <c r="G43" s="11">
        <v>306.38299999999998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35">
      <c r="A44" s="11">
        <v>1792</v>
      </c>
      <c r="B44" s="11">
        <v>21.928999999999998</v>
      </c>
      <c r="C44" s="11">
        <v>21.928999999999998</v>
      </c>
      <c r="D44" s="11">
        <v>0</v>
      </c>
      <c r="E44" s="11">
        <v>415.79500000000002</v>
      </c>
      <c r="F44" s="11">
        <v>551.21799999999996</v>
      </c>
      <c r="G44" s="11">
        <v>313.85599999999999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35">
      <c r="A45" s="11">
        <v>1793</v>
      </c>
      <c r="B45" s="11">
        <v>22.297000000000001</v>
      </c>
      <c r="C45" s="11">
        <v>22.297000000000001</v>
      </c>
      <c r="D45" s="11">
        <v>0</v>
      </c>
      <c r="E45" s="11">
        <v>425.25299999999999</v>
      </c>
      <c r="F45" s="11">
        <v>563.9</v>
      </c>
      <c r="G45" s="11">
        <v>321.32900000000001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35">
      <c r="A46" s="11">
        <v>1794</v>
      </c>
      <c r="B46" s="11">
        <v>22.52</v>
      </c>
      <c r="C46" s="11">
        <v>22.52</v>
      </c>
      <c r="D46" s="11">
        <v>0</v>
      </c>
      <c r="E46" s="11">
        <v>434.65899999999999</v>
      </c>
      <c r="F46" s="11">
        <v>576.53</v>
      </c>
      <c r="G46" s="11">
        <v>328.80099999999999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35">
      <c r="A47" s="11">
        <v>1795</v>
      </c>
      <c r="B47" s="11">
        <v>22.315000000000001</v>
      </c>
      <c r="C47" s="11">
        <v>22.315000000000001</v>
      </c>
      <c r="D47" s="11">
        <v>0</v>
      </c>
      <c r="E47" s="11">
        <v>444.11500000000001</v>
      </c>
      <c r="F47" s="11">
        <v>589.21100000000001</v>
      </c>
      <c r="G47" s="11">
        <v>336.274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35">
      <c r="A48" s="11">
        <v>1796</v>
      </c>
      <c r="B48" s="11">
        <v>22.120999999999999</v>
      </c>
      <c r="C48" s="11">
        <v>22.120999999999999</v>
      </c>
      <c r="D48" s="11">
        <v>0</v>
      </c>
      <c r="E48" s="11">
        <v>454.637</v>
      </c>
      <c r="F48" s="11">
        <v>602.95699999999999</v>
      </c>
      <c r="G48" s="11">
        <v>343.74700000000001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35">
      <c r="A49" s="11">
        <v>1797</v>
      </c>
      <c r="B49" s="11">
        <v>22.09</v>
      </c>
      <c r="C49" s="11">
        <v>22.09</v>
      </c>
      <c r="D49" s="11">
        <v>0</v>
      </c>
      <c r="E49" s="11">
        <v>465.24</v>
      </c>
      <c r="F49" s="11">
        <v>616.78499999999997</v>
      </c>
      <c r="G49" s="11">
        <v>351.21899999999999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35">
      <c r="A50" s="11">
        <v>1798</v>
      </c>
      <c r="B50" s="11">
        <v>23.106000000000002</v>
      </c>
      <c r="C50" s="11">
        <v>23.106000000000002</v>
      </c>
      <c r="D50" s="11">
        <v>0</v>
      </c>
      <c r="E50" s="11">
        <v>475.70400000000001</v>
      </c>
      <c r="F50" s="11">
        <v>630.47299999999996</v>
      </c>
      <c r="G50" s="11">
        <v>358.69200000000001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35">
      <c r="A51" s="11">
        <v>1799</v>
      </c>
      <c r="B51" s="11">
        <v>27.484999999999999</v>
      </c>
      <c r="C51" s="11">
        <v>27.484999999999999</v>
      </c>
      <c r="D51" s="11">
        <v>0</v>
      </c>
      <c r="E51" s="11">
        <v>486.50799999999998</v>
      </c>
      <c r="F51" s="11">
        <v>644.50199999999995</v>
      </c>
      <c r="G51" s="11">
        <v>366.16500000000002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35">
      <c r="A52" s="11">
        <v>1800</v>
      </c>
      <c r="B52" s="11">
        <v>32.392000000000003</v>
      </c>
      <c r="C52" s="11">
        <v>32.798000000000002</v>
      </c>
      <c r="D52" s="11">
        <v>0</v>
      </c>
      <c r="E52" s="11">
        <v>497.25599999999997</v>
      </c>
      <c r="F52" s="11">
        <v>658.88900000000001</v>
      </c>
      <c r="G52" s="11">
        <v>373.63799999999998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35">
      <c r="A53" s="11">
        <v>1801</v>
      </c>
      <c r="B53" s="11">
        <v>31.542999999999999</v>
      </c>
      <c r="C53" s="11">
        <v>31.986000000000001</v>
      </c>
      <c r="D53" s="11">
        <v>0</v>
      </c>
      <c r="E53" s="11">
        <v>506.52600000000001</v>
      </c>
      <c r="F53" s="11">
        <v>671.42100000000005</v>
      </c>
      <c r="G53" s="11">
        <v>381.11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35">
      <c r="A54" s="11">
        <v>1802</v>
      </c>
      <c r="B54" s="11">
        <v>39.86</v>
      </c>
      <c r="C54" s="11">
        <v>40.31</v>
      </c>
      <c r="D54" s="11">
        <v>0</v>
      </c>
      <c r="E54" s="11">
        <v>523.30999999999995</v>
      </c>
      <c r="F54" s="11">
        <v>691.43700000000001</v>
      </c>
      <c r="G54" s="11">
        <v>388.584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35">
      <c r="A55" s="11">
        <v>1803</v>
      </c>
      <c r="B55" s="11">
        <v>29.077000000000002</v>
      </c>
      <c r="C55" s="11">
        <v>29.539000000000001</v>
      </c>
      <c r="D55" s="11">
        <v>0</v>
      </c>
      <c r="E55" s="11">
        <v>535.04100000000005</v>
      </c>
      <c r="F55" s="11">
        <v>706.40300000000002</v>
      </c>
      <c r="G55" s="11">
        <v>396.05599999999998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35">
      <c r="A56" s="11">
        <v>1804</v>
      </c>
      <c r="B56" s="11">
        <v>31.311</v>
      </c>
      <c r="C56" s="11">
        <v>31.768999999999998</v>
      </c>
      <c r="D56" s="11">
        <v>0</v>
      </c>
      <c r="E56" s="11">
        <v>545.28300000000002</v>
      </c>
      <c r="F56" s="11">
        <v>719.86599999999999</v>
      </c>
      <c r="G56" s="11">
        <v>403.529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35">
      <c r="A57" s="11">
        <v>1805</v>
      </c>
      <c r="B57" s="11">
        <v>30.68</v>
      </c>
      <c r="C57" s="11">
        <v>31.251999999999999</v>
      </c>
      <c r="D57" s="11">
        <v>0</v>
      </c>
      <c r="E57" s="11">
        <v>555.57399999999996</v>
      </c>
      <c r="F57" s="11">
        <v>733.49699999999996</v>
      </c>
      <c r="G57" s="11">
        <v>411.00099999999998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35">
      <c r="A58" s="11">
        <v>1806</v>
      </c>
      <c r="B58" s="11">
        <v>32.183999999999997</v>
      </c>
      <c r="C58" s="11">
        <v>32.704999999999998</v>
      </c>
      <c r="D58" s="11">
        <v>0</v>
      </c>
      <c r="E58" s="11">
        <v>566.596</v>
      </c>
      <c r="F58" s="11">
        <v>747.69200000000001</v>
      </c>
      <c r="G58" s="11">
        <v>418.47399999999999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35">
      <c r="A59" s="11">
        <v>1807</v>
      </c>
      <c r="B59" s="11">
        <v>35.823</v>
      </c>
      <c r="C59" s="11">
        <v>36.201000000000001</v>
      </c>
      <c r="D59" s="11">
        <v>0</v>
      </c>
      <c r="E59" s="11">
        <v>578.101</v>
      </c>
      <c r="F59" s="11">
        <v>762.27499999999998</v>
      </c>
      <c r="G59" s="11">
        <v>425.947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35">
      <c r="A60" s="11">
        <v>1808</v>
      </c>
      <c r="B60" s="11">
        <v>34.996000000000002</v>
      </c>
      <c r="C60" s="11">
        <v>35.497999999999998</v>
      </c>
      <c r="D60" s="11">
        <v>0</v>
      </c>
      <c r="E60" s="11">
        <v>585.47699999999998</v>
      </c>
      <c r="F60" s="11">
        <v>773.00300000000004</v>
      </c>
      <c r="G60" s="11">
        <v>433.42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35">
      <c r="A61" s="11">
        <v>1809</v>
      </c>
      <c r="B61" s="11">
        <v>35.860999999999997</v>
      </c>
      <c r="C61" s="11">
        <v>36.334000000000003</v>
      </c>
      <c r="D61" s="11">
        <v>0</v>
      </c>
      <c r="E61" s="11">
        <v>594.87300000000005</v>
      </c>
      <c r="F61" s="11">
        <v>785.59299999999996</v>
      </c>
      <c r="G61" s="11">
        <v>440.892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35">
      <c r="A62" s="11">
        <v>1810</v>
      </c>
      <c r="B62" s="11">
        <v>38.923999999999999</v>
      </c>
      <c r="C62" s="11">
        <v>39.491999999999997</v>
      </c>
      <c r="D62" s="11">
        <v>0</v>
      </c>
      <c r="E62" s="11">
        <v>604.50599999999997</v>
      </c>
      <c r="F62" s="11">
        <v>798.54700000000003</v>
      </c>
      <c r="G62" s="11">
        <v>448.36500000000001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35">
      <c r="A63" s="11">
        <v>1811</v>
      </c>
      <c r="B63" s="11">
        <v>39.587000000000003</v>
      </c>
      <c r="C63" s="11">
        <v>40.177</v>
      </c>
      <c r="D63" s="11">
        <v>0</v>
      </c>
      <c r="E63" s="11">
        <v>616.04399999999998</v>
      </c>
      <c r="F63" s="11">
        <v>813.33299999999997</v>
      </c>
      <c r="G63" s="11">
        <v>455.83800000000002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35">
      <c r="A64" s="11">
        <v>1812</v>
      </c>
      <c r="B64" s="11">
        <v>40.36</v>
      </c>
      <c r="C64" s="11">
        <v>40.814999999999998</v>
      </c>
      <c r="D64" s="11">
        <v>0</v>
      </c>
      <c r="E64" s="11">
        <v>626.97299999999996</v>
      </c>
      <c r="F64" s="11">
        <v>827.34799999999996</v>
      </c>
      <c r="G64" s="11">
        <v>463.31099999999998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35">
      <c r="A65" s="11">
        <v>1813</v>
      </c>
      <c r="B65" s="11">
        <v>40.825000000000003</v>
      </c>
      <c r="C65" s="11">
        <v>41.206000000000003</v>
      </c>
      <c r="D65" s="11">
        <v>0</v>
      </c>
      <c r="E65" s="11">
        <v>636.60299999999995</v>
      </c>
      <c r="F65" s="11">
        <v>840.12699999999995</v>
      </c>
      <c r="G65" s="11">
        <v>470.78300000000002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35">
      <c r="A66" s="11">
        <v>1814</v>
      </c>
      <c r="B66" s="11">
        <v>41.725000000000001</v>
      </c>
      <c r="C66" s="11">
        <v>42.226999999999997</v>
      </c>
      <c r="D66" s="11">
        <v>0</v>
      </c>
      <c r="E66" s="11">
        <v>646.74900000000002</v>
      </c>
      <c r="F66" s="11">
        <v>853.62099999999998</v>
      </c>
      <c r="G66" s="11">
        <v>478.25599999999997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35">
      <c r="A67" s="11">
        <v>1815</v>
      </c>
      <c r="B67" s="11">
        <v>42.997</v>
      </c>
      <c r="C67" s="11">
        <v>43.587000000000003</v>
      </c>
      <c r="D67" s="11">
        <v>0</v>
      </c>
      <c r="E67" s="11">
        <v>657.40599999999995</v>
      </c>
      <c r="F67" s="11">
        <v>867.59199999999998</v>
      </c>
      <c r="G67" s="11">
        <v>485.72899999999998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35">
      <c r="A68" s="11">
        <v>1816</v>
      </c>
      <c r="B68" s="11">
        <v>44.819000000000003</v>
      </c>
      <c r="C68" s="11">
        <v>45.497</v>
      </c>
      <c r="D68" s="11">
        <v>0</v>
      </c>
      <c r="E68" s="11">
        <v>670.99300000000005</v>
      </c>
      <c r="F68" s="11">
        <v>884.49400000000003</v>
      </c>
      <c r="G68" s="11">
        <v>493.202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35">
      <c r="A69" s="11">
        <v>1817</v>
      </c>
      <c r="B69" s="11">
        <v>48.531999999999996</v>
      </c>
      <c r="C69" s="11">
        <v>49.276000000000003</v>
      </c>
      <c r="D69" s="11">
        <v>0</v>
      </c>
      <c r="E69" s="11">
        <v>682.14700000000005</v>
      </c>
      <c r="F69" s="11">
        <v>898.93899999999996</v>
      </c>
      <c r="G69" s="11">
        <v>500.67500000000001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35">
      <c r="A70" s="11">
        <v>1818</v>
      </c>
      <c r="B70" s="11">
        <v>50.469000000000001</v>
      </c>
      <c r="C70" s="11">
        <v>51.392000000000003</v>
      </c>
      <c r="D70" s="11">
        <v>0</v>
      </c>
      <c r="E70" s="11">
        <v>691.53499999999997</v>
      </c>
      <c r="F70" s="11">
        <v>911.73500000000001</v>
      </c>
      <c r="G70" s="11">
        <v>508.14699999999999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35">
      <c r="A71" s="11">
        <v>1819</v>
      </c>
      <c r="B71" s="11">
        <v>50.171999999999997</v>
      </c>
      <c r="C71" s="11">
        <v>50.93</v>
      </c>
      <c r="D71" s="11">
        <v>0</v>
      </c>
      <c r="E71" s="11">
        <v>701.16300000000001</v>
      </c>
      <c r="F71" s="11">
        <v>924.41899999999998</v>
      </c>
      <c r="G71" s="11">
        <v>515.62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35">
      <c r="A72" s="11">
        <v>1820</v>
      </c>
      <c r="B72" s="11">
        <v>49.985999999999997</v>
      </c>
      <c r="C72" s="11">
        <v>50.732999999999997</v>
      </c>
      <c r="D72" s="11">
        <v>0</v>
      </c>
      <c r="E72" s="11">
        <v>711.30200000000002</v>
      </c>
      <c r="F72" s="11">
        <v>937.77099999999996</v>
      </c>
      <c r="G72" s="11">
        <v>523.09299999999996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35">
      <c r="A73" s="11">
        <v>1821</v>
      </c>
      <c r="B73" s="11">
        <v>51.231000000000002</v>
      </c>
      <c r="C73" s="11">
        <v>52.058999999999997</v>
      </c>
      <c r="D73" s="11">
        <v>0</v>
      </c>
      <c r="E73" s="11">
        <v>721.33600000000001</v>
      </c>
      <c r="F73" s="11">
        <v>951.11199999999997</v>
      </c>
      <c r="G73" s="11">
        <v>530.56500000000005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35">
      <c r="A74" s="11">
        <v>1822</v>
      </c>
      <c r="B74" s="11">
        <v>53.113</v>
      </c>
      <c r="C74" s="11">
        <v>54.021999999999998</v>
      </c>
      <c r="D74" s="11">
        <v>0</v>
      </c>
      <c r="E74" s="11">
        <v>732.65499999999997</v>
      </c>
      <c r="F74" s="11">
        <v>965.73800000000006</v>
      </c>
      <c r="G74" s="11">
        <v>538.03800000000001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35">
      <c r="A75" s="11">
        <v>1823</v>
      </c>
      <c r="B75" s="11">
        <v>55.137999999999998</v>
      </c>
      <c r="C75" s="11">
        <v>56.357999999999997</v>
      </c>
      <c r="D75" s="11">
        <v>0</v>
      </c>
      <c r="E75" s="11">
        <v>744.81500000000005</v>
      </c>
      <c r="F75" s="11">
        <v>981.44</v>
      </c>
      <c r="G75" s="11">
        <v>545.51099999999997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35">
      <c r="A76" s="11">
        <v>1824</v>
      </c>
      <c r="B76" s="11">
        <v>56.308999999999997</v>
      </c>
      <c r="C76" s="11">
        <v>57.584000000000003</v>
      </c>
      <c r="D76" s="11">
        <v>0</v>
      </c>
      <c r="E76" s="11">
        <v>756.05399999999997</v>
      </c>
      <c r="F76" s="11">
        <v>995.95899999999995</v>
      </c>
      <c r="G76" s="11">
        <v>552.98400000000004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35">
      <c r="A77" s="11">
        <v>1825</v>
      </c>
      <c r="B77" s="11">
        <v>59.404000000000003</v>
      </c>
      <c r="C77" s="11">
        <v>60.731000000000002</v>
      </c>
      <c r="D77" s="11">
        <v>0</v>
      </c>
      <c r="E77" s="11">
        <v>767.69600000000003</v>
      </c>
      <c r="F77" s="11">
        <v>1010.878</v>
      </c>
      <c r="G77" s="11">
        <v>560.45699999999999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35">
      <c r="A78" s="11">
        <v>1826</v>
      </c>
      <c r="B78" s="11">
        <v>60.161999999999999</v>
      </c>
      <c r="C78" s="11">
        <v>61.381999999999998</v>
      </c>
      <c r="D78" s="11">
        <v>0</v>
      </c>
      <c r="E78" s="11">
        <v>777.81700000000001</v>
      </c>
      <c r="F78" s="11">
        <v>1024.115</v>
      </c>
      <c r="G78" s="11">
        <v>567.92999999999995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35">
      <c r="A79" s="11">
        <v>1827</v>
      </c>
      <c r="B79" s="11">
        <v>64.430999999999997</v>
      </c>
      <c r="C79" s="11">
        <v>65.739000000000004</v>
      </c>
      <c r="D79" s="11">
        <v>0</v>
      </c>
      <c r="E79" s="11">
        <v>791.70799999999997</v>
      </c>
      <c r="F79" s="11">
        <v>1041.3209999999999</v>
      </c>
      <c r="G79" s="11">
        <v>575.40300000000002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35">
      <c r="A80" s="11">
        <v>1828</v>
      </c>
      <c r="B80" s="11">
        <v>65.472999999999999</v>
      </c>
      <c r="C80" s="11">
        <v>66.682000000000002</v>
      </c>
      <c r="D80" s="11">
        <v>0</v>
      </c>
      <c r="E80" s="11">
        <v>801.88099999999997</v>
      </c>
      <c r="F80" s="11">
        <v>1054.617</v>
      </c>
      <c r="G80" s="11">
        <v>582.875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35">
      <c r="A81" s="11">
        <v>1829</v>
      </c>
      <c r="B81" s="11">
        <v>65.241</v>
      </c>
      <c r="C81" s="11">
        <v>66.307000000000002</v>
      </c>
      <c r="D81" s="11">
        <v>0</v>
      </c>
      <c r="E81" s="11">
        <v>811.07299999999998</v>
      </c>
      <c r="F81" s="11">
        <v>1066.8879999999999</v>
      </c>
      <c r="G81" s="11">
        <v>590.34799999999996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35">
      <c r="A82" s="11">
        <v>1830</v>
      </c>
      <c r="B82" s="11">
        <v>87.867000000000004</v>
      </c>
      <c r="C82" s="11">
        <v>88.986000000000004</v>
      </c>
      <c r="D82" s="11">
        <v>3.0000000000000001E-3</v>
      </c>
      <c r="E82" s="11">
        <v>837.80200000000002</v>
      </c>
      <c r="F82" s="11">
        <v>1096.8820000000001</v>
      </c>
      <c r="G82" s="11">
        <v>597.82600000000002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35">
      <c r="A83" s="11">
        <v>1831</v>
      </c>
      <c r="B83" s="11">
        <v>82.35</v>
      </c>
      <c r="C83" s="11">
        <v>83.248000000000005</v>
      </c>
      <c r="D83" s="11">
        <v>3.0000000000000001E-3</v>
      </c>
      <c r="E83" s="11">
        <v>842.56700000000001</v>
      </c>
      <c r="F83" s="11">
        <v>1104.652</v>
      </c>
      <c r="G83" s="11">
        <v>605.29899999999998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35">
      <c r="A84" s="11">
        <v>1832</v>
      </c>
      <c r="B84" s="11">
        <v>80.956000000000003</v>
      </c>
      <c r="C84" s="11">
        <v>82.09</v>
      </c>
      <c r="D84" s="11">
        <v>2E-3</v>
      </c>
      <c r="E84" s="11">
        <v>852.24900000000002</v>
      </c>
      <c r="F84" s="11">
        <v>1117.797</v>
      </c>
      <c r="G84" s="11">
        <v>612.77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35">
      <c r="A85" s="11">
        <v>1833</v>
      </c>
      <c r="B85" s="11">
        <v>82.090999999999994</v>
      </c>
      <c r="C85" s="11">
        <v>83.245999999999995</v>
      </c>
      <c r="D85" s="11">
        <v>3.0000000000000001E-3</v>
      </c>
      <c r="E85" s="11">
        <v>863.37099999999998</v>
      </c>
      <c r="F85" s="11">
        <v>1132.1679999999999</v>
      </c>
      <c r="G85" s="11">
        <v>620.24300000000005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35">
      <c r="A86" s="11">
        <v>1834</v>
      </c>
      <c r="B86" s="11">
        <v>87.564999999999998</v>
      </c>
      <c r="C86" s="11">
        <v>88.763000000000005</v>
      </c>
      <c r="D86" s="11">
        <v>0</v>
      </c>
      <c r="E86" s="11">
        <v>874.505</v>
      </c>
      <c r="F86" s="11">
        <v>1146.588</v>
      </c>
      <c r="G86" s="11">
        <v>627.71699999999998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35">
      <c r="A87" s="11">
        <v>1835</v>
      </c>
      <c r="B87" s="11">
        <v>96.138999999999996</v>
      </c>
      <c r="C87" s="11">
        <v>97.4</v>
      </c>
      <c r="D87" s="11">
        <v>0</v>
      </c>
      <c r="E87" s="11">
        <v>885.923</v>
      </c>
      <c r="F87" s="11">
        <v>1161.299</v>
      </c>
      <c r="G87" s="11">
        <v>635.19000000000005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35">
      <c r="A88" s="11">
        <v>1836</v>
      </c>
      <c r="B88" s="11">
        <v>105.44</v>
      </c>
      <c r="C88" s="11">
        <v>106.89400000000001</v>
      </c>
      <c r="D88" s="11">
        <v>0</v>
      </c>
      <c r="E88" s="11">
        <v>909.69799999999998</v>
      </c>
      <c r="F88" s="11">
        <v>1188.4970000000001</v>
      </c>
      <c r="G88" s="11">
        <v>642.66499999999996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35">
      <c r="A89" s="11">
        <v>1837</v>
      </c>
      <c r="B89" s="11">
        <v>104.657</v>
      </c>
      <c r="C89" s="11">
        <v>106.199</v>
      </c>
      <c r="D89" s="11">
        <v>0</v>
      </c>
      <c r="E89" s="11">
        <v>919.04300000000001</v>
      </c>
      <c r="F89" s="11">
        <v>1201.1600000000001</v>
      </c>
      <c r="G89" s="11">
        <v>650.13800000000003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35">
      <c r="A90" s="11">
        <v>1838</v>
      </c>
      <c r="B90" s="11">
        <v>104.196</v>
      </c>
      <c r="C90" s="11">
        <v>105.845</v>
      </c>
      <c r="D90" s="11">
        <v>0</v>
      </c>
      <c r="E90" s="11">
        <v>931.84100000000001</v>
      </c>
      <c r="F90" s="11">
        <v>1217.296</v>
      </c>
      <c r="G90" s="11">
        <v>657.61099999999999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35">
      <c r="A91" s="11">
        <v>1839</v>
      </c>
      <c r="B91" s="11">
        <v>107.83199999999999</v>
      </c>
      <c r="C91" s="11">
        <v>109.65300000000001</v>
      </c>
      <c r="D91" s="11">
        <v>0</v>
      </c>
      <c r="E91" s="11">
        <v>944.71299999999997</v>
      </c>
      <c r="F91" s="11">
        <v>1233.5609999999999</v>
      </c>
      <c r="G91" s="11">
        <v>665.08500000000004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35">
      <c r="A92" s="11">
        <v>1840</v>
      </c>
      <c r="B92" s="11">
        <v>116.705</v>
      </c>
      <c r="C92" s="11">
        <v>118.809</v>
      </c>
      <c r="D92" s="11">
        <v>0</v>
      </c>
      <c r="E92" s="11">
        <v>961.44600000000003</v>
      </c>
      <c r="F92" s="11">
        <v>1253.8109999999999</v>
      </c>
      <c r="G92" s="11">
        <v>672.55799999999999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35">
      <c r="A93" s="11">
        <v>1841</v>
      </c>
      <c r="B93" s="11">
        <v>119.883</v>
      </c>
      <c r="C93" s="11">
        <v>122.166</v>
      </c>
      <c r="D93" s="11">
        <v>0</v>
      </c>
      <c r="E93" s="11">
        <v>974.51800000000003</v>
      </c>
      <c r="F93" s="11">
        <v>1270.2940000000001</v>
      </c>
      <c r="G93" s="11">
        <v>680.03200000000004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35">
      <c r="A94" s="11">
        <v>1842</v>
      </c>
      <c r="B94" s="11">
        <v>127.02200000000001</v>
      </c>
      <c r="C94" s="11">
        <v>129.38900000000001</v>
      </c>
      <c r="D94" s="11">
        <v>0</v>
      </c>
      <c r="E94" s="11">
        <v>991.02099999999996</v>
      </c>
      <c r="F94" s="11">
        <v>1290.1179999999999</v>
      </c>
      <c r="G94" s="11">
        <v>687.50599999999997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35">
      <c r="A95" s="11">
        <v>1843</v>
      </c>
      <c r="B95" s="11">
        <v>130.035</v>
      </c>
      <c r="C95" s="11">
        <v>132.369</v>
      </c>
      <c r="D95" s="11">
        <v>0</v>
      </c>
      <c r="E95" s="11">
        <v>1003.628</v>
      </c>
      <c r="F95" s="11">
        <v>1305.92</v>
      </c>
      <c r="G95" s="11">
        <v>694.98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35">
      <c r="A96" s="11">
        <v>1844</v>
      </c>
      <c r="B96" s="11">
        <v>139.363</v>
      </c>
      <c r="C96" s="11">
        <v>141.94200000000001</v>
      </c>
      <c r="D96" s="11">
        <v>2.4E-2</v>
      </c>
      <c r="E96" s="11">
        <v>1021.679</v>
      </c>
      <c r="F96" s="11">
        <v>1327.44</v>
      </c>
      <c r="G96" s="11">
        <v>702.45399999999995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35">
      <c r="A97" s="11">
        <v>1845</v>
      </c>
      <c r="B97" s="11">
        <v>152.15700000000001</v>
      </c>
      <c r="C97" s="11">
        <v>155.03700000000001</v>
      </c>
      <c r="D97" s="11">
        <v>3.5999999999999997E-2</v>
      </c>
      <c r="E97" s="11">
        <v>1045.0989999999999</v>
      </c>
      <c r="F97" s="11">
        <v>1354.4090000000001</v>
      </c>
      <c r="G97" s="11">
        <v>709.92899999999997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35">
      <c r="A98" s="11">
        <v>1846</v>
      </c>
      <c r="B98" s="11">
        <v>154.64400000000001</v>
      </c>
      <c r="C98" s="11">
        <v>157.65600000000001</v>
      </c>
      <c r="D98" s="11">
        <v>4.5999999999999999E-2</v>
      </c>
      <c r="E98" s="11">
        <v>1057.5809999999999</v>
      </c>
      <c r="F98" s="11">
        <v>1370.258</v>
      </c>
      <c r="G98" s="11">
        <v>717.40200000000004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35">
      <c r="A99" s="11">
        <v>1847</v>
      </c>
      <c r="B99" s="11">
        <v>167.553</v>
      </c>
      <c r="C99" s="11">
        <v>170.74100000000001</v>
      </c>
      <c r="D99" s="11">
        <v>5.6000000000000001E-2</v>
      </c>
      <c r="E99" s="11">
        <v>1081.876</v>
      </c>
      <c r="F99" s="11">
        <v>1397.953</v>
      </c>
      <c r="G99" s="11">
        <v>724.87800000000004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35">
      <c r="A100" s="11">
        <v>1848</v>
      </c>
      <c r="B100" s="11">
        <v>170.535</v>
      </c>
      <c r="C100" s="11">
        <v>173.58</v>
      </c>
      <c r="D100" s="11">
        <v>6.4000000000000001E-2</v>
      </c>
      <c r="E100" s="11">
        <v>1092.692</v>
      </c>
      <c r="F100" s="11">
        <v>1411.8720000000001</v>
      </c>
      <c r="G100" s="11">
        <v>732.35199999999998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35">
      <c r="A101" s="11">
        <v>1849</v>
      </c>
      <c r="B101" s="11">
        <v>181.928</v>
      </c>
      <c r="C101" s="11">
        <v>184.93199999999999</v>
      </c>
      <c r="D101" s="11">
        <v>0.11600000000000001</v>
      </c>
      <c r="E101" s="11">
        <v>1111.952</v>
      </c>
      <c r="F101" s="11">
        <v>1434.3240000000001</v>
      </c>
      <c r="G101" s="11">
        <v>739.827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35">
      <c r="A102" s="11">
        <v>1850</v>
      </c>
      <c r="B102" s="11">
        <v>1290.9359999999999</v>
      </c>
      <c r="C102" s="11">
        <v>2094.8820000000001</v>
      </c>
      <c r="D102" s="11">
        <v>1537.8610000000001</v>
      </c>
      <c r="E102" s="11">
        <v>891.93</v>
      </c>
      <c r="F102" s="11">
        <v>1211.4929999999999</v>
      </c>
      <c r="G102" s="11">
        <v>823.42899999999997</v>
      </c>
      <c r="H102" s="11"/>
      <c r="I102" s="11"/>
      <c r="J102" s="11"/>
      <c r="K102" s="11">
        <v>1290.9359999999999</v>
      </c>
      <c r="L102" s="11">
        <v>2094.8820000000001</v>
      </c>
      <c r="M102" s="11">
        <v>1537.8610000000001</v>
      </c>
      <c r="N102" s="11">
        <v>1053.2729999999999</v>
      </c>
      <c r="O102" s="11">
        <v>1399.0609999999999</v>
      </c>
      <c r="P102" s="11">
        <v>945.55700000000002</v>
      </c>
      <c r="Q102" s="11">
        <v>1082.7660000000001</v>
      </c>
      <c r="R102" s="11">
        <v>1667.537</v>
      </c>
      <c r="S102" s="11">
        <v>1085.5409999999999</v>
      </c>
      <c r="T102" s="11"/>
      <c r="U102" s="11"/>
      <c r="V102" s="11"/>
      <c r="W102" s="11"/>
      <c r="X102" s="11"/>
      <c r="Y102" s="11"/>
    </row>
    <row r="103" spans="1:25" x14ac:dyDescent="0.35">
      <c r="A103" s="11">
        <v>1851</v>
      </c>
      <c r="B103" s="11">
        <v>1347.7840000000001</v>
      </c>
      <c r="C103" s="11">
        <v>2157.6010000000001</v>
      </c>
      <c r="D103" s="11">
        <v>1626.338</v>
      </c>
      <c r="E103" s="11">
        <v>899.51</v>
      </c>
      <c r="F103" s="11">
        <v>1219.5309999999999</v>
      </c>
      <c r="G103" s="11">
        <v>789.23900000000003</v>
      </c>
      <c r="H103" s="11"/>
      <c r="I103" s="11"/>
      <c r="J103" s="11"/>
      <c r="K103" s="11">
        <v>1347.7840000000001</v>
      </c>
      <c r="L103" s="11">
        <v>2157.6010000000001</v>
      </c>
      <c r="M103" s="11">
        <v>1626.338</v>
      </c>
      <c r="N103" s="11">
        <v>1086.404</v>
      </c>
      <c r="O103" s="11">
        <v>1423.289</v>
      </c>
      <c r="P103" s="11">
        <v>980.53499999999997</v>
      </c>
      <c r="Q103" s="11">
        <v>1130.623</v>
      </c>
      <c r="R103" s="11">
        <v>1715.913</v>
      </c>
      <c r="S103" s="11">
        <v>1152.6659999999999</v>
      </c>
      <c r="T103" s="11"/>
      <c r="U103" s="11"/>
      <c r="V103" s="11"/>
      <c r="W103" s="11"/>
      <c r="X103" s="11"/>
      <c r="Y103" s="11"/>
    </row>
    <row r="104" spans="1:25" x14ac:dyDescent="0.35">
      <c r="A104" s="11">
        <v>1852</v>
      </c>
      <c r="B104" s="11">
        <v>1380.203</v>
      </c>
      <c r="C104" s="11">
        <v>2230.3449999999998</v>
      </c>
      <c r="D104" s="11">
        <v>1683.59</v>
      </c>
      <c r="E104" s="11">
        <v>1146.19</v>
      </c>
      <c r="F104" s="11">
        <v>1468.0509999999999</v>
      </c>
      <c r="G104" s="11">
        <v>754.79</v>
      </c>
      <c r="H104" s="11"/>
      <c r="I104" s="11"/>
      <c r="J104" s="11"/>
      <c r="K104" s="11">
        <v>1380.203</v>
      </c>
      <c r="L104" s="11">
        <v>2230.3449999999998</v>
      </c>
      <c r="M104" s="11">
        <v>1683.59</v>
      </c>
      <c r="N104" s="11">
        <v>1103.114</v>
      </c>
      <c r="O104" s="11">
        <v>1471.461</v>
      </c>
      <c r="P104" s="11">
        <v>1004.504</v>
      </c>
      <c r="Q104" s="11">
        <v>1160.1990000000001</v>
      </c>
      <c r="R104" s="11">
        <v>1785.5260000000001</v>
      </c>
      <c r="S104" s="11">
        <v>1197.0630000000001</v>
      </c>
      <c r="T104" s="11"/>
      <c r="U104" s="11"/>
      <c r="V104" s="11"/>
      <c r="W104" s="11"/>
      <c r="X104" s="11"/>
      <c r="Y104" s="11"/>
    </row>
    <row r="105" spans="1:25" x14ac:dyDescent="0.35">
      <c r="A105" s="11">
        <v>1853</v>
      </c>
      <c r="B105" s="11">
        <v>1433.029</v>
      </c>
      <c r="C105" s="11">
        <v>2259.1729999999998</v>
      </c>
      <c r="D105" s="11">
        <v>1710.3679999999999</v>
      </c>
      <c r="E105" s="11">
        <v>1184.999</v>
      </c>
      <c r="F105" s="11">
        <v>1508.2090000000001</v>
      </c>
      <c r="G105" s="11">
        <v>718.59299999999996</v>
      </c>
      <c r="H105" s="11"/>
      <c r="I105" s="11"/>
      <c r="J105" s="11"/>
      <c r="K105" s="11">
        <v>1433.029</v>
      </c>
      <c r="L105" s="11">
        <v>2259.1729999999998</v>
      </c>
      <c r="M105" s="11">
        <v>1710.3679999999999</v>
      </c>
      <c r="N105" s="11">
        <v>1143.7909999999999</v>
      </c>
      <c r="O105" s="11">
        <v>1481.32</v>
      </c>
      <c r="P105" s="11">
        <v>1002.07</v>
      </c>
      <c r="Q105" s="11">
        <v>1206.7950000000001</v>
      </c>
      <c r="R105" s="11">
        <v>1807.5139999999999</v>
      </c>
      <c r="S105" s="11">
        <v>1195.3140000000001</v>
      </c>
      <c r="T105" s="11"/>
      <c r="U105" s="11"/>
      <c r="V105" s="11"/>
      <c r="W105" s="11"/>
      <c r="X105" s="11"/>
      <c r="Y105" s="11"/>
    </row>
    <row r="106" spans="1:25" x14ac:dyDescent="0.35">
      <c r="A106" s="11">
        <v>1854</v>
      </c>
      <c r="B106" s="11">
        <v>1499.0139999999999</v>
      </c>
      <c r="C106" s="11">
        <v>2352.1419999999998</v>
      </c>
      <c r="D106" s="11">
        <v>1705.8689999999999</v>
      </c>
      <c r="E106" s="11">
        <v>1251.8499999999999</v>
      </c>
      <c r="F106" s="11">
        <v>1576.8320000000001</v>
      </c>
      <c r="G106" s="11">
        <v>681.93100000000004</v>
      </c>
      <c r="H106" s="11"/>
      <c r="I106" s="11"/>
      <c r="J106" s="11"/>
      <c r="K106" s="11">
        <v>1499.0139999999999</v>
      </c>
      <c r="L106" s="11">
        <v>2352.1419999999998</v>
      </c>
      <c r="M106" s="11">
        <v>1705.8689999999999</v>
      </c>
      <c r="N106" s="11">
        <v>1200.0509999999999</v>
      </c>
      <c r="O106" s="11">
        <v>1558.9380000000001</v>
      </c>
      <c r="P106" s="11">
        <v>1006.056</v>
      </c>
      <c r="Q106" s="11">
        <v>1268.3589999999999</v>
      </c>
      <c r="R106" s="11">
        <v>1895.9739999999999</v>
      </c>
      <c r="S106" s="11">
        <v>1170.146</v>
      </c>
      <c r="T106" s="11"/>
      <c r="U106" s="11"/>
      <c r="V106" s="11"/>
      <c r="W106" s="11"/>
      <c r="X106" s="11"/>
      <c r="Y106" s="11"/>
    </row>
    <row r="107" spans="1:25" x14ac:dyDescent="0.35">
      <c r="A107" s="11">
        <v>1855</v>
      </c>
      <c r="B107" s="11">
        <v>1518.9490000000001</v>
      </c>
      <c r="C107" s="11">
        <v>2377.3240000000001</v>
      </c>
      <c r="D107" s="11">
        <v>1754.3</v>
      </c>
      <c r="E107" s="11">
        <v>1283.2860000000001</v>
      </c>
      <c r="F107" s="11">
        <v>1610.443</v>
      </c>
      <c r="G107" s="11">
        <v>643.80100000000004</v>
      </c>
      <c r="H107" s="11"/>
      <c r="I107" s="11"/>
      <c r="J107" s="11"/>
      <c r="K107" s="11">
        <v>1518.9490000000001</v>
      </c>
      <c r="L107" s="11">
        <v>2377.3240000000001</v>
      </c>
      <c r="M107" s="11">
        <v>1754.3</v>
      </c>
      <c r="N107" s="11">
        <v>1212.1949999999999</v>
      </c>
      <c r="O107" s="11">
        <v>1571.616</v>
      </c>
      <c r="P107" s="11">
        <v>1020.76</v>
      </c>
      <c r="Q107" s="11">
        <v>1283.6579999999999</v>
      </c>
      <c r="R107" s="11">
        <v>1917.454</v>
      </c>
      <c r="S107" s="11">
        <v>1219.9169999999999</v>
      </c>
      <c r="T107" s="11"/>
      <c r="U107" s="11"/>
      <c r="V107" s="11"/>
      <c r="W107" s="11"/>
      <c r="X107" s="11"/>
      <c r="Y107" s="11"/>
    </row>
    <row r="108" spans="1:25" x14ac:dyDescent="0.35">
      <c r="A108" s="11">
        <v>1856</v>
      </c>
      <c r="B108" s="11">
        <v>1546.951</v>
      </c>
      <c r="C108" s="11">
        <v>2411.2860000000001</v>
      </c>
      <c r="D108" s="11">
        <v>1762.1289999999999</v>
      </c>
      <c r="E108" s="11">
        <v>1326.327</v>
      </c>
      <c r="F108" s="11">
        <v>1655.482</v>
      </c>
      <c r="G108" s="11">
        <v>637.61199999999997</v>
      </c>
      <c r="H108" s="11"/>
      <c r="I108" s="11"/>
      <c r="J108" s="11"/>
      <c r="K108" s="11">
        <v>1546.95</v>
      </c>
      <c r="L108" s="11">
        <v>2411.2860000000001</v>
      </c>
      <c r="M108" s="11">
        <v>1762.1289999999999</v>
      </c>
      <c r="N108" s="11">
        <v>1234.154</v>
      </c>
      <c r="O108" s="11">
        <v>1595.778</v>
      </c>
      <c r="P108" s="11">
        <v>1034.424</v>
      </c>
      <c r="Q108" s="11">
        <v>1308.492</v>
      </c>
      <c r="R108" s="11">
        <v>1951.07</v>
      </c>
      <c r="S108" s="11">
        <v>1208.5609999999999</v>
      </c>
      <c r="T108" s="11"/>
      <c r="U108" s="11"/>
      <c r="V108" s="11"/>
      <c r="W108" s="11"/>
      <c r="X108" s="11"/>
      <c r="Y108" s="11"/>
    </row>
    <row r="109" spans="1:25" x14ac:dyDescent="0.35">
      <c r="A109" s="11">
        <v>1857</v>
      </c>
      <c r="B109" s="11">
        <v>1571.184</v>
      </c>
      <c r="C109" s="11">
        <v>2446.174</v>
      </c>
      <c r="D109" s="11">
        <v>1776.9480000000001</v>
      </c>
      <c r="E109" s="11">
        <v>1353.4690000000001</v>
      </c>
      <c r="F109" s="11">
        <v>1684.3820000000001</v>
      </c>
      <c r="G109" s="11">
        <v>632.51300000000003</v>
      </c>
      <c r="H109" s="11"/>
      <c r="I109" s="11"/>
      <c r="J109" s="11"/>
      <c r="K109" s="11">
        <v>1571.184</v>
      </c>
      <c r="L109" s="11">
        <v>2446.174</v>
      </c>
      <c r="M109" s="11">
        <v>1776.9480000000001</v>
      </c>
      <c r="N109" s="11">
        <v>1253.7329999999999</v>
      </c>
      <c r="O109" s="11">
        <v>1622.81</v>
      </c>
      <c r="P109" s="11">
        <v>1054.5640000000001</v>
      </c>
      <c r="Q109" s="11">
        <v>1330.442</v>
      </c>
      <c r="R109" s="11">
        <v>1986.576</v>
      </c>
      <c r="S109" s="11">
        <v>1227.9659999999999</v>
      </c>
      <c r="T109" s="11"/>
      <c r="U109" s="11"/>
      <c r="V109" s="11"/>
      <c r="W109" s="11"/>
      <c r="X109" s="11"/>
      <c r="Y109" s="11"/>
    </row>
    <row r="110" spans="1:25" x14ac:dyDescent="0.35">
      <c r="A110" s="11">
        <v>1858</v>
      </c>
      <c r="B110" s="11">
        <v>1600.2329999999999</v>
      </c>
      <c r="C110" s="11">
        <v>2476.819</v>
      </c>
      <c r="D110" s="11">
        <v>1775.5709999999999</v>
      </c>
      <c r="E110" s="11">
        <v>1379.76</v>
      </c>
      <c r="F110" s="11">
        <v>1712.848</v>
      </c>
      <c r="G110" s="11">
        <v>628.01199999999994</v>
      </c>
      <c r="H110" s="11"/>
      <c r="I110" s="11"/>
      <c r="J110" s="11"/>
      <c r="K110" s="11">
        <v>1600.2329999999999</v>
      </c>
      <c r="L110" s="11">
        <v>2476.819</v>
      </c>
      <c r="M110" s="11">
        <v>1775.5709999999999</v>
      </c>
      <c r="N110" s="11">
        <v>1279.577</v>
      </c>
      <c r="O110" s="11">
        <v>1647.578</v>
      </c>
      <c r="P110" s="11">
        <v>1043.049</v>
      </c>
      <c r="Q110" s="11">
        <v>1358.0160000000001</v>
      </c>
      <c r="R110" s="11">
        <v>2018.7270000000001</v>
      </c>
      <c r="S110" s="11">
        <v>1228.508</v>
      </c>
      <c r="T110" s="11"/>
      <c r="U110" s="11"/>
      <c r="V110" s="11"/>
      <c r="W110" s="11"/>
      <c r="X110" s="11"/>
      <c r="Y110" s="11"/>
    </row>
    <row r="111" spans="1:25" x14ac:dyDescent="0.35">
      <c r="A111" s="11">
        <v>1859</v>
      </c>
      <c r="B111" s="11">
        <v>1645.326</v>
      </c>
      <c r="C111" s="11">
        <v>2527.7260000000001</v>
      </c>
      <c r="D111" s="11">
        <v>1787.971</v>
      </c>
      <c r="E111" s="11">
        <v>1419.5360000000001</v>
      </c>
      <c r="F111" s="11">
        <v>1753.6220000000001</v>
      </c>
      <c r="G111" s="11">
        <v>624.22400000000005</v>
      </c>
      <c r="H111" s="11"/>
      <c r="I111" s="11"/>
      <c r="J111" s="11"/>
      <c r="K111" s="11">
        <v>1645.326</v>
      </c>
      <c r="L111" s="11">
        <v>2527.7260000000001</v>
      </c>
      <c r="M111" s="11">
        <v>1787.971</v>
      </c>
      <c r="N111" s="11">
        <v>1322.8119999999999</v>
      </c>
      <c r="O111" s="11">
        <v>1694.498</v>
      </c>
      <c r="P111" s="11">
        <v>1049.7380000000001</v>
      </c>
      <c r="Q111" s="11">
        <v>1402.2380000000001</v>
      </c>
      <c r="R111" s="11">
        <v>2071.8739999999998</v>
      </c>
      <c r="S111" s="11">
        <v>1239.7550000000001</v>
      </c>
      <c r="T111" s="11"/>
      <c r="U111" s="11"/>
      <c r="V111" s="11"/>
      <c r="W111" s="11"/>
      <c r="X111" s="11"/>
      <c r="Y111" s="11"/>
    </row>
    <row r="112" spans="1:25" x14ac:dyDescent="0.35">
      <c r="A112" s="11">
        <v>1860</v>
      </c>
      <c r="B112" s="11">
        <v>1582.327</v>
      </c>
      <c r="C112" s="11">
        <v>2419.7600000000002</v>
      </c>
      <c r="D112" s="11">
        <v>1497.1780000000001</v>
      </c>
      <c r="E112" s="11">
        <v>1470.527</v>
      </c>
      <c r="F112" s="11">
        <v>1806.778</v>
      </c>
      <c r="G112" s="11">
        <v>619.51900000000001</v>
      </c>
      <c r="H112" s="11"/>
      <c r="I112" s="11"/>
      <c r="J112" s="11"/>
      <c r="K112" s="11">
        <v>1582.327</v>
      </c>
      <c r="L112" s="11">
        <v>2419.761</v>
      </c>
      <c r="M112" s="11">
        <v>1497.1780000000001</v>
      </c>
      <c r="N112" s="11">
        <v>1362.587</v>
      </c>
      <c r="O112" s="11">
        <v>1713.3430000000001</v>
      </c>
      <c r="P112" s="11">
        <v>1027.021</v>
      </c>
      <c r="Q112" s="11">
        <v>1331.7950000000001</v>
      </c>
      <c r="R112" s="11">
        <v>1969.5319999999999</v>
      </c>
      <c r="S112" s="11">
        <v>1053.759</v>
      </c>
      <c r="T112" s="11"/>
      <c r="U112" s="11"/>
      <c r="V112" s="11"/>
      <c r="W112" s="11"/>
      <c r="X112" s="11"/>
      <c r="Y112" s="11"/>
    </row>
    <row r="113" spans="1:25" x14ac:dyDescent="0.35">
      <c r="A113" s="11">
        <v>1861</v>
      </c>
      <c r="B113" s="11">
        <v>1522.367</v>
      </c>
      <c r="C113" s="11">
        <v>2358.9899999999998</v>
      </c>
      <c r="D113" s="11">
        <v>1386.92</v>
      </c>
      <c r="E113" s="11">
        <v>1506.66</v>
      </c>
      <c r="F113" s="11">
        <v>1858.106</v>
      </c>
      <c r="G113" s="11">
        <v>625.60400000000004</v>
      </c>
      <c r="H113" s="11"/>
      <c r="I113" s="11"/>
      <c r="J113" s="11"/>
      <c r="K113" s="11">
        <v>1522.367</v>
      </c>
      <c r="L113" s="11">
        <v>2358.9899999999998</v>
      </c>
      <c r="M113" s="11">
        <v>1386.92</v>
      </c>
      <c r="N113" s="11">
        <v>1322.922</v>
      </c>
      <c r="O113" s="11">
        <v>1678</v>
      </c>
      <c r="P113" s="11">
        <v>989.23500000000001</v>
      </c>
      <c r="Q113" s="11">
        <v>1279.825</v>
      </c>
      <c r="R113" s="11">
        <v>1920.9649999999999</v>
      </c>
      <c r="S113" s="11">
        <v>1008.568</v>
      </c>
      <c r="T113" s="11"/>
      <c r="U113" s="11"/>
      <c r="V113" s="11"/>
      <c r="W113" s="11"/>
      <c r="X113" s="11"/>
      <c r="Y113" s="11"/>
    </row>
    <row r="114" spans="1:25" x14ac:dyDescent="0.35">
      <c r="A114" s="11">
        <v>1862</v>
      </c>
      <c r="B114" s="11">
        <v>1523.1780000000001</v>
      </c>
      <c r="C114" s="11">
        <v>2349.9690000000001</v>
      </c>
      <c r="D114" s="11">
        <v>1282.0360000000001</v>
      </c>
      <c r="E114" s="11">
        <v>1323.9449999999999</v>
      </c>
      <c r="F114" s="11">
        <v>1650.9580000000001</v>
      </c>
      <c r="G114" s="11">
        <v>624.66800000000001</v>
      </c>
      <c r="H114" s="11"/>
      <c r="I114" s="11"/>
      <c r="J114" s="11"/>
      <c r="K114" s="11">
        <v>1523.1780000000001</v>
      </c>
      <c r="L114" s="11">
        <v>2349.9690000000001</v>
      </c>
      <c r="M114" s="11">
        <v>1282.0360000000001</v>
      </c>
      <c r="N114" s="11">
        <v>1340.838</v>
      </c>
      <c r="O114" s="11">
        <v>1689.2929999999999</v>
      </c>
      <c r="P114" s="11">
        <v>969.16399999999999</v>
      </c>
      <c r="Q114" s="11">
        <v>1277.7349999999999</v>
      </c>
      <c r="R114" s="11">
        <v>1912.2619999999999</v>
      </c>
      <c r="S114" s="11">
        <v>937.38099999999997</v>
      </c>
      <c r="T114" s="11"/>
      <c r="U114" s="11"/>
      <c r="V114" s="11"/>
      <c r="W114" s="11"/>
      <c r="X114" s="11"/>
      <c r="Y114" s="11"/>
    </row>
    <row r="115" spans="1:25" x14ac:dyDescent="0.35">
      <c r="A115" s="11">
        <v>1863</v>
      </c>
      <c r="B115" s="11">
        <v>1543.8230000000001</v>
      </c>
      <c r="C115" s="11">
        <v>2356.241</v>
      </c>
      <c r="D115" s="11">
        <v>1241.748</v>
      </c>
      <c r="E115" s="11">
        <v>1345.537</v>
      </c>
      <c r="F115" s="11">
        <v>1677.135</v>
      </c>
      <c r="G115" s="11">
        <v>623.221</v>
      </c>
      <c r="H115" s="11"/>
      <c r="I115" s="11"/>
      <c r="J115" s="11"/>
      <c r="K115" s="11">
        <v>1543.8230000000001</v>
      </c>
      <c r="L115" s="11">
        <v>2356.241</v>
      </c>
      <c r="M115" s="11">
        <v>1241.748</v>
      </c>
      <c r="N115" s="11">
        <v>1377.7470000000001</v>
      </c>
      <c r="O115" s="11">
        <v>1714.396</v>
      </c>
      <c r="P115" s="11">
        <v>965.971</v>
      </c>
      <c r="Q115" s="11">
        <v>1293.5809999999999</v>
      </c>
      <c r="R115" s="11">
        <v>1917.454</v>
      </c>
      <c r="S115" s="11">
        <v>926.20799999999997</v>
      </c>
      <c r="T115" s="11"/>
      <c r="U115" s="11"/>
      <c r="V115" s="11"/>
      <c r="W115" s="11"/>
      <c r="X115" s="11"/>
      <c r="Y115" s="11"/>
    </row>
    <row r="116" spans="1:25" x14ac:dyDescent="0.35">
      <c r="A116" s="11">
        <v>1864</v>
      </c>
      <c r="B116" s="11">
        <v>1549.5740000000001</v>
      </c>
      <c r="C116" s="11">
        <v>2399.2820000000002</v>
      </c>
      <c r="D116" s="11">
        <v>1237.3699999999999</v>
      </c>
      <c r="E116" s="11">
        <v>1373.538</v>
      </c>
      <c r="F116" s="11">
        <v>1708.56</v>
      </c>
      <c r="G116" s="11">
        <v>624.15300000000002</v>
      </c>
      <c r="H116" s="11"/>
      <c r="I116" s="11"/>
      <c r="J116" s="11"/>
      <c r="K116" s="11">
        <v>1549.5740000000001</v>
      </c>
      <c r="L116" s="11">
        <v>2399.2820000000002</v>
      </c>
      <c r="M116" s="11">
        <v>1237.3699999999999</v>
      </c>
      <c r="N116" s="11">
        <v>1399.0889999999999</v>
      </c>
      <c r="O116" s="11">
        <v>1775.4</v>
      </c>
      <c r="P116" s="11">
        <v>971.447</v>
      </c>
      <c r="Q116" s="11">
        <v>1294.077</v>
      </c>
      <c r="R116" s="11">
        <v>1958.722</v>
      </c>
      <c r="S116" s="11">
        <v>940.77200000000005</v>
      </c>
      <c r="T116" s="11"/>
      <c r="U116" s="11"/>
      <c r="V116" s="11"/>
      <c r="W116" s="11"/>
      <c r="X116" s="11"/>
      <c r="Y116" s="11"/>
    </row>
    <row r="117" spans="1:25" x14ac:dyDescent="0.35">
      <c r="A117" s="11">
        <v>1865</v>
      </c>
      <c r="B117" s="11">
        <v>1546.914</v>
      </c>
      <c r="C117" s="11">
        <v>2377.2559999999999</v>
      </c>
      <c r="D117" s="11">
        <v>1187.931</v>
      </c>
      <c r="E117" s="11">
        <v>1397.673</v>
      </c>
      <c r="F117" s="11">
        <v>1736.1379999999999</v>
      </c>
      <c r="G117" s="11">
        <v>625.79899999999998</v>
      </c>
      <c r="H117" s="11"/>
      <c r="I117" s="11"/>
      <c r="J117" s="11"/>
      <c r="K117" s="11">
        <v>1546.914</v>
      </c>
      <c r="L117" s="11">
        <v>2377.2559999999999</v>
      </c>
      <c r="M117" s="11">
        <v>1187.931</v>
      </c>
      <c r="N117" s="11">
        <v>1411.1690000000001</v>
      </c>
      <c r="O117" s="11">
        <v>1770.4559999999999</v>
      </c>
      <c r="P117" s="11">
        <v>951.02099999999996</v>
      </c>
      <c r="Q117" s="11">
        <v>1284.4670000000001</v>
      </c>
      <c r="R117" s="11">
        <v>1931.8230000000001</v>
      </c>
      <c r="S117" s="11">
        <v>905.23800000000006</v>
      </c>
      <c r="T117" s="11"/>
      <c r="U117" s="11"/>
      <c r="V117" s="11"/>
      <c r="W117" s="11"/>
      <c r="X117" s="11"/>
      <c r="Y117" s="11"/>
    </row>
    <row r="118" spans="1:25" x14ac:dyDescent="0.35">
      <c r="A118" s="11">
        <v>1866</v>
      </c>
      <c r="B118" s="11">
        <v>1544.675</v>
      </c>
      <c r="C118" s="11">
        <v>2412.127</v>
      </c>
      <c r="D118" s="11">
        <v>1167.4939999999999</v>
      </c>
      <c r="E118" s="11">
        <v>1409.91</v>
      </c>
      <c r="F118" s="11">
        <v>1751.412</v>
      </c>
      <c r="G118" s="11">
        <v>624.83299999999997</v>
      </c>
      <c r="H118" s="11"/>
      <c r="I118" s="11"/>
      <c r="J118" s="11"/>
      <c r="K118" s="11">
        <v>1544.675</v>
      </c>
      <c r="L118" s="11">
        <v>2412.127</v>
      </c>
      <c r="M118" s="11">
        <v>1167.4939999999999</v>
      </c>
      <c r="N118" s="11">
        <v>1423.067</v>
      </c>
      <c r="O118" s="11">
        <v>1821.809</v>
      </c>
      <c r="P118" s="11">
        <v>946</v>
      </c>
      <c r="Q118" s="11">
        <v>1275.5139999999999</v>
      </c>
      <c r="R118" s="11">
        <v>1961.9359999999999</v>
      </c>
      <c r="S118" s="11">
        <v>895.1</v>
      </c>
      <c r="T118" s="11"/>
      <c r="U118" s="11"/>
      <c r="V118" s="11"/>
      <c r="W118" s="11"/>
      <c r="X118" s="11"/>
      <c r="Y118" s="11"/>
    </row>
    <row r="119" spans="1:25" x14ac:dyDescent="0.35">
      <c r="A119" s="11">
        <v>1867</v>
      </c>
      <c r="B119" s="11">
        <v>1585.9939999999999</v>
      </c>
      <c r="C119" s="11">
        <v>2405.23</v>
      </c>
      <c r="D119" s="11">
        <v>1147.9680000000001</v>
      </c>
      <c r="E119" s="11">
        <v>1436.06</v>
      </c>
      <c r="F119" s="11">
        <v>1780.691</v>
      </c>
      <c r="G119" s="11">
        <v>623.82100000000003</v>
      </c>
      <c r="H119" s="11"/>
      <c r="I119" s="11"/>
      <c r="J119" s="11"/>
      <c r="K119" s="11">
        <v>1585.9939999999999</v>
      </c>
      <c r="L119" s="11">
        <v>2405.23</v>
      </c>
      <c r="M119" s="11">
        <v>1147.9680000000001</v>
      </c>
      <c r="N119" s="11">
        <v>1479.624</v>
      </c>
      <c r="O119" s="11">
        <v>1832.5150000000001</v>
      </c>
      <c r="P119" s="11">
        <v>942.54100000000005</v>
      </c>
      <c r="Q119" s="11">
        <v>1311.912</v>
      </c>
      <c r="R119" s="11">
        <v>1952.0930000000001</v>
      </c>
      <c r="S119" s="11">
        <v>881.19299999999998</v>
      </c>
      <c r="T119" s="11"/>
      <c r="U119" s="11"/>
      <c r="V119" s="11"/>
      <c r="W119" s="11"/>
      <c r="X119" s="11"/>
      <c r="Y119" s="11"/>
    </row>
    <row r="120" spans="1:25" x14ac:dyDescent="0.35">
      <c r="A120" s="11">
        <v>1868</v>
      </c>
      <c r="B120" s="11">
        <v>1582.827</v>
      </c>
      <c r="C120" s="11">
        <v>2417.7260000000001</v>
      </c>
      <c r="D120" s="11">
        <v>1125.2650000000001</v>
      </c>
      <c r="E120" s="11">
        <v>1443.5139999999999</v>
      </c>
      <c r="F120" s="11">
        <v>1790.9190000000001</v>
      </c>
      <c r="G120" s="11">
        <v>622.18799999999999</v>
      </c>
      <c r="H120" s="11"/>
      <c r="I120" s="11"/>
      <c r="J120" s="11"/>
      <c r="K120" s="11">
        <v>1582.827</v>
      </c>
      <c r="L120" s="11">
        <v>2417.7260000000001</v>
      </c>
      <c r="M120" s="11">
        <v>1125.2650000000001</v>
      </c>
      <c r="N120" s="11">
        <v>1492.0440000000001</v>
      </c>
      <c r="O120" s="11">
        <v>1863.116</v>
      </c>
      <c r="P120" s="11">
        <v>930.68799999999999</v>
      </c>
      <c r="Q120" s="11">
        <v>1304.867</v>
      </c>
      <c r="R120" s="11">
        <v>1962.8979999999999</v>
      </c>
      <c r="S120" s="11">
        <v>867.32100000000003</v>
      </c>
      <c r="T120" s="11"/>
      <c r="U120" s="11"/>
      <c r="V120" s="11"/>
      <c r="W120" s="11"/>
      <c r="X120" s="11"/>
      <c r="Y120" s="11"/>
    </row>
    <row r="121" spans="1:25" x14ac:dyDescent="0.35">
      <c r="A121" s="11">
        <v>1869</v>
      </c>
      <c r="B121" s="11">
        <v>1588.327</v>
      </c>
      <c r="C121" s="11">
        <v>2429.5650000000001</v>
      </c>
      <c r="D121" s="11">
        <v>1128.9849999999999</v>
      </c>
      <c r="E121" s="11">
        <v>1467.855</v>
      </c>
      <c r="F121" s="11">
        <v>1818.1949999999999</v>
      </c>
      <c r="G121" s="11">
        <v>620.05100000000004</v>
      </c>
      <c r="H121" s="11"/>
      <c r="I121" s="11"/>
      <c r="J121" s="11"/>
      <c r="K121" s="11">
        <v>1588.327</v>
      </c>
      <c r="L121" s="11">
        <v>2429.5650000000001</v>
      </c>
      <c r="M121" s="11">
        <v>1128.9849999999999</v>
      </c>
      <c r="N121" s="11">
        <v>1511.924</v>
      </c>
      <c r="O121" s="11">
        <v>1891.8579999999999</v>
      </c>
      <c r="P121" s="11">
        <v>944.13400000000001</v>
      </c>
      <c r="Q121" s="11">
        <v>1306.1479999999999</v>
      </c>
      <c r="R121" s="11">
        <v>1972.712</v>
      </c>
      <c r="S121" s="11">
        <v>868.40200000000004</v>
      </c>
      <c r="T121" s="11"/>
      <c r="U121" s="11"/>
      <c r="V121" s="11"/>
      <c r="W121" s="11"/>
      <c r="X121" s="11"/>
      <c r="Y121" s="11"/>
    </row>
    <row r="122" spans="1:25" x14ac:dyDescent="0.35">
      <c r="A122" s="11">
        <v>1870</v>
      </c>
      <c r="B122" s="11">
        <v>1929.34</v>
      </c>
      <c r="C122" s="11">
        <v>2862.404</v>
      </c>
      <c r="D122" s="11">
        <v>1193.7059999999999</v>
      </c>
      <c r="E122" s="11">
        <v>1474.0350000000001</v>
      </c>
      <c r="F122" s="11">
        <v>1827.106</v>
      </c>
      <c r="G122" s="11">
        <v>619.23900000000003</v>
      </c>
      <c r="H122" s="11"/>
      <c r="I122" s="11"/>
      <c r="J122" s="11"/>
      <c r="K122" s="11">
        <v>1929.34</v>
      </c>
      <c r="L122" s="11">
        <v>2862.404</v>
      </c>
      <c r="M122" s="11">
        <v>1193.7059999999999</v>
      </c>
      <c r="N122" s="11">
        <v>1612.922</v>
      </c>
      <c r="O122" s="11">
        <v>2033.4949999999999</v>
      </c>
      <c r="P122" s="11">
        <v>956.48699999999997</v>
      </c>
      <c r="Q122" s="11">
        <v>1612.027</v>
      </c>
      <c r="R122" s="11">
        <v>2351.9760000000001</v>
      </c>
      <c r="S122" s="11">
        <v>937.93299999999999</v>
      </c>
      <c r="T122" s="11"/>
      <c r="U122" s="11"/>
      <c r="V122" s="11"/>
      <c r="W122" s="11"/>
      <c r="X122" s="11"/>
      <c r="Y122" s="11"/>
    </row>
    <row r="123" spans="1:25" x14ac:dyDescent="0.35">
      <c r="A123" s="11">
        <v>1871</v>
      </c>
      <c r="B123" s="11">
        <v>2095.8890000000001</v>
      </c>
      <c r="C123" s="11">
        <v>3017.8449999999998</v>
      </c>
      <c r="D123" s="11">
        <v>1197.1759999999999</v>
      </c>
      <c r="E123" s="11">
        <v>1508.6669999999999</v>
      </c>
      <c r="F123" s="11">
        <v>1857.4380000000001</v>
      </c>
      <c r="G123" s="11">
        <v>698.68600000000004</v>
      </c>
      <c r="H123" s="11"/>
      <c r="I123" s="11"/>
      <c r="J123" s="11"/>
      <c r="K123" s="11">
        <v>2095.8890000000001</v>
      </c>
      <c r="L123" s="11">
        <v>3017.8449999999998</v>
      </c>
      <c r="M123" s="11">
        <v>1197.1759999999999</v>
      </c>
      <c r="N123" s="11">
        <v>1730.5989999999999</v>
      </c>
      <c r="O123" s="11">
        <v>2119.232</v>
      </c>
      <c r="P123" s="11">
        <v>957.36400000000003</v>
      </c>
      <c r="Q123" s="11">
        <v>1748.095</v>
      </c>
      <c r="R123" s="11">
        <v>2472.1219999999998</v>
      </c>
      <c r="S123" s="11">
        <v>929.84</v>
      </c>
      <c r="T123" s="11"/>
      <c r="U123" s="11"/>
      <c r="V123" s="11"/>
      <c r="W123" s="11"/>
      <c r="X123" s="11"/>
      <c r="Y123" s="11"/>
    </row>
    <row r="124" spans="1:25" x14ac:dyDescent="0.35">
      <c r="A124" s="11">
        <v>1872</v>
      </c>
      <c r="B124" s="11">
        <v>2231.7600000000002</v>
      </c>
      <c r="C124" s="11">
        <v>3205.4229999999998</v>
      </c>
      <c r="D124" s="11">
        <v>1261.163</v>
      </c>
      <c r="E124" s="11">
        <v>1868.481</v>
      </c>
      <c r="F124" s="11">
        <v>2219.89</v>
      </c>
      <c r="G124" s="11">
        <v>716.899</v>
      </c>
      <c r="H124" s="11"/>
      <c r="I124" s="11"/>
      <c r="J124" s="11"/>
      <c r="K124" s="11">
        <v>2231.7600000000002</v>
      </c>
      <c r="L124" s="11">
        <v>3205.4229999999998</v>
      </c>
      <c r="M124" s="11">
        <v>1261.163</v>
      </c>
      <c r="N124" s="11">
        <v>1822.6959999999999</v>
      </c>
      <c r="O124" s="11">
        <v>2248.366</v>
      </c>
      <c r="P124" s="11">
        <v>991.73299999999995</v>
      </c>
      <c r="Q124" s="11">
        <v>1878.3489999999999</v>
      </c>
      <c r="R124" s="11">
        <v>2654.7350000000001</v>
      </c>
      <c r="S124" s="11">
        <v>997.59699999999998</v>
      </c>
      <c r="T124" s="11"/>
      <c r="U124" s="11"/>
      <c r="V124" s="11"/>
      <c r="W124" s="11"/>
      <c r="X124" s="11"/>
      <c r="Y124" s="11"/>
    </row>
    <row r="125" spans="1:25" x14ac:dyDescent="0.35">
      <c r="A125" s="11">
        <v>1873</v>
      </c>
      <c r="B125" s="11">
        <v>2355.279</v>
      </c>
      <c r="C125" s="11">
        <v>3320.2240000000002</v>
      </c>
      <c r="D125" s="11">
        <v>1259.797</v>
      </c>
      <c r="E125" s="11">
        <v>1932.67</v>
      </c>
      <c r="F125" s="11">
        <v>2286.317</v>
      </c>
      <c r="G125" s="11">
        <v>731.53599999999994</v>
      </c>
      <c r="H125" s="11"/>
      <c r="I125" s="11"/>
      <c r="J125" s="11"/>
      <c r="K125" s="11">
        <v>2355.279</v>
      </c>
      <c r="L125" s="11">
        <v>3320.2240000000002</v>
      </c>
      <c r="M125" s="11">
        <v>1259.798</v>
      </c>
      <c r="N125" s="11">
        <v>1909.163</v>
      </c>
      <c r="O125" s="11">
        <v>2313.8629999999998</v>
      </c>
      <c r="P125" s="11">
        <v>980.13699999999994</v>
      </c>
      <c r="Q125" s="11">
        <v>1996.134</v>
      </c>
      <c r="R125" s="11">
        <v>2763.7489999999998</v>
      </c>
      <c r="S125" s="11">
        <v>993.96400000000006</v>
      </c>
      <c r="T125" s="11"/>
      <c r="U125" s="11"/>
      <c r="V125" s="11"/>
      <c r="W125" s="11"/>
      <c r="X125" s="11"/>
      <c r="Y125" s="11"/>
    </row>
    <row r="126" spans="1:25" x14ac:dyDescent="0.35">
      <c r="A126" s="11">
        <v>1874</v>
      </c>
      <c r="B126" s="11">
        <v>2377.7849999999999</v>
      </c>
      <c r="C126" s="11">
        <v>3385.5940000000001</v>
      </c>
      <c r="D126" s="11">
        <v>1270.575</v>
      </c>
      <c r="E126" s="11">
        <v>1905.4639999999999</v>
      </c>
      <c r="F126" s="11">
        <v>2262.7269999999999</v>
      </c>
      <c r="G126" s="11">
        <v>735.72400000000005</v>
      </c>
      <c r="H126" s="11"/>
      <c r="I126" s="11"/>
      <c r="J126" s="11"/>
      <c r="K126" s="11">
        <v>2377.7849999999999</v>
      </c>
      <c r="L126" s="11">
        <v>3385.5940000000001</v>
      </c>
      <c r="M126" s="11">
        <v>1270.575</v>
      </c>
      <c r="N126" s="11">
        <v>1900.1020000000001</v>
      </c>
      <c r="O126" s="11">
        <v>2337.1280000000002</v>
      </c>
      <c r="P126" s="11">
        <v>986.85699999999997</v>
      </c>
      <c r="Q126" s="11">
        <v>2017.145</v>
      </c>
      <c r="R126" s="11">
        <v>2828.4650000000001</v>
      </c>
      <c r="S126" s="11">
        <v>1002.006</v>
      </c>
      <c r="T126" s="11"/>
      <c r="U126" s="11"/>
      <c r="V126" s="11"/>
      <c r="W126" s="11"/>
      <c r="X126" s="11"/>
      <c r="Y126" s="11"/>
    </row>
    <row r="127" spans="1:25" x14ac:dyDescent="0.35">
      <c r="A127" s="11">
        <v>1875</v>
      </c>
      <c r="B127" s="11">
        <v>2476.6149999999998</v>
      </c>
      <c r="C127" s="11">
        <v>3474.692</v>
      </c>
      <c r="D127" s="11">
        <v>1263.3209999999999</v>
      </c>
      <c r="E127" s="11">
        <v>1981.2070000000001</v>
      </c>
      <c r="F127" s="11">
        <v>2339.7869999999998</v>
      </c>
      <c r="G127" s="11">
        <v>742.6</v>
      </c>
      <c r="H127" s="11"/>
      <c r="I127" s="11"/>
      <c r="J127" s="11"/>
      <c r="K127" s="11">
        <v>2476.6149999999998</v>
      </c>
      <c r="L127" s="11">
        <v>3474.692</v>
      </c>
      <c r="M127" s="11">
        <v>1263.3209999999999</v>
      </c>
      <c r="N127" s="11">
        <v>1971.93</v>
      </c>
      <c r="O127" s="11">
        <v>2389.9059999999999</v>
      </c>
      <c r="P127" s="11">
        <v>980.86300000000006</v>
      </c>
      <c r="Q127" s="11">
        <v>2119.0419999999999</v>
      </c>
      <c r="R127" s="11">
        <v>2922.335</v>
      </c>
      <c r="S127" s="11">
        <v>1001.117</v>
      </c>
      <c r="T127" s="11"/>
      <c r="U127" s="11"/>
      <c r="V127" s="11"/>
      <c r="W127" s="11"/>
      <c r="X127" s="11"/>
      <c r="Y127" s="11"/>
    </row>
    <row r="128" spans="1:25" x14ac:dyDescent="0.35">
      <c r="A128" s="11">
        <v>1876</v>
      </c>
      <c r="B128" s="11">
        <v>2524.0619999999999</v>
      </c>
      <c r="C128" s="11">
        <v>3545.3879999999999</v>
      </c>
      <c r="D128" s="11">
        <v>1261.836</v>
      </c>
      <c r="E128" s="11">
        <v>2001.732</v>
      </c>
      <c r="F128" s="11">
        <v>2371.6559999999999</v>
      </c>
      <c r="G128" s="11">
        <v>747.40499999999997</v>
      </c>
      <c r="H128" s="11"/>
      <c r="I128" s="11"/>
      <c r="J128" s="11"/>
      <c r="K128" s="11">
        <v>2524.0619999999999</v>
      </c>
      <c r="L128" s="11">
        <v>3545.3879999999999</v>
      </c>
      <c r="M128" s="11">
        <v>1261.836</v>
      </c>
      <c r="N128" s="11">
        <v>1996.0440000000001</v>
      </c>
      <c r="O128" s="11">
        <v>2429.0070000000001</v>
      </c>
      <c r="P128" s="11">
        <v>987.38800000000003</v>
      </c>
      <c r="Q128" s="11">
        <v>2170.922</v>
      </c>
      <c r="R128" s="11">
        <v>2999.1559999999999</v>
      </c>
      <c r="S128" s="11">
        <v>1003.7430000000001</v>
      </c>
      <c r="T128" s="11"/>
      <c r="U128" s="11"/>
      <c r="V128" s="11"/>
      <c r="W128" s="11"/>
      <c r="X128" s="11"/>
      <c r="Y128" s="11"/>
    </row>
    <row r="129" spans="1:25" x14ac:dyDescent="0.35">
      <c r="A129" s="11">
        <v>1877</v>
      </c>
      <c r="B129" s="11">
        <v>2592.6619999999998</v>
      </c>
      <c r="C129" s="11">
        <v>3626.8029999999999</v>
      </c>
      <c r="D129" s="11">
        <v>1292.5070000000001</v>
      </c>
      <c r="E129" s="11">
        <v>2037.1310000000001</v>
      </c>
      <c r="F129" s="11">
        <v>2406.6179999999999</v>
      </c>
      <c r="G129" s="11">
        <v>751.89499999999998</v>
      </c>
      <c r="H129" s="11"/>
      <c r="I129" s="11"/>
      <c r="J129" s="11"/>
      <c r="K129" s="11">
        <v>2592.6619999999998</v>
      </c>
      <c r="L129" s="11">
        <v>3626.8029999999999</v>
      </c>
      <c r="M129" s="11">
        <v>1292.5070000000001</v>
      </c>
      <c r="N129" s="11">
        <v>2044.258</v>
      </c>
      <c r="O129" s="11">
        <v>2482.7080000000001</v>
      </c>
      <c r="P129" s="11">
        <v>1004.338</v>
      </c>
      <c r="Q129" s="11">
        <v>2244.922</v>
      </c>
      <c r="R129" s="11">
        <v>3087.7730000000001</v>
      </c>
      <c r="S129" s="11">
        <v>1040.0070000000001</v>
      </c>
      <c r="T129" s="11"/>
      <c r="U129" s="11"/>
      <c r="V129" s="11"/>
      <c r="W129" s="11"/>
      <c r="X129" s="11"/>
      <c r="Y129" s="11"/>
    </row>
    <row r="130" spans="1:25" x14ac:dyDescent="0.35">
      <c r="A130" s="11">
        <v>1878</v>
      </c>
      <c r="B130" s="11">
        <v>2640.9369999999999</v>
      </c>
      <c r="C130" s="11">
        <v>3696.2710000000002</v>
      </c>
      <c r="D130" s="11">
        <v>1290.058</v>
      </c>
      <c r="E130" s="11">
        <v>2056.4650000000001</v>
      </c>
      <c r="F130" s="11">
        <v>2430.223</v>
      </c>
      <c r="G130" s="11">
        <v>757.56600000000003</v>
      </c>
      <c r="H130" s="11"/>
      <c r="I130" s="11"/>
      <c r="J130" s="11"/>
      <c r="K130" s="11">
        <v>2640.9369999999999</v>
      </c>
      <c r="L130" s="11">
        <v>3696.2710000000002</v>
      </c>
      <c r="M130" s="11">
        <v>1290.058</v>
      </c>
      <c r="N130" s="11">
        <v>2074.4270000000001</v>
      </c>
      <c r="O130" s="11">
        <v>2527.598</v>
      </c>
      <c r="P130" s="11">
        <v>1005.6950000000001</v>
      </c>
      <c r="Q130" s="11">
        <v>2299.0309999999999</v>
      </c>
      <c r="R130" s="11">
        <v>3165.0520000000001</v>
      </c>
      <c r="S130" s="11">
        <v>1030.7909999999999</v>
      </c>
      <c r="T130" s="11"/>
      <c r="U130" s="11"/>
      <c r="V130" s="11"/>
      <c r="W130" s="11"/>
      <c r="X130" s="11"/>
      <c r="Y130" s="11"/>
    </row>
    <row r="131" spans="1:25" x14ac:dyDescent="0.35">
      <c r="A131" s="11">
        <v>1879</v>
      </c>
      <c r="B131" s="11">
        <v>2737.42</v>
      </c>
      <c r="C131" s="11">
        <v>3808.3890000000001</v>
      </c>
      <c r="D131" s="11">
        <v>1282.0119999999999</v>
      </c>
      <c r="E131" s="11">
        <v>2126.4270000000001</v>
      </c>
      <c r="F131" s="11">
        <v>2503.7139999999999</v>
      </c>
      <c r="G131" s="11">
        <v>762.97900000000004</v>
      </c>
      <c r="H131" s="11"/>
      <c r="I131" s="11"/>
      <c r="J131" s="11"/>
      <c r="K131" s="11">
        <v>2737.42</v>
      </c>
      <c r="L131" s="11">
        <v>3808.3890000000001</v>
      </c>
      <c r="M131" s="11">
        <v>1282.0119999999999</v>
      </c>
      <c r="N131" s="11">
        <v>2155.1289999999999</v>
      </c>
      <c r="O131" s="11">
        <v>2618.2269999999999</v>
      </c>
      <c r="P131" s="11">
        <v>1006.793</v>
      </c>
      <c r="Q131" s="11">
        <v>2401.8130000000001</v>
      </c>
      <c r="R131" s="11">
        <v>3285.5659999999998</v>
      </c>
      <c r="S131" s="11">
        <v>1036.212</v>
      </c>
      <c r="T131" s="11"/>
      <c r="U131" s="11"/>
      <c r="V131" s="11"/>
      <c r="W131" s="11"/>
      <c r="X131" s="11"/>
      <c r="Y131" s="11"/>
    </row>
    <row r="132" spans="1:25" x14ac:dyDescent="0.35">
      <c r="A132" s="11">
        <v>1880</v>
      </c>
      <c r="B132" s="11">
        <v>2688.2570000000001</v>
      </c>
      <c r="C132" s="11">
        <v>3792.0459999999998</v>
      </c>
      <c r="D132" s="11">
        <v>1423.4010000000001</v>
      </c>
      <c r="E132" s="11">
        <v>2248.683</v>
      </c>
      <c r="F132" s="11">
        <v>2629.2510000000002</v>
      </c>
      <c r="G132" s="11">
        <v>767.91499999999996</v>
      </c>
      <c r="H132" s="11"/>
      <c r="I132" s="11"/>
      <c r="J132" s="11"/>
      <c r="K132" s="11">
        <v>2688.2570000000001</v>
      </c>
      <c r="L132" s="11">
        <v>3792.0459999999998</v>
      </c>
      <c r="M132" s="11">
        <v>1423.4010000000001</v>
      </c>
      <c r="N132" s="11">
        <v>2249.2109999999998</v>
      </c>
      <c r="O132" s="11">
        <v>2725.6030000000001</v>
      </c>
      <c r="P132" s="11">
        <v>1063.0999999999999</v>
      </c>
      <c r="Q132" s="11">
        <v>2373.3980000000001</v>
      </c>
      <c r="R132" s="11">
        <v>3285.721</v>
      </c>
      <c r="S132" s="11">
        <v>1145.894</v>
      </c>
      <c r="T132" s="11"/>
      <c r="U132" s="11"/>
      <c r="V132" s="11"/>
      <c r="W132" s="11"/>
      <c r="X132" s="11"/>
      <c r="Y132" s="11"/>
    </row>
    <row r="133" spans="1:25" x14ac:dyDescent="0.35">
      <c r="A133" s="11">
        <v>1881</v>
      </c>
      <c r="B133" s="11">
        <v>2623.6219999999998</v>
      </c>
      <c r="C133" s="11">
        <v>3738.0720000000001</v>
      </c>
      <c r="D133" s="11">
        <v>1487.3140000000001</v>
      </c>
      <c r="E133" s="11">
        <v>2288.7240000000002</v>
      </c>
      <c r="F133" s="11">
        <v>2671.3290000000002</v>
      </c>
      <c r="G133" s="11">
        <v>885.10799999999995</v>
      </c>
      <c r="H133" s="11"/>
      <c r="I133" s="11"/>
      <c r="J133" s="11"/>
      <c r="K133" s="11">
        <v>2623.6219999999998</v>
      </c>
      <c r="L133" s="11">
        <v>3738.0720000000001</v>
      </c>
      <c r="M133" s="11">
        <v>1487.3140000000001</v>
      </c>
      <c r="N133" s="11">
        <v>2202.239</v>
      </c>
      <c r="O133" s="11">
        <v>2674.4340000000002</v>
      </c>
      <c r="P133" s="11">
        <v>1113.922</v>
      </c>
      <c r="Q133" s="11">
        <v>2334.8139999999999</v>
      </c>
      <c r="R133" s="11">
        <v>3254.5970000000002</v>
      </c>
      <c r="S133" s="11">
        <v>1197.883</v>
      </c>
      <c r="T133" s="11"/>
      <c r="U133" s="11"/>
      <c r="V133" s="11"/>
      <c r="W133" s="11"/>
      <c r="X133" s="11"/>
      <c r="Y133" s="11"/>
    </row>
    <row r="134" spans="1:25" x14ac:dyDescent="0.35">
      <c r="A134" s="11">
        <v>1882</v>
      </c>
      <c r="B134" s="11">
        <v>2677.5590000000002</v>
      </c>
      <c r="C134" s="11">
        <v>3813.681</v>
      </c>
      <c r="D134" s="11">
        <v>1548.82</v>
      </c>
      <c r="E134" s="11">
        <v>2137.1350000000002</v>
      </c>
      <c r="F134" s="11">
        <v>2522.2249999999999</v>
      </c>
      <c r="G134" s="11">
        <v>918.08299999999997</v>
      </c>
      <c r="H134" s="11"/>
      <c r="I134" s="11"/>
      <c r="J134" s="11"/>
      <c r="K134" s="11">
        <v>2677.5590000000002</v>
      </c>
      <c r="L134" s="11">
        <v>3813.681</v>
      </c>
      <c r="M134" s="11">
        <v>1548.82</v>
      </c>
      <c r="N134" s="11">
        <v>2271.8090000000002</v>
      </c>
      <c r="O134" s="11">
        <v>2754.59</v>
      </c>
      <c r="P134" s="11">
        <v>1148.472</v>
      </c>
      <c r="Q134" s="11">
        <v>2403.3679999999999</v>
      </c>
      <c r="R134" s="11">
        <v>3344.2979999999998</v>
      </c>
      <c r="S134" s="11">
        <v>1247.095</v>
      </c>
      <c r="T134" s="11"/>
      <c r="U134" s="11"/>
      <c r="V134" s="11"/>
      <c r="W134" s="11"/>
      <c r="X134" s="11"/>
      <c r="Y134" s="11"/>
    </row>
    <row r="135" spans="1:25" x14ac:dyDescent="0.35">
      <c r="A135" s="11">
        <v>1883</v>
      </c>
      <c r="B135" s="11">
        <v>2745.018</v>
      </c>
      <c r="C135" s="11">
        <v>3900.6480000000001</v>
      </c>
      <c r="D135" s="11">
        <v>1577.8720000000001</v>
      </c>
      <c r="E135" s="11">
        <v>2186.203</v>
      </c>
      <c r="F135" s="11">
        <v>2578.4</v>
      </c>
      <c r="G135" s="11">
        <v>944.74900000000002</v>
      </c>
      <c r="H135" s="11"/>
      <c r="I135" s="11"/>
      <c r="J135" s="11"/>
      <c r="K135" s="11">
        <v>2745.018</v>
      </c>
      <c r="L135" s="11">
        <v>3900.6480000000001</v>
      </c>
      <c r="M135" s="11">
        <v>1577.8720000000001</v>
      </c>
      <c r="N135" s="11">
        <v>2354.203</v>
      </c>
      <c r="O135" s="11">
        <v>2847.096</v>
      </c>
      <c r="P135" s="11">
        <v>1173.702</v>
      </c>
      <c r="Q135" s="11">
        <v>2490.027</v>
      </c>
      <c r="R135" s="11">
        <v>3450.0549999999998</v>
      </c>
      <c r="S135" s="11">
        <v>1267.748</v>
      </c>
      <c r="T135" s="11"/>
      <c r="U135" s="11"/>
      <c r="V135" s="11"/>
      <c r="W135" s="11"/>
      <c r="X135" s="11"/>
      <c r="Y135" s="11"/>
    </row>
    <row r="136" spans="1:25" x14ac:dyDescent="0.35">
      <c r="A136" s="11">
        <v>1884</v>
      </c>
      <c r="B136" s="11">
        <v>2727.6669999999999</v>
      </c>
      <c r="C136" s="11">
        <v>3910.0610000000001</v>
      </c>
      <c r="D136" s="11">
        <v>1584.3779999999999</v>
      </c>
      <c r="E136" s="11">
        <v>2190.759</v>
      </c>
      <c r="F136" s="11">
        <v>2585.8510000000001</v>
      </c>
      <c r="G136" s="11">
        <v>968.3</v>
      </c>
      <c r="H136" s="11"/>
      <c r="I136" s="11"/>
      <c r="J136" s="11"/>
      <c r="K136" s="11">
        <v>2727.6660000000002</v>
      </c>
      <c r="L136" s="11">
        <v>3910.0610000000001</v>
      </c>
      <c r="M136" s="11">
        <v>1584.3779999999999</v>
      </c>
      <c r="N136" s="11">
        <v>2350.8560000000002</v>
      </c>
      <c r="O136" s="11">
        <v>2862.3240000000001</v>
      </c>
      <c r="P136" s="11">
        <v>1173.2729999999999</v>
      </c>
      <c r="Q136" s="11">
        <v>2488.06</v>
      </c>
      <c r="R136" s="11">
        <v>3474.8209999999999</v>
      </c>
      <c r="S136" s="11">
        <v>1263.5329999999999</v>
      </c>
      <c r="T136" s="11"/>
      <c r="U136" s="11"/>
      <c r="V136" s="11"/>
      <c r="W136" s="11"/>
      <c r="X136" s="11"/>
      <c r="Y136" s="11"/>
    </row>
    <row r="137" spans="1:25" x14ac:dyDescent="0.35">
      <c r="A137" s="11">
        <v>1885</v>
      </c>
      <c r="B137" s="11">
        <v>2705.8220000000001</v>
      </c>
      <c r="C137" s="11">
        <v>3908.114</v>
      </c>
      <c r="D137" s="11">
        <v>1597.4970000000001</v>
      </c>
      <c r="E137" s="11">
        <v>2191.6790000000001</v>
      </c>
      <c r="F137" s="11">
        <v>2591.2939999999999</v>
      </c>
      <c r="G137" s="11">
        <v>988.16300000000001</v>
      </c>
      <c r="H137" s="11"/>
      <c r="I137" s="11"/>
      <c r="J137" s="11"/>
      <c r="K137" s="11">
        <v>2705.8220000000001</v>
      </c>
      <c r="L137" s="11">
        <v>3908.114</v>
      </c>
      <c r="M137" s="11">
        <v>1597.4970000000001</v>
      </c>
      <c r="N137" s="11">
        <v>2341.5</v>
      </c>
      <c r="O137" s="11">
        <v>2865.7809999999999</v>
      </c>
      <c r="P137" s="11">
        <v>1178.914</v>
      </c>
      <c r="Q137" s="11">
        <v>2470.2759999999998</v>
      </c>
      <c r="R137" s="11">
        <v>3475.748</v>
      </c>
      <c r="S137" s="11">
        <v>1282.508</v>
      </c>
      <c r="T137" s="11"/>
      <c r="U137" s="11"/>
      <c r="V137" s="11"/>
      <c r="W137" s="11"/>
      <c r="X137" s="11"/>
      <c r="Y137" s="11"/>
    </row>
    <row r="138" spans="1:25" x14ac:dyDescent="0.35">
      <c r="A138" s="11">
        <v>1886</v>
      </c>
      <c r="B138" s="11">
        <v>2714.569</v>
      </c>
      <c r="C138" s="11">
        <v>3905.1770000000001</v>
      </c>
      <c r="D138" s="11">
        <v>1611.29</v>
      </c>
      <c r="E138" s="11">
        <v>2201.3040000000001</v>
      </c>
      <c r="F138" s="11">
        <v>2604.4650000000001</v>
      </c>
      <c r="G138" s="11">
        <v>1000.879</v>
      </c>
      <c r="H138" s="11"/>
      <c r="I138" s="11"/>
      <c r="J138" s="11"/>
      <c r="K138" s="11">
        <v>2714.569</v>
      </c>
      <c r="L138" s="11">
        <v>3905.1770000000001</v>
      </c>
      <c r="M138" s="11">
        <v>1611.29</v>
      </c>
      <c r="N138" s="11">
        <v>2361.1979999999999</v>
      </c>
      <c r="O138" s="11">
        <v>2867.5819999999999</v>
      </c>
      <c r="P138" s="11">
        <v>1198.838</v>
      </c>
      <c r="Q138" s="11">
        <v>2481.7350000000001</v>
      </c>
      <c r="R138" s="11">
        <v>3473.8760000000002</v>
      </c>
      <c r="S138" s="11">
        <v>1283.3720000000001</v>
      </c>
      <c r="T138" s="11"/>
      <c r="U138" s="11"/>
      <c r="V138" s="11"/>
      <c r="W138" s="11"/>
      <c r="X138" s="11"/>
      <c r="Y138" s="11"/>
    </row>
    <row r="139" spans="1:25" x14ac:dyDescent="0.35">
      <c r="A139" s="11">
        <v>1887</v>
      </c>
      <c r="B139" s="11">
        <v>2791.9050000000002</v>
      </c>
      <c r="C139" s="11">
        <v>3973.4059999999999</v>
      </c>
      <c r="D139" s="11">
        <v>1651.5319999999999</v>
      </c>
      <c r="E139" s="11">
        <v>2238.61</v>
      </c>
      <c r="F139" s="11">
        <v>2645.875</v>
      </c>
      <c r="G139" s="11">
        <v>1011.183</v>
      </c>
      <c r="H139" s="11"/>
      <c r="I139" s="11"/>
      <c r="J139" s="11"/>
      <c r="K139" s="11">
        <v>2791.9050000000002</v>
      </c>
      <c r="L139" s="11">
        <v>3973.4059999999999</v>
      </c>
      <c r="M139" s="11">
        <v>1651.5319999999999</v>
      </c>
      <c r="N139" s="11">
        <v>2447.741</v>
      </c>
      <c r="O139" s="11">
        <v>2939.7190000000001</v>
      </c>
      <c r="P139" s="11">
        <v>1233.537</v>
      </c>
      <c r="Q139" s="11">
        <v>2560.634</v>
      </c>
      <c r="R139" s="11">
        <v>3542.3820000000001</v>
      </c>
      <c r="S139" s="11">
        <v>1329.45</v>
      </c>
      <c r="T139" s="11"/>
      <c r="U139" s="11"/>
      <c r="V139" s="11"/>
      <c r="W139" s="11"/>
      <c r="X139" s="11"/>
      <c r="Y139" s="11"/>
    </row>
    <row r="140" spans="1:25" x14ac:dyDescent="0.35">
      <c r="A140" s="11">
        <v>1888</v>
      </c>
      <c r="B140" s="11">
        <v>2884.8609999999999</v>
      </c>
      <c r="C140" s="11">
        <v>4087.0140000000001</v>
      </c>
      <c r="D140" s="11">
        <v>1639.288</v>
      </c>
      <c r="E140" s="11">
        <v>2340.6350000000002</v>
      </c>
      <c r="F140" s="11">
        <v>2756.4569999999999</v>
      </c>
      <c r="G140" s="11">
        <v>1017.919</v>
      </c>
      <c r="H140" s="11"/>
      <c r="I140" s="11"/>
      <c r="J140" s="11"/>
      <c r="K140" s="11">
        <v>2884.8609999999999</v>
      </c>
      <c r="L140" s="11">
        <v>4087.0140000000001</v>
      </c>
      <c r="M140" s="11">
        <v>1639.288</v>
      </c>
      <c r="N140" s="11">
        <v>2547.922</v>
      </c>
      <c r="O140" s="11">
        <v>3056.1570000000002</v>
      </c>
      <c r="P140" s="11">
        <v>1242.9659999999999</v>
      </c>
      <c r="Q140" s="11">
        <v>2654.06</v>
      </c>
      <c r="R140" s="11">
        <v>3655.56</v>
      </c>
      <c r="S140" s="11">
        <v>1314.7329999999999</v>
      </c>
      <c r="T140" s="11"/>
      <c r="U140" s="11"/>
      <c r="V140" s="11"/>
      <c r="W140" s="11"/>
      <c r="X140" s="11"/>
      <c r="Y140" s="11"/>
    </row>
    <row r="141" spans="1:25" x14ac:dyDescent="0.35">
      <c r="A141" s="11">
        <v>1889</v>
      </c>
      <c r="B141" s="11">
        <v>2853.2530000000002</v>
      </c>
      <c r="C141" s="11">
        <v>4076.23</v>
      </c>
      <c r="D141" s="11">
        <v>1688.1030000000001</v>
      </c>
      <c r="E141" s="11">
        <v>2321.7849999999999</v>
      </c>
      <c r="F141" s="11">
        <v>2745.84</v>
      </c>
      <c r="G141" s="11">
        <v>1025.336</v>
      </c>
      <c r="H141" s="11"/>
      <c r="I141" s="11"/>
      <c r="J141" s="11"/>
      <c r="K141" s="11">
        <v>2853.2530000000002</v>
      </c>
      <c r="L141" s="11">
        <v>4076.23</v>
      </c>
      <c r="M141" s="11">
        <v>1688.1030000000001</v>
      </c>
      <c r="N141" s="11">
        <v>2521.6640000000002</v>
      </c>
      <c r="O141" s="11">
        <v>3047.0520000000001</v>
      </c>
      <c r="P141" s="11">
        <v>1280.8050000000001</v>
      </c>
      <c r="Q141" s="11">
        <v>2621.788</v>
      </c>
      <c r="R141" s="11">
        <v>3643.489</v>
      </c>
      <c r="S141" s="11">
        <v>1366.126</v>
      </c>
      <c r="T141" s="11"/>
      <c r="U141" s="11"/>
      <c r="V141" s="11"/>
      <c r="W141" s="11"/>
      <c r="X141" s="11"/>
      <c r="Y141" s="11"/>
    </row>
    <row r="142" spans="1:25" x14ac:dyDescent="0.35">
      <c r="A142" s="11">
        <v>1890</v>
      </c>
      <c r="B142" s="11">
        <v>3048.3969999999999</v>
      </c>
      <c r="C142" s="11">
        <v>4408.8649999999998</v>
      </c>
      <c r="D142" s="11">
        <v>1766.4870000000001</v>
      </c>
      <c r="E142" s="11">
        <v>2413.779</v>
      </c>
      <c r="F142" s="11">
        <v>2846.3530000000001</v>
      </c>
      <c r="G142" s="11">
        <v>1031.567</v>
      </c>
      <c r="H142" s="11"/>
      <c r="I142" s="11"/>
      <c r="J142" s="11"/>
      <c r="K142" s="11">
        <v>3048.3969999999999</v>
      </c>
      <c r="L142" s="11">
        <v>4408.8649999999998</v>
      </c>
      <c r="M142" s="11">
        <v>1766.4870000000001</v>
      </c>
      <c r="N142" s="11">
        <v>2698.7220000000002</v>
      </c>
      <c r="O142" s="11">
        <v>3317.04</v>
      </c>
      <c r="P142" s="11">
        <v>1368.46</v>
      </c>
      <c r="Q142" s="11">
        <v>2804.114</v>
      </c>
      <c r="R142" s="11">
        <v>3935.96</v>
      </c>
      <c r="S142" s="11">
        <v>1464.3330000000001</v>
      </c>
      <c r="T142" s="11"/>
      <c r="U142" s="11"/>
      <c r="V142" s="11"/>
      <c r="W142" s="11"/>
      <c r="X142" s="11"/>
      <c r="Y142" s="11"/>
    </row>
    <row r="143" spans="1:25" x14ac:dyDescent="0.35">
      <c r="A143" s="11">
        <v>1891</v>
      </c>
      <c r="B143" s="11">
        <v>3127.7759999999998</v>
      </c>
      <c r="C143" s="11">
        <v>4518.1419999999998</v>
      </c>
      <c r="D143" s="11">
        <v>1804.2349999999999</v>
      </c>
      <c r="E143" s="11">
        <v>2455.7800000000002</v>
      </c>
      <c r="F143" s="11">
        <v>2897.5920000000001</v>
      </c>
      <c r="G143" s="11">
        <v>1029.5650000000001</v>
      </c>
      <c r="H143" s="11"/>
      <c r="I143" s="11"/>
      <c r="J143" s="11"/>
      <c r="K143" s="11">
        <v>3127.7759999999998</v>
      </c>
      <c r="L143" s="11">
        <v>4518.1419999999998</v>
      </c>
      <c r="M143" s="11">
        <v>1804.2349999999999</v>
      </c>
      <c r="N143" s="11">
        <v>2808.0630000000001</v>
      </c>
      <c r="O143" s="11">
        <v>3448.1550000000002</v>
      </c>
      <c r="P143" s="11">
        <v>1407.441</v>
      </c>
      <c r="Q143" s="11">
        <v>2868.6170000000002</v>
      </c>
      <c r="R143" s="11">
        <v>4026.654</v>
      </c>
      <c r="S143" s="11">
        <v>1512.655</v>
      </c>
      <c r="T143" s="11"/>
      <c r="U143" s="11"/>
      <c r="V143" s="11"/>
      <c r="W143" s="11"/>
      <c r="X143" s="11"/>
      <c r="Y143" s="11"/>
    </row>
    <row r="144" spans="1:25" x14ac:dyDescent="0.35">
      <c r="A144" s="11">
        <v>1892</v>
      </c>
      <c r="B144" s="11">
        <v>3129.6570000000002</v>
      </c>
      <c r="C144" s="11">
        <v>4534.9059999999999</v>
      </c>
      <c r="D144" s="11">
        <v>1770.27</v>
      </c>
      <c r="E144" s="11">
        <v>2512.0010000000002</v>
      </c>
      <c r="F144" s="11">
        <v>2954.9720000000002</v>
      </c>
      <c r="G144" s="11">
        <v>1033.0899999999999</v>
      </c>
      <c r="H144" s="11"/>
      <c r="I144" s="11"/>
      <c r="J144" s="11"/>
      <c r="K144" s="11">
        <v>3129.6570000000002</v>
      </c>
      <c r="L144" s="11">
        <v>4534.9059999999999</v>
      </c>
      <c r="M144" s="11">
        <v>1770.27</v>
      </c>
      <c r="N144" s="11">
        <v>2820.03</v>
      </c>
      <c r="O144" s="11">
        <v>3471.4609999999998</v>
      </c>
      <c r="P144" s="11">
        <v>1385.9649999999999</v>
      </c>
      <c r="Q144" s="11">
        <v>2858.5729999999999</v>
      </c>
      <c r="R144" s="11">
        <v>4032.5590000000002</v>
      </c>
      <c r="S144" s="11">
        <v>1481.683</v>
      </c>
      <c r="T144" s="11"/>
      <c r="U144" s="11"/>
      <c r="V144" s="11"/>
      <c r="W144" s="11"/>
      <c r="X144" s="11"/>
      <c r="Y144" s="11"/>
    </row>
    <row r="145" spans="1:25" x14ac:dyDescent="0.35">
      <c r="A145" s="11">
        <v>1893</v>
      </c>
      <c r="B145" s="11">
        <v>3140.4920000000002</v>
      </c>
      <c r="C145" s="11">
        <v>4549.8</v>
      </c>
      <c r="D145" s="11">
        <v>1769.4390000000001</v>
      </c>
      <c r="E145" s="11">
        <v>2487.0430000000001</v>
      </c>
      <c r="F145" s="11">
        <v>2939.674</v>
      </c>
      <c r="G145" s="11">
        <v>1036.307</v>
      </c>
      <c r="H145" s="11"/>
      <c r="I145" s="11"/>
      <c r="J145" s="11"/>
      <c r="K145" s="11">
        <v>3140.4920000000002</v>
      </c>
      <c r="L145" s="11">
        <v>4549.8</v>
      </c>
      <c r="M145" s="11">
        <v>1769.4390000000001</v>
      </c>
      <c r="N145" s="11">
        <v>2836.98</v>
      </c>
      <c r="O145" s="11">
        <v>3489.556</v>
      </c>
      <c r="P145" s="11">
        <v>1419.942</v>
      </c>
      <c r="Q145" s="11">
        <v>2854.913</v>
      </c>
      <c r="R145" s="11">
        <v>4034.8110000000001</v>
      </c>
      <c r="S145" s="11">
        <v>1473.0530000000001</v>
      </c>
      <c r="T145" s="11"/>
      <c r="U145" s="11"/>
      <c r="V145" s="11"/>
      <c r="W145" s="11"/>
      <c r="X145" s="11"/>
      <c r="Y145" s="11"/>
    </row>
    <row r="146" spans="1:25" x14ac:dyDescent="0.35">
      <c r="A146" s="11">
        <v>1894</v>
      </c>
      <c r="B146" s="11">
        <v>3195.2150000000001</v>
      </c>
      <c r="C146" s="11">
        <v>4657.8310000000001</v>
      </c>
      <c r="D146" s="11">
        <v>1795.337</v>
      </c>
      <c r="E146" s="11">
        <v>2540.4740000000002</v>
      </c>
      <c r="F146" s="11">
        <v>2996.9070000000002</v>
      </c>
      <c r="G146" s="11">
        <v>1094.134</v>
      </c>
      <c r="H146" s="11"/>
      <c r="I146" s="11"/>
      <c r="J146" s="11"/>
      <c r="K146" s="11">
        <v>3195.2150000000001</v>
      </c>
      <c r="L146" s="11">
        <v>4657.8310000000001</v>
      </c>
      <c r="M146" s="11">
        <v>1795.337</v>
      </c>
      <c r="N146" s="11">
        <v>2896.8739999999998</v>
      </c>
      <c r="O146" s="11">
        <v>3599.683</v>
      </c>
      <c r="P146" s="11">
        <v>1441.7</v>
      </c>
      <c r="Q146" s="11">
        <v>2897.2130000000002</v>
      </c>
      <c r="R146" s="11">
        <v>4132.5569999999998</v>
      </c>
      <c r="S146" s="11">
        <v>1511.117</v>
      </c>
      <c r="T146" s="11"/>
      <c r="U146" s="11"/>
      <c r="V146" s="11"/>
      <c r="W146" s="11"/>
      <c r="X146" s="11"/>
      <c r="Y146" s="11"/>
    </row>
    <row r="147" spans="1:25" x14ac:dyDescent="0.35">
      <c r="A147" s="11">
        <v>1895</v>
      </c>
      <c r="B147" s="11">
        <v>3267.5039999999999</v>
      </c>
      <c r="C147" s="11">
        <v>4718.1360000000004</v>
      </c>
      <c r="D147" s="11">
        <v>1806.0360000000001</v>
      </c>
      <c r="E147" s="11">
        <v>2621.6489999999999</v>
      </c>
      <c r="F147" s="11">
        <v>3089.41</v>
      </c>
      <c r="G147" s="11">
        <v>1106.492</v>
      </c>
      <c r="H147" s="11"/>
      <c r="I147" s="11"/>
      <c r="J147" s="11"/>
      <c r="K147" s="11">
        <v>3267.5039999999999</v>
      </c>
      <c r="L147" s="11">
        <v>4718.1360000000004</v>
      </c>
      <c r="M147" s="11">
        <v>1806.0360000000001</v>
      </c>
      <c r="N147" s="11">
        <v>2973.1680000000001</v>
      </c>
      <c r="O147" s="11">
        <v>3660.8879999999999</v>
      </c>
      <c r="P147" s="11">
        <v>1460.9870000000001</v>
      </c>
      <c r="Q147" s="11">
        <v>2960.66</v>
      </c>
      <c r="R147" s="11">
        <v>4185.9579999999996</v>
      </c>
      <c r="S147" s="11">
        <v>1516.472</v>
      </c>
      <c r="T147" s="11"/>
      <c r="U147" s="11"/>
      <c r="V147" s="11"/>
      <c r="W147" s="11"/>
      <c r="X147" s="11"/>
      <c r="Y147" s="11"/>
    </row>
    <row r="148" spans="1:25" x14ac:dyDescent="0.35">
      <c r="A148" s="11">
        <v>1896</v>
      </c>
      <c r="B148" s="11">
        <v>3324.105</v>
      </c>
      <c r="C148" s="11">
        <v>4781.558</v>
      </c>
      <c r="D148" s="11">
        <v>1798.3240000000001</v>
      </c>
      <c r="E148" s="11">
        <v>2664.2510000000002</v>
      </c>
      <c r="F148" s="11">
        <v>3139.328</v>
      </c>
      <c r="G148" s="11">
        <v>1115.2090000000001</v>
      </c>
      <c r="H148" s="11"/>
      <c r="I148" s="11"/>
      <c r="J148" s="11"/>
      <c r="K148" s="11">
        <v>3324.1060000000002</v>
      </c>
      <c r="L148" s="11">
        <v>4781.558</v>
      </c>
      <c r="M148" s="11">
        <v>1798.3230000000001</v>
      </c>
      <c r="N148" s="11">
        <v>3032.3359999999998</v>
      </c>
      <c r="O148" s="11">
        <v>3723.7460000000001</v>
      </c>
      <c r="P148" s="11">
        <v>1474.278</v>
      </c>
      <c r="Q148" s="11">
        <v>3009.9639999999999</v>
      </c>
      <c r="R148" s="11">
        <v>4243.9989999999998</v>
      </c>
      <c r="S148" s="11">
        <v>1520.652</v>
      </c>
      <c r="T148" s="11"/>
      <c r="U148" s="11"/>
      <c r="V148" s="11"/>
      <c r="W148" s="11"/>
      <c r="X148" s="11"/>
      <c r="Y148" s="11"/>
    </row>
    <row r="149" spans="1:25" x14ac:dyDescent="0.35">
      <c r="A149" s="11">
        <v>1897</v>
      </c>
      <c r="B149" s="11">
        <v>3401.8809999999999</v>
      </c>
      <c r="C149" s="11">
        <v>4889.8950000000004</v>
      </c>
      <c r="D149" s="11">
        <v>1835.971</v>
      </c>
      <c r="E149" s="11">
        <v>2732.7190000000001</v>
      </c>
      <c r="F149" s="11">
        <v>3220.3040000000001</v>
      </c>
      <c r="G149" s="11">
        <v>1125.7159999999999</v>
      </c>
      <c r="H149" s="11"/>
      <c r="I149" s="11"/>
      <c r="J149" s="11"/>
      <c r="K149" s="11">
        <v>3401.8809999999999</v>
      </c>
      <c r="L149" s="11">
        <v>4889.8950000000004</v>
      </c>
      <c r="M149" s="11">
        <v>1835.971</v>
      </c>
      <c r="N149" s="11">
        <v>3111.145</v>
      </c>
      <c r="O149" s="11">
        <v>3830.1260000000002</v>
      </c>
      <c r="P149" s="11">
        <v>1509.385</v>
      </c>
      <c r="Q149" s="11">
        <v>3081.8389999999999</v>
      </c>
      <c r="R149" s="11">
        <v>4348.4139999999998</v>
      </c>
      <c r="S149" s="11">
        <v>1558.0709999999999</v>
      </c>
      <c r="T149" s="11"/>
      <c r="U149" s="11"/>
      <c r="V149" s="11"/>
      <c r="W149" s="11"/>
      <c r="X149" s="11"/>
      <c r="Y149" s="11"/>
    </row>
    <row r="150" spans="1:25" x14ac:dyDescent="0.35">
      <c r="A150" s="11">
        <v>1898</v>
      </c>
      <c r="B150" s="11">
        <v>3492.5</v>
      </c>
      <c r="C150" s="11">
        <v>5010.259</v>
      </c>
      <c r="D150" s="11">
        <v>1815.2270000000001</v>
      </c>
      <c r="E150" s="11">
        <v>2805.3330000000001</v>
      </c>
      <c r="F150" s="11">
        <v>3307.248</v>
      </c>
      <c r="G150" s="11">
        <v>1137.875</v>
      </c>
      <c r="H150" s="11"/>
      <c r="I150" s="11"/>
      <c r="J150" s="11"/>
      <c r="K150" s="11">
        <v>3492.5</v>
      </c>
      <c r="L150" s="11">
        <v>5010.259</v>
      </c>
      <c r="M150" s="11">
        <v>1815.2270000000001</v>
      </c>
      <c r="N150" s="11">
        <v>3201.1860000000001</v>
      </c>
      <c r="O150" s="11">
        <v>3946.9949999999999</v>
      </c>
      <c r="P150" s="11">
        <v>1514.692</v>
      </c>
      <c r="Q150" s="11">
        <v>3167.761</v>
      </c>
      <c r="R150" s="11">
        <v>4466.1080000000002</v>
      </c>
      <c r="S150" s="11">
        <v>1531.8230000000001</v>
      </c>
      <c r="T150" s="11"/>
      <c r="U150" s="11"/>
      <c r="V150" s="11"/>
      <c r="W150" s="11"/>
      <c r="X150" s="11"/>
      <c r="Y150" s="11"/>
    </row>
    <row r="151" spans="1:25" x14ac:dyDescent="0.35">
      <c r="A151" s="11">
        <v>1899</v>
      </c>
      <c r="B151" s="11">
        <v>3657.09</v>
      </c>
      <c r="C151" s="11">
        <v>5184.4040000000005</v>
      </c>
      <c r="D151" s="11">
        <v>1829.8309999999999</v>
      </c>
      <c r="E151" s="11">
        <v>2955.6619999999998</v>
      </c>
      <c r="F151" s="11">
        <v>3470.1680000000001</v>
      </c>
      <c r="G151" s="11">
        <v>1147.192</v>
      </c>
      <c r="H151" s="11"/>
      <c r="I151" s="11"/>
      <c r="J151" s="11"/>
      <c r="K151" s="11">
        <v>3657.09</v>
      </c>
      <c r="L151" s="11">
        <v>5184.4049999999997</v>
      </c>
      <c r="M151" s="11">
        <v>1829.8309999999999</v>
      </c>
      <c r="N151" s="11">
        <v>3363.8049999999998</v>
      </c>
      <c r="O151" s="11">
        <v>4116.4160000000002</v>
      </c>
      <c r="P151" s="11">
        <v>1539.1189999999999</v>
      </c>
      <c r="Q151" s="11">
        <v>3328.7620000000002</v>
      </c>
      <c r="R151" s="11">
        <v>4638.7039999999997</v>
      </c>
      <c r="S151" s="11">
        <v>1556.3820000000001</v>
      </c>
      <c r="T151" s="11"/>
      <c r="U151" s="11"/>
      <c r="V151" s="11"/>
      <c r="W151" s="11"/>
      <c r="X151" s="11"/>
      <c r="Y151" s="11"/>
    </row>
    <row r="152" spans="1:25" x14ac:dyDescent="0.35">
      <c r="A152" s="11">
        <v>1900</v>
      </c>
      <c r="B152" s="11">
        <v>3738.346</v>
      </c>
      <c r="C152" s="11">
        <v>5353.3040000000001</v>
      </c>
      <c r="D152" s="11">
        <v>1864.415</v>
      </c>
      <c r="E152" s="11">
        <v>3050.9639999999999</v>
      </c>
      <c r="F152" s="11">
        <v>3576.9560000000001</v>
      </c>
      <c r="G152" s="11">
        <v>1152.9659999999999</v>
      </c>
      <c r="H152" s="11"/>
      <c r="I152" s="11"/>
      <c r="J152" s="11"/>
      <c r="K152" s="11">
        <v>3738.346</v>
      </c>
      <c r="L152" s="11">
        <v>5353.3040000000001</v>
      </c>
      <c r="M152" s="11">
        <v>1864.415</v>
      </c>
      <c r="N152" s="11">
        <v>3446.5430000000001</v>
      </c>
      <c r="O152" s="11">
        <v>4180.7510000000002</v>
      </c>
      <c r="P152" s="11">
        <v>1534.749</v>
      </c>
      <c r="Q152" s="11">
        <v>3395.509</v>
      </c>
      <c r="R152" s="11">
        <v>4772.1360000000004</v>
      </c>
      <c r="S152" s="11">
        <v>1556.046</v>
      </c>
      <c r="T152" s="11"/>
      <c r="U152" s="11"/>
      <c r="V152" s="11"/>
      <c r="W152" s="11"/>
      <c r="X152" s="11"/>
      <c r="Y152" s="11"/>
    </row>
    <row r="153" spans="1:25" x14ac:dyDescent="0.35">
      <c r="A153" s="11">
        <v>1901</v>
      </c>
      <c r="B153" s="11">
        <v>3769.174</v>
      </c>
      <c r="C153" s="11">
        <v>5478.2370000000001</v>
      </c>
      <c r="D153" s="11">
        <v>1982.65</v>
      </c>
      <c r="E153" s="11">
        <v>3100.096</v>
      </c>
      <c r="F153" s="11">
        <v>3641.4670000000001</v>
      </c>
      <c r="G153" s="11">
        <v>1396.982</v>
      </c>
      <c r="H153" s="11"/>
      <c r="I153" s="11"/>
      <c r="J153" s="11"/>
      <c r="K153" s="11">
        <v>3769.174</v>
      </c>
      <c r="L153" s="11">
        <v>5478.2359999999999</v>
      </c>
      <c r="M153" s="11">
        <v>1982.65</v>
      </c>
      <c r="N153" s="11">
        <v>3434.7150000000001</v>
      </c>
      <c r="O153" s="11">
        <v>4201.0929999999998</v>
      </c>
      <c r="P153" s="11">
        <v>1587.8109999999999</v>
      </c>
      <c r="Q153" s="11">
        <v>3436.7109999999998</v>
      </c>
      <c r="R153" s="11">
        <v>4897.8270000000002</v>
      </c>
      <c r="S153" s="11">
        <v>1676.2619999999999</v>
      </c>
      <c r="T153" s="11"/>
      <c r="U153" s="11"/>
      <c r="V153" s="11"/>
      <c r="W153" s="11"/>
      <c r="X153" s="11"/>
      <c r="Y153" s="11"/>
    </row>
    <row r="154" spans="1:25" x14ac:dyDescent="0.35">
      <c r="A154" s="11">
        <v>1902</v>
      </c>
      <c r="B154" s="11">
        <v>3834.19</v>
      </c>
      <c r="C154" s="11">
        <v>5567.87</v>
      </c>
      <c r="D154" s="11">
        <v>2023.5830000000001</v>
      </c>
      <c r="E154" s="11">
        <v>3035.8150000000001</v>
      </c>
      <c r="F154" s="11">
        <v>3575.598</v>
      </c>
      <c r="G154" s="11">
        <v>1531.2950000000001</v>
      </c>
      <c r="H154" s="11"/>
      <c r="I154" s="11"/>
      <c r="J154" s="11"/>
      <c r="K154" s="11">
        <v>3834.19</v>
      </c>
      <c r="L154" s="11">
        <v>5567.8689999999997</v>
      </c>
      <c r="M154" s="11">
        <v>2023.5830000000001</v>
      </c>
      <c r="N154" s="11">
        <v>3471.1660000000002</v>
      </c>
      <c r="O154" s="11">
        <v>4226.5069999999996</v>
      </c>
      <c r="P154" s="11">
        <v>1593.537</v>
      </c>
      <c r="Q154" s="11">
        <v>3512.8220000000001</v>
      </c>
      <c r="R154" s="11">
        <v>4996.01</v>
      </c>
      <c r="S154" s="11">
        <v>1697.4259999999999</v>
      </c>
      <c r="T154" s="11"/>
      <c r="U154" s="11"/>
      <c r="V154" s="11"/>
      <c r="W154" s="11"/>
      <c r="X154" s="11"/>
      <c r="Y154" s="11"/>
    </row>
    <row r="155" spans="1:25" x14ac:dyDescent="0.35">
      <c r="A155" s="11">
        <v>1903</v>
      </c>
      <c r="B155" s="11">
        <v>4005.3290000000002</v>
      </c>
      <c r="C155" s="11">
        <v>5799.6459999999997</v>
      </c>
      <c r="D155" s="11">
        <v>2036.9549999999999</v>
      </c>
      <c r="E155" s="11">
        <v>3204.6579999999999</v>
      </c>
      <c r="F155" s="11">
        <v>3749.8530000000001</v>
      </c>
      <c r="G155" s="11">
        <v>1661.933</v>
      </c>
      <c r="H155" s="11"/>
      <c r="I155" s="11"/>
      <c r="J155" s="11"/>
      <c r="K155" s="11">
        <v>4005.3290000000002</v>
      </c>
      <c r="L155" s="11">
        <v>5799.6459999999997</v>
      </c>
      <c r="M155" s="11">
        <v>2036.9549999999999</v>
      </c>
      <c r="N155" s="11">
        <v>3613.2170000000001</v>
      </c>
      <c r="O155" s="11">
        <v>4378.9279999999999</v>
      </c>
      <c r="P155" s="11">
        <v>1612.894</v>
      </c>
      <c r="Q155" s="11">
        <v>3695.377</v>
      </c>
      <c r="R155" s="11">
        <v>5233.3850000000002</v>
      </c>
      <c r="S155" s="11">
        <v>1712.261</v>
      </c>
      <c r="T155" s="11"/>
      <c r="U155" s="11"/>
      <c r="V155" s="11"/>
      <c r="W155" s="11"/>
      <c r="X155" s="11"/>
      <c r="Y155" s="11"/>
    </row>
    <row r="156" spans="1:25" x14ac:dyDescent="0.35">
      <c r="A156" s="11">
        <v>1904</v>
      </c>
      <c r="B156" s="11">
        <v>4053.308</v>
      </c>
      <c r="C156" s="11">
        <v>5897.0150000000003</v>
      </c>
      <c r="D156" s="11">
        <v>2082.6179999999999</v>
      </c>
      <c r="E156" s="11">
        <v>3191.4169999999999</v>
      </c>
      <c r="F156" s="11">
        <v>3748.0079999999998</v>
      </c>
      <c r="G156" s="11">
        <v>1787.5730000000001</v>
      </c>
      <c r="H156" s="11"/>
      <c r="I156" s="11"/>
      <c r="J156" s="11"/>
      <c r="K156" s="11">
        <v>4053.308</v>
      </c>
      <c r="L156" s="11">
        <v>5897.0150000000003</v>
      </c>
      <c r="M156" s="11">
        <v>2082.6179999999999</v>
      </c>
      <c r="N156" s="11">
        <v>3641.58</v>
      </c>
      <c r="O156" s="11">
        <v>4422.183</v>
      </c>
      <c r="P156" s="11">
        <v>1695.3140000000001</v>
      </c>
      <c r="Q156" s="11">
        <v>3754.2339999999999</v>
      </c>
      <c r="R156" s="11">
        <v>5337.674</v>
      </c>
      <c r="S156" s="11">
        <v>1743.1079999999999</v>
      </c>
      <c r="T156" s="11"/>
      <c r="U156" s="11"/>
      <c r="V156" s="11"/>
      <c r="W156" s="11"/>
      <c r="X156" s="11"/>
      <c r="Y156" s="11"/>
    </row>
    <row r="157" spans="1:25" x14ac:dyDescent="0.35">
      <c r="A157" s="11">
        <v>1905</v>
      </c>
      <c r="B157" s="11">
        <v>4195.268</v>
      </c>
      <c r="C157" s="11">
        <v>6096.393</v>
      </c>
      <c r="D157" s="11">
        <v>2074.3820000000001</v>
      </c>
      <c r="E157" s="11">
        <v>3321.6849999999999</v>
      </c>
      <c r="F157" s="11">
        <v>3879.6460000000002</v>
      </c>
      <c r="G157" s="11">
        <v>1906.2380000000001</v>
      </c>
      <c r="H157" s="11"/>
      <c r="I157" s="11"/>
      <c r="J157" s="11"/>
      <c r="K157" s="11">
        <v>4195.268</v>
      </c>
      <c r="L157" s="11">
        <v>6096.393</v>
      </c>
      <c r="M157" s="11">
        <v>2074.3820000000001</v>
      </c>
      <c r="N157" s="11">
        <v>3777.8780000000002</v>
      </c>
      <c r="O157" s="11">
        <v>4587.0429999999997</v>
      </c>
      <c r="P157" s="11">
        <v>1669.182</v>
      </c>
      <c r="Q157" s="11">
        <v>3907.1869999999999</v>
      </c>
      <c r="R157" s="11">
        <v>5545.97</v>
      </c>
      <c r="S157" s="11">
        <v>1748.971</v>
      </c>
      <c r="T157" s="11"/>
      <c r="U157" s="11"/>
      <c r="V157" s="11"/>
      <c r="W157" s="11"/>
      <c r="X157" s="11"/>
      <c r="Y157" s="11"/>
    </row>
    <row r="158" spans="1:25" x14ac:dyDescent="0.35">
      <c r="A158" s="11">
        <v>1906</v>
      </c>
      <c r="B158" s="11">
        <v>4273.1059999999998</v>
      </c>
      <c r="C158" s="11">
        <v>6220.1890000000003</v>
      </c>
      <c r="D158" s="11">
        <v>2133.6930000000002</v>
      </c>
      <c r="E158" s="11">
        <v>3393.6770000000001</v>
      </c>
      <c r="F158" s="11">
        <v>3970.4459999999999</v>
      </c>
      <c r="G158" s="11">
        <v>2059.6790000000001</v>
      </c>
      <c r="H158" s="11"/>
      <c r="I158" s="11"/>
      <c r="J158" s="11"/>
      <c r="K158" s="11">
        <v>4273.1059999999998</v>
      </c>
      <c r="L158" s="11">
        <v>6220.1890000000003</v>
      </c>
      <c r="M158" s="11">
        <v>2133.6930000000002</v>
      </c>
      <c r="N158" s="11">
        <v>3843.82</v>
      </c>
      <c r="O158" s="11">
        <v>4668.9539999999997</v>
      </c>
      <c r="P158" s="11">
        <v>1728.7349999999999</v>
      </c>
      <c r="Q158" s="11">
        <v>3995.0770000000002</v>
      </c>
      <c r="R158" s="11">
        <v>5677.9830000000002</v>
      </c>
      <c r="S158" s="11">
        <v>1818.683</v>
      </c>
      <c r="T158" s="11"/>
      <c r="U158" s="11"/>
      <c r="V158" s="11"/>
      <c r="W158" s="11"/>
      <c r="X158" s="11"/>
      <c r="Y158" s="11"/>
    </row>
    <row r="159" spans="1:25" x14ac:dyDescent="0.35">
      <c r="A159" s="11">
        <v>1907</v>
      </c>
      <c r="B159" s="11">
        <v>4590.7190000000001</v>
      </c>
      <c r="C159" s="11">
        <v>6598.3969999999999</v>
      </c>
      <c r="D159" s="11">
        <v>2122.1970000000001</v>
      </c>
      <c r="E159" s="11">
        <v>3704.2080000000001</v>
      </c>
      <c r="F159" s="11">
        <v>4304.4229999999998</v>
      </c>
      <c r="G159" s="11">
        <v>2115.4229999999998</v>
      </c>
      <c r="H159" s="11"/>
      <c r="I159" s="11"/>
      <c r="J159" s="11"/>
      <c r="K159" s="11">
        <v>4590.7190000000001</v>
      </c>
      <c r="L159" s="11">
        <v>6598.3969999999999</v>
      </c>
      <c r="M159" s="11">
        <v>2122.1970000000001</v>
      </c>
      <c r="N159" s="11">
        <v>4140.3990000000003</v>
      </c>
      <c r="O159" s="11">
        <v>5005.9870000000001</v>
      </c>
      <c r="P159" s="11">
        <v>1724.5239999999999</v>
      </c>
      <c r="Q159" s="11">
        <v>4321.4470000000001</v>
      </c>
      <c r="R159" s="11">
        <v>6063.9930000000004</v>
      </c>
      <c r="S159" s="11">
        <v>1807.172</v>
      </c>
      <c r="T159" s="11"/>
      <c r="U159" s="11"/>
      <c r="V159" s="11"/>
      <c r="W159" s="11"/>
      <c r="X159" s="11"/>
      <c r="Y159" s="11"/>
    </row>
    <row r="160" spans="1:25" x14ac:dyDescent="0.35">
      <c r="A160" s="11">
        <v>1908</v>
      </c>
      <c r="B160" s="11">
        <v>4471.4269999999997</v>
      </c>
      <c r="C160" s="11">
        <v>6521.25</v>
      </c>
      <c r="D160" s="11">
        <v>2129.3490000000002</v>
      </c>
      <c r="E160" s="11">
        <v>3567.8319999999999</v>
      </c>
      <c r="F160" s="11">
        <v>4177.3</v>
      </c>
      <c r="G160" s="11">
        <v>2171.962</v>
      </c>
      <c r="H160" s="11"/>
      <c r="I160" s="11"/>
      <c r="J160" s="11"/>
      <c r="K160" s="11">
        <v>4471.4269999999997</v>
      </c>
      <c r="L160" s="11">
        <v>6521.25</v>
      </c>
      <c r="M160" s="11">
        <v>2129.3490000000002</v>
      </c>
      <c r="N160" s="11">
        <v>4006.491</v>
      </c>
      <c r="O160" s="11">
        <v>4891.9480000000003</v>
      </c>
      <c r="P160" s="11">
        <v>1764.3140000000001</v>
      </c>
      <c r="Q160" s="11">
        <v>4209.76</v>
      </c>
      <c r="R160" s="11">
        <v>5994.2790000000005</v>
      </c>
      <c r="S160" s="11">
        <v>1819.162</v>
      </c>
      <c r="T160" s="11"/>
      <c r="U160" s="11"/>
      <c r="V160" s="11"/>
      <c r="W160" s="11"/>
      <c r="X160" s="11"/>
      <c r="Y160" s="11"/>
    </row>
    <row r="161" spans="1:25" x14ac:dyDescent="0.35">
      <c r="A161" s="11">
        <v>1909</v>
      </c>
      <c r="B161" s="11">
        <v>4594.2619999999997</v>
      </c>
      <c r="C161" s="11">
        <v>6693.9639999999999</v>
      </c>
      <c r="D161" s="11">
        <v>2153.491</v>
      </c>
      <c r="E161" s="11">
        <v>3661.759</v>
      </c>
      <c r="F161" s="11">
        <v>4281.0230000000001</v>
      </c>
      <c r="G161" s="11">
        <v>2206.3670000000002</v>
      </c>
      <c r="H161" s="11"/>
      <c r="I161" s="11"/>
      <c r="J161" s="11"/>
      <c r="K161" s="11">
        <v>4594.2619999999997</v>
      </c>
      <c r="L161" s="11">
        <v>6693.9639999999999</v>
      </c>
      <c r="M161" s="11">
        <v>2153.491</v>
      </c>
      <c r="N161" s="11">
        <v>4107.1899999999996</v>
      </c>
      <c r="O161" s="11">
        <v>5020.0860000000002</v>
      </c>
      <c r="P161" s="11">
        <v>1816.14</v>
      </c>
      <c r="Q161" s="11">
        <v>4339.2569999999996</v>
      </c>
      <c r="R161" s="11">
        <v>6173.7659999999996</v>
      </c>
      <c r="S161" s="11">
        <v>1848.002</v>
      </c>
      <c r="T161" s="11"/>
      <c r="U161" s="11"/>
      <c r="V161" s="11"/>
      <c r="W161" s="11"/>
      <c r="X161" s="11"/>
      <c r="Y161" s="11"/>
    </row>
    <row r="162" spans="1:25" x14ac:dyDescent="0.35">
      <c r="A162" s="11">
        <v>1910</v>
      </c>
      <c r="B162" s="11">
        <v>4652.5829999999996</v>
      </c>
      <c r="C162" s="11">
        <v>6324.1390000000001</v>
      </c>
      <c r="D162" s="11">
        <v>2334.1190000000001</v>
      </c>
      <c r="E162" s="11">
        <v>3801.97</v>
      </c>
      <c r="F162" s="11">
        <v>4418.3770000000004</v>
      </c>
      <c r="G162" s="11">
        <v>2240.2939999999999</v>
      </c>
      <c r="H162" s="11"/>
      <c r="I162" s="11"/>
      <c r="J162" s="11"/>
      <c r="K162" s="11">
        <v>4652.5829999999996</v>
      </c>
      <c r="L162" s="11">
        <v>6324.1390000000001</v>
      </c>
      <c r="M162" s="11">
        <v>2334.1190000000001</v>
      </c>
      <c r="N162" s="11">
        <v>4240.6009999999997</v>
      </c>
      <c r="O162" s="11">
        <v>5009.4780000000001</v>
      </c>
      <c r="P162" s="11">
        <v>1919.626</v>
      </c>
      <c r="Q162" s="11">
        <v>4426.58</v>
      </c>
      <c r="R162" s="11">
        <v>5925.3860000000004</v>
      </c>
      <c r="S162" s="11">
        <v>2017.38</v>
      </c>
      <c r="T162" s="11"/>
      <c r="U162" s="11"/>
      <c r="V162" s="11"/>
      <c r="W162" s="11"/>
      <c r="X162" s="11"/>
      <c r="Y162" s="11"/>
    </row>
    <row r="163" spans="1:25" x14ac:dyDescent="0.35">
      <c r="A163" s="11">
        <v>1911</v>
      </c>
      <c r="B163" s="11">
        <v>4662.1270000000004</v>
      </c>
      <c r="C163" s="11">
        <v>6207.1559999999999</v>
      </c>
      <c r="D163" s="11">
        <v>2418.9839999999999</v>
      </c>
      <c r="E163" s="11">
        <v>3822.973</v>
      </c>
      <c r="F163" s="11">
        <v>4451.1710000000003</v>
      </c>
      <c r="G163" s="11">
        <v>2050.0340000000001</v>
      </c>
      <c r="H163" s="11"/>
      <c r="I163" s="11"/>
      <c r="J163" s="11"/>
      <c r="K163" s="11">
        <v>4662.1270000000004</v>
      </c>
      <c r="L163" s="11">
        <v>6207.1559999999999</v>
      </c>
      <c r="M163" s="11">
        <v>2418.9830000000002</v>
      </c>
      <c r="N163" s="11">
        <v>4254.8389999999999</v>
      </c>
      <c r="O163" s="11">
        <v>5004.2839999999997</v>
      </c>
      <c r="P163" s="11">
        <v>1998.519</v>
      </c>
      <c r="Q163" s="11">
        <v>4453.8530000000001</v>
      </c>
      <c r="R163" s="11">
        <v>5864.4629999999997</v>
      </c>
      <c r="S163" s="11">
        <v>2080.0219999999999</v>
      </c>
      <c r="T163" s="11"/>
      <c r="U163" s="11"/>
      <c r="V163" s="11"/>
      <c r="W163" s="11"/>
      <c r="X163" s="11"/>
      <c r="Y163" s="11"/>
    </row>
    <row r="164" spans="1:25" x14ac:dyDescent="0.35">
      <c r="A164" s="11">
        <v>1912</v>
      </c>
      <c r="B164" s="11">
        <v>4724.9260000000004</v>
      </c>
      <c r="C164" s="11">
        <v>6221.73</v>
      </c>
      <c r="D164" s="11">
        <v>2423.402</v>
      </c>
      <c r="E164" s="11">
        <v>3883.9259999999999</v>
      </c>
      <c r="F164" s="11">
        <v>4540.7240000000002</v>
      </c>
      <c r="G164" s="11">
        <v>1987.106</v>
      </c>
      <c r="H164" s="11"/>
      <c r="I164" s="11"/>
      <c r="J164" s="11"/>
      <c r="K164" s="11">
        <v>4724.9260000000004</v>
      </c>
      <c r="L164" s="11">
        <v>6221.73</v>
      </c>
      <c r="M164" s="11">
        <v>2423.402</v>
      </c>
      <c r="N164" s="11">
        <v>4324.2889999999998</v>
      </c>
      <c r="O164" s="11">
        <v>5120.9089999999997</v>
      </c>
      <c r="P164" s="11">
        <v>1996.6130000000001</v>
      </c>
      <c r="Q164" s="11">
        <v>4525.3109999999997</v>
      </c>
      <c r="R164" s="11">
        <v>5906.9989999999998</v>
      </c>
      <c r="S164" s="11">
        <v>2079.0030000000002</v>
      </c>
      <c r="T164" s="11"/>
      <c r="U164" s="11"/>
      <c r="V164" s="11"/>
      <c r="W164" s="11"/>
      <c r="X164" s="11"/>
      <c r="Y164" s="11"/>
    </row>
    <row r="165" spans="1:25" x14ac:dyDescent="0.35">
      <c r="A165" s="11">
        <v>1913</v>
      </c>
      <c r="B165" s="11">
        <v>4949.5280000000002</v>
      </c>
      <c r="C165" s="11">
        <v>6352.7420000000002</v>
      </c>
      <c r="D165" s="11">
        <v>2487.319</v>
      </c>
      <c r="E165" s="11">
        <v>4115.7629999999999</v>
      </c>
      <c r="F165" s="11">
        <v>4810.4930000000004</v>
      </c>
      <c r="G165" s="11">
        <v>1885.2270000000001</v>
      </c>
      <c r="H165" s="11"/>
      <c r="I165" s="11"/>
      <c r="J165" s="11"/>
      <c r="K165" s="11">
        <v>4949.5280000000002</v>
      </c>
      <c r="L165" s="11">
        <v>6352.7420000000002</v>
      </c>
      <c r="M165" s="11">
        <v>2487.319</v>
      </c>
      <c r="N165" s="11">
        <v>4542.8389999999999</v>
      </c>
      <c r="O165" s="11">
        <v>5311.6909999999998</v>
      </c>
      <c r="P165" s="11">
        <v>2079.663</v>
      </c>
      <c r="Q165" s="11">
        <v>4757.0860000000002</v>
      </c>
      <c r="R165" s="11">
        <v>6063.5439999999999</v>
      </c>
      <c r="S165" s="11">
        <v>2126.1170000000002</v>
      </c>
      <c r="T165" s="11"/>
      <c r="U165" s="11"/>
      <c r="V165" s="11"/>
      <c r="W165" s="11"/>
      <c r="X165" s="11"/>
      <c r="Y165" s="11"/>
    </row>
    <row r="166" spans="1:25" x14ac:dyDescent="0.35">
      <c r="A166" s="11">
        <v>1914</v>
      </c>
      <c r="B166" s="11">
        <v>4678.9459999999999</v>
      </c>
      <c r="C166" s="11">
        <v>5960.5789999999997</v>
      </c>
      <c r="D166" s="11">
        <v>2541.14</v>
      </c>
      <c r="E166" s="11">
        <v>3810.5030000000002</v>
      </c>
      <c r="F166" s="11">
        <v>4471.7709999999997</v>
      </c>
      <c r="G166" s="11">
        <v>1843.528</v>
      </c>
      <c r="H166" s="11"/>
      <c r="I166" s="11"/>
      <c r="J166" s="11"/>
      <c r="K166" s="11">
        <v>4678.9470000000001</v>
      </c>
      <c r="L166" s="11">
        <v>5960.5789999999997</v>
      </c>
      <c r="M166" s="11">
        <v>2541.14</v>
      </c>
      <c r="N166" s="11">
        <v>4265.625</v>
      </c>
      <c r="O166" s="11">
        <v>4979.3119999999999</v>
      </c>
      <c r="P166" s="11">
        <v>2109.9140000000002</v>
      </c>
      <c r="Q166" s="11">
        <v>4491.7860000000001</v>
      </c>
      <c r="R166" s="11">
        <v>5690.3019999999997</v>
      </c>
      <c r="S166" s="11">
        <v>2177.944</v>
      </c>
      <c r="T166" s="11"/>
      <c r="U166" s="11"/>
      <c r="V166" s="11"/>
      <c r="W166" s="11"/>
      <c r="X166" s="11"/>
      <c r="Y166" s="11"/>
    </row>
    <row r="167" spans="1:25" x14ac:dyDescent="0.35">
      <c r="A167" s="11">
        <v>1915</v>
      </c>
      <c r="B167" s="11">
        <v>4606.3190000000004</v>
      </c>
      <c r="C167" s="11">
        <v>5795.9189999999999</v>
      </c>
      <c r="D167" s="11">
        <v>2562.3319999999999</v>
      </c>
      <c r="E167" s="11">
        <v>3762.2820000000002</v>
      </c>
      <c r="F167" s="11">
        <v>4416.625</v>
      </c>
      <c r="G167" s="11">
        <v>1805.5719999999999</v>
      </c>
      <c r="H167" s="11"/>
      <c r="I167" s="11"/>
      <c r="J167" s="11"/>
      <c r="K167" s="11">
        <v>4606.3190000000004</v>
      </c>
      <c r="L167" s="11">
        <v>5795.9189999999999</v>
      </c>
      <c r="M167" s="11">
        <v>2562.3310000000001</v>
      </c>
      <c r="N167" s="11">
        <v>4186.7020000000002</v>
      </c>
      <c r="O167" s="11">
        <v>4878.5910000000003</v>
      </c>
      <c r="P167" s="11">
        <v>2148.8009999999999</v>
      </c>
      <c r="Q167" s="11">
        <v>4416.05</v>
      </c>
      <c r="R167" s="11">
        <v>5528.915</v>
      </c>
      <c r="S167" s="11">
        <v>2176.1930000000002</v>
      </c>
      <c r="T167" s="11"/>
      <c r="U167" s="11"/>
      <c r="V167" s="11"/>
      <c r="W167" s="11"/>
      <c r="X167" s="11"/>
      <c r="Y167" s="11"/>
    </row>
    <row r="168" spans="1:25" x14ac:dyDescent="0.35">
      <c r="A168" s="11">
        <v>1916</v>
      </c>
      <c r="B168" s="11">
        <v>4814.3649999999998</v>
      </c>
      <c r="C168" s="11">
        <v>6014.0389999999998</v>
      </c>
      <c r="D168" s="11">
        <v>2567.2460000000001</v>
      </c>
      <c r="E168" s="11">
        <v>3972.5219999999999</v>
      </c>
      <c r="F168" s="11">
        <v>4654.4139999999998</v>
      </c>
      <c r="G168" s="11">
        <v>1826.923</v>
      </c>
      <c r="H168" s="11"/>
      <c r="I168" s="11"/>
      <c r="J168" s="11"/>
      <c r="K168" s="11">
        <v>4814.3649999999998</v>
      </c>
      <c r="L168" s="11">
        <v>6014.0389999999998</v>
      </c>
      <c r="M168" s="11">
        <v>2567.2460000000001</v>
      </c>
      <c r="N168" s="11">
        <v>4364.7740000000003</v>
      </c>
      <c r="O168" s="11">
        <v>5118.665</v>
      </c>
      <c r="P168" s="11">
        <v>2182.4490000000001</v>
      </c>
      <c r="Q168" s="11">
        <v>4622.6509999999998</v>
      </c>
      <c r="R168" s="11">
        <v>5749.7470000000003</v>
      </c>
      <c r="S168" s="11">
        <v>2179.5120000000002</v>
      </c>
      <c r="T168" s="11"/>
      <c r="U168" s="11"/>
      <c r="V168" s="11"/>
      <c r="W168" s="11"/>
      <c r="X168" s="11"/>
      <c r="Y168" s="11"/>
    </row>
    <row r="169" spans="1:25" x14ac:dyDescent="0.35">
      <c r="A169" s="11">
        <v>1917</v>
      </c>
      <c r="B169" s="11">
        <v>4938.4080000000004</v>
      </c>
      <c r="C169" s="11">
        <v>6037.7719999999999</v>
      </c>
      <c r="D169" s="11">
        <v>2590.7530000000002</v>
      </c>
      <c r="E169" s="11">
        <v>4085.9580000000001</v>
      </c>
      <c r="F169" s="11">
        <v>4773.0600000000004</v>
      </c>
      <c r="G169" s="11">
        <v>1852.66</v>
      </c>
      <c r="H169" s="11"/>
      <c r="I169" s="11"/>
      <c r="J169" s="11"/>
      <c r="K169" s="11">
        <v>4938.4080000000004</v>
      </c>
      <c r="L169" s="11">
        <v>6037.7719999999999</v>
      </c>
      <c r="M169" s="11">
        <v>2590.7530000000002</v>
      </c>
      <c r="N169" s="11">
        <v>4473.7209999999995</v>
      </c>
      <c r="O169" s="11">
        <v>5176.1580000000004</v>
      </c>
      <c r="P169" s="11">
        <v>2260.9389999999999</v>
      </c>
      <c r="Q169" s="11">
        <v>4746.8770000000004</v>
      </c>
      <c r="R169" s="11">
        <v>5777.1540000000005</v>
      </c>
      <c r="S169" s="11">
        <v>2192.2449999999999</v>
      </c>
      <c r="T169" s="11"/>
      <c r="U169" s="11"/>
      <c r="V169" s="11"/>
      <c r="W169" s="11"/>
      <c r="X169" s="11"/>
      <c r="Y169" s="11"/>
    </row>
    <row r="170" spans="1:25" x14ac:dyDescent="0.35">
      <c r="A170" s="11">
        <v>1918</v>
      </c>
      <c r="B170" s="11">
        <v>4989.5339999999997</v>
      </c>
      <c r="C170" s="11">
        <v>5918.1310000000003</v>
      </c>
      <c r="D170" s="11">
        <v>2610.259</v>
      </c>
      <c r="E170" s="11">
        <v>4109.9830000000002</v>
      </c>
      <c r="F170" s="11">
        <v>4717.6130000000003</v>
      </c>
      <c r="G170" s="11">
        <v>1871.5630000000001</v>
      </c>
      <c r="H170" s="11"/>
      <c r="I170" s="11"/>
      <c r="J170" s="11"/>
      <c r="K170" s="11">
        <v>4989.5339999999997</v>
      </c>
      <c r="L170" s="11">
        <v>5918.1310000000003</v>
      </c>
      <c r="M170" s="11">
        <v>2610.259</v>
      </c>
      <c r="N170" s="11">
        <v>4516.643</v>
      </c>
      <c r="O170" s="11">
        <v>5096.0550000000003</v>
      </c>
      <c r="P170" s="11">
        <v>2254.6660000000002</v>
      </c>
      <c r="Q170" s="11">
        <v>4800.6120000000001</v>
      </c>
      <c r="R170" s="11">
        <v>5663</v>
      </c>
      <c r="S170" s="11">
        <v>2214.9789999999998</v>
      </c>
      <c r="T170" s="11"/>
      <c r="U170" s="11"/>
      <c r="V170" s="11"/>
      <c r="W170" s="11"/>
      <c r="X170" s="11"/>
      <c r="Y170" s="11"/>
    </row>
    <row r="171" spans="1:25" x14ac:dyDescent="0.35">
      <c r="A171" s="11">
        <v>1919</v>
      </c>
      <c r="B171" s="11">
        <v>4580.0410000000002</v>
      </c>
      <c r="C171" s="11">
        <v>5358.8280000000004</v>
      </c>
      <c r="D171" s="11">
        <v>2650.761</v>
      </c>
      <c r="E171" s="11">
        <v>3711.2269999999999</v>
      </c>
      <c r="F171" s="11">
        <v>4211.0249999999996</v>
      </c>
      <c r="G171" s="11">
        <v>1912.3489999999999</v>
      </c>
      <c r="H171" s="11"/>
      <c r="I171" s="11"/>
      <c r="J171" s="11"/>
      <c r="K171" s="11">
        <v>4580.0410000000002</v>
      </c>
      <c r="L171" s="11">
        <v>5358.8280000000004</v>
      </c>
      <c r="M171" s="11">
        <v>2650.761</v>
      </c>
      <c r="N171" s="11">
        <v>4110.8779999999997</v>
      </c>
      <c r="O171" s="11">
        <v>4591.57</v>
      </c>
      <c r="P171" s="11">
        <v>2309.058</v>
      </c>
      <c r="Q171" s="11">
        <v>4395.7529999999997</v>
      </c>
      <c r="R171" s="11">
        <v>5110.7380000000003</v>
      </c>
      <c r="S171" s="11">
        <v>2246.8389999999999</v>
      </c>
      <c r="T171" s="11"/>
      <c r="U171" s="11"/>
      <c r="V171" s="11"/>
      <c r="W171" s="11"/>
      <c r="X171" s="11"/>
      <c r="Y171" s="11"/>
    </row>
    <row r="172" spans="1:25" x14ac:dyDescent="0.35">
      <c r="A172" s="11">
        <v>1920</v>
      </c>
      <c r="B172" s="11">
        <v>5008.1049999999996</v>
      </c>
      <c r="C172" s="11">
        <v>6051.3159999999998</v>
      </c>
      <c r="D172" s="11">
        <v>3092.3870000000002</v>
      </c>
      <c r="E172" s="11">
        <v>4098.9430000000002</v>
      </c>
      <c r="F172" s="11">
        <v>4678.357</v>
      </c>
      <c r="G172" s="11">
        <v>1965.9469999999999</v>
      </c>
      <c r="H172" s="11"/>
      <c r="I172" s="11"/>
      <c r="J172" s="11"/>
      <c r="K172" s="11">
        <v>5008.1059999999998</v>
      </c>
      <c r="L172" s="11">
        <v>6051.317</v>
      </c>
      <c r="M172" s="11">
        <v>3092.3870000000002</v>
      </c>
      <c r="N172" s="11">
        <v>4481.2579999999998</v>
      </c>
      <c r="O172" s="11">
        <v>5098.9759999999997</v>
      </c>
      <c r="P172" s="11">
        <v>2423.645</v>
      </c>
      <c r="Q172" s="11">
        <v>4810.6040000000003</v>
      </c>
      <c r="R172" s="11">
        <v>5767.9989999999998</v>
      </c>
      <c r="S172" s="11">
        <v>2525.029</v>
      </c>
      <c r="T172" s="11"/>
      <c r="U172" s="11"/>
      <c r="V172" s="11"/>
      <c r="W172" s="11"/>
      <c r="X172" s="11"/>
      <c r="Y172" s="11"/>
    </row>
    <row r="173" spans="1:25" x14ac:dyDescent="0.35">
      <c r="A173" s="11">
        <v>1921</v>
      </c>
      <c r="B173" s="11">
        <v>4590.6040000000003</v>
      </c>
      <c r="C173" s="11">
        <v>5705.9449999999997</v>
      </c>
      <c r="D173" s="11">
        <v>3286.9319999999998</v>
      </c>
      <c r="E173" s="11">
        <v>3607.509</v>
      </c>
      <c r="F173" s="11">
        <v>4194.6940000000004</v>
      </c>
      <c r="G173" s="11">
        <v>2172.0949999999998</v>
      </c>
      <c r="H173" s="11"/>
      <c r="I173" s="11"/>
      <c r="J173" s="11"/>
      <c r="K173" s="11">
        <v>4590.6040000000003</v>
      </c>
      <c r="L173" s="11">
        <v>5705.9459999999999</v>
      </c>
      <c r="M173" s="11">
        <v>3286.9319999999998</v>
      </c>
      <c r="N173" s="11">
        <v>4068.8960000000002</v>
      </c>
      <c r="O173" s="11">
        <v>4719.6270000000004</v>
      </c>
      <c r="P173" s="11">
        <v>2529.2530000000002</v>
      </c>
      <c r="Q173" s="11">
        <v>4399.8739999999998</v>
      </c>
      <c r="R173" s="11">
        <v>5420.1819999999998</v>
      </c>
      <c r="S173" s="11">
        <v>2628.5909999999999</v>
      </c>
      <c r="T173" s="11"/>
      <c r="U173" s="11"/>
      <c r="V173" s="11"/>
      <c r="W173" s="11"/>
      <c r="X173" s="11"/>
      <c r="Y173" s="11"/>
    </row>
    <row r="174" spans="1:25" x14ac:dyDescent="0.35">
      <c r="A174" s="11">
        <v>1922</v>
      </c>
      <c r="B174" s="11">
        <v>4743.8850000000002</v>
      </c>
      <c r="C174" s="11">
        <v>5881.2359999999999</v>
      </c>
      <c r="D174" s="11">
        <v>3380.31</v>
      </c>
      <c r="E174" s="11">
        <v>3676.7750000000001</v>
      </c>
      <c r="F174" s="11">
        <v>4271.4629999999997</v>
      </c>
      <c r="G174" s="11">
        <v>2236.5279999999998</v>
      </c>
      <c r="H174" s="11"/>
      <c r="I174" s="11"/>
      <c r="J174" s="11"/>
      <c r="K174" s="11">
        <v>4743.8850000000002</v>
      </c>
      <c r="L174" s="11">
        <v>5881.2359999999999</v>
      </c>
      <c r="M174" s="11">
        <v>3380.31</v>
      </c>
      <c r="N174" s="11">
        <v>4228.393</v>
      </c>
      <c r="O174" s="11">
        <v>4882.6180000000004</v>
      </c>
      <c r="P174" s="11">
        <v>2547.442</v>
      </c>
      <c r="Q174" s="11">
        <v>4560.7920000000004</v>
      </c>
      <c r="R174" s="11">
        <v>5600.2309999999998</v>
      </c>
      <c r="S174" s="11">
        <v>2660.5520000000001</v>
      </c>
      <c r="T174" s="11"/>
      <c r="U174" s="11"/>
      <c r="V174" s="11"/>
      <c r="W174" s="11"/>
      <c r="X174" s="11"/>
      <c r="Y174" s="11"/>
    </row>
    <row r="175" spans="1:25" x14ac:dyDescent="0.35">
      <c r="A175" s="11">
        <v>1923</v>
      </c>
      <c r="B175" s="11">
        <v>5145.2809999999999</v>
      </c>
      <c r="C175" s="11">
        <v>6339.7629999999999</v>
      </c>
      <c r="D175" s="11">
        <v>3524.8980000000001</v>
      </c>
      <c r="E175" s="11">
        <v>4101.7719999999999</v>
      </c>
      <c r="F175" s="11">
        <v>4691.2380000000003</v>
      </c>
      <c r="G175" s="11">
        <v>2300.3330000000001</v>
      </c>
      <c r="H175" s="11"/>
      <c r="I175" s="11"/>
      <c r="J175" s="11"/>
      <c r="K175" s="11">
        <v>5145.2809999999999</v>
      </c>
      <c r="L175" s="11">
        <v>6339.7629999999999</v>
      </c>
      <c r="M175" s="11">
        <v>3524.8980000000001</v>
      </c>
      <c r="N175" s="11">
        <v>4628.8180000000002</v>
      </c>
      <c r="O175" s="11">
        <v>5306.3670000000002</v>
      </c>
      <c r="P175" s="11">
        <v>2637.7719999999999</v>
      </c>
      <c r="Q175" s="11">
        <v>4964.0050000000001</v>
      </c>
      <c r="R175" s="11">
        <v>6053.0339999999997</v>
      </c>
      <c r="S175" s="11">
        <v>2739.7170000000001</v>
      </c>
      <c r="T175" s="11"/>
      <c r="U175" s="11"/>
      <c r="V175" s="11"/>
      <c r="W175" s="11"/>
      <c r="X175" s="11"/>
      <c r="Y175" s="11"/>
    </row>
    <row r="176" spans="1:25" x14ac:dyDescent="0.35">
      <c r="A176" s="11">
        <v>1924</v>
      </c>
      <c r="B176" s="11">
        <v>5113.4449999999997</v>
      </c>
      <c r="C176" s="11">
        <v>6263.4610000000002</v>
      </c>
      <c r="D176" s="11">
        <v>3592.9279999999999</v>
      </c>
      <c r="E176" s="11">
        <v>4062.0720000000001</v>
      </c>
      <c r="F176" s="11">
        <v>4672.2929999999997</v>
      </c>
      <c r="G176" s="11">
        <v>2361.2460000000001</v>
      </c>
      <c r="H176" s="11"/>
      <c r="I176" s="11"/>
      <c r="J176" s="11"/>
      <c r="K176" s="11">
        <v>5113.4449999999997</v>
      </c>
      <c r="L176" s="11">
        <v>6263.4610000000002</v>
      </c>
      <c r="M176" s="11">
        <v>3592.9279999999999</v>
      </c>
      <c r="N176" s="11">
        <v>4594.7489999999998</v>
      </c>
      <c r="O176" s="11">
        <v>5204.9740000000002</v>
      </c>
      <c r="P176" s="11">
        <v>2671.5410000000002</v>
      </c>
      <c r="Q176" s="11">
        <v>4937.9589999999998</v>
      </c>
      <c r="R176" s="11">
        <v>5976.6229999999996</v>
      </c>
      <c r="S176" s="11">
        <v>2768.0839999999998</v>
      </c>
      <c r="T176" s="11"/>
      <c r="U176" s="11"/>
      <c r="V176" s="11"/>
      <c r="W176" s="11"/>
      <c r="X176" s="11"/>
      <c r="Y176" s="11"/>
    </row>
    <row r="177" spans="1:25" x14ac:dyDescent="0.35">
      <c r="A177" s="11">
        <v>1925</v>
      </c>
      <c r="B177" s="11">
        <v>5152.6049999999996</v>
      </c>
      <c r="C177" s="11">
        <v>6387.3220000000001</v>
      </c>
      <c r="D177" s="11">
        <v>3641.4279999999999</v>
      </c>
      <c r="E177" s="11">
        <v>4084.8159999999998</v>
      </c>
      <c r="F177" s="11">
        <v>4697.4579999999996</v>
      </c>
      <c r="G177" s="11">
        <v>2398.27</v>
      </c>
      <c r="H177" s="11"/>
      <c r="I177" s="11"/>
      <c r="J177" s="11"/>
      <c r="K177" s="11">
        <v>5152.6049999999996</v>
      </c>
      <c r="L177" s="11">
        <v>6387.3220000000001</v>
      </c>
      <c r="M177" s="11">
        <v>3641.4279999999999</v>
      </c>
      <c r="N177" s="11">
        <v>4645.7470000000003</v>
      </c>
      <c r="O177" s="11">
        <v>5315.5789999999997</v>
      </c>
      <c r="P177" s="11">
        <v>2715.4520000000002</v>
      </c>
      <c r="Q177" s="11">
        <v>4988.808</v>
      </c>
      <c r="R177" s="11">
        <v>6117.3069999999998</v>
      </c>
      <c r="S177" s="11">
        <v>2778.0740000000001</v>
      </c>
      <c r="T177" s="11"/>
      <c r="U177" s="11"/>
      <c r="V177" s="11"/>
      <c r="W177" s="11"/>
      <c r="X177" s="11"/>
      <c r="Y177" s="11"/>
    </row>
    <row r="178" spans="1:25" x14ac:dyDescent="0.35">
      <c r="A178" s="11">
        <v>1926</v>
      </c>
      <c r="B178" s="11">
        <v>5037.3620000000001</v>
      </c>
      <c r="C178" s="11">
        <v>6320.018</v>
      </c>
      <c r="D178" s="11">
        <v>3681.192</v>
      </c>
      <c r="E178" s="11">
        <v>3973.0340000000001</v>
      </c>
      <c r="F178" s="11">
        <v>4639.3779999999997</v>
      </c>
      <c r="G178" s="11">
        <v>2416.6179999999999</v>
      </c>
      <c r="H178" s="11"/>
      <c r="I178" s="11"/>
      <c r="J178" s="11"/>
      <c r="K178" s="11">
        <v>5037.3620000000001</v>
      </c>
      <c r="L178" s="11">
        <v>6320.018</v>
      </c>
      <c r="M178" s="11">
        <v>3681.192</v>
      </c>
      <c r="N178" s="11">
        <v>4540.7790000000005</v>
      </c>
      <c r="O178" s="11">
        <v>5240.5280000000002</v>
      </c>
      <c r="P178" s="11">
        <v>2715.4369999999999</v>
      </c>
      <c r="Q178" s="11">
        <v>4885.1419999999998</v>
      </c>
      <c r="R178" s="11">
        <v>6066.3440000000001</v>
      </c>
      <c r="S178" s="11">
        <v>2793.3130000000001</v>
      </c>
      <c r="T178" s="11"/>
      <c r="U178" s="11"/>
      <c r="V178" s="11"/>
      <c r="W178" s="11"/>
      <c r="X178" s="11"/>
      <c r="Y178" s="11"/>
    </row>
    <row r="179" spans="1:25" x14ac:dyDescent="0.35">
      <c r="A179" s="11">
        <v>1927</v>
      </c>
      <c r="B179" s="11">
        <v>5289.8230000000003</v>
      </c>
      <c r="C179" s="11">
        <v>6621.3959999999997</v>
      </c>
      <c r="D179" s="11">
        <v>3725.99</v>
      </c>
      <c r="E179" s="11">
        <v>4422.2960000000003</v>
      </c>
      <c r="F179" s="11">
        <v>5137.8370000000004</v>
      </c>
      <c r="G179" s="11">
        <v>2436.2759999999998</v>
      </c>
      <c r="H179" s="11"/>
      <c r="I179" s="11"/>
      <c r="J179" s="11"/>
      <c r="K179" s="11">
        <v>5289.8230000000003</v>
      </c>
      <c r="L179" s="11">
        <v>6621.3959999999997</v>
      </c>
      <c r="M179" s="11">
        <v>3725.99</v>
      </c>
      <c r="N179" s="11">
        <v>4802.6379999999999</v>
      </c>
      <c r="O179" s="11">
        <v>5536.8230000000003</v>
      </c>
      <c r="P179" s="11">
        <v>2750.5010000000002</v>
      </c>
      <c r="Q179" s="11">
        <v>5148.9960000000001</v>
      </c>
      <c r="R179" s="11">
        <v>6384.0069999999996</v>
      </c>
      <c r="S179" s="11">
        <v>2818.9870000000001</v>
      </c>
      <c r="T179" s="11"/>
      <c r="U179" s="11"/>
      <c r="V179" s="11"/>
      <c r="W179" s="11"/>
      <c r="X179" s="11"/>
      <c r="Y179" s="11"/>
    </row>
    <row r="180" spans="1:25" x14ac:dyDescent="0.35">
      <c r="A180" s="11">
        <v>1928</v>
      </c>
      <c r="B180" s="11">
        <v>5234.8490000000002</v>
      </c>
      <c r="C180" s="11">
        <v>6592.7870000000003</v>
      </c>
      <c r="D180" s="11">
        <v>3805.1610000000001</v>
      </c>
      <c r="E180" s="11">
        <v>4362.4030000000002</v>
      </c>
      <c r="F180" s="11">
        <v>5099.5940000000001</v>
      </c>
      <c r="G180" s="11">
        <v>2471.6610000000001</v>
      </c>
      <c r="H180" s="11"/>
      <c r="I180" s="11"/>
      <c r="J180" s="11"/>
      <c r="K180" s="11">
        <v>5234.8490000000002</v>
      </c>
      <c r="L180" s="11">
        <v>6592.7870000000003</v>
      </c>
      <c r="M180" s="11">
        <v>3805.1610000000001</v>
      </c>
      <c r="N180" s="11">
        <v>4753.357</v>
      </c>
      <c r="O180" s="11">
        <v>5497.9040000000005</v>
      </c>
      <c r="P180" s="11">
        <v>2804.9070000000002</v>
      </c>
      <c r="Q180" s="11">
        <v>5104.8860000000004</v>
      </c>
      <c r="R180" s="11">
        <v>6371.6379999999999</v>
      </c>
      <c r="S180" s="11">
        <v>2880.9630000000002</v>
      </c>
      <c r="T180" s="11"/>
      <c r="U180" s="11"/>
      <c r="V180" s="11"/>
      <c r="W180" s="11"/>
      <c r="X180" s="11"/>
      <c r="Y180" s="11"/>
    </row>
    <row r="181" spans="1:25" x14ac:dyDescent="0.35">
      <c r="A181" s="11">
        <v>1929</v>
      </c>
      <c r="B181" s="11">
        <v>5461.87</v>
      </c>
      <c r="C181" s="11">
        <v>6913.5959999999995</v>
      </c>
      <c r="D181" s="11">
        <v>3837</v>
      </c>
      <c r="E181" s="11">
        <v>4715.473</v>
      </c>
      <c r="F181" s="11">
        <v>5483.24</v>
      </c>
      <c r="G181" s="11">
        <v>2507.3789999999999</v>
      </c>
      <c r="H181" s="11"/>
      <c r="I181" s="11"/>
      <c r="J181" s="11"/>
      <c r="K181" s="11">
        <v>5461.87</v>
      </c>
      <c r="L181" s="11">
        <v>6913.5959999999995</v>
      </c>
      <c r="M181" s="11">
        <v>3837</v>
      </c>
      <c r="N181" s="11">
        <v>4988.3209999999999</v>
      </c>
      <c r="O181" s="11">
        <v>5817.67</v>
      </c>
      <c r="P181" s="11">
        <v>2833.5839999999998</v>
      </c>
      <c r="Q181" s="11">
        <v>5342.482</v>
      </c>
      <c r="R181" s="11">
        <v>6708.768</v>
      </c>
      <c r="S181" s="11">
        <v>2885.096</v>
      </c>
      <c r="T181" s="11"/>
      <c r="U181" s="11"/>
      <c r="V181" s="11"/>
      <c r="W181" s="11"/>
      <c r="X181" s="11"/>
      <c r="Y181" s="11"/>
    </row>
    <row r="182" spans="1:25" x14ac:dyDescent="0.35">
      <c r="A182" s="11">
        <v>1930</v>
      </c>
      <c r="B182" s="11">
        <v>4942.9279999999999</v>
      </c>
      <c r="C182" s="11">
        <v>6632.5860000000002</v>
      </c>
      <c r="D182" s="11">
        <v>3836.8890000000001</v>
      </c>
      <c r="E182" s="11">
        <v>4616.9539999999997</v>
      </c>
      <c r="F182" s="11">
        <v>5401.2439999999997</v>
      </c>
      <c r="G182" s="11">
        <v>2533.6350000000002</v>
      </c>
      <c r="H182" s="11"/>
      <c r="I182" s="11"/>
      <c r="J182" s="11"/>
      <c r="K182" s="11">
        <v>4942.9279999999999</v>
      </c>
      <c r="L182" s="11">
        <v>6632.5860000000002</v>
      </c>
      <c r="M182" s="11">
        <v>3836.8890000000001</v>
      </c>
      <c r="N182" s="11">
        <v>4621.9979999999996</v>
      </c>
      <c r="O182" s="11">
        <v>5515.6490000000003</v>
      </c>
      <c r="P182" s="11">
        <v>2831.2460000000001</v>
      </c>
      <c r="Q182" s="11">
        <v>4905.2969999999996</v>
      </c>
      <c r="R182" s="11">
        <v>6480.8059999999996</v>
      </c>
      <c r="S182" s="11">
        <v>2873.57</v>
      </c>
      <c r="T182" s="11"/>
      <c r="U182" s="11"/>
      <c r="V182" s="11"/>
      <c r="W182" s="11"/>
      <c r="X182" s="11"/>
      <c r="Y182" s="11"/>
    </row>
    <row r="183" spans="1:25" x14ac:dyDescent="0.35">
      <c r="A183" s="11">
        <v>1931</v>
      </c>
      <c r="B183" s="11">
        <v>4445.2079999999996</v>
      </c>
      <c r="C183" s="11">
        <v>6249.6059999999998</v>
      </c>
      <c r="D183" s="11">
        <v>3875.3330000000001</v>
      </c>
      <c r="E183" s="11">
        <v>4145.2849999999999</v>
      </c>
      <c r="F183" s="11">
        <v>4956.1509999999998</v>
      </c>
      <c r="G183" s="11">
        <v>2571.5360000000001</v>
      </c>
      <c r="H183" s="11"/>
      <c r="I183" s="11"/>
      <c r="J183" s="11"/>
      <c r="K183" s="11">
        <v>4445.2079999999996</v>
      </c>
      <c r="L183" s="11">
        <v>6249.6059999999998</v>
      </c>
      <c r="M183" s="11">
        <v>3875.3330000000001</v>
      </c>
      <c r="N183" s="11">
        <v>4218.91</v>
      </c>
      <c r="O183" s="11">
        <v>5167.4669999999996</v>
      </c>
      <c r="P183" s="11">
        <v>2843.7089999999998</v>
      </c>
      <c r="Q183" s="11">
        <v>4451.9189999999999</v>
      </c>
      <c r="R183" s="11">
        <v>6132.4639999999999</v>
      </c>
      <c r="S183" s="11">
        <v>2903.415</v>
      </c>
      <c r="T183" s="11"/>
      <c r="U183" s="11"/>
      <c r="V183" s="11"/>
      <c r="W183" s="11"/>
      <c r="X183" s="11"/>
      <c r="Y183" s="11"/>
    </row>
    <row r="184" spans="1:25" x14ac:dyDescent="0.35">
      <c r="A184" s="11">
        <v>1932</v>
      </c>
      <c r="B184" s="11">
        <v>4014.9110000000001</v>
      </c>
      <c r="C184" s="11">
        <v>5888.9989999999998</v>
      </c>
      <c r="D184" s="11">
        <v>3920.991</v>
      </c>
      <c r="E184" s="11">
        <v>3395.556</v>
      </c>
      <c r="F184" s="11">
        <v>4210.22</v>
      </c>
      <c r="G184" s="11">
        <v>2590.2849999999999</v>
      </c>
      <c r="H184" s="11"/>
      <c r="I184" s="11"/>
      <c r="J184" s="11"/>
      <c r="K184" s="11">
        <v>4014.9110000000001</v>
      </c>
      <c r="L184" s="11">
        <v>5888.9989999999998</v>
      </c>
      <c r="M184" s="11">
        <v>3920.991</v>
      </c>
      <c r="N184" s="11">
        <v>3836.3440000000001</v>
      </c>
      <c r="O184" s="11">
        <v>4791.6180000000004</v>
      </c>
      <c r="P184" s="11">
        <v>2916.6210000000001</v>
      </c>
      <c r="Q184" s="11">
        <v>4046.74</v>
      </c>
      <c r="R184" s="11">
        <v>5798.5360000000001</v>
      </c>
      <c r="S184" s="11">
        <v>2937.038</v>
      </c>
      <c r="T184" s="11"/>
      <c r="U184" s="11"/>
      <c r="V184" s="11"/>
      <c r="W184" s="11"/>
      <c r="X184" s="11"/>
      <c r="Y184" s="11"/>
    </row>
    <row r="185" spans="1:25" x14ac:dyDescent="0.35">
      <c r="A185" s="11">
        <v>1933</v>
      </c>
      <c r="B185" s="11">
        <v>4089.6619999999998</v>
      </c>
      <c r="C185" s="11">
        <v>5985.857</v>
      </c>
      <c r="D185" s="11">
        <v>3935.194</v>
      </c>
      <c r="E185" s="11">
        <v>3500.06</v>
      </c>
      <c r="F185" s="11">
        <v>4335.9380000000001</v>
      </c>
      <c r="G185" s="11">
        <v>2631.3919999999998</v>
      </c>
      <c r="H185" s="11"/>
      <c r="I185" s="11"/>
      <c r="J185" s="11"/>
      <c r="K185" s="11">
        <v>4089.6619999999998</v>
      </c>
      <c r="L185" s="11">
        <v>5985.857</v>
      </c>
      <c r="M185" s="11">
        <v>3935.194</v>
      </c>
      <c r="N185" s="11">
        <v>3958.5030000000002</v>
      </c>
      <c r="O185" s="11">
        <v>4910.7560000000003</v>
      </c>
      <c r="P185" s="11">
        <v>2926.14</v>
      </c>
      <c r="Q185" s="11">
        <v>4144.0680000000002</v>
      </c>
      <c r="R185" s="11">
        <v>5917.0910000000003</v>
      </c>
      <c r="S185" s="11">
        <v>2954.5479999999998</v>
      </c>
      <c r="T185" s="11"/>
      <c r="U185" s="11"/>
      <c r="V185" s="11"/>
      <c r="W185" s="11"/>
      <c r="X185" s="11"/>
      <c r="Y185" s="11"/>
    </row>
    <row r="186" spans="1:25" x14ac:dyDescent="0.35">
      <c r="A186" s="11">
        <v>1934</v>
      </c>
      <c r="B186" s="11">
        <v>4267.9480000000003</v>
      </c>
      <c r="C186" s="11">
        <v>6250.9650000000001</v>
      </c>
      <c r="D186" s="11">
        <v>4017.5169999999998</v>
      </c>
      <c r="E186" s="11">
        <v>3685.2460000000001</v>
      </c>
      <c r="F186" s="11">
        <v>4568.7489999999998</v>
      </c>
      <c r="G186" s="11">
        <v>2670.9690000000001</v>
      </c>
      <c r="H186" s="11"/>
      <c r="I186" s="11"/>
      <c r="J186" s="11"/>
      <c r="K186" s="11">
        <v>4267.9480000000003</v>
      </c>
      <c r="L186" s="11">
        <v>6250.9650000000001</v>
      </c>
      <c r="M186" s="11">
        <v>4017.5169999999998</v>
      </c>
      <c r="N186" s="11">
        <v>4176.8050000000003</v>
      </c>
      <c r="O186" s="11">
        <v>5153.9750000000004</v>
      </c>
      <c r="P186" s="11">
        <v>3028.1309999999999</v>
      </c>
      <c r="Q186" s="11">
        <v>4334.7449999999999</v>
      </c>
      <c r="R186" s="11">
        <v>6195.7460000000001</v>
      </c>
      <c r="S186" s="11">
        <v>3023.0859999999998</v>
      </c>
      <c r="T186" s="11"/>
      <c r="U186" s="11"/>
      <c r="V186" s="11"/>
      <c r="W186" s="11"/>
      <c r="X186" s="11"/>
      <c r="Y186" s="11"/>
    </row>
    <row r="187" spans="1:25" x14ac:dyDescent="0.35">
      <c r="A187" s="11">
        <v>1935</v>
      </c>
      <c r="B187" s="11">
        <v>4314.5910000000003</v>
      </c>
      <c r="C187" s="11">
        <v>6384.6189999999997</v>
      </c>
      <c r="D187" s="11">
        <v>3993.6460000000002</v>
      </c>
      <c r="E187" s="11">
        <v>3790.64</v>
      </c>
      <c r="F187" s="11">
        <v>4704.7650000000003</v>
      </c>
      <c r="G187" s="11">
        <v>2730.3040000000001</v>
      </c>
      <c r="H187" s="11"/>
      <c r="I187" s="11"/>
      <c r="J187" s="11"/>
      <c r="K187" s="11">
        <v>4314.5910000000003</v>
      </c>
      <c r="L187" s="11">
        <v>6384.6189999999997</v>
      </c>
      <c r="M187" s="11">
        <v>3993.6460000000002</v>
      </c>
      <c r="N187" s="11">
        <v>4273.9319999999998</v>
      </c>
      <c r="O187" s="11">
        <v>5314.8059999999996</v>
      </c>
      <c r="P187" s="11">
        <v>3010.5909999999999</v>
      </c>
      <c r="Q187" s="11">
        <v>4384.45</v>
      </c>
      <c r="R187" s="11">
        <v>6328.3159999999998</v>
      </c>
      <c r="S187" s="11">
        <v>2986.4360000000001</v>
      </c>
      <c r="T187" s="11"/>
      <c r="U187" s="11"/>
      <c r="V187" s="11"/>
      <c r="W187" s="11"/>
      <c r="X187" s="11"/>
      <c r="Y187" s="11"/>
    </row>
    <row r="188" spans="1:25" x14ac:dyDescent="0.35">
      <c r="A188" s="11">
        <v>1936</v>
      </c>
      <c r="B188" s="11">
        <v>4590.7340000000004</v>
      </c>
      <c r="C188" s="11">
        <v>6788.8519999999999</v>
      </c>
      <c r="D188" s="11">
        <v>4095.0520000000001</v>
      </c>
      <c r="E188" s="11">
        <v>4068.5459999999998</v>
      </c>
      <c r="F188" s="11">
        <v>5028.9480000000003</v>
      </c>
      <c r="G188" s="11">
        <v>2835.9270000000001</v>
      </c>
      <c r="H188" s="11"/>
      <c r="I188" s="11"/>
      <c r="J188" s="11"/>
      <c r="K188" s="11">
        <v>4590.7330000000002</v>
      </c>
      <c r="L188" s="11">
        <v>6788.8519999999999</v>
      </c>
      <c r="M188" s="11">
        <v>4095.0520000000001</v>
      </c>
      <c r="N188" s="11">
        <v>4585.3649999999998</v>
      </c>
      <c r="O188" s="11">
        <v>5719.3959999999997</v>
      </c>
      <c r="P188" s="11">
        <v>3118.5360000000001</v>
      </c>
      <c r="Q188" s="11">
        <v>4659.0219999999999</v>
      </c>
      <c r="R188" s="11">
        <v>6728.3410000000003</v>
      </c>
      <c r="S188" s="11">
        <v>3083.614</v>
      </c>
      <c r="T188" s="11"/>
      <c r="U188" s="11"/>
      <c r="V188" s="11"/>
      <c r="W188" s="11"/>
      <c r="X188" s="11"/>
      <c r="Y188" s="11"/>
    </row>
    <row r="189" spans="1:25" x14ac:dyDescent="0.35">
      <c r="A189" s="11">
        <v>1937</v>
      </c>
      <c r="B189" s="11">
        <v>4772.0429999999997</v>
      </c>
      <c r="C189" s="11">
        <v>7004.0370000000003</v>
      </c>
      <c r="D189" s="11">
        <v>4153.808</v>
      </c>
      <c r="E189" s="11">
        <v>4222.1710000000003</v>
      </c>
      <c r="F189" s="11">
        <v>5195.0659999999998</v>
      </c>
      <c r="G189" s="11">
        <v>2908.6669999999999</v>
      </c>
      <c r="H189" s="11"/>
      <c r="I189" s="11"/>
      <c r="J189" s="11"/>
      <c r="K189" s="11">
        <v>4772.0429999999997</v>
      </c>
      <c r="L189" s="11">
        <v>7004.0370000000003</v>
      </c>
      <c r="M189" s="11">
        <v>4153.808</v>
      </c>
      <c r="N189" s="11">
        <v>4799.665</v>
      </c>
      <c r="O189" s="11">
        <v>5940.28</v>
      </c>
      <c r="P189" s="11">
        <v>3175.3020000000001</v>
      </c>
      <c r="Q189" s="11">
        <v>4835.3639999999996</v>
      </c>
      <c r="R189" s="11">
        <v>6937.375</v>
      </c>
      <c r="S189" s="11">
        <v>3131.1849999999999</v>
      </c>
      <c r="T189" s="11"/>
      <c r="U189" s="11"/>
      <c r="V189" s="11"/>
      <c r="W189" s="11"/>
      <c r="X189" s="11"/>
      <c r="Y189" s="11"/>
    </row>
    <row r="190" spans="1:25" x14ac:dyDescent="0.35">
      <c r="A190" s="11">
        <v>1938</v>
      </c>
      <c r="B190" s="11">
        <v>4453.3720000000003</v>
      </c>
      <c r="C190" s="11">
        <v>6753.777</v>
      </c>
      <c r="D190" s="11">
        <v>4167.7039999999997</v>
      </c>
      <c r="E190" s="11">
        <v>3898.8609999999999</v>
      </c>
      <c r="F190" s="11">
        <v>4894.7070000000003</v>
      </c>
      <c r="G190" s="11">
        <v>2944.1410000000001</v>
      </c>
      <c r="H190" s="11"/>
      <c r="I190" s="11"/>
      <c r="J190" s="11"/>
      <c r="K190" s="11">
        <v>4453.3720000000003</v>
      </c>
      <c r="L190" s="11">
        <v>6753.777</v>
      </c>
      <c r="M190" s="11">
        <v>4167.7039999999997</v>
      </c>
      <c r="N190" s="11">
        <v>4514.7430000000004</v>
      </c>
      <c r="O190" s="11">
        <v>5691.1880000000001</v>
      </c>
      <c r="P190" s="11">
        <v>3219.9789999999998</v>
      </c>
      <c r="Q190" s="11">
        <v>4509.5360000000001</v>
      </c>
      <c r="R190" s="11">
        <v>6680.13</v>
      </c>
      <c r="S190" s="11">
        <v>3147.0459999999998</v>
      </c>
      <c r="T190" s="11"/>
      <c r="U190" s="11"/>
      <c r="V190" s="11"/>
      <c r="W190" s="11"/>
      <c r="X190" s="11"/>
      <c r="Y190" s="11"/>
    </row>
    <row r="191" spans="1:25" x14ac:dyDescent="0.35">
      <c r="A191" s="11">
        <v>1939</v>
      </c>
      <c r="B191" s="11">
        <v>4624.9679999999998</v>
      </c>
      <c r="C191" s="11">
        <v>6933.6379999999999</v>
      </c>
      <c r="D191" s="11">
        <v>4194.6530000000002</v>
      </c>
      <c r="E191" s="11">
        <v>4111.8180000000002</v>
      </c>
      <c r="F191" s="11">
        <v>5099.7719999999999</v>
      </c>
      <c r="G191" s="11">
        <v>3004.8780000000002</v>
      </c>
      <c r="H191" s="11"/>
      <c r="I191" s="11"/>
      <c r="J191" s="11"/>
      <c r="K191" s="11">
        <v>4624.9679999999998</v>
      </c>
      <c r="L191" s="11">
        <v>6933.6379999999999</v>
      </c>
      <c r="M191" s="11">
        <v>4194.6530000000002</v>
      </c>
      <c r="N191" s="11">
        <v>4720.4660000000003</v>
      </c>
      <c r="O191" s="11">
        <v>5881.5720000000001</v>
      </c>
      <c r="P191" s="11">
        <v>3263.596</v>
      </c>
      <c r="Q191" s="11">
        <v>4672.2430000000004</v>
      </c>
      <c r="R191" s="11">
        <v>6851.7269999999999</v>
      </c>
      <c r="S191" s="11">
        <v>3163.9029999999998</v>
      </c>
      <c r="T191" s="11"/>
      <c r="U191" s="11"/>
      <c r="V191" s="11"/>
      <c r="W191" s="11"/>
      <c r="X191" s="11"/>
      <c r="Y191" s="11"/>
    </row>
    <row r="192" spans="1:25" x14ac:dyDescent="0.35">
      <c r="A192" s="11">
        <v>1940</v>
      </c>
      <c r="B192" s="11">
        <v>4826.8860000000004</v>
      </c>
      <c r="C192" s="11">
        <v>6895.4470000000001</v>
      </c>
      <c r="D192" s="11">
        <v>4819.9780000000001</v>
      </c>
      <c r="E192" s="11">
        <v>4213.1180000000004</v>
      </c>
      <c r="F192" s="11">
        <v>5390.2179999999998</v>
      </c>
      <c r="G192" s="11">
        <v>3045.9810000000002</v>
      </c>
      <c r="H192" s="11"/>
      <c r="I192" s="11"/>
      <c r="J192" s="11"/>
      <c r="K192" s="11">
        <v>4826.8850000000002</v>
      </c>
      <c r="L192" s="11">
        <v>6895.4470000000001</v>
      </c>
      <c r="M192" s="11">
        <v>4819.9780000000001</v>
      </c>
      <c r="N192" s="11">
        <v>4911.3090000000002</v>
      </c>
      <c r="O192" s="11">
        <v>6157.7659999999996</v>
      </c>
      <c r="P192" s="11">
        <v>3454.2890000000002</v>
      </c>
      <c r="Q192" s="11">
        <v>4875.4570000000003</v>
      </c>
      <c r="R192" s="11">
        <v>6853.8919999999998</v>
      </c>
      <c r="S192" s="11">
        <v>3670.8249999999998</v>
      </c>
      <c r="T192" s="11"/>
      <c r="U192" s="11"/>
      <c r="V192" s="11"/>
      <c r="W192" s="11"/>
      <c r="X192" s="11"/>
      <c r="Y192" s="11"/>
    </row>
    <row r="193" spans="1:25" x14ac:dyDescent="0.35">
      <c r="A193" s="11">
        <v>1941</v>
      </c>
      <c r="B193" s="11">
        <v>5002.6610000000001</v>
      </c>
      <c r="C193" s="11">
        <v>6821.4189999999999</v>
      </c>
      <c r="D193" s="11">
        <v>5162.6040000000003</v>
      </c>
      <c r="E193" s="11">
        <v>4364.7730000000001</v>
      </c>
      <c r="F193" s="11">
        <v>5428.4189999999999</v>
      </c>
      <c r="G193" s="11">
        <v>3064.386</v>
      </c>
      <c r="H193" s="11"/>
      <c r="I193" s="11"/>
      <c r="J193" s="11"/>
      <c r="K193" s="11">
        <v>5002.6610000000001</v>
      </c>
      <c r="L193" s="11">
        <v>6821.4189999999999</v>
      </c>
      <c r="M193" s="11">
        <v>5162.6040000000003</v>
      </c>
      <c r="N193" s="11">
        <v>5075.5280000000002</v>
      </c>
      <c r="O193" s="11">
        <v>6230.4080000000004</v>
      </c>
      <c r="P193" s="11">
        <v>3648.95</v>
      </c>
      <c r="Q193" s="11">
        <v>5045.2640000000001</v>
      </c>
      <c r="R193" s="11">
        <v>6832.5929999999998</v>
      </c>
      <c r="S193" s="11">
        <v>3939.24</v>
      </c>
      <c r="T193" s="11"/>
      <c r="U193" s="11"/>
      <c r="V193" s="11"/>
      <c r="W193" s="11"/>
      <c r="X193" s="11"/>
      <c r="Y193" s="11"/>
    </row>
    <row r="194" spans="1:25" x14ac:dyDescent="0.35">
      <c r="A194" s="11">
        <v>1942</v>
      </c>
      <c r="B194" s="11">
        <v>5169.6890000000003</v>
      </c>
      <c r="C194" s="11">
        <v>6667.9380000000001</v>
      </c>
      <c r="D194" s="11">
        <v>5314.6329999999998</v>
      </c>
      <c r="E194" s="11">
        <v>4569.1239999999998</v>
      </c>
      <c r="F194" s="11">
        <v>5514.183</v>
      </c>
      <c r="G194" s="11">
        <v>3073.5549999999998</v>
      </c>
      <c r="H194" s="11"/>
      <c r="I194" s="11"/>
      <c r="J194" s="11"/>
      <c r="K194" s="11">
        <v>5169.6890000000003</v>
      </c>
      <c r="L194" s="11">
        <v>6667.9380000000001</v>
      </c>
      <c r="M194" s="11">
        <v>5314.6329999999998</v>
      </c>
      <c r="N194" s="11">
        <v>5224.2250000000004</v>
      </c>
      <c r="O194" s="11">
        <v>6176.9480000000003</v>
      </c>
      <c r="P194" s="11">
        <v>3700.4520000000002</v>
      </c>
      <c r="Q194" s="11">
        <v>5206.3540000000003</v>
      </c>
      <c r="R194" s="11">
        <v>6716.567</v>
      </c>
      <c r="S194" s="11">
        <v>4049.04</v>
      </c>
      <c r="T194" s="11"/>
      <c r="U194" s="11"/>
      <c r="V194" s="11"/>
      <c r="W194" s="11"/>
      <c r="X194" s="11"/>
      <c r="Y194" s="11"/>
    </row>
    <row r="195" spans="1:25" x14ac:dyDescent="0.35">
      <c r="A195" s="11">
        <v>1943</v>
      </c>
      <c r="B195" s="11">
        <v>5236.4939999999997</v>
      </c>
      <c r="C195" s="11">
        <v>6640.0609999999997</v>
      </c>
      <c r="D195" s="11">
        <v>5447.549</v>
      </c>
      <c r="E195" s="11">
        <v>4568.4409999999998</v>
      </c>
      <c r="F195" s="11">
        <v>5589.3059999999996</v>
      </c>
      <c r="G195" s="11">
        <v>3160.5259999999998</v>
      </c>
      <c r="H195" s="11"/>
      <c r="I195" s="11"/>
      <c r="J195" s="11"/>
      <c r="K195" s="11">
        <v>5236.4939999999997</v>
      </c>
      <c r="L195" s="11">
        <v>6640.0609999999997</v>
      </c>
      <c r="M195" s="11">
        <v>5447.549</v>
      </c>
      <c r="N195" s="11">
        <v>5254.0119999999997</v>
      </c>
      <c r="O195" s="11">
        <v>6207.1980000000003</v>
      </c>
      <c r="P195" s="11">
        <v>3745.864</v>
      </c>
      <c r="Q195" s="11">
        <v>5263.8289999999997</v>
      </c>
      <c r="R195" s="11">
        <v>6703.4160000000002</v>
      </c>
      <c r="S195" s="11">
        <v>4124.2309999999998</v>
      </c>
      <c r="T195" s="11"/>
      <c r="U195" s="11"/>
      <c r="V195" s="11"/>
      <c r="W195" s="11"/>
      <c r="X195" s="11"/>
      <c r="Y195" s="11"/>
    </row>
    <row r="196" spans="1:25" x14ac:dyDescent="0.35">
      <c r="A196" s="11">
        <v>1944</v>
      </c>
      <c r="B196" s="11">
        <v>5230.3090000000002</v>
      </c>
      <c r="C196" s="11">
        <v>6547.9790000000003</v>
      </c>
      <c r="D196" s="11">
        <v>5547.7269999999999</v>
      </c>
      <c r="E196" s="11">
        <v>4510.2889999999998</v>
      </c>
      <c r="F196" s="11">
        <v>5461.5630000000001</v>
      </c>
      <c r="G196" s="11">
        <v>3255.3470000000002</v>
      </c>
      <c r="H196" s="11"/>
      <c r="I196" s="11"/>
      <c r="J196" s="11"/>
      <c r="K196" s="11">
        <v>5230.3090000000002</v>
      </c>
      <c r="L196" s="11">
        <v>6547.9790000000003</v>
      </c>
      <c r="M196" s="11">
        <v>5547.7269999999999</v>
      </c>
      <c r="N196" s="11">
        <v>5249.3609999999999</v>
      </c>
      <c r="O196" s="11">
        <v>6229.223</v>
      </c>
      <c r="P196" s="11">
        <v>3822.616</v>
      </c>
      <c r="Q196" s="11">
        <v>5244.3090000000002</v>
      </c>
      <c r="R196" s="11">
        <v>6613.0919999999996</v>
      </c>
      <c r="S196" s="11">
        <v>4162.0860000000002</v>
      </c>
      <c r="T196" s="11"/>
      <c r="U196" s="11"/>
      <c r="V196" s="11"/>
      <c r="W196" s="11"/>
      <c r="X196" s="11"/>
      <c r="Y196" s="11"/>
    </row>
    <row r="197" spans="1:25" x14ac:dyDescent="0.35">
      <c r="A197" s="11">
        <v>1945</v>
      </c>
      <c r="B197" s="11">
        <v>4554.6130000000003</v>
      </c>
      <c r="C197" s="11">
        <v>5646.3580000000002</v>
      </c>
      <c r="D197" s="11">
        <v>5594.558</v>
      </c>
      <c r="E197" s="11">
        <v>3764.404</v>
      </c>
      <c r="F197" s="11">
        <v>4531.5990000000002</v>
      </c>
      <c r="G197" s="11">
        <v>3307.1320000000001</v>
      </c>
      <c r="H197" s="11"/>
      <c r="I197" s="11"/>
      <c r="J197" s="11"/>
      <c r="K197" s="11">
        <v>4554.6130000000003</v>
      </c>
      <c r="L197" s="11">
        <v>5646.3580000000002</v>
      </c>
      <c r="M197" s="11">
        <v>5594.558</v>
      </c>
      <c r="N197" s="11">
        <v>4558.6840000000002</v>
      </c>
      <c r="O197" s="11">
        <v>5418.9040000000005</v>
      </c>
      <c r="P197" s="11">
        <v>3831.74</v>
      </c>
      <c r="Q197" s="11">
        <v>4565.2719999999999</v>
      </c>
      <c r="R197" s="11">
        <v>5716.6580000000004</v>
      </c>
      <c r="S197" s="11">
        <v>4204.3810000000003</v>
      </c>
      <c r="T197" s="11"/>
      <c r="U197" s="11"/>
      <c r="V197" s="11"/>
      <c r="W197" s="11"/>
      <c r="X197" s="11"/>
      <c r="Y197" s="11"/>
    </row>
    <row r="198" spans="1:25" x14ac:dyDescent="0.35">
      <c r="A198" s="11">
        <v>1946</v>
      </c>
      <c r="B198" s="11">
        <v>4749.0910000000003</v>
      </c>
      <c r="C198" s="11">
        <v>5827.1819999999998</v>
      </c>
      <c r="D198" s="11">
        <v>5679.6980000000003</v>
      </c>
      <c r="E198" s="11">
        <v>4003.518</v>
      </c>
      <c r="F198" s="11">
        <v>4862.2920000000004</v>
      </c>
      <c r="G198" s="11">
        <v>3739.03</v>
      </c>
      <c r="H198" s="11"/>
      <c r="I198" s="11"/>
      <c r="J198" s="11"/>
      <c r="K198" s="11">
        <v>4749.0910000000003</v>
      </c>
      <c r="L198" s="11">
        <v>5827.1819999999998</v>
      </c>
      <c r="M198" s="11">
        <v>5679.6980000000003</v>
      </c>
      <c r="N198" s="11">
        <v>4749.1549999999997</v>
      </c>
      <c r="O198" s="11">
        <v>5688.6279999999997</v>
      </c>
      <c r="P198" s="11">
        <v>3887.2640000000001</v>
      </c>
      <c r="Q198" s="11">
        <v>4756.8249999999998</v>
      </c>
      <c r="R198" s="11">
        <v>5902.3670000000002</v>
      </c>
      <c r="S198" s="11">
        <v>4274.5990000000002</v>
      </c>
      <c r="T198" s="11"/>
      <c r="U198" s="11"/>
      <c r="V198" s="11"/>
      <c r="W198" s="11"/>
      <c r="X198" s="11"/>
      <c r="Y198" s="11"/>
    </row>
    <row r="199" spans="1:25" x14ac:dyDescent="0.35">
      <c r="A199" s="11">
        <v>1947</v>
      </c>
      <c r="B199" s="11">
        <v>5163.2380000000003</v>
      </c>
      <c r="C199" s="11">
        <v>6203.576</v>
      </c>
      <c r="D199" s="11">
        <v>5781.482</v>
      </c>
      <c r="E199" s="11">
        <v>4518.5309999999999</v>
      </c>
      <c r="F199" s="11">
        <v>5445.9380000000001</v>
      </c>
      <c r="G199" s="11">
        <v>3860.395</v>
      </c>
      <c r="H199" s="11"/>
      <c r="I199" s="11"/>
      <c r="J199" s="11"/>
      <c r="K199" s="11">
        <v>5163.2380000000003</v>
      </c>
      <c r="L199" s="11">
        <v>6203.576</v>
      </c>
      <c r="M199" s="11">
        <v>5781.482</v>
      </c>
      <c r="N199" s="11">
        <v>5162.2510000000002</v>
      </c>
      <c r="O199" s="11">
        <v>6144.1109999999999</v>
      </c>
      <c r="P199" s="11">
        <v>3986.2080000000001</v>
      </c>
      <c r="Q199" s="11">
        <v>5168.607</v>
      </c>
      <c r="R199" s="11">
        <v>6284.0240000000003</v>
      </c>
      <c r="S199" s="11">
        <v>4378.0169999999998</v>
      </c>
      <c r="T199" s="11"/>
      <c r="U199" s="11"/>
      <c r="V199" s="11"/>
      <c r="W199" s="11"/>
      <c r="X199" s="11"/>
      <c r="Y199" s="11"/>
    </row>
    <row r="200" spans="1:25" x14ac:dyDescent="0.35">
      <c r="A200" s="11">
        <v>1948</v>
      </c>
      <c r="B200" s="11">
        <v>5399.558</v>
      </c>
      <c r="C200" s="11">
        <v>6385.4809999999998</v>
      </c>
      <c r="D200" s="11">
        <v>5818.54</v>
      </c>
      <c r="E200" s="11">
        <v>4741.5590000000002</v>
      </c>
      <c r="F200" s="11">
        <v>5704.1710000000003</v>
      </c>
      <c r="G200" s="11">
        <v>3937.21</v>
      </c>
      <c r="H200" s="11"/>
      <c r="I200" s="11"/>
      <c r="J200" s="11"/>
      <c r="K200" s="11">
        <v>5399.558</v>
      </c>
      <c r="L200" s="11">
        <v>6385.4809999999998</v>
      </c>
      <c r="M200" s="11">
        <v>5818.5410000000002</v>
      </c>
      <c r="N200" s="11">
        <v>5387.7780000000002</v>
      </c>
      <c r="O200" s="11">
        <v>6379.9120000000003</v>
      </c>
      <c r="P200" s="11">
        <v>4009.4720000000002</v>
      </c>
      <c r="Q200" s="11">
        <v>5403.134</v>
      </c>
      <c r="R200" s="11">
        <v>6471.3580000000002</v>
      </c>
      <c r="S200" s="11">
        <v>4403.0519999999997</v>
      </c>
      <c r="T200" s="11"/>
      <c r="U200" s="11"/>
      <c r="V200" s="11"/>
      <c r="W200" s="11"/>
      <c r="X200" s="11"/>
      <c r="Y200" s="11"/>
    </row>
    <row r="201" spans="1:25" x14ac:dyDescent="0.35">
      <c r="A201" s="11">
        <v>1949</v>
      </c>
      <c r="B201" s="11">
        <v>5022.1480000000001</v>
      </c>
      <c r="C201" s="11">
        <v>5987.1769999999997</v>
      </c>
      <c r="D201" s="11">
        <v>5883.9319999999998</v>
      </c>
      <c r="E201" s="11">
        <v>4384.4589999999998</v>
      </c>
      <c r="F201" s="11">
        <v>5433.7269999999999</v>
      </c>
      <c r="G201" s="11">
        <v>4047.145</v>
      </c>
      <c r="H201" s="11"/>
      <c r="I201" s="11"/>
      <c r="J201" s="11"/>
      <c r="K201" s="11">
        <v>5022.1490000000003</v>
      </c>
      <c r="L201" s="11">
        <v>5987.1769999999997</v>
      </c>
      <c r="M201" s="11">
        <v>5883.9319999999998</v>
      </c>
      <c r="N201" s="11">
        <v>5053.8230000000003</v>
      </c>
      <c r="O201" s="11">
        <v>6102.5630000000001</v>
      </c>
      <c r="P201" s="11">
        <v>4068.4780000000001</v>
      </c>
      <c r="Q201" s="11">
        <v>5043.9589999999998</v>
      </c>
      <c r="R201" s="11">
        <v>6097.68</v>
      </c>
      <c r="S201" s="11">
        <v>4473.4070000000002</v>
      </c>
      <c r="T201" s="11"/>
      <c r="U201" s="11"/>
      <c r="V201" s="11"/>
      <c r="W201" s="11"/>
      <c r="X201" s="11"/>
      <c r="Y201" s="11"/>
    </row>
    <row r="202" spans="1:25" x14ac:dyDescent="0.35">
      <c r="A202" s="11">
        <v>1950</v>
      </c>
      <c r="B202" s="11">
        <v>5492.5370000000003</v>
      </c>
      <c r="C202" s="11">
        <v>6805.2370000000001</v>
      </c>
      <c r="D202" s="11">
        <v>6960.777</v>
      </c>
      <c r="E202" s="11">
        <v>4852.4369999999999</v>
      </c>
      <c r="F202" s="11">
        <v>5975.0420000000004</v>
      </c>
      <c r="G202" s="11">
        <v>3996.7919999999999</v>
      </c>
      <c r="H202" s="11"/>
      <c r="I202" s="11"/>
      <c r="J202" s="11"/>
      <c r="K202" s="11">
        <v>5492.5370000000003</v>
      </c>
      <c r="L202" s="11">
        <v>6805.2370000000001</v>
      </c>
      <c r="M202" s="11">
        <v>6960.777</v>
      </c>
      <c r="N202" s="11">
        <v>5519.2219999999998</v>
      </c>
      <c r="O202" s="11">
        <v>6753.3639999999996</v>
      </c>
      <c r="P202" s="11">
        <v>4589.8249999999998</v>
      </c>
      <c r="Q202" s="11">
        <v>5486.3180000000002</v>
      </c>
      <c r="R202" s="11">
        <v>6861.027</v>
      </c>
      <c r="S202" s="11">
        <v>5344.2449999999999</v>
      </c>
      <c r="T202" s="11"/>
      <c r="U202" s="11"/>
      <c r="V202" s="11"/>
      <c r="W202" s="11"/>
      <c r="X202" s="11"/>
      <c r="Y202" s="11"/>
    </row>
    <row r="203" spans="1:25" x14ac:dyDescent="0.35">
      <c r="A203" s="11">
        <v>1951</v>
      </c>
      <c r="B203" s="11">
        <v>5733.6329999999998</v>
      </c>
      <c r="C203" s="11">
        <v>7274.5789999999997</v>
      </c>
      <c r="D203" s="11">
        <v>7605.7849999999999</v>
      </c>
      <c r="E203" s="11">
        <v>5325.7030000000004</v>
      </c>
      <c r="F203" s="11">
        <v>6893.1419999999998</v>
      </c>
      <c r="G203" s="11">
        <v>4369.5770000000002</v>
      </c>
      <c r="H203" s="11"/>
      <c r="I203" s="11"/>
      <c r="J203" s="11"/>
      <c r="K203" s="11">
        <v>5733.6329999999998</v>
      </c>
      <c r="L203" s="11">
        <v>7274.5789999999997</v>
      </c>
      <c r="M203" s="11">
        <v>7605.7849999999999</v>
      </c>
      <c r="N203" s="11">
        <v>5769.0259999999998</v>
      </c>
      <c r="O203" s="11">
        <v>7141.6260000000002</v>
      </c>
      <c r="P203" s="11">
        <v>5049.1779999999999</v>
      </c>
      <c r="Q203" s="11">
        <v>5722.9260000000004</v>
      </c>
      <c r="R203" s="11">
        <v>7319.2910000000002</v>
      </c>
      <c r="S203" s="11">
        <v>5834.8329999999996</v>
      </c>
      <c r="T203" s="11"/>
      <c r="U203" s="11"/>
      <c r="V203" s="11"/>
      <c r="W203" s="11"/>
      <c r="X203" s="11"/>
      <c r="Y203" s="11"/>
    </row>
    <row r="204" spans="1:25" x14ac:dyDescent="0.35">
      <c r="A204" s="11">
        <v>1952</v>
      </c>
      <c r="B204" s="11">
        <v>5717.7129999999997</v>
      </c>
      <c r="C204" s="11">
        <v>7405.5720000000001</v>
      </c>
      <c r="D204" s="11">
        <v>7653.7259999999997</v>
      </c>
      <c r="E204" s="11">
        <v>5145.6679999999997</v>
      </c>
      <c r="F204" s="11">
        <v>6861.7830000000004</v>
      </c>
      <c r="G204" s="11">
        <v>4593.3459999999995</v>
      </c>
      <c r="H204" s="11"/>
      <c r="I204" s="11"/>
      <c r="J204" s="11"/>
      <c r="K204" s="11">
        <v>5717.7129999999997</v>
      </c>
      <c r="L204" s="11">
        <v>7405.5720000000001</v>
      </c>
      <c r="M204" s="11">
        <v>7653.7259999999997</v>
      </c>
      <c r="N204" s="11">
        <v>5722.5789999999997</v>
      </c>
      <c r="O204" s="11">
        <v>7182.06</v>
      </c>
      <c r="P204" s="11">
        <v>5146.4229999999998</v>
      </c>
      <c r="Q204" s="11">
        <v>5691.2719999999999</v>
      </c>
      <c r="R204" s="11">
        <v>7424.7730000000001</v>
      </c>
      <c r="S204" s="11">
        <v>5825.2749999999996</v>
      </c>
      <c r="T204" s="11"/>
      <c r="U204" s="11"/>
      <c r="V204" s="11"/>
      <c r="W204" s="11"/>
      <c r="X204" s="11"/>
      <c r="Y204" s="11"/>
    </row>
    <row r="205" spans="1:25" x14ac:dyDescent="0.35">
      <c r="A205" s="11">
        <v>1953</v>
      </c>
      <c r="B205" s="11">
        <v>5799.8230000000003</v>
      </c>
      <c r="C205" s="11">
        <v>7648.0439999999999</v>
      </c>
      <c r="D205" s="11">
        <v>7778.7089999999998</v>
      </c>
      <c r="E205" s="11">
        <v>5179.4750000000004</v>
      </c>
      <c r="F205" s="11">
        <v>7040.2330000000002</v>
      </c>
      <c r="G205" s="11">
        <v>4606.5050000000001</v>
      </c>
      <c r="H205" s="11"/>
      <c r="I205" s="11"/>
      <c r="J205" s="11"/>
      <c r="K205" s="11">
        <v>5799.8230000000003</v>
      </c>
      <c r="L205" s="11">
        <v>7648.0439999999999</v>
      </c>
      <c r="M205" s="11">
        <v>7778.7089999999998</v>
      </c>
      <c r="N205" s="11">
        <v>5782.7640000000001</v>
      </c>
      <c r="O205" s="11">
        <v>7306.0839999999998</v>
      </c>
      <c r="P205" s="11">
        <v>5222.1270000000004</v>
      </c>
      <c r="Q205" s="11">
        <v>5768.9679999999998</v>
      </c>
      <c r="R205" s="11">
        <v>7645.3639999999996</v>
      </c>
      <c r="S205" s="11">
        <v>5968.2479999999996</v>
      </c>
      <c r="T205" s="11"/>
      <c r="U205" s="11"/>
      <c r="V205" s="11"/>
      <c r="W205" s="11"/>
      <c r="X205" s="11"/>
      <c r="Y205" s="11"/>
    </row>
    <row r="206" spans="1:25" x14ac:dyDescent="0.35">
      <c r="A206" s="11">
        <v>1954</v>
      </c>
      <c r="B206" s="11">
        <v>5768.7479999999996</v>
      </c>
      <c r="C206" s="11">
        <v>7796.2860000000001</v>
      </c>
      <c r="D206" s="11">
        <v>8369.1759999999995</v>
      </c>
      <c r="E206" s="11">
        <v>5176.72</v>
      </c>
      <c r="F206" s="11">
        <v>7205.473</v>
      </c>
      <c r="G206" s="11">
        <v>4821.1490000000003</v>
      </c>
      <c r="H206" s="11"/>
      <c r="I206" s="11"/>
      <c r="J206" s="11"/>
      <c r="K206" s="11">
        <v>5768.7479999999996</v>
      </c>
      <c r="L206" s="11">
        <v>7796.2860000000001</v>
      </c>
      <c r="M206" s="11">
        <v>8369.1759999999995</v>
      </c>
      <c r="N206" s="11">
        <v>5733.2359999999999</v>
      </c>
      <c r="O206" s="11">
        <v>7385.9359999999997</v>
      </c>
      <c r="P206" s="11">
        <v>5475.482</v>
      </c>
      <c r="Q206" s="11">
        <v>5727.7030000000004</v>
      </c>
      <c r="R206" s="11">
        <v>7772.2420000000002</v>
      </c>
      <c r="S206" s="11">
        <v>6454.21</v>
      </c>
      <c r="T206" s="11"/>
      <c r="U206" s="11"/>
      <c r="V206" s="11"/>
      <c r="W206" s="11"/>
      <c r="X206" s="11"/>
      <c r="Y206" s="11"/>
    </row>
    <row r="207" spans="1:25" x14ac:dyDescent="0.35">
      <c r="A207" s="11">
        <v>1955</v>
      </c>
      <c r="B207" s="11">
        <v>6162.9690000000001</v>
      </c>
      <c r="C207" s="11">
        <v>8389.2520000000004</v>
      </c>
      <c r="D207" s="11">
        <v>8619.0750000000007</v>
      </c>
      <c r="E207" s="11">
        <v>5563.9030000000002</v>
      </c>
      <c r="F207" s="11">
        <v>7800.3379999999997</v>
      </c>
      <c r="G207" s="11">
        <v>5072.0410000000002</v>
      </c>
      <c r="H207" s="11"/>
      <c r="I207" s="11"/>
      <c r="J207" s="11"/>
      <c r="K207" s="11">
        <v>6162.9690000000001</v>
      </c>
      <c r="L207" s="11">
        <v>8389.2520000000004</v>
      </c>
      <c r="M207" s="11">
        <v>8619.0640000000003</v>
      </c>
      <c r="N207" s="11">
        <v>6102.7089999999998</v>
      </c>
      <c r="O207" s="11">
        <v>7899.8959999999997</v>
      </c>
      <c r="P207" s="11">
        <v>5762.7950000000001</v>
      </c>
      <c r="Q207" s="11">
        <v>6110.1559999999999</v>
      </c>
      <c r="R207" s="11">
        <v>8354.1380000000008</v>
      </c>
      <c r="S207" s="11">
        <v>6679.9279999999999</v>
      </c>
      <c r="T207" s="11"/>
      <c r="U207" s="11"/>
      <c r="V207" s="11"/>
      <c r="W207" s="11"/>
      <c r="X207" s="11"/>
      <c r="Y207" s="11"/>
    </row>
    <row r="208" spans="1:25" x14ac:dyDescent="0.35">
      <c r="A208" s="11">
        <v>1956</v>
      </c>
      <c r="B208" s="11">
        <v>6419.9809999999998</v>
      </c>
      <c r="C208" s="11">
        <v>8805.4500000000007</v>
      </c>
      <c r="D208" s="11">
        <v>8744.6059999999998</v>
      </c>
      <c r="E208" s="11">
        <v>5892.4530000000004</v>
      </c>
      <c r="F208" s="11">
        <v>8329.3310000000001</v>
      </c>
      <c r="G208" s="11">
        <v>5277.2969999999996</v>
      </c>
      <c r="H208" s="11"/>
      <c r="I208" s="11"/>
      <c r="J208" s="11"/>
      <c r="K208" s="11">
        <v>6419.9809999999998</v>
      </c>
      <c r="L208" s="11">
        <v>8805.4500000000007</v>
      </c>
      <c r="M208" s="11">
        <v>8744.5949999999993</v>
      </c>
      <c r="N208" s="11">
        <v>6344.9489999999996</v>
      </c>
      <c r="O208" s="11">
        <v>8256.3880000000008</v>
      </c>
      <c r="P208" s="11">
        <v>5932.6030000000001</v>
      </c>
      <c r="Q208" s="11">
        <v>6357.4759999999997</v>
      </c>
      <c r="R208" s="11">
        <v>8760.8490000000002</v>
      </c>
      <c r="S208" s="11">
        <v>6809.8270000000002</v>
      </c>
      <c r="T208" s="11"/>
      <c r="U208" s="11"/>
      <c r="V208" s="11"/>
      <c r="W208" s="11"/>
      <c r="X208" s="11"/>
      <c r="Y208" s="11"/>
    </row>
    <row r="209" spans="1:25" x14ac:dyDescent="0.35">
      <c r="A209" s="11">
        <v>1957</v>
      </c>
      <c r="B209" s="11">
        <v>6459.7420000000002</v>
      </c>
      <c r="C209" s="11">
        <v>9017.8979999999992</v>
      </c>
      <c r="D209" s="11">
        <v>9057.3379999999997</v>
      </c>
      <c r="E209" s="11">
        <v>5912.0990000000002</v>
      </c>
      <c r="F209" s="11">
        <v>8564.2430000000004</v>
      </c>
      <c r="G209" s="11">
        <v>5443.2849999999999</v>
      </c>
      <c r="H209" s="11"/>
      <c r="I209" s="11"/>
      <c r="J209" s="11"/>
      <c r="K209" s="11">
        <v>6459.7420000000002</v>
      </c>
      <c r="L209" s="11">
        <v>9017.8979999999992</v>
      </c>
      <c r="M209" s="11">
        <v>9057.3230000000003</v>
      </c>
      <c r="N209" s="11">
        <v>6338.1570000000002</v>
      </c>
      <c r="O209" s="11">
        <v>8364.1319999999996</v>
      </c>
      <c r="P209" s="11">
        <v>6146.9960000000001</v>
      </c>
      <c r="Q209" s="11">
        <v>6383.1530000000002</v>
      </c>
      <c r="R209" s="11">
        <v>8965.3970000000008</v>
      </c>
      <c r="S209" s="11">
        <v>7128.3729999999996</v>
      </c>
      <c r="T209" s="11"/>
      <c r="U209" s="11"/>
      <c r="V209" s="11"/>
      <c r="W209" s="11"/>
      <c r="X209" s="11"/>
      <c r="Y209" s="11"/>
    </row>
    <row r="210" spans="1:25" x14ac:dyDescent="0.35">
      <c r="A210" s="11">
        <v>1958</v>
      </c>
      <c r="B210" s="11">
        <v>6281.3149999999996</v>
      </c>
      <c r="C210" s="11">
        <v>8960.5360000000001</v>
      </c>
      <c r="D210" s="11">
        <v>9256.8140000000003</v>
      </c>
      <c r="E210" s="11">
        <v>5896.34</v>
      </c>
      <c r="F210" s="11">
        <v>8721.8070000000007</v>
      </c>
      <c r="G210" s="11">
        <v>5769.0479999999998</v>
      </c>
      <c r="H210" s="11"/>
      <c r="I210" s="11"/>
      <c r="J210" s="11"/>
      <c r="K210" s="11">
        <v>6281.3149999999996</v>
      </c>
      <c r="L210" s="11">
        <v>8960.5360000000001</v>
      </c>
      <c r="M210" s="11">
        <v>9256.7999999999993</v>
      </c>
      <c r="N210" s="11">
        <v>6148.5990000000002</v>
      </c>
      <c r="O210" s="11">
        <v>8293.6769999999997</v>
      </c>
      <c r="P210" s="11">
        <v>6485.1589999999997</v>
      </c>
      <c r="Q210" s="11">
        <v>6206.9549999999999</v>
      </c>
      <c r="R210" s="11">
        <v>8892.8130000000001</v>
      </c>
      <c r="S210" s="11">
        <v>7329.5379999999996</v>
      </c>
      <c r="T210" s="11"/>
      <c r="U210" s="11"/>
      <c r="V210" s="11"/>
      <c r="W210" s="11"/>
      <c r="X210" s="11"/>
      <c r="Y210" s="11"/>
    </row>
    <row r="211" spans="1:25" x14ac:dyDescent="0.35">
      <c r="A211" s="11">
        <v>1959</v>
      </c>
      <c r="B211" s="11">
        <v>6311.1490000000003</v>
      </c>
      <c r="C211" s="11">
        <v>9571.6270000000004</v>
      </c>
      <c r="D211" s="11">
        <v>9715.3559999999998</v>
      </c>
      <c r="E211" s="11">
        <v>5873.7150000000001</v>
      </c>
      <c r="F211" s="11">
        <v>8551.1569999999992</v>
      </c>
      <c r="G211" s="11">
        <v>5975.0259999999998</v>
      </c>
      <c r="H211" s="11"/>
      <c r="I211" s="11"/>
      <c r="J211" s="11"/>
      <c r="K211" s="11">
        <v>6311.1490000000003</v>
      </c>
      <c r="L211" s="11">
        <v>9571.6270000000004</v>
      </c>
      <c r="M211" s="11">
        <v>9715.3420000000006</v>
      </c>
      <c r="N211" s="11">
        <v>6216.3829999999998</v>
      </c>
      <c r="O211" s="11">
        <v>8495.2780000000002</v>
      </c>
      <c r="P211" s="11">
        <v>6927.4380000000001</v>
      </c>
      <c r="Q211" s="11">
        <v>6233.8990000000003</v>
      </c>
      <c r="R211" s="11">
        <v>9375</v>
      </c>
      <c r="S211" s="11">
        <v>7869.8130000000001</v>
      </c>
      <c r="T211" s="11"/>
      <c r="U211" s="11"/>
      <c r="V211" s="11"/>
      <c r="W211" s="11"/>
      <c r="X211" s="11"/>
      <c r="Y211" s="11"/>
    </row>
    <row r="212" spans="1:25" x14ac:dyDescent="0.35">
      <c r="A212" s="11">
        <v>1960</v>
      </c>
      <c r="B212" s="11">
        <v>6503.223</v>
      </c>
      <c r="C212" s="11">
        <v>9374.0429999999997</v>
      </c>
      <c r="D212" s="11">
        <v>8730.5589999999993</v>
      </c>
      <c r="E212" s="11">
        <v>6152.9290000000001</v>
      </c>
      <c r="F212" s="11">
        <v>8927.1309999999994</v>
      </c>
      <c r="G212" s="11">
        <v>6093.3789999999999</v>
      </c>
      <c r="H212" s="11"/>
      <c r="I212" s="11"/>
      <c r="J212" s="11"/>
      <c r="K212" s="11">
        <v>6503.223</v>
      </c>
      <c r="L212" s="11">
        <v>9374.0429999999997</v>
      </c>
      <c r="M212" s="11">
        <v>8730.5439999999999</v>
      </c>
      <c r="N212" s="11">
        <v>6418.741</v>
      </c>
      <c r="O212" s="11">
        <v>8782.4760000000006</v>
      </c>
      <c r="P212" s="11">
        <v>6839.0640000000003</v>
      </c>
      <c r="Q212" s="11">
        <v>6469.0029999999997</v>
      </c>
      <c r="R212" s="11">
        <v>9386.6640000000007</v>
      </c>
      <c r="S212" s="11">
        <v>7124.2780000000002</v>
      </c>
      <c r="T212" s="11"/>
      <c r="U212" s="11"/>
      <c r="V212" s="11"/>
      <c r="W212" s="11"/>
      <c r="X212" s="11"/>
      <c r="Y212" s="11"/>
    </row>
    <row r="213" spans="1:25" x14ac:dyDescent="0.35">
      <c r="A213" s="11">
        <v>1961</v>
      </c>
      <c r="B213" s="11">
        <v>6494.9219999999996</v>
      </c>
      <c r="C213" s="11">
        <v>9457.9249999999993</v>
      </c>
      <c r="D213" s="11">
        <v>8746.9789999999994</v>
      </c>
      <c r="E213" s="11">
        <v>6222.8149999999996</v>
      </c>
      <c r="F213" s="11">
        <v>9049.2569999999996</v>
      </c>
      <c r="G213" s="11">
        <v>6284.4930000000004</v>
      </c>
      <c r="H213" s="11"/>
      <c r="I213" s="11"/>
      <c r="J213" s="11"/>
      <c r="K213" s="11">
        <v>6494.9219999999996</v>
      </c>
      <c r="L213" s="11">
        <v>9457.9249999999993</v>
      </c>
      <c r="M213" s="11">
        <v>8746.9279999999999</v>
      </c>
      <c r="N213" s="11">
        <v>6473.9560000000001</v>
      </c>
      <c r="O213" s="11">
        <v>8871.6579999999994</v>
      </c>
      <c r="P213" s="11">
        <v>6668.1639999999998</v>
      </c>
      <c r="Q213" s="11">
        <v>6483.42</v>
      </c>
      <c r="R213" s="11">
        <v>9487.8029999999999</v>
      </c>
      <c r="S213" s="11">
        <v>7070.6779999999999</v>
      </c>
      <c r="T213" s="11"/>
      <c r="U213" s="11"/>
      <c r="V213" s="11"/>
      <c r="W213" s="11"/>
      <c r="X213" s="11"/>
      <c r="Y213" s="11"/>
    </row>
    <row r="214" spans="1:25" x14ac:dyDescent="0.35">
      <c r="A214" s="11">
        <v>1962</v>
      </c>
      <c r="B214" s="11">
        <v>6785.027</v>
      </c>
      <c r="C214" s="11">
        <v>9496.4279999999999</v>
      </c>
      <c r="D214" s="11">
        <v>8416.8240000000005</v>
      </c>
      <c r="E214" s="11">
        <v>6525.5330000000004</v>
      </c>
      <c r="F214" s="11">
        <v>9452.6460000000006</v>
      </c>
      <c r="G214" s="11">
        <v>6246.91</v>
      </c>
      <c r="H214" s="11"/>
      <c r="I214" s="11"/>
      <c r="J214" s="11"/>
      <c r="K214" s="11">
        <v>6785.027</v>
      </c>
      <c r="L214" s="11">
        <v>9496.4279999999999</v>
      </c>
      <c r="M214" s="11">
        <v>8416.7729999999992</v>
      </c>
      <c r="N214" s="11">
        <v>6706.9549999999999</v>
      </c>
      <c r="O214" s="11">
        <v>8986.1370000000006</v>
      </c>
      <c r="P214" s="11">
        <v>6514.5720000000001</v>
      </c>
      <c r="Q214" s="11">
        <v>6818.0020000000004</v>
      </c>
      <c r="R214" s="11">
        <v>9609.06</v>
      </c>
      <c r="S214" s="11">
        <v>6774.41</v>
      </c>
      <c r="T214" s="11"/>
      <c r="U214" s="11"/>
      <c r="V214" s="11"/>
      <c r="W214" s="11"/>
      <c r="X214" s="11"/>
      <c r="Y214" s="11"/>
    </row>
    <row r="215" spans="1:25" x14ac:dyDescent="0.35">
      <c r="A215" s="11">
        <v>1963</v>
      </c>
      <c r="B215" s="11">
        <v>6991.5550000000003</v>
      </c>
      <c r="C215" s="11">
        <v>9775.7189999999991</v>
      </c>
      <c r="D215" s="11">
        <v>8397.1839999999993</v>
      </c>
      <c r="E215" s="11">
        <v>6879.4530000000004</v>
      </c>
      <c r="F215" s="11">
        <v>9950.4590000000007</v>
      </c>
      <c r="G215" s="11">
        <v>6418.6660000000002</v>
      </c>
      <c r="H215" s="11"/>
      <c r="I215" s="11"/>
      <c r="J215" s="11"/>
      <c r="K215" s="11">
        <v>6991.5550000000003</v>
      </c>
      <c r="L215" s="11">
        <v>9775.7189999999991</v>
      </c>
      <c r="M215" s="11">
        <v>8397.1290000000008</v>
      </c>
      <c r="N215" s="11">
        <v>6939.7240000000002</v>
      </c>
      <c r="O215" s="11">
        <v>9376.3809999999994</v>
      </c>
      <c r="P215" s="11">
        <v>6570.5159999999996</v>
      </c>
      <c r="Q215" s="11">
        <v>7007.4359999999997</v>
      </c>
      <c r="R215" s="11">
        <v>9919.0570000000007</v>
      </c>
      <c r="S215" s="11">
        <v>6720.8410000000003</v>
      </c>
      <c r="T215" s="11"/>
      <c r="U215" s="11"/>
      <c r="V215" s="11"/>
      <c r="W215" s="11"/>
      <c r="X215" s="11"/>
      <c r="Y215" s="11"/>
    </row>
    <row r="216" spans="1:25" x14ac:dyDescent="0.35">
      <c r="A216" s="11">
        <v>1964</v>
      </c>
      <c r="B216" s="11">
        <v>7293.1</v>
      </c>
      <c r="C216" s="11">
        <v>10122.742</v>
      </c>
      <c r="D216" s="11">
        <v>8132.0739999999996</v>
      </c>
      <c r="E216" s="11">
        <v>7181.8450000000003</v>
      </c>
      <c r="F216" s="11">
        <v>10393.64</v>
      </c>
      <c r="G216" s="11">
        <v>6576.9830000000002</v>
      </c>
      <c r="H216" s="11"/>
      <c r="I216" s="11"/>
      <c r="J216" s="11"/>
      <c r="K216" s="11">
        <v>7293.1</v>
      </c>
      <c r="L216" s="11">
        <v>10122.742</v>
      </c>
      <c r="M216" s="11">
        <v>8132.0159999999996</v>
      </c>
      <c r="N216" s="11">
        <v>7187.9340000000002</v>
      </c>
      <c r="O216" s="11">
        <v>9709.9760000000006</v>
      </c>
      <c r="P216" s="11">
        <v>6592.32</v>
      </c>
      <c r="Q216" s="11">
        <v>7296.7460000000001</v>
      </c>
      <c r="R216" s="11">
        <v>10264.397000000001</v>
      </c>
      <c r="S216" s="11">
        <v>6647.1080000000002</v>
      </c>
      <c r="T216" s="11"/>
      <c r="U216" s="11"/>
      <c r="V216" s="11"/>
      <c r="W216" s="11"/>
      <c r="X216" s="11"/>
      <c r="Y216" s="11"/>
    </row>
    <row r="217" spans="1:25" x14ac:dyDescent="0.35">
      <c r="A217" s="11">
        <v>1965</v>
      </c>
      <c r="B217" s="11">
        <v>7515.8829999999998</v>
      </c>
      <c r="C217" s="11">
        <v>10389.843000000001</v>
      </c>
      <c r="D217" s="11">
        <v>8014.1809999999996</v>
      </c>
      <c r="E217" s="11">
        <v>7429.9930000000004</v>
      </c>
      <c r="F217" s="11">
        <v>10752.707</v>
      </c>
      <c r="G217" s="11">
        <v>6822.348</v>
      </c>
      <c r="H217" s="11"/>
      <c r="I217" s="11"/>
      <c r="J217" s="11"/>
      <c r="K217" s="11">
        <v>7515.8829999999998</v>
      </c>
      <c r="L217" s="11">
        <v>10389.843000000001</v>
      </c>
      <c r="M217" s="11">
        <v>8014.1149999999998</v>
      </c>
      <c r="N217" s="11">
        <v>7404.866</v>
      </c>
      <c r="O217" s="11">
        <v>10021.314</v>
      </c>
      <c r="P217" s="11">
        <v>6537.0129999999999</v>
      </c>
      <c r="Q217" s="11">
        <v>7520.183</v>
      </c>
      <c r="R217" s="11">
        <v>10536.183999999999</v>
      </c>
      <c r="S217" s="11">
        <v>6573.8370000000004</v>
      </c>
      <c r="T217" s="11"/>
      <c r="U217" s="11"/>
      <c r="V217" s="11"/>
      <c r="W217" s="11"/>
      <c r="X217" s="11"/>
      <c r="Y217" s="11"/>
    </row>
    <row r="218" spans="1:25" x14ac:dyDescent="0.35">
      <c r="A218" s="11">
        <v>1966</v>
      </c>
      <c r="B218" s="11">
        <v>7678.7359999999999</v>
      </c>
      <c r="C218" s="11">
        <v>10580.45</v>
      </c>
      <c r="D218" s="11">
        <v>7753.6049999999996</v>
      </c>
      <c r="E218" s="11">
        <v>7822.1580000000004</v>
      </c>
      <c r="F218" s="11">
        <v>11237.061</v>
      </c>
      <c r="G218" s="11">
        <v>7039.0529999999999</v>
      </c>
      <c r="H218" s="11"/>
      <c r="I218" s="11"/>
      <c r="J218" s="11"/>
      <c r="K218" s="11">
        <v>7678.7359999999999</v>
      </c>
      <c r="L218" s="11">
        <v>10580.450999999999</v>
      </c>
      <c r="M218" s="11">
        <v>7753.5389999999998</v>
      </c>
      <c r="N218" s="11">
        <v>7622.8980000000001</v>
      </c>
      <c r="O218" s="11">
        <v>10296.329</v>
      </c>
      <c r="P218" s="11">
        <v>6494.78</v>
      </c>
      <c r="Q218" s="11">
        <v>7725.1229999999996</v>
      </c>
      <c r="R218" s="11">
        <v>10770.124</v>
      </c>
      <c r="S218" s="11">
        <v>6348.2879999999996</v>
      </c>
      <c r="T218" s="11"/>
      <c r="U218" s="11"/>
      <c r="V218" s="11"/>
      <c r="W218" s="11"/>
      <c r="X218" s="11"/>
      <c r="Y218" s="11"/>
    </row>
    <row r="219" spans="1:25" x14ac:dyDescent="0.35">
      <c r="A219" s="11">
        <v>1967</v>
      </c>
      <c r="B219" s="11">
        <v>8591.1450000000004</v>
      </c>
      <c r="C219" s="11">
        <v>11633.066000000001</v>
      </c>
      <c r="D219" s="11">
        <v>7545.9440000000004</v>
      </c>
      <c r="E219" s="11">
        <v>8100.4719999999998</v>
      </c>
      <c r="F219" s="11">
        <v>11588.177</v>
      </c>
      <c r="G219" s="11">
        <v>7061.2430000000004</v>
      </c>
      <c r="H219" s="11"/>
      <c r="I219" s="11"/>
      <c r="J219" s="11"/>
      <c r="K219" s="11">
        <v>8591.1450000000004</v>
      </c>
      <c r="L219" s="11">
        <v>11633.066000000001</v>
      </c>
      <c r="M219" s="11">
        <v>7545.87</v>
      </c>
      <c r="N219" s="11">
        <v>7988.3320000000003</v>
      </c>
      <c r="O219" s="11">
        <v>10755.858</v>
      </c>
      <c r="P219" s="11">
        <v>6375.92</v>
      </c>
      <c r="Q219" s="11">
        <v>8622.625</v>
      </c>
      <c r="R219" s="11">
        <v>11796.085999999999</v>
      </c>
      <c r="S219" s="11">
        <v>6186.2110000000002</v>
      </c>
      <c r="T219" s="11"/>
      <c r="U219" s="11"/>
      <c r="V219" s="11"/>
      <c r="W219" s="11"/>
      <c r="X219" s="11"/>
      <c r="Y219" s="11"/>
    </row>
    <row r="220" spans="1:25" x14ac:dyDescent="0.35">
      <c r="A220" s="11">
        <v>1968</v>
      </c>
      <c r="B220" s="11">
        <v>9102.7790000000005</v>
      </c>
      <c r="C220" s="11">
        <v>12351</v>
      </c>
      <c r="D220" s="11">
        <v>7502.7079999999996</v>
      </c>
      <c r="E220" s="11">
        <v>8510.1360000000004</v>
      </c>
      <c r="F220" s="11">
        <v>12062.055</v>
      </c>
      <c r="G220" s="11">
        <v>7047.9269999999997</v>
      </c>
      <c r="H220" s="11"/>
      <c r="I220" s="11"/>
      <c r="J220" s="11"/>
      <c r="K220" s="11">
        <v>9102.7790000000005</v>
      </c>
      <c r="L220" s="11">
        <v>12351</v>
      </c>
      <c r="M220" s="11">
        <v>7502.6310000000003</v>
      </c>
      <c r="N220" s="11">
        <v>8421.5840000000007</v>
      </c>
      <c r="O220" s="11">
        <v>11325.777</v>
      </c>
      <c r="P220" s="11">
        <v>6510.451</v>
      </c>
      <c r="Q220" s="11">
        <v>9128.4220000000005</v>
      </c>
      <c r="R220" s="11">
        <v>12469.929</v>
      </c>
      <c r="S220" s="11">
        <v>6302.9110000000001</v>
      </c>
      <c r="T220" s="11"/>
      <c r="U220" s="11"/>
      <c r="V220" s="11"/>
      <c r="W220" s="11"/>
      <c r="X220" s="11"/>
      <c r="Y220" s="11"/>
    </row>
    <row r="221" spans="1:25" x14ac:dyDescent="0.35">
      <c r="A221" s="11">
        <v>1969</v>
      </c>
      <c r="B221" s="11">
        <v>9073.2340000000004</v>
      </c>
      <c r="C221" s="11">
        <v>12355.328</v>
      </c>
      <c r="D221" s="11">
        <v>9065.7819999999992</v>
      </c>
      <c r="E221" s="11">
        <v>9053.7610000000004</v>
      </c>
      <c r="F221" s="11">
        <v>12712.767</v>
      </c>
      <c r="G221" s="11">
        <v>7318.6940000000004</v>
      </c>
      <c r="H221" s="11"/>
      <c r="I221" s="11"/>
      <c r="J221" s="11"/>
      <c r="K221" s="11">
        <v>9073.2340000000004</v>
      </c>
      <c r="L221" s="11">
        <v>12355.328</v>
      </c>
      <c r="M221" s="11">
        <v>9065.65</v>
      </c>
      <c r="N221" s="11">
        <v>8836.4179999999997</v>
      </c>
      <c r="O221" s="11">
        <v>11886.53</v>
      </c>
      <c r="P221" s="11">
        <v>7118.9629999999997</v>
      </c>
      <c r="Q221" s="11">
        <v>9184.1769999999997</v>
      </c>
      <c r="R221" s="11">
        <v>12588.231</v>
      </c>
      <c r="S221" s="11">
        <v>7800.96</v>
      </c>
      <c r="T221" s="11"/>
      <c r="U221" s="11"/>
      <c r="V221" s="11"/>
      <c r="W221" s="11"/>
      <c r="X221" s="11"/>
      <c r="Y221" s="11"/>
    </row>
    <row r="222" spans="1:25" x14ac:dyDescent="0.35">
      <c r="A222" s="11">
        <v>1970</v>
      </c>
      <c r="B222" s="11">
        <v>9433.9230000000007</v>
      </c>
      <c r="C222" s="11">
        <v>13011.2</v>
      </c>
      <c r="D222" s="11">
        <v>9052.8060000000005</v>
      </c>
      <c r="E222" s="11">
        <v>9607.9339999999993</v>
      </c>
      <c r="F222" s="11">
        <v>13309.056</v>
      </c>
      <c r="G222" s="11">
        <v>7699.2740000000003</v>
      </c>
      <c r="H222" s="11"/>
      <c r="I222" s="11"/>
      <c r="J222" s="11"/>
      <c r="K222" s="11">
        <v>9433.9230000000007</v>
      </c>
      <c r="L222" s="11">
        <v>13011.2</v>
      </c>
      <c r="M222" s="11">
        <v>9052.6010000000006</v>
      </c>
      <c r="N222" s="11">
        <v>9322.4480000000003</v>
      </c>
      <c r="O222" s="11">
        <v>12596.103999999999</v>
      </c>
      <c r="P222" s="11">
        <v>7776.6030000000001</v>
      </c>
      <c r="Q222" s="11">
        <v>9535.1740000000009</v>
      </c>
      <c r="R222" s="11">
        <v>13198.700999999999</v>
      </c>
      <c r="S222" s="11">
        <v>7773.5730000000003</v>
      </c>
      <c r="T222" s="11"/>
      <c r="U222" s="11"/>
      <c r="V222" s="11"/>
      <c r="W222" s="11"/>
      <c r="X222" s="11"/>
      <c r="Y222" s="11"/>
    </row>
    <row r="223" spans="1:25" x14ac:dyDescent="0.35">
      <c r="A223" s="11">
        <v>1971</v>
      </c>
      <c r="B223" s="11">
        <v>9527.5859999999993</v>
      </c>
      <c r="C223" s="11">
        <v>13090.857</v>
      </c>
      <c r="D223" s="11">
        <v>8992.7759999999998</v>
      </c>
      <c r="E223" s="11">
        <v>9472.6730000000007</v>
      </c>
      <c r="F223" s="11">
        <v>13244.295</v>
      </c>
      <c r="G223" s="11">
        <v>7733.7280000000001</v>
      </c>
      <c r="H223" s="11"/>
      <c r="I223" s="11"/>
      <c r="J223" s="11"/>
      <c r="K223" s="11">
        <v>9527.5869999999995</v>
      </c>
      <c r="L223" s="11">
        <v>13090.857</v>
      </c>
      <c r="M223" s="11">
        <v>8992.527</v>
      </c>
      <c r="N223" s="11">
        <v>9479.1910000000007</v>
      </c>
      <c r="O223" s="11">
        <v>12748.281999999999</v>
      </c>
      <c r="P223" s="11">
        <v>7772.3620000000001</v>
      </c>
      <c r="Q223" s="11">
        <v>9707.4639999999999</v>
      </c>
      <c r="R223" s="11">
        <v>13359.195</v>
      </c>
      <c r="S223" s="11">
        <v>7535.9579999999996</v>
      </c>
      <c r="T223" s="11"/>
      <c r="U223" s="11"/>
      <c r="V223" s="11"/>
      <c r="W223" s="11"/>
      <c r="X223" s="11"/>
      <c r="Y223" s="11"/>
    </row>
    <row r="224" spans="1:25" x14ac:dyDescent="0.35">
      <c r="A224" s="11">
        <v>1972</v>
      </c>
      <c r="B224" s="11">
        <v>9744.6219999999994</v>
      </c>
      <c r="C224" s="11">
        <v>13402.102999999999</v>
      </c>
      <c r="D224" s="11">
        <v>9971.9459999999999</v>
      </c>
      <c r="E224" s="11">
        <v>9880.2450000000008</v>
      </c>
      <c r="F224" s="11">
        <v>13769.956</v>
      </c>
      <c r="G224" s="11">
        <v>7850.1369999999997</v>
      </c>
      <c r="H224" s="11"/>
      <c r="I224" s="11"/>
      <c r="J224" s="11"/>
      <c r="K224" s="11">
        <v>9744.6219999999994</v>
      </c>
      <c r="L224" s="11">
        <v>13402.103999999999</v>
      </c>
      <c r="M224" s="11">
        <v>9971.69</v>
      </c>
      <c r="N224" s="11">
        <v>9776.3700000000008</v>
      </c>
      <c r="O224" s="11">
        <v>13182.870999999999</v>
      </c>
      <c r="P224" s="11">
        <v>7952.183</v>
      </c>
      <c r="Q224" s="11">
        <v>9954.107</v>
      </c>
      <c r="R224" s="11">
        <v>13727.216</v>
      </c>
      <c r="S224" s="11">
        <v>8226.5689999999995</v>
      </c>
      <c r="T224" s="11"/>
      <c r="U224" s="11"/>
      <c r="V224" s="11"/>
      <c r="W224" s="11"/>
      <c r="X224" s="11"/>
      <c r="Y224" s="11"/>
    </row>
    <row r="225" spans="1:25" x14ac:dyDescent="0.35">
      <c r="A225" s="11">
        <v>1973</v>
      </c>
      <c r="B225" s="11">
        <v>10142.714</v>
      </c>
      <c r="C225" s="11">
        <v>13968.674000000001</v>
      </c>
      <c r="D225" s="11">
        <v>9881.3320000000003</v>
      </c>
      <c r="E225" s="11">
        <v>10276.799999999999</v>
      </c>
      <c r="F225" s="11">
        <v>14263.343999999999</v>
      </c>
      <c r="G225" s="11">
        <v>8182.0119999999997</v>
      </c>
      <c r="H225" s="11"/>
      <c r="I225" s="11"/>
      <c r="J225" s="11"/>
      <c r="K225" s="11">
        <v>10142.714</v>
      </c>
      <c r="L225" s="11">
        <v>13968.674000000001</v>
      </c>
      <c r="M225" s="11">
        <v>9881.0869999999995</v>
      </c>
      <c r="N225" s="11">
        <v>10176.486000000001</v>
      </c>
      <c r="O225" s="11">
        <v>13724.166999999999</v>
      </c>
      <c r="P225" s="11">
        <v>8248.6129999999994</v>
      </c>
      <c r="Q225" s="11">
        <v>10396.36</v>
      </c>
      <c r="R225" s="11">
        <v>14341.289000000001</v>
      </c>
      <c r="S225" s="11">
        <v>8204.27</v>
      </c>
      <c r="T225" s="11"/>
      <c r="U225" s="11"/>
      <c r="V225" s="11"/>
      <c r="W225" s="11"/>
      <c r="X225" s="11"/>
      <c r="Y225" s="11"/>
    </row>
    <row r="226" spans="1:25" x14ac:dyDescent="0.35">
      <c r="A226" s="11">
        <v>1974</v>
      </c>
      <c r="B226" s="11">
        <v>9893.0640000000003</v>
      </c>
      <c r="C226" s="11">
        <v>13806.355</v>
      </c>
      <c r="D226" s="11">
        <v>9971.0640000000003</v>
      </c>
      <c r="E226" s="11">
        <v>9964.0149999999994</v>
      </c>
      <c r="F226" s="11">
        <v>14012.093999999999</v>
      </c>
      <c r="G226" s="11">
        <v>8341.5689999999995</v>
      </c>
      <c r="H226" s="11"/>
      <c r="I226" s="11"/>
      <c r="J226" s="11"/>
      <c r="K226" s="11">
        <v>9893.0640000000003</v>
      </c>
      <c r="L226" s="11">
        <v>13806.355</v>
      </c>
      <c r="M226" s="11">
        <v>9970.7450000000008</v>
      </c>
      <c r="N226" s="11">
        <v>9954.2870000000003</v>
      </c>
      <c r="O226" s="11">
        <v>13642.659</v>
      </c>
      <c r="P226" s="11">
        <v>8429.19</v>
      </c>
      <c r="Q226" s="11">
        <v>10138.802</v>
      </c>
      <c r="R226" s="11">
        <v>14187.803</v>
      </c>
      <c r="S226" s="11">
        <v>8380.9189999999999</v>
      </c>
      <c r="T226" s="11"/>
      <c r="U226" s="11"/>
      <c r="V226" s="11"/>
      <c r="W226" s="11"/>
      <c r="X226" s="11"/>
      <c r="Y226" s="11"/>
    </row>
    <row r="227" spans="1:25" x14ac:dyDescent="0.35">
      <c r="A227" s="11">
        <v>1975</v>
      </c>
      <c r="B227" s="11">
        <v>9563.8349999999991</v>
      </c>
      <c r="C227" s="11">
        <v>13634.519</v>
      </c>
      <c r="D227" s="11">
        <v>9894.8150000000005</v>
      </c>
      <c r="E227" s="11">
        <v>9534.3209999999999</v>
      </c>
      <c r="F227" s="11">
        <v>13729.491</v>
      </c>
      <c r="G227" s="11">
        <v>8526.8880000000008</v>
      </c>
      <c r="H227" s="11"/>
      <c r="I227" s="11"/>
      <c r="J227" s="11"/>
      <c r="K227" s="11">
        <v>9563.8349999999991</v>
      </c>
      <c r="L227" s="11">
        <v>13634.519</v>
      </c>
      <c r="M227" s="11">
        <v>9894.4850000000006</v>
      </c>
      <c r="N227" s="11">
        <v>9567.0380000000005</v>
      </c>
      <c r="O227" s="11">
        <v>13363.592000000001</v>
      </c>
      <c r="P227" s="11">
        <v>8634.35</v>
      </c>
      <c r="Q227" s="11">
        <v>9805.52</v>
      </c>
      <c r="R227" s="11">
        <v>14003.312</v>
      </c>
      <c r="S227" s="11">
        <v>8415.16</v>
      </c>
      <c r="T227" s="11"/>
      <c r="U227" s="11"/>
      <c r="V227" s="11"/>
      <c r="W227" s="11"/>
      <c r="X227" s="11"/>
      <c r="Y227" s="11"/>
    </row>
    <row r="228" spans="1:25" x14ac:dyDescent="0.35">
      <c r="A228" s="11">
        <v>1976</v>
      </c>
      <c r="B228" s="11">
        <v>10041.337</v>
      </c>
      <c r="C228" s="11">
        <v>14289.133</v>
      </c>
      <c r="D228" s="11">
        <v>9948.3700000000008</v>
      </c>
      <c r="E228" s="11">
        <v>10109.978999999999</v>
      </c>
      <c r="F228" s="11">
        <v>14459.647999999999</v>
      </c>
      <c r="G228" s="11">
        <v>8976.2690000000002</v>
      </c>
      <c r="H228" s="11"/>
      <c r="I228" s="11"/>
      <c r="J228" s="11"/>
      <c r="K228" s="11">
        <v>10041.337</v>
      </c>
      <c r="L228" s="11">
        <v>14289.133</v>
      </c>
      <c r="M228" s="11">
        <v>9948.1319999999996</v>
      </c>
      <c r="N228" s="11">
        <v>10010.825999999999</v>
      </c>
      <c r="O228" s="11">
        <v>14007.681</v>
      </c>
      <c r="P228" s="11">
        <v>8889.107</v>
      </c>
      <c r="Q228" s="11">
        <v>10292.723</v>
      </c>
      <c r="R228" s="11">
        <v>14688.459000000001</v>
      </c>
      <c r="S228" s="11">
        <v>8581.6550000000007</v>
      </c>
      <c r="T228" s="11"/>
      <c r="U228" s="11"/>
      <c r="V228" s="11"/>
      <c r="W228" s="11"/>
      <c r="X228" s="11"/>
      <c r="Y228" s="11"/>
    </row>
    <row r="229" spans="1:25" x14ac:dyDescent="0.35">
      <c r="A229" s="11">
        <v>1977</v>
      </c>
      <c r="B229" s="11">
        <v>10419.695</v>
      </c>
      <c r="C229" s="11">
        <v>14771.84</v>
      </c>
      <c r="D229" s="11">
        <v>10898.955</v>
      </c>
      <c r="E229" s="11">
        <v>10198.146000000001</v>
      </c>
      <c r="F229" s="11">
        <v>14647.776</v>
      </c>
      <c r="G229" s="11">
        <v>9241.6409999999996</v>
      </c>
      <c r="H229" s="11"/>
      <c r="I229" s="11"/>
      <c r="J229" s="11"/>
      <c r="K229" s="11">
        <v>10419.695</v>
      </c>
      <c r="L229" s="11">
        <v>14771.84</v>
      </c>
      <c r="M229" s="11">
        <v>10898.68</v>
      </c>
      <c r="N229" s="11">
        <v>10108.224</v>
      </c>
      <c r="O229" s="11">
        <v>14222.630999999999</v>
      </c>
      <c r="P229" s="11">
        <v>9217.0759999999991</v>
      </c>
      <c r="Q229" s="11">
        <v>10599.130999999999</v>
      </c>
      <c r="R229" s="11">
        <v>15124.491</v>
      </c>
      <c r="S229" s="11">
        <v>9303.2330000000002</v>
      </c>
      <c r="T229" s="11"/>
      <c r="U229" s="11"/>
      <c r="V229" s="11"/>
      <c r="W229" s="11"/>
      <c r="X229" s="11"/>
      <c r="Y229" s="11"/>
    </row>
    <row r="230" spans="1:25" x14ac:dyDescent="0.35">
      <c r="A230" s="11">
        <v>1978</v>
      </c>
      <c r="B230" s="11">
        <v>10499.709000000001</v>
      </c>
      <c r="C230" s="11">
        <v>15014.12</v>
      </c>
      <c r="D230" s="11">
        <v>11212.773999999999</v>
      </c>
      <c r="E230" s="11">
        <v>10455.737999999999</v>
      </c>
      <c r="F230" s="11">
        <v>15020.124</v>
      </c>
      <c r="G230" s="11">
        <v>9533.3089999999993</v>
      </c>
      <c r="H230" s="11"/>
      <c r="I230" s="11"/>
      <c r="J230" s="11"/>
      <c r="K230" s="11">
        <v>10499.71</v>
      </c>
      <c r="L230" s="11">
        <v>15014.12</v>
      </c>
      <c r="M230" s="11">
        <v>11212.572</v>
      </c>
      <c r="N230" s="11">
        <v>10287.269</v>
      </c>
      <c r="O230" s="11">
        <v>14520.813</v>
      </c>
      <c r="P230" s="11">
        <v>9598.1959999999999</v>
      </c>
      <c r="Q230" s="11">
        <v>10658.778</v>
      </c>
      <c r="R230" s="11">
        <v>15332.17</v>
      </c>
      <c r="S230" s="11">
        <v>9671.9500000000007</v>
      </c>
      <c r="T230" s="11"/>
      <c r="U230" s="11"/>
      <c r="V230" s="11"/>
      <c r="W230" s="11"/>
      <c r="X230" s="11"/>
      <c r="Y230" s="11"/>
    </row>
    <row r="231" spans="1:25" x14ac:dyDescent="0.35">
      <c r="A231" s="11">
        <v>1979</v>
      </c>
      <c r="B231" s="11">
        <v>10722.335999999999</v>
      </c>
      <c r="C231" s="11">
        <v>15188.069</v>
      </c>
      <c r="D231" s="11">
        <v>10500.963</v>
      </c>
      <c r="E231" s="11">
        <v>10720.686</v>
      </c>
      <c r="F231" s="11">
        <v>15299.467000000001</v>
      </c>
      <c r="G231" s="11">
        <v>9682.7980000000007</v>
      </c>
      <c r="H231" s="11"/>
      <c r="I231" s="11"/>
      <c r="J231" s="11"/>
      <c r="K231" s="11">
        <v>10722.335999999999</v>
      </c>
      <c r="L231" s="11">
        <v>15188.069</v>
      </c>
      <c r="M231" s="11">
        <v>10500.739</v>
      </c>
      <c r="N231" s="11">
        <v>10514.467000000001</v>
      </c>
      <c r="O231" s="11">
        <v>14742.777</v>
      </c>
      <c r="P231" s="11">
        <v>9545.2309999999998</v>
      </c>
      <c r="Q231" s="11">
        <v>10879.859</v>
      </c>
      <c r="R231" s="11">
        <v>15534.612999999999</v>
      </c>
      <c r="S231" s="11">
        <v>9156.8539999999994</v>
      </c>
      <c r="T231" s="11"/>
      <c r="U231" s="11"/>
      <c r="V231" s="11"/>
      <c r="W231" s="11"/>
      <c r="X231" s="11"/>
      <c r="Y231" s="11"/>
    </row>
    <row r="232" spans="1:25" x14ac:dyDescent="0.35">
      <c r="A232" s="11">
        <v>1980</v>
      </c>
      <c r="B232" s="11">
        <v>10470.843000000001</v>
      </c>
      <c r="C232" s="11">
        <v>15222.822</v>
      </c>
      <c r="D232" s="11">
        <v>10591.092000000001</v>
      </c>
      <c r="E232" s="11">
        <v>10338.017</v>
      </c>
      <c r="F232" s="11">
        <v>15026.342000000001</v>
      </c>
      <c r="G232" s="11">
        <v>9606.4779999999992</v>
      </c>
      <c r="H232" s="11"/>
      <c r="I232" s="11"/>
      <c r="J232" s="11"/>
      <c r="K232" s="11">
        <v>10470.843000000001</v>
      </c>
      <c r="L232" s="11">
        <v>15222.822</v>
      </c>
      <c r="M232" s="11">
        <v>10590.834999999999</v>
      </c>
      <c r="N232" s="11">
        <v>10255.226000000001</v>
      </c>
      <c r="O232" s="11">
        <v>14715.505999999999</v>
      </c>
      <c r="P232" s="11">
        <v>9502.5889999999999</v>
      </c>
      <c r="Q232" s="11">
        <v>10604.683000000001</v>
      </c>
      <c r="R232" s="11">
        <v>15521.343999999999</v>
      </c>
      <c r="S232" s="11">
        <v>9288.018</v>
      </c>
      <c r="T232" s="11"/>
      <c r="U232" s="11"/>
      <c r="V232" s="11"/>
      <c r="W232" s="11"/>
      <c r="X232" s="11"/>
      <c r="Y232" s="11"/>
    </row>
    <row r="233" spans="1:25" x14ac:dyDescent="0.35">
      <c r="A233" s="11">
        <v>1981</v>
      </c>
      <c r="B233" s="11">
        <v>10087.187</v>
      </c>
      <c r="C233" s="11">
        <v>14563.036</v>
      </c>
      <c r="D233" s="11">
        <v>10596.503000000001</v>
      </c>
      <c r="E233" s="11">
        <v>9961.0859999999993</v>
      </c>
      <c r="F233" s="11">
        <v>14510.741</v>
      </c>
      <c r="G233" s="11">
        <v>9717.7520000000004</v>
      </c>
      <c r="H233" s="11"/>
      <c r="I233" s="11"/>
      <c r="J233" s="11"/>
      <c r="K233" s="11">
        <v>10087.186</v>
      </c>
      <c r="L233" s="11">
        <v>14563.036</v>
      </c>
      <c r="M233" s="11">
        <v>10596.243</v>
      </c>
      <c r="N233" s="11">
        <v>9845.634</v>
      </c>
      <c r="O233" s="11">
        <v>14088.19</v>
      </c>
      <c r="P233" s="11">
        <v>9497.9889999999996</v>
      </c>
      <c r="Q233" s="11">
        <v>10189.645</v>
      </c>
      <c r="R233" s="11">
        <v>14862.251</v>
      </c>
      <c r="S233" s="11">
        <v>9247.9580000000005</v>
      </c>
      <c r="T233" s="11"/>
      <c r="U233" s="11"/>
      <c r="V233" s="11"/>
      <c r="W233" s="11"/>
      <c r="X233" s="11"/>
      <c r="Y233" s="11"/>
    </row>
    <row r="234" spans="1:25" x14ac:dyDescent="0.35">
      <c r="A234" s="11">
        <v>1982</v>
      </c>
      <c r="B234" s="11">
        <v>9597.0169999999998</v>
      </c>
      <c r="C234" s="11">
        <v>14161.383</v>
      </c>
      <c r="D234" s="11">
        <v>10410.565000000001</v>
      </c>
      <c r="E234" s="11">
        <v>9507.5059999999994</v>
      </c>
      <c r="F234" s="11">
        <v>14117.93</v>
      </c>
      <c r="G234" s="11">
        <v>10598.344999999999</v>
      </c>
      <c r="H234" s="11"/>
      <c r="I234" s="11"/>
      <c r="J234" s="11"/>
      <c r="K234" s="11">
        <v>9597.0169999999998</v>
      </c>
      <c r="L234" s="11">
        <v>14161.383</v>
      </c>
      <c r="M234" s="11">
        <v>10410.334000000001</v>
      </c>
      <c r="N234" s="11">
        <v>9401.1129999999994</v>
      </c>
      <c r="O234" s="11">
        <v>13736.4</v>
      </c>
      <c r="P234" s="11">
        <v>9621.8739999999998</v>
      </c>
      <c r="Q234" s="11">
        <v>9698.5619999999999</v>
      </c>
      <c r="R234" s="11">
        <v>14476.880999999999</v>
      </c>
      <c r="S234" s="11">
        <v>9210.9840000000004</v>
      </c>
      <c r="T234" s="11"/>
      <c r="U234" s="11"/>
      <c r="V234" s="11"/>
      <c r="W234" s="11"/>
      <c r="X234" s="11"/>
      <c r="Y234" s="11"/>
    </row>
    <row r="235" spans="1:25" x14ac:dyDescent="0.35">
      <c r="A235" s="11">
        <v>1983</v>
      </c>
      <c r="B235" s="11">
        <v>9726.5939999999991</v>
      </c>
      <c r="C235" s="11">
        <v>14380.71</v>
      </c>
      <c r="D235" s="11">
        <v>10900.24</v>
      </c>
      <c r="E235" s="11">
        <v>9462.8719999999994</v>
      </c>
      <c r="F235" s="11">
        <v>14118.761</v>
      </c>
      <c r="G235" s="11">
        <v>10974.083000000001</v>
      </c>
      <c r="H235" s="11"/>
      <c r="I235" s="11"/>
      <c r="J235" s="11"/>
      <c r="K235" s="11">
        <v>9726.5930000000008</v>
      </c>
      <c r="L235" s="11">
        <v>14380.71</v>
      </c>
      <c r="M235" s="11">
        <v>10900.002</v>
      </c>
      <c r="N235" s="11">
        <v>9305.6959999999999</v>
      </c>
      <c r="O235" s="11">
        <v>13648.347</v>
      </c>
      <c r="P235" s="11">
        <v>9968.2999999999993</v>
      </c>
      <c r="Q235" s="11">
        <v>9731.4369999999999</v>
      </c>
      <c r="R235" s="11">
        <v>14574.665999999999</v>
      </c>
      <c r="S235" s="11">
        <v>9630.5750000000007</v>
      </c>
      <c r="T235" s="11"/>
      <c r="U235" s="11"/>
      <c r="V235" s="11"/>
      <c r="W235" s="11"/>
      <c r="X235" s="11"/>
      <c r="Y235" s="11"/>
    </row>
    <row r="236" spans="1:25" x14ac:dyDescent="0.35">
      <c r="A236" s="11">
        <v>1984</v>
      </c>
      <c r="B236" s="11">
        <v>9872.8729999999996</v>
      </c>
      <c r="C236" s="11">
        <v>14577.371999999999</v>
      </c>
      <c r="D236" s="11">
        <v>11968.97</v>
      </c>
      <c r="E236" s="11">
        <v>9705.0740000000005</v>
      </c>
      <c r="F236" s="11">
        <v>14410.758</v>
      </c>
      <c r="G236" s="11">
        <v>11495.159</v>
      </c>
      <c r="H236" s="11"/>
      <c r="I236" s="11"/>
      <c r="J236" s="11"/>
      <c r="K236" s="11">
        <v>9872.8729999999996</v>
      </c>
      <c r="L236" s="11">
        <v>14577.371999999999</v>
      </c>
      <c r="M236" s="11">
        <v>11968.812</v>
      </c>
      <c r="N236" s="11">
        <v>9594.9840000000004</v>
      </c>
      <c r="O236" s="11">
        <v>14009.6</v>
      </c>
      <c r="P236" s="11">
        <v>10545.804</v>
      </c>
      <c r="Q236" s="11">
        <v>9912.625</v>
      </c>
      <c r="R236" s="11">
        <v>14820.866</v>
      </c>
      <c r="S236" s="11">
        <v>10600.614</v>
      </c>
      <c r="T236" s="11"/>
      <c r="U236" s="11"/>
      <c r="V236" s="11"/>
      <c r="W236" s="11"/>
      <c r="X236" s="11"/>
      <c r="Y236" s="11"/>
    </row>
    <row r="237" spans="1:25" x14ac:dyDescent="0.35">
      <c r="A237" s="11">
        <v>1985</v>
      </c>
      <c r="B237" s="11">
        <v>9860.8310000000001</v>
      </c>
      <c r="C237" s="11">
        <v>14857.026</v>
      </c>
      <c r="D237" s="11">
        <v>12670.642</v>
      </c>
      <c r="E237" s="11">
        <v>9755.8970000000008</v>
      </c>
      <c r="F237" s="11">
        <v>14710.352999999999</v>
      </c>
      <c r="G237" s="11">
        <v>11934.779</v>
      </c>
      <c r="H237" s="11"/>
      <c r="I237" s="11"/>
      <c r="J237" s="11"/>
      <c r="K237" s="11">
        <v>9860.8320000000003</v>
      </c>
      <c r="L237" s="11">
        <v>14857.027</v>
      </c>
      <c r="M237" s="11">
        <v>12670.481</v>
      </c>
      <c r="N237" s="11">
        <v>9622.0650000000005</v>
      </c>
      <c r="O237" s="11">
        <v>14341.425999999999</v>
      </c>
      <c r="P237" s="11">
        <v>11220.213</v>
      </c>
      <c r="Q237" s="11">
        <v>9941.1190000000006</v>
      </c>
      <c r="R237" s="11">
        <v>15147.951999999999</v>
      </c>
      <c r="S237" s="11">
        <v>11415.288</v>
      </c>
      <c r="T237" s="11"/>
      <c r="U237" s="11"/>
      <c r="V237" s="11"/>
      <c r="W237" s="11"/>
      <c r="X237" s="11"/>
      <c r="Y237" s="11"/>
    </row>
    <row r="238" spans="1:25" x14ac:dyDescent="0.35">
      <c r="A238" s="11">
        <v>1986</v>
      </c>
      <c r="B238" s="11">
        <v>9756.5169999999998</v>
      </c>
      <c r="C238" s="11">
        <v>14802.403</v>
      </c>
      <c r="D238" s="11">
        <v>13255.824000000001</v>
      </c>
      <c r="E238" s="11">
        <v>9723.3559999999998</v>
      </c>
      <c r="F238" s="11">
        <v>14715.5</v>
      </c>
      <c r="G238" s="11">
        <v>12235.728999999999</v>
      </c>
      <c r="H238" s="11"/>
      <c r="I238" s="11"/>
      <c r="J238" s="11"/>
      <c r="K238" s="11">
        <v>9756.5169999999998</v>
      </c>
      <c r="L238" s="11">
        <v>14802.403</v>
      </c>
      <c r="M238" s="11">
        <v>13255.663</v>
      </c>
      <c r="N238" s="11">
        <v>9590.0589999999993</v>
      </c>
      <c r="O238" s="11">
        <v>14296.214</v>
      </c>
      <c r="P238" s="11">
        <v>11688.737999999999</v>
      </c>
      <c r="Q238" s="11">
        <v>9832.1119999999992</v>
      </c>
      <c r="R238" s="11">
        <v>15069.518</v>
      </c>
      <c r="S238" s="11">
        <v>11801.591</v>
      </c>
      <c r="T238" s="11"/>
      <c r="U238" s="11"/>
      <c r="V238" s="11"/>
      <c r="W238" s="11"/>
      <c r="X238" s="11"/>
      <c r="Y238" s="11"/>
    </row>
    <row r="239" spans="1:25" x14ac:dyDescent="0.35">
      <c r="A239" s="11">
        <v>1987</v>
      </c>
      <c r="B239" s="11">
        <v>9992.5059999999994</v>
      </c>
      <c r="C239" s="11">
        <v>14990.61</v>
      </c>
      <c r="D239" s="11">
        <v>12944.21</v>
      </c>
      <c r="E239" s="11">
        <v>9981.7009999999991</v>
      </c>
      <c r="F239" s="11">
        <v>14988.269</v>
      </c>
      <c r="G239" s="11">
        <v>12548.69</v>
      </c>
      <c r="H239" s="11"/>
      <c r="I239" s="11"/>
      <c r="J239" s="11"/>
      <c r="K239" s="11">
        <v>9992.5059999999994</v>
      </c>
      <c r="L239" s="11">
        <v>14990.61</v>
      </c>
      <c r="M239" s="11">
        <v>12944.045</v>
      </c>
      <c r="N239" s="11">
        <v>9821.5830000000005</v>
      </c>
      <c r="O239" s="11">
        <v>14549.349</v>
      </c>
      <c r="P239" s="11">
        <v>11808.561</v>
      </c>
      <c r="Q239" s="11">
        <v>10068.851000000001</v>
      </c>
      <c r="R239" s="11">
        <v>15289.941999999999</v>
      </c>
      <c r="S239" s="11">
        <v>11595.485000000001</v>
      </c>
      <c r="T239" s="11"/>
      <c r="U239" s="11"/>
      <c r="V239" s="11"/>
      <c r="W239" s="11"/>
      <c r="X239" s="11"/>
      <c r="Y239" s="11"/>
    </row>
    <row r="240" spans="1:25" x14ac:dyDescent="0.35">
      <c r="A240" s="11">
        <v>1988</v>
      </c>
      <c r="B240" s="11">
        <v>10295.871999999999</v>
      </c>
      <c r="C240" s="11">
        <v>15332.401</v>
      </c>
      <c r="D240" s="11">
        <v>12958.968000000001</v>
      </c>
      <c r="E240" s="11">
        <v>10350.453</v>
      </c>
      <c r="F240" s="11">
        <v>15362.817999999999</v>
      </c>
      <c r="G240" s="11">
        <v>13042.973</v>
      </c>
      <c r="H240" s="11"/>
      <c r="I240" s="11"/>
      <c r="J240" s="11"/>
      <c r="K240" s="11">
        <v>10295.871999999999</v>
      </c>
      <c r="L240" s="11">
        <v>15332.401</v>
      </c>
      <c r="M240" s="11">
        <v>12958.778</v>
      </c>
      <c r="N240" s="11">
        <v>10123.091</v>
      </c>
      <c r="O240" s="11">
        <v>14874.13</v>
      </c>
      <c r="P240" s="11">
        <v>12153.904</v>
      </c>
      <c r="Q240" s="11">
        <v>10424.694</v>
      </c>
      <c r="R240" s="11">
        <v>15670.39</v>
      </c>
      <c r="S240" s="11">
        <v>11541.697</v>
      </c>
      <c r="T240" s="11"/>
      <c r="U240" s="11"/>
      <c r="V240" s="11"/>
      <c r="W240" s="11"/>
      <c r="X240" s="11"/>
      <c r="Y240" s="11"/>
    </row>
    <row r="241" spans="1:25" x14ac:dyDescent="0.35">
      <c r="A241" s="11">
        <v>1989</v>
      </c>
      <c r="B241" s="11">
        <v>10485.145</v>
      </c>
      <c r="C241" s="11">
        <v>15365.201999999999</v>
      </c>
      <c r="D241" s="11">
        <v>12905.727000000001</v>
      </c>
      <c r="E241" s="11">
        <v>10553.686</v>
      </c>
      <c r="F241" s="11">
        <v>15425.791999999999</v>
      </c>
      <c r="G241" s="11">
        <v>13335.348</v>
      </c>
      <c r="H241" s="11"/>
      <c r="I241" s="11"/>
      <c r="J241" s="11"/>
      <c r="K241" s="11">
        <v>10485.145</v>
      </c>
      <c r="L241" s="11">
        <v>15365.201999999999</v>
      </c>
      <c r="M241" s="11">
        <v>12905.492</v>
      </c>
      <c r="N241" s="11">
        <v>10301.276</v>
      </c>
      <c r="O241" s="11">
        <v>14914.56</v>
      </c>
      <c r="P241" s="11">
        <v>12256.137000000001</v>
      </c>
      <c r="Q241" s="11">
        <v>10671.630999999999</v>
      </c>
      <c r="R241" s="11">
        <v>15785.906999999999</v>
      </c>
      <c r="S241" s="11">
        <v>11557.949000000001</v>
      </c>
      <c r="T241" s="11"/>
      <c r="U241" s="11"/>
      <c r="V241" s="11"/>
      <c r="W241" s="11"/>
      <c r="X241" s="11"/>
      <c r="Y241" s="11"/>
    </row>
    <row r="242" spans="1:25" x14ac:dyDescent="0.35">
      <c r="A242" s="11">
        <v>1990</v>
      </c>
      <c r="B242" s="11">
        <v>10981.573</v>
      </c>
      <c r="C242" s="11">
        <v>15927.812</v>
      </c>
      <c r="D242" s="11">
        <v>12594.893</v>
      </c>
      <c r="E242" s="11">
        <v>9397.6219999999994</v>
      </c>
      <c r="F242" s="11">
        <v>12959.11</v>
      </c>
      <c r="G242" s="11">
        <v>10170.048000000001</v>
      </c>
      <c r="H242" s="11"/>
      <c r="I242" s="11"/>
      <c r="J242" s="11"/>
      <c r="K242" s="11">
        <v>10981.573</v>
      </c>
      <c r="L242" s="11">
        <v>15927.812</v>
      </c>
      <c r="M242" s="11">
        <v>12594.647999999999</v>
      </c>
      <c r="N242" s="11">
        <v>10789.064</v>
      </c>
      <c r="O242" s="11">
        <v>15453.284</v>
      </c>
      <c r="P242" s="11">
        <v>12198.921</v>
      </c>
      <c r="Q242" s="11">
        <v>11238.538</v>
      </c>
      <c r="R242" s="11">
        <v>16421.628000000001</v>
      </c>
      <c r="S242" s="11">
        <v>11371.203</v>
      </c>
      <c r="T242" s="11">
        <v>9885.7630000000008</v>
      </c>
      <c r="U242" s="11">
        <v>13180.699000000001</v>
      </c>
      <c r="V242" s="11">
        <v>9248.0370000000003</v>
      </c>
      <c r="W242" s="11">
        <v>8943.7630000000008</v>
      </c>
      <c r="X242" s="11">
        <v>12002.762000000001</v>
      </c>
      <c r="Y242" s="11">
        <v>10506.991</v>
      </c>
    </row>
    <row r="243" spans="1:25" x14ac:dyDescent="0.35">
      <c r="A243" s="11">
        <v>1991</v>
      </c>
      <c r="B243" s="11">
        <v>10858.023999999999</v>
      </c>
      <c r="C243" s="11">
        <v>15504.478999999999</v>
      </c>
      <c r="D243" s="11">
        <v>13220.904</v>
      </c>
      <c r="E243" s="11">
        <v>9250.8389999999999</v>
      </c>
      <c r="F243" s="11">
        <v>12303.793</v>
      </c>
      <c r="G243" s="11">
        <v>10904.05</v>
      </c>
      <c r="H243" s="11"/>
      <c r="I243" s="11"/>
      <c r="J243" s="11"/>
      <c r="K243" s="11">
        <v>10858.023999999999</v>
      </c>
      <c r="L243" s="11">
        <v>15504.48</v>
      </c>
      <c r="M243" s="11">
        <v>12742.731</v>
      </c>
      <c r="N243" s="11">
        <v>10781.518</v>
      </c>
      <c r="O243" s="11">
        <v>15162.602999999999</v>
      </c>
      <c r="P243" s="11">
        <v>12450.308000000001</v>
      </c>
      <c r="Q243" s="11">
        <v>11179.098</v>
      </c>
      <c r="R243" s="11">
        <v>16081.83</v>
      </c>
      <c r="S243" s="11">
        <v>11710.441000000001</v>
      </c>
      <c r="T243" s="11">
        <v>9771.0939999999991</v>
      </c>
      <c r="U243" s="11">
        <v>12960.663</v>
      </c>
      <c r="V243" s="11">
        <v>9563.8490000000002</v>
      </c>
      <c r="W243" s="11">
        <v>8961.491</v>
      </c>
      <c r="X243" s="11">
        <v>11879.74</v>
      </c>
      <c r="Y243" s="11">
        <v>10768.137000000001</v>
      </c>
    </row>
    <row r="244" spans="1:25" x14ac:dyDescent="0.35">
      <c r="A244" s="11">
        <v>1992</v>
      </c>
      <c r="B244" s="11">
        <v>10956.936</v>
      </c>
      <c r="C244" s="11">
        <v>14925.174000000001</v>
      </c>
      <c r="D244" s="11">
        <v>13536.34</v>
      </c>
      <c r="E244" s="11">
        <v>9266.2219999999998</v>
      </c>
      <c r="F244" s="11">
        <v>11713.014999999999</v>
      </c>
      <c r="G244" s="11">
        <v>10950.7</v>
      </c>
      <c r="H244" s="11"/>
      <c r="I244" s="11"/>
      <c r="J244" s="11"/>
      <c r="K244" s="11">
        <v>10956.936</v>
      </c>
      <c r="L244" s="11">
        <v>14925.173000000001</v>
      </c>
      <c r="M244" s="11">
        <v>13536.325999999999</v>
      </c>
      <c r="N244" s="11">
        <v>10822.409</v>
      </c>
      <c r="O244" s="11">
        <v>14648.13</v>
      </c>
      <c r="P244" s="11">
        <v>12777.706</v>
      </c>
      <c r="Q244" s="11">
        <v>11164.066999999999</v>
      </c>
      <c r="R244" s="11">
        <v>15352.724</v>
      </c>
      <c r="S244" s="11">
        <v>12508.956</v>
      </c>
      <c r="T244" s="11">
        <v>9778.27</v>
      </c>
      <c r="U244" s="11">
        <v>12569.540999999999</v>
      </c>
      <c r="V244" s="11">
        <v>9917.8970000000008</v>
      </c>
      <c r="W244" s="11">
        <v>9002.7209999999995</v>
      </c>
      <c r="X244" s="11">
        <v>11574.174999999999</v>
      </c>
      <c r="Y244" s="11">
        <v>10974.221</v>
      </c>
    </row>
    <row r="245" spans="1:25" x14ac:dyDescent="0.35">
      <c r="A245" s="11">
        <v>1993</v>
      </c>
      <c r="B245" s="11">
        <v>10995.789000000001</v>
      </c>
      <c r="C245" s="11">
        <v>14710.124</v>
      </c>
      <c r="D245" s="11">
        <v>13640.2</v>
      </c>
      <c r="E245" s="11">
        <v>9281.2469999999994</v>
      </c>
      <c r="F245" s="11">
        <v>11374.438</v>
      </c>
      <c r="G245" s="11">
        <v>11316.329</v>
      </c>
      <c r="H245" s="11"/>
      <c r="I245" s="11"/>
      <c r="J245" s="11"/>
      <c r="K245" s="11">
        <v>10995.79</v>
      </c>
      <c r="L245" s="11">
        <v>14710.125</v>
      </c>
      <c r="M245" s="11">
        <v>13640.184999999999</v>
      </c>
      <c r="N245" s="11">
        <v>10855.550999999999</v>
      </c>
      <c r="O245" s="11">
        <v>14421.8</v>
      </c>
      <c r="P245" s="11">
        <v>13212.008</v>
      </c>
      <c r="Q245" s="11">
        <v>11132.562</v>
      </c>
      <c r="R245" s="11">
        <v>15082.481</v>
      </c>
      <c r="S245" s="11">
        <v>12665.692999999999</v>
      </c>
      <c r="T245" s="11">
        <v>10217.572</v>
      </c>
      <c r="U245" s="11">
        <v>12497.234</v>
      </c>
      <c r="V245" s="11">
        <v>10412.322</v>
      </c>
      <c r="W245" s="11">
        <v>9054.0709999999999</v>
      </c>
      <c r="X245" s="11">
        <v>11369.407999999999</v>
      </c>
      <c r="Y245" s="11">
        <v>11316.841</v>
      </c>
    </row>
    <row r="246" spans="1:25" x14ac:dyDescent="0.35">
      <c r="A246" s="11">
        <v>1994</v>
      </c>
      <c r="B246" s="11">
        <v>11168.339</v>
      </c>
      <c r="C246" s="11">
        <v>14494.375</v>
      </c>
      <c r="D246" s="11">
        <v>15300.683000000001</v>
      </c>
      <c r="E246" s="11">
        <v>9428.1319999999996</v>
      </c>
      <c r="F246" s="11">
        <v>10972.144</v>
      </c>
      <c r="G246" s="11">
        <v>9316.4950000000008</v>
      </c>
      <c r="H246" s="11"/>
      <c r="I246" s="11"/>
      <c r="J246" s="11"/>
      <c r="K246" s="11">
        <v>11168.339</v>
      </c>
      <c r="L246" s="11">
        <v>14494.375</v>
      </c>
      <c r="M246" s="11">
        <v>15300.669</v>
      </c>
      <c r="N246" s="11">
        <v>10995.644</v>
      </c>
      <c r="O246" s="11">
        <v>14179.436</v>
      </c>
      <c r="P246" s="11">
        <v>13995.554</v>
      </c>
      <c r="Q246" s="11">
        <v>11211.177</v>
      </c>
      <c r="R246" s="11">
        <v>14734.987999999999</v>
      </c>
      <c r="S246" s="11">
        <v>14429.866</v>
      </c>
      <c r="T246" s="11">
        <v>10195.432000000001</v>
      </c>
      <c r="U246" s="11">
        <v>12329.625</v>
      </c>
      <c r="V246" s="11">
        <v>10718.128000000001</v>
      </c>
      <c r="W246" s="11">
        <v>9205.9150000000009</v>
      </c>
      <c r="X246" s="11">
        <v>11207.746999999999</v>
      </c>
      <c r="Y246" s="11">
        <v>11595.773999999999</v>
      </c>
    </row>
    <row r="247" spans="1:25" x14ac:dyDescent="0.35">
      <c r="A247" s="11">
        <v>1995</v>
      </c>
      <c r="B247" s="11">
        <v>11407.597</v>
      </c>
      <c r="C247" s="11">
        <v>14570.962</v>
      </c>
      <c r="D247" s="11">
        <v>15278.038</v>
      </c>
      <c r="E247" s="11">
        <v>9572.4069999999992</v>
      </c>
      <c r="F247" s="11">
        <v>10976.775</v>
      </c>
      <c r="G247" s="11">
        <v>10351.936</v>
      </c>
      <c r="H247" s="11"/>
      <c r="I247" s="11"/>
      <c r="J247" s="11"/>
      <c r="K247" s="11">
        <v>11407.597</v>
      </c>
      <c r="L247" s="11">
        <v>14570.962</v>
      </c>
      <c r="M247" s="11">
        <v>15278.034</v>
      </c>
      <c r="N247" s="11">
        <v>11153.099</v>
      </c>
      <c r="O247" s="11">
        <v>14259.955</v>
      </c>
      <c r="P247" s="11">
        <v>14467.625</v>
      </c>
      <c r="Q247" s="11">
        <v>11355.15</v>
      </c>
      <c r="R247" s="11">
        <v>14750.8</v>
      </c>
      <c r="S247" s="11">
        <v>14172.923000000001</v>
      </c>
      <c r="T247" s="11">
        <v>10381.851000000001</v>
      </c>
      <c r="U247" s="11">
        <v>12502.532999999999</v>
      </c>
      <c r="V247" s="11">
        <v>11423.029</v>
      </c>
      <c r="W247" s="11">
        <v>9328.1910000000007</v>
      </c>
      <c r="X247" s="11">
        <v>11275.522999999999</v>
      </c>
      <c r="Y247" s="11">
        <v>12119.438</v>
      </c>
    </row>
    <row r="248" spans="1:25" x14ac:dyDescent="0.35">
      <c r="A248" s="11">
        <v>1996</v>
      </c>
      <c r="B248" s="11">
        <v>11706.003000000001</v>
      </c>
      <c r="C248" s="11">
        <v>15255.588</v>
      </c>
      <c r="D248" s="11">
        <v>15480.727999999999</v>
      </c>
      <c r="E248" s="11">
        <v>9797.5020000000004</v>
      </c>
      <c r="F248" s="11">
        <v>11422.411</v>
      </c>
      <c r="G248" s="11">
        <v>10071.846</v>
      </c>
      <c r="H248" s="11"/>
      <c r="I248" s="11"/>
      <c r="J248" s="11"/>
      <c r="K248" s="11">
        <v>11706.003000000001</v>
      </c>
      <c r="L248" s="11">
        <v>15255.588</v>
      </c>
      <c r="M248" s="11">
        <v>15480.724</v>
      </c>
      <c r="N248" s="11">
        <v>11462.053</v>
      </c>
      <c r="O248" s="11">
        <v>14845.733</v>
      </c>
      <c r="P248" s="11">
        <v>14852.705</v>
      </c>
      <c r="Q248" s="11">
        <v>11657.725</v>
      </c>
      <c r="R248" s="11">
        <v>15446.263000000001</v>
      </c>
      <c r="S248" s="11">
        <v>14399.245999999999</v>
      </c>
      <c r="T248" s="11">
        <v>10285.813</v>
      </c>
      <c r="U248" s="11">
        <v>12178.822</v>
      </c>
      <c r="V248" s="11">
        <v>11595.697</v>
      </c>
      <c r="W248" s="11">
        <v>9616.5419999999995</v>
      </c>
      <c r="X248" s="11">
        <v>11521.385</v>
      </c>
      <c r="Y248" s="11">
        <v>12203.966</v>
      </c>
    </row>
    <row r="249" spans="1:25" x14ac:dyDescent="0.35">
      <c r="A249" s="11">
        <v>1997</v>
      </c>
      <c r="B249" s="11">
        <v>11658.313</v>
      </c>
      <c r="C249" s="11">
        <v>14660.718000000001</v>
      </c>
      <c r="D249" s="11">
        <v>17669.134999999998</v>
      </c>
      <c r="E249" s="11">
        <v>9841.3580000000002</v>
      </c>
      <c r="F249" s="11">
        <v>11082.128000000001</v>
      </c>
      <c r="G249" s="11">
        <v>9906.0360000000001</v>
      </c>
      <c r="H249" s="11"/>
      <c r="I249" s="11"/>
      <c r="J249" s="11"/>
      <c r="K249" s="11">
        <v>11658.314</v>
      </c>
      <c r="L249" s="11">
        <v>14660.718000000001</v>
      </c>
      <c r="M249" s="11">
        <v>17669.131000000001</v>
      </c>
      <c r="N249" s="11">
        <v>11423.117</v>
      </c>
      <c r="O249" s="11">
        <v>14368.463</v>
      </c>
      <c r="P249" s="11">
        <v>16944.629000000001</v>
      </c>
      <c r="Q249" s="11">
        <v>11591.508</v>
      </c>
      <c r="R249" s="11">
        <v>14808.377</v>
      </c>
      <c r="S249" s="11">
        <v>16608.512999999999</v>
      </c>
      <c r="T249" s="11">
        <v>10383.617</v>
      </c>
      <c r="U249" s="11">
        <v>12028.672</v>
      </c>
      <c r="V249" s="11">
        <v>11506.026</v>
      </c>
      <c r="W249" s="11">
        <v>9833.7289999999994</v>
      </c>
      <c r="X249" s="11">
        <v>11591.062</v>
      </c>
      <c r="Y249" s="11">
        <v>13203.422</v>
      </c>
    </row>
    <row r="250" spans="1:25" x14ac:dyDescent="0.35">
      <c r="A250" s="11">
        <v>1998</v>
      </c>
      <c r="B250" s="11">
        <v>11848.843000000001</v>
      </c>
      <c r="C250" s="11">
        <v>14813.4</v>
      </c>
      <c r="D250" s="11">
        <v>16396.271000000001</v>
      </c>
      <c r="E250" s="11">
        <v>9890.4719999999998</v>
      </c>
      <c r="F250" s="11">
        <v>11336.442999999999</v>
      </c>
      <c r="G250" s="11">
        <v>10133.646000000001</v>
      </c>
      <c r="H250" s="11"/>
      <c r="I250" s="11"/>
      <c r="J250" s="11"/>
      <c r="K250" s="11">
        <v>11848.843000000001</v>
      </c>
      <c r="L250" s="11">
        <v>14813.401</v>
      </c>
      <c r="M250" s="11">
        <v>16396.268</v>
      </c>
      <c r="N250" s="11">
        <v>11512.925999999999</v>
      </c>
      <c r="O250" s="11">
        <v>14433.523999999999</v>
      </c>
      <c r="P250" s="11">
        <v>15161.127</v>
      </c>
      <c r="Q250" s="11">
        <v>11723.873</v>
      </c>
      <c r="R250" s="11">
        <v>14876.335999999999</v>
      </c>
      <c r="S250" s="11">
        <v>15319.905000000001</v>
      </c>
      <c r="T250" s="11">
        <v>10943.611999999999</v>
      </c>
      <c r="U250" s="11">
        <v>12160.59</v>
      </c>
      <c r="V250" s="11">
        <v>12403.598</v>
      </c>
      <c r="W250" s="11">
        <v>9911.3520000000008</v>
      </c>
      <c r="X250" s="11">
        <v>11597.17</v>
      </c>
      <c r="Y250" s="11">
        <v>12760.15</v>
      </c>
    </row>
    <row r="251" spans="1:25" x14ac:dyDescent="0.35">
      <c r="A251" s="11">
        <v>1999</v>
      </c>
      <c r="B251" s="11">
        <v>11942.659</v>
      </c>
      <c r="C251" s="11">
        <v>14870.102000000001</v>
      </c>
      <c r="D251" s="11">
        <v>16502.556</v>
      </c>
      <c r="E251" s="11">
        <v>10058.393</v>
      </c>
      <c r="F251" s="11">
        <v>11078.224</v>
      </c>
      <c r="G251" s="11">
        <v>10405.805</v>
      </c>
      <c r="H251" s="11"/>
      <c r="I251" s="11"/>
      <c r="J251" s="11"/>
      <c r="K251" s="11">
        <v>11942.66</v>
      </c>
      <c r="L251" s="11">
        <v>14870.102000000001</v>
      </c>
      <c r="M251" s="11">
        <v>16502.553</v>
      </c>
      <c r="N251" s="11">
        <v>11643.313</v>
      </c>
      <c r="O251" s="11">
        <v>14538.200999999999</v>
      </c>
      <c r="P251" s="11">
        <v>15730.087</v>
      </c>
      <c r="Q251" s="11">
        <v>11813.824000000001</v>
      </c>
      <c r="R251" s="11">
        <v>14931.415000000001</v>
      </c>
      <c r="S251" s="11">
        <v>15284.225</v>
      </c>
      <c r="T251" s="11">
        <v>10939.378000000001</v>
      </c>
      <c r="U251" s="11">
        <v>12584.115</v>
      </c>
      <c r="V251" s="11">
        <v>12558.882</v>
      </c>
      <c r="W251" s="11">
        <v>9969.1759999999995</v>
      </c>
      <c r="X251" s="11">
        <v>11643.959000000001</v>
      </c>
      <c r="Y251" s="11">
        <v>12732.144</v>
      </c>
    </row>
    <row r="252" spans="1:25" x14ac:dyDescent="0.35">
      <c r="A252" s="11">
        <v>2000</v>
      </c>
      <c r="B252" s="11">
        <v>12319.548000000001</v>
      </c>
      <c r="C252" s="11">
        <v>15096.38</v>
      </c>
      <c r="D252" s="11">
        <v>16497.562000000002</v>
      </c>
      <c r="E252" s="11">
        <v>10382.906999999999</v>
      </c>
      <c r="F252" s="11">
        <v>11508.968999999999</v>
      </c>
      <c r="G252" s="11">
        <v>10100.652</v>
      </c>
      <c r="H252" s="11"/>
      <c r="I252" s="11"/>
      <c r="J252" s="11"/>
      <c r="K252" s="11">
        <v>12319.548000000001</v>
      </c>
      <c r="L252" s="11">
        <v>15096.38</v>
      </c>
      <c r="M252" s="11">
        <v>16497.559000000001</v>
      </c>
      <c r="N252" s="11">
        <v>12015.544</v>
      </c>
      <c r="O252" s="11">
        <v>14833.565000000001</v>
      </c>
      <c r="P252" s="11">
        <v>15790.503000000001</v>
      </c>
      <c r="Q252" s="11">
        <v>12137.601000000001</v>
      </c>
      <c r="R252" s="11">
        <v>15106.065000000001</v>
      </c>
      <c r="S252" s="11">
        <v>15265.675999999999</v>
      </c>
      <c r="T252" s="11">
        <v>11468.819</v>
      </c>
      <c r="U252" s="11">
        <v>13431.88</v>
      </c>
      <c r="V252" s="11">
        <v>13410.22</v>
      </c>
      <c r="W252" s="11">
        <v>10196.715</v>
      </c>
      <c r="X252" s="11">
        <v>11917.983</v>
      </c>
      <c r="Y252" s="11">
        <v>13077.561</v>
      </c>
    </row>
    <row r="253" spans="1:25" x14ac:dyDescent="0.35">
      <c r="A253" s="11">
        <v>2001</v>
      </c>
      <c r="B253" s="11">
        <v>12037.284</v>
      </c>
      <c r="C253" s="11">
        <v>14813.49</v>
      </c>
      <c r="D253" s="11">
        <v>16043.732</v>
      </c>
      <c r="E253" s="11">
        <v>10259.415000000001</v>
      </c>
      <c r="F253" s="11">
        <v>11346.347</v>
      </c>
      <c r="G253" s="11">
        <v>10453.655000000001</v>
      </c>
      <c r="H253" s="11"/>
      <c r="I253" s="11"/>
      <c r="J253" s="11"/>
      <c r="K253" s="11">
        <v>12037.284</v>
      </c>
      <c r="L253" s="11">
        <v>14813.49</v>
      </c>
      <c r="M253" s="11">
        <v>16043.728999999999</v>
      </c>
      <c r="N253" s="11">
        <v>11922.31</v>
      </c>
      <c r="O253" s="11">
        <v>14778.803</v>
      </c>
      <c r="P253" s="11">
        <v>15691.511</v>
      </c>
      <c r="Q253" s="11">
        <v>11822.851000000001</v>
      </c>
      <c r="R253" s="11">
        <v>14849.128000000001</v>
      </c>
      <c r="S253" s="11">
        <v>14884.197</v>
      </c>
      <c r="T253" s="11">
        <v>11359.529</v>
      </c>
      <c r="U253" s="11">
        <v>12887.646000000001</v>
      </c>
      <c r="V253" s="11">
        <v>13838.169</v>
      </c>
      <c r="W253" s="11">
        <v>10301.424000000001</v>
      </c>
      <c r="X253" s="11">
        <v>11847.31</v>
      </c>
      <c r="Y253" s="11">
        <v>11684.766</v>
      </c>
    </row>
    <row r="254" spans="1:25" x14ac:dyDescent="0.35">
      <c r="A254" s="11">
        <v>2002</v>
      </c>
      <c r="B254" s="11">
        <v>12105.23</v>
      </c>
      <c r="C254" s="11">
        <v>14798.538</v>
      </c>
      <c r="D254" s="11">
        <v>17341.839</v>
      </c>
      <c r="E254" s="11">
        <v>10430.745000000001</v>
      </c>
      <c r="F254" s="11">
        <v>11556.47</v>
      </c>
      <c r="G254" s="11">
        <v>11424.656999999999</v>
      </c>
      <c r="H254" s="11"/>
      <c r="I254" s="11"/>
      <c r="J254" s="11"/>
      <c r="K254" s="11">
        <v>12105.23</v>
      </c>
      <c r="L254" s="11">
        <v>14798.538</v>
      </c>
      <c r="M254" s="11">
        <v>17341.834999999999</v>
      </c>
      <c r="N254" s="11">
        <v>11945.94</v>
      </c>
      <c r="O254" s="11">
        <v>14742.476000000001</v>
      </c>
      <c r="P254" s="11">
        <v>16510.503000000001</v>
      </c>
      <c r="Q254" s="11">
        <v>11967.594999999999</v>
      </c>
      <c r="R254" s="11">
        <v>14912.14</v>
      </c>
      <c r="S254" s="11">
        <v>16320.612999999999</v>
      </c>
      <c r="T254" s="11">
        <v>11602.529</v>
      </c>
      <c r="U254" s="11">
        <v>12938.159</v>
      </c>
      <c r="V254" s="11">
        <v>14649.397999999999</v>
      </c>
      <c r="W254" s="11">
        <v>10196.159</v>
      </c>
      <c r="X254" s="11">
        <v>11738.662</v>
      </c>
      <c r="Y254" s="11">
        <v>12495.203</v>
      </c>
    </row>
    <row r="255" spans="1:25" x14ac:dyDescent="0.35">
      <c r="A255" s="11">
        <v>2003</v>
      </c>
      <c r="B255" s="11">
        <v>12571.71</v>
      </c>
      <c r="C255" s="11">
        <v>15449.305</v>
      </c>
      <c r="D255" s="11">
        <v>19599.266</v>
      </c>
      <c r="E255" s="11">
        <v>10571.15</v>
      </c>
      <c r="F255" s="11">
        <v>11904.013999999999</v>
      </c>
      <c r="G255" s="11">
        <v>13505.061</v>
      </c>
      <c r="H255" s="11"/>
      <c r="I255" s="11"/>
      <c r="J255" s="11"/>
      <c r="K255" s="11">
        <v>12571.71</v>
      </c>
      <c r="L255" s="11">
        <v>15449.305</v>
      </c>
      <c r="M255" s="11">
        <v>19599.262999999999</v>
      </c>
      <c r="N255" s="11">
        <v>12133.296</v>
      </c>
      <c r="O255" s="11">
        <v>15046.773999999999</v>
      </c>
      <c r="P255" s="11">
        <v>17713.362000000001</v>
      </c>
      <c r="Q255" s="11">
        <v>12457.791999999999</v>
      </c>
      <c r="R255" s="11">
        <v>15587.968000000001</v>
      </c>
      <c r="S255" s="11">
        <v>18966.129000000001</v>
      </c>
      <c r="T255" s="11">
        <v>10884.795</v>
      </c>
      <c r="U255" s="11">
        <v>12491.378000000001</v>
      </c>
      <c r="V255" s="11">
        <v>14678.346</v>
      </c>
      <c r="W255" s="11">
        <v>10367.945</v>
      </c>
      <c r="X255" s="11">
        <v>12021.849</v>
      </c>
      <c r="Y255" s="11">
        <v>13065.642</v>
      </c>
    </row>
    <row r="256" spans="1:25" x14ac:dyDescent="0.35">
      <c r="A256" s="11">
        <v>2004</v>
      </c>
      <c r="B256" s="11">
        <v>12586.757</v>
      </c>
      <c r="C256" s="11">
        <v>15439.153</v>
      </c>
      <c r="D256" s="11">
        <v>19419.846000000001</v>
      </c>
      <c r="E256" s="11">
        <v>10695.956</v>
      </c>
      <c r="F256" s="11">
        <v>11655.413</v>
      </c>
      <c r="G256" s="11">
        <v>15004.93</v>
      </c>
      <c r="H256" s="11"/>
      <c r="I256" s="11"/>
      <c r="J256" s="11"/>
      <c r="K256" s="11">
        <v>12586.757</v>
      </c>
      <c r="L256" s="11">
        <v>15439.153</v>
      </c>
      <c r="M256" s="11">
        <v>19419.839</v>
      </c>
      <c r="N256" s="11">
        <v>12275.457</v>
      </c>
      <c r="O256" s="11">
        <v>15188.224</v>
      </c>
      <c r="P256" s="11">
        <v>18351.003000000001</v>
      </c>
      <c r="Q256" s="11">
        <v>12438.596</v>
      </c>
      <c r="R256" s="11">
        <v>15571.925999999999</v>
      </c>
      <c r="S256" s="11">
        <v>18412.371999999999</v>
      </c>
      <c r="T256" s="11">
        <v>11340.385</v>
      </c>
      <c r="U256" s="11">
        <v>12837.826999999999</v>
      </c>
      <c r="V256" s="11">
        <v>16883.524000000001</v>
      </c>
      <c r="W256" s="11">
        <v>10444.993</v>
      </c>
      <c r="X256" s="11">
        <v>12074.375</v>
      </c>
      <c r="Y256" s="11">
        <v>14380.204</v>
      </c>
    </row>
    <row r="257" spans="1:25" x14ac:dyDescent="0.35">
      <c r="A257" s="11">
        <v>2005</v>
      </c>
      <c r="B257" s="11">
        <v>12622.008</v>
      </c>
      <c r="C257" s="11">
        <v>15531.507</v>
      </c>
      <c r="D257" s="11">
        <v>19669.713</v>
      </c>
      <c r="E257" s="11">
        <v>10713.782999999999</v>
      </c>
      <c r="F257" s="11">
        <v>11766.857</v>
      </c>
      <c r="G257" s="11">
        <v>15054.874</v>
      </c>
      <c r="H257" s="11"/>
      <c r="I257" s="11"/>
      <c r="J257" s="11"/>
      <c r="K257" s="11">
        <v>12622.008</v>
      </c>
      <c r="L257" s="11">
        <v>15531.507</v>
      </c>
      <c r="M257" s="11">
        <v>19669.705999999998</v>
      </c>
      <c r="N257" s="11">
        <v>12310.157999999999</v>
      </c>
      <c r="O257" s="11">
        <v>15284.334000000001</v>
      </c>
      <c r="P257" s="11">
        <v>18776.668000000001</v>
      </c>
      <c r="Q257" s="11">
        <v>12468.804</v>
      </c>
      <c r="R257" s="11">
        <v>15688.700999999999</v>
      </c>
      <c r="S257" s="11">
        <v>18761.255000000001</v>
      </c>
      <c r="T257" s="11">
        <v>10973.366</v>
      </c>
      <c r="U257" s="11">
        <v>12435.08</v>
      </c>
      <c r="V257" s="11">
        <v>17535.342000000001</v>
      </c>
      <c r="W257" s="11">
        <v>10465.974</v>
      </c>
      <c r="X257" s="11">
        <v>12104.913</v>
      </c>
      <c r="Y257" s="11">
        <v>15126.054</v>
      </c>
    </row>
    <row r="258" spans="1:25" x14ac:dyDescent="0.35">
      <c r="A258" s="11">
        <v>2006</v>
      </c>
      <c r="B258" s="11">
        <v>12027.618</v>
      </c>
      <c r="C258" s="11">
        <v>15050.976000000001</v>
      </c>
      <c r="D258" s="11">
        <v>21064.312999999998</v>
      </c>
      <c r="E258" s="11">
        <v>10586.273999999999</v>
      </c>
      <c r="F258" s="11">
        <v>11728.589</v>
      </c>
      <c r="G258" s="11">
        <v>15381.602000000001</v>
      </c>
      <c r="H258" s="11"/>
      <c r="I258" s="11"/>
      <c r="J258" s="11"/>
      <c r="K258" s="11">
        <v>12027.618</v>
      </c>
      <c r="L258" s="11">
        <v>15050.976000000001</v>
      </c>
      <c r="M258" s="11">
        <v>21064.305</v>
      </c>
      <c r="N258" s="11">
        <v>12186.563</v>
      </c>
      <c r="O258" s="11">
        <v>15281.846</v>
      </c>
      <c r="P258" s="11">
        <v>20248.618999999999</v>
      </c>
      <c r="Q258" s="11">
        <v>11804.754999999999</v>
      </c>
      <c r="R258" s="11">
        <v>15120.502</v>
      </c>
      <c r="S258" s="11">
        <v>20084.163</v>
      </c>
      <c r="T258" s="11">
        <v>11286.701999999999</v>
      </c>
      <c r="U258" s="11">
        <v>12854.769</v>
      </c>
      <c r="V258" s="11">
        <v>18135.228999999999</v>
      </c>
      <c r="W258" s="11">
        <v>10331.379000000001</v>
      </c>
      <c r="X258" s="11">
        <v>12069.02</v>
      </c>
      <c r="Y258" s="11">
        <v>16325.558999999999</v>
      </c>
    </row>
    <row r="259" spans="1:25" x14ac:dyDescent="0.35">
      <c r="A259" s="11">
        <v>2007</v>
      </c>
      <c r="B259" s="11">
        <v>12211.620999999999</v>
      </c>
      <c r="C259" s="11">
        <v>15378.269</v>
      </c>
      <c r="D259" s="11">
        <v>21156.091</v>
      </c>
      <c r="E259" s="11">
        <v>10701.597</v>
      </c>
      <c r="F259" s="11">
        <v>11849.371999999999</v>
      </c>
      <c r="G259" s="11">
        <v>15524.019</v>
      </c>
      <c r="H259" s="11"/>
      <c r="I259" s="11"/>
      <c r="J259" s="11"/>
      <c r="K259" s="11">
        <v>12211.620999999999</v>
      </c>
      <c r="L259" s="11">
        <v>15378.269</v>
      </c>
      <c r="M259" s="11">
        <v>21156.080999999998</v>
      </c>
      <c r="N259" s="11">
        <v>12171.807000000001</v>
      </c>
      <c r="O259" s="11">
        <v>15337.398999999999</v>
      </c>
      <c r="P259" s="11">
        <v>20357.493999999999</v>
      </c>
      <c r="Q259" s="11">
        <v>12069.684999999999</v>
      </c>
      <c r="R259" s="11">
        <v>15560.513999999999</v>
      </c>
      <c r="S259" s="11">
        <v>20261.087</v>
      </c>
      <c r="T259" s="11">
        <v>11353.718000000001</v>
      </c>
      <c r="U259" s="11">
        <v>12964.671</v>
      </c>
      <c r="V259" s="11">
        <v>18405.952000000001</v>
      </c>
      <c r="W259" s="11">
        <v>10428.061</v>
      </c>
      <c r="X259" s="11">
        <v>12209.058000000001</v>
      </c>
      <c r="Y259" s="11">
        <v>16821.190999999999</v>
      </c>
    </row>
    <row r="260" spans="1:25" x14ac:dyDescent="0.35">
      <c r="A260" s="11">
        <v>2008</v>
      </c>
      <c r="B260" s="11">
        <v>12127.227999999999</v>
      </c>
      <c r="C260" s="11">
        <v>15221.392</v>
      </c>
      <c r="D260" s="11">
        <v>22273.838</v>
      </c>
      <c r="E260" s="11">
        <v>10290.096</v>
      </c>
      <c r="F260" s="11">
        <v>11521.911</v>
      </c>
      <c r="G260" s="11">
        <v>16169.334999999999</v>
      </c>
      <c r="H260" s="11"/>
      <c r="I260" s="11"/>
      <c r="J260" s="11"/>
      <c r="K260" s="11">
        <v>12127.227000000001</v>
      </c>
      <c r="L260" s="11">
        <v>15221.392</v>
      </c>
      <c r="M260" s="11">
        <v>22273.838</v>
      </c>
      <c r="N260" s="11">
        <v>11845.31</v>
      </c>
      <c r="O260" s="11">
        <v>14938.323</v>
      </c>
      <c r="P260" s="11">
        <v>21470.763999999999</v>
      </c>
      <c r="Q260" s="11">
        <v>12031.691000000001</v>
      </c>
      <c r="R260" s="11">
        <v>15471.781999999999</v>
      </c>
      <c r="S260" s="11">
        <v>21350.179</v>
      </c>
      <c r="T260" s="11">
        <v>10289.388999999999</v>
      </c>
      <c r="U260" s="11">
        <v>11877.264999999999</v>
      </c>
      <c r="V260" s="11">
        <v>18705.823</v>
      </c>
      <c r="W260" s="11">
        <v>10092.296</v>
      </c>
      <c r="X260" s="11">
        <v>11842.601000000001</v>
      </c>
      <c r="Y260" s="11">
        <v>17404.651999999998</v>
      </c>
    </row>
    <row r="261" spans="1:25" x14ac:dyDescent="0.35">
      <c r="A261" s="11">
        <v>2009</v>
      </c>
      <c r="B261" s="11">
        <v>11071.749</v>
      </c>
      <c r="C261" s="11">
        <v>14224.397999999999</v>
      </c>
      <c r="D261" s="11">
        <v>23523.278999999999</v>
      </c>
      <c r="E261" s="11">
        <v>9503.0609999999997</v>
      </c>
      <c r="F261" s="11">
        <v>10456.441999999999</v>
      </c>
      <c r="G261" s="11">
        <v>16092.346</v>
      </c>
      <c r="H261" s="11"/>
      <c r="I261" s="11"/>
      <c r="J261" s="11"/>
      <c r="K261" s="11">
        <v>11071.749</v>
      </c>
      <c r="L261" s="11">
        <v>14224.398999999999</v>
      </c>
      <c r="M261" s="11">
        <v>23523.279999999999</v>
      </c>
      <c r="N261" s="11">
        <v>10936.817999999999</v>
      </c>
      <c r="O261" s="11">
        <v>13973.844999999999</v>
      </c>
      <c r="P261" s="11">
        <v>22389.316999999999</v>
      </c>
      <c r="Q261" s="11">
        <v>11018.164000000001</v>
      </c>
      <c r="R261" s="11">
        <v>14442.299000000001</v>
      </c>
      <c r="S261" s="11">
        <v>22471.367999999999</v>
      </c>
      <c r="T261" s="11">
        <v>9336.8060000000005</v>
      </c>
      <c r="U261" s="11">
        <v>10537.544</v>
      </c>
      <c r="V261" s="11">
        <v>19362.932000000001</v>
      </c>
      <c r="W261" s="11">
        <v>9368.4930000000004</v>
      </c>
      <c r="X261" s="11">
        <v>10902.276</v>
      </c>
      <c r="Y261" s="11">
        <v>18295.248</v>
      </c>
    </row>
    <row r="262" spans="1:25" x14ac:dyDescent="0.35">
      <c r="A262" s="11">
        <v>2010</v>
      </c>
      <c r="B262" s="11">
        <v>11895.232</v>
      </c>
      <c r="C262" s="11">
        <v>15295.797</v>
      </c>
      <c r="D262" s="11">
        <v>24166.399000000001</v>
      </c>
      <c r="E262" s="11">
        <v>9852.8080000000009</v>
      </c>
      <c r="F262" s="11">
        <v>10952.944</v>
      </c>
      <c r="G262" s="11">
        <v>16737.86</v>
      </c>
      <c r="H262" s="11"/>
      <c r="I262" s="11"/>
      <c r="J262" s="11"/>
      <c r="K262" s="11">
        <v>11895.232</v>
      </c>
      <c r="L262" s="11">
        <v>15295.797</v>
      </c>
      <c r="M262" s="11">
        <v>24166.399000000001</v>
      </c>
      <c r="N262" s="11">
        <v>11294.884</v>
      </c>
      <c r="O262" s="11">
        <v>14590.031000000001</v>
      </c>
      <c r="P262" s="11">
        <v>23534.274000000001</v>
      </c>
      <c r="Q262" s="11">
        <v>11662.695</v>
      </c>
      <c r="R262" s="11">
        <v>15327.319</v>
      </c>
      <c r="S262" s="11">
        <v>23278.045999999998</v>
      </c>
      <c r="T262" s="11">
        <v>9797.1830000000009</v>
      </c>
      <c r="U262" s="11">
        <v>11129.879000000001</v>
      </c>
      <c r="V262" s="11">
        <v>21004.511999999999</v>
      </c>
      <c r="W262" s="11">
        <v>9757.9110000000001</v>
      </c>
      <c r="X262" s="11">
        <v>11418.302</v>
      </c>
      <c r="Y262" s="11">
        <v>19244.008999999998</v>
      </c>
    </row>
    <row r="263" spans="1:25" x14ac:dyDescent="0.35">
      <c r="A263" s="11">
        <v>2011</v>
      </c>
      <c r="B263" s="11">
        <v>11269.467000000001</v>
      </c>
      <c r="C263" s="11">
        <v>14462.842000000001</v>
      </c>
      <c r="D263" s="11">
        <v>25802.384999999998</v>
      </c>
      <c r="E263" s="11">
        <v>9540.4850000000006</v>
      </c>
      <c r="F263" s="11">
        <v>11107.620999999999</v>
      </c>
      <c r="G263" s="11">
        <v>18718.382000000001</v>
      </c>
      <c r="H263" s="11"/>
      <c r="I263" s="11"/>
      <c r="J263" s="11"/>
      <c r="K263" s="11">
        <v>11269.467000000001</v>
      </c>
      <c r="L263" s="11">
        <v>14462.842000000001</v>
      </c>
      <c r="M263" s="11">
        <v>25802.384999999998</v>
      </c>
      <c r="N263" s="11">
        <v>11077.163</v>
      </c>
      <c r="O263" s="11">
        <v>14231.841</v>
      </c>
      <c r="P263" s="11">
        <v>24998.133999999998</v>
      </c>
      <c r="Q263" s="11">
        <v>11116.062</v>
      </c>
      <c r="R263" s="11">
        <v>14676.043</v>
      </c>
      <c r="S263" s="11">
        <v>25036.863000000001</v>
      </c>
      <c r="T263" s="11">
        <v>10706.794</v>
      </c>
      <c r="U263" s="11">
        <v>12278.011</v>
      </c>
      <c r="V263" s="11">
        <v>22442.778999999999</v>
      </c>
      <c r="W263" s="11">
        <v>9274.857</v>
      </c>
      <c r="X263" s="11">
        <v>11330.493</v>
      </c>
      <c r="Y263" s="11">
        <v>19813.009999999998</v>
      </c>
    </row>
    <row r="264" spans="1:25" x14ac:dyDescent="0.35">
      <c r="A264" s="11">
        <v>2012</v>
      </c>
      <c r="B264" s="11">
        <v>11063.984</v>
      </c>
      <c r="C264" s="11">
        <v>14565.038</v>
      </c>
      <c r="D264" s="11">
        <v>26572.498</v>
      </c>
      <c r="E264" s="11">
        <v>9331.4060000000009</v>
      </c>
      <c r="F264" s="11">
        <v>11280.571</v>
      </c>
      <c r="G264" s="11">
        <v>19392.306</v>
      </c>
      <c r="H264" s="11"/>
      <c r="I264" s="11"/>
      <c r="J264" s="11"/>
      <c r="K264" s="11">
        <v>11063.985000000001</v>
      </c>
      <c r="L264" s="11">
        <v>14565.039000000001</v>
      </c>
      <c r="M264" s="11">
        <v>26572.499</v>
      </c>
      <c r="N264" s="11">
        <v>10846.607</v>
      </c>
      <c r="O264" s="11">
        <v>14186.684999999999</v>
      </c>
      <c r="P264" s="11">
        <v>25471.082999999999</v>
      </c>
      <c r="Q264" s="11">
        <v>11011.323</v>
      </c>
      <c r="R264" s="11">
        <v>14847.251</v>
      </c>
      <c r="S264" s="11">
        <v>25871.185000000001</v>
      </c>
      <c r="T264" s="11">
        <v>10369.498</v>
      </c>
      <c r="U264" s="11">
        <v>11877.355</v>
      </c>
      <c r="V264" s="11">
        <v>23756.516</v>
      </c>
      <c r="W264" s="11">
        <v>9086.5400000000009</v>
      </c>
      <c r="X264" s="11">
        <v>11101.554</v>
      </c>
      <c r="Y264" s="11">
        <v>20484.95</v>
      </c>
    </row>
    <row r="265" spans="1:25" x14ac:dyDescent="0.35">
      <c r="A265" s="11">
        <v>2013</v>
      </c>
      <c r="B265" s="11">
        <v>11104.181</v>
      </c>
      <c r="C265" s="11">
        <v>14364.075000000001</v>
      </c>
      <c r="D265" s="11">
        <v>26850.191999999999</v>
      </c>
      <c r="E265" s="11">
        <v>9479.7909999999993</v>
      </c>
      <c r="F265" s="11">
        <v>10878.342000000001</v>
      </c>
      <c r="G265" s="11">
        <v>19652.264999999999</v>
      </c>
      <c r="H265" s="11"/>
      <c r="I265" s="11"/>
      <c r="J265" s="11"/>
      <c r="K265" s="11">
        <v>11104.181</v>
      </c>
      <c r="L265" s="11">
        <v>14364.075000000001</v>
      </c>
      <c r="M265" s="11">
        <v>26850.191999999999</v>
      </c>
      <c r="N265" s="11">
        <v>10896.143</v>
      </c>
      <c r="O265" s="11">
        <v>14039.444</v>
      </c>
      <c r="P265" s="11">
        <v>25758.593000000001</v>
      </c>
      <c r="Q265" s="11">
        <v>11022.841</v>
      </c>
      <c r="R265" s="11">
        <v>14678.048000000001</v>
      </c>
      <c r="S265" s="11">
        <v>25725.838</v>
      </c>
      <c r="T265" s="11">
        <v>9628.8989999999994</v>
      </c>
      <c r="U265" s="11">
        <v>11060.791999999999</v>
      </c>
      <c r="V265" s="11">
        <v>25139.542000000001</v>
      </c>
      <c r="W265" s="11">
        <v>9175.7970000000005</v>
      </c>
      <c r="X265" s="11">
        <v>11102.621999999999</v>
      </c>
      <c r="Y265" s="11">
        <v>21163.613000000001</v>
      </c>
    </row>
    <row r="266" spans="1:25" x14ac:dyDescent="0.35">
      <c r="A266" s="11">
        <v>2014</v>
      </c>
      <c r="B266" s="11">
        <v>10941.716</v>
      </c>
      <c r="C266" s="11">
        <v>14023.258</v>
      </c>
      <c r="D266" s="11">
        <v>27476.524000000001</v>
      </c>
      <c r="E266" s="11">
        <v>9264.25</v>
      </c>
      <c r="F266" s="11">
        <v>10805.486999999999</v>
      </c>
      <c r="G266" s="11">
        <v>20084.989000000001</v>
      </c>
      <c r="H266" s="11"/>
      <c r="I266" s="11"/>
      <c r="J266" s="11"/>
      <c r="K266" s="11">
        <v>10941.716</v>
      </c>
      <c r="L266" s="11">
        <v>14023.257</v>
      </c>
      <c r="M266" s="11">
        <v>27476.525000000001</v>
      </c>
      <c r="N266" s="11">
        <v>10714.335999999999</v>
      </c>
      <c r="O266" s="11">
        <v>13708.294</v>
      </c>
      <c r="P266" s="11">
        <v>26382.324000000001</v>
      </c>
      <c r="Q266" s="11">
        <v>10934.567999999999</v>
      </c>
      <c r="R266" s="11">
        <v>14460.923000000001</v>
      </c>
      <c r="S266" s="11">
        <v>26211.302</v>
      </c>
      <c r="T266" s="11">
        <v>9628.4079999999994</v>
      </c>
      <c r="U266" s="11">
        <v>11058.815000000001</v>
      </c>
      <c r="V266" s="11">
        <v>26024.184000000001</v>
      </c>
      <c r="W266" s="11">
        <v>8968.8420000000006</v>
      </c>
      <c r="X266" s="11">
        <v>10844.593999999999</v>
      </c>
      <c r="Y266" s="11">
        <v>21755.741000000002</v>
      </c>
    </row>
    <row r="267" spans="1:25" x14ac:dyDescent="0.35">
      <c r="A267" s="11">
        <v>2015</v>
      </c>
      <c r="B267" s="11">
        <v>10737.214</v>
      </c>
      <c r="C267" s="11">
        <v>14140.307000000001</v>
      </c>
      <c r="D267" s="11">
        <v>27380.474999999999</v>
      </c>
      <c r="E267" s="11">
        <v>9181.93</v>
      </c>
      <c r="F267" s="11">
        <v>10770.040999999999</v>
      </c>
      <c r="G267" s="11">
        <v>21216.995999999999</v>
      </c>
      <c r="H267" s="11"/>
      <c r="I267" s="11"/>
      <c r="J267" s="11"/>
      <c r="K267" s="11">
        <v>10737.215</v>
      </c>
      <c r="L267" s="11">
        <v>14140.308000000001</v>
      </c>
      <c r="M267" s="11">
        <v>27380.474999999999</v>
      </c>
      <c r="N267" s="11">
        <v>10514.602999999999</v>
      </c>
      <c r="O267" s="11">
        <v>13673.904</v>
      </c>
      <c r="P267" s="11">
        <v>26649.652999999998</v>
      </c>
      <c r="Q267" s="11">
        <v>10701.896000000001</v>
      </c>
      <c r="R267" s="11">
        <v>14547.673000000001</v>
      </c>
      <c r="S267" s="11">
        <v>25904.363000000001</v>
      </c>
      <c r="T267" s="11">
        <v>9545.3970000000008</v>
      </c>
      <c r="U267" s="11">
        <v>10864.985000000001</v>
      </c>
      <c r="V267" s="11">
        <v>26332.928</v>
      </c>
      <c r="W267" s="11">
        <v>8847.1589999999997</v>
      </c>
      <c r="X267" s="11">
        <v>10672.966</v>
      </c>
      <c r="Y267" s="11">
        <v>21727.185000000001</v>
      </c>
    </row>
    <row r="268" spans="1:25" x14ac:dyDescent="0.35">
      <c r="A268" s="11">
        <v>2016</v>
      </c>
      <c r="B268" s="11">
        <v>10646.071</v>
      </c>
      <c r="C268" s="11">
        <v>14075.423000000001</v>
      </c>
      <c r="D268" s="11">
        <v>26319.885999999999</v>
      </c>
      <c r="E268" s="11">
        <v>8916.9850000000006</v>
      </c>
      <c r="F268" s="11">
        <v>10660.815000000001</v>
      </c>
      <c r="G268" s="11">
        <v>20780.042000000001</v>
      </c>
      <c r="H268" s="11"/>
      <c r="I268" s="11"/>
      <c r="J268" s="11"/>
      <c r="K268" s="11">
        <v>10646.071</v>
      </c>
      <c r="L268" s="11">
        <v>14075.423000000001</v>
      </c>
      <c r="M268" s="11">
        <v>26319.885999999999</v>
      </c>
      <c r="N268" s="11">
        <v>10377.181</v>
      </c>
      <c r="O268" s="11">
        <v>13565.915999999999</v>
      </c>
      <c r="P268" s="11">
        <v>25667.556</v>
      </c>
      <c r="Q268" s="11">
        <v>10679.178</v>
      </c>
      <c r="R268" s="11">
        <v>14530.081</v>
      </c>
      <c r="S268" s="11">
        <v>24657.003000000001</v>
      </c>
      <c r="T268" s="11">
        <v>9043.5619999999999</v>
      </c>
      <c r="U268" s="11">
        <v>10398.449000000001</v>
      </c>
      <c r="V268" s="11">
        <v>26190.018</v>
      </c>
      <c r="W268" s="11">
        <v>9170.8070000000007</v>
      </c>
      <c r="X268" s="11">
        <v>11176.821</v>
      </c>
      <c r="Y268" s="11">
        <v>21213.976999999999</v>
      </c>
    </row>
    <row r="269" spans="1:25" x14ac:dyDescent="0.35">
      <c r="A269" s="11">
        <v>2017</v>
      </c>
      <c r="B269" s="11">
        <v>10681.156999999999</v>
      </c>
      <c r="C269" s="11">
        <v>14165.019</v>
      </c>
      <c r="D269" s="11">
        <v>26817.901000000002</v>
      </c>
      <c r="E269" s="11">
        <v>8901.8230000000003</v>
      </c>
      <c r="F269" s="11">
        <v>10600.625</v>
      </c>
      <c r="G269" s="11">
        <v>21070.098000000002</v>
      </c>
      <c r="H269" s="11"/>
      <c r="I269" s="11"/>
      <c r="J269" s="11"/>
      <c r="K269" s="11">
        <v>10681.156999999999</v>
      </c>
      <c r="L269" s="11">
        <v>14165.019</v>
      </c>
      <c r="M269" s="11">
        <v>26817.901000000002</v>
      </c>
      <c r="N269" s="11">
        <v>10350.882</v>
      </c>
      <c r="O269" s="11">
        <v>13570.793</v>
      </c>
      <c r="P269" s="11">
        <v>26095.485000000001</v>
      </c>
      <c r="Q269" s="11">
        <v>10685.561</v>
      </c>
      <c r="R269" s="11">
        <v>14567.405000000001</v>
      </c>
      <c r="S269" s="11">
        <v>25068.877</v>
      </c>
      <c r="T269" s="11">
        <v>9482.384</v>
      </c>
      <c r="U269" s="11">
        <v>10860.415999999999</v>
      </c>
      <c r="V269" s="11">
        <v>25601.532999999999</v>
      </c>
      <c r="W269" s="11">
        <v>9083.9279999999999</v>
      </c>
      <c r="X269" s="11">
        <v>11153.791999999999</v>
      </c>
      <c r="Y269" s="11">
        <v>21713.733</v>
      </c>
    </row>
    <row r="270" spans="1:25" x14ac:dyDescent="0.35">
      <c r="A270" s="11">
        <v>2018</v>
      </c>
      <c r="B270" s="11">
        <v>10669.892</v>
      </c>
      <c r="C270" s="11">
        <v>14105.819</v>
      </c>
      <c r="D270" s="11">
        <v>27078.359</v>
      </c>
      <c r="E270" s="11">
        <v>9011.6280000000006</v>
      </c>
      <c r="F270" s="11">
        <v>10884.933000000001</v>
      </c>
      <c r="G270" s="11">
        <v>21227.289000000001</v>
      </c>
      <c r="H270" s="11"/>
      <c r="I270" s="11"/>
      <c r="J270" s="11"/>
      <c r="K270" s="11">
        <v>10669.892</v>
      </c>
      <c r="L270" s="11">
        <v>14105.819</v>
      </c>
      <c r="M270" s="11">
        <v>27078.359</v>
      </c>
      <c r="N270" s="11">
        <v>10378.054</v>
      </c>
      <c r="O270" s="11">
        <v>13616.565000000001</v>
      </c>
      <c r="P270" s="11">
        <v>26636.58</v>
      </c>
      <c r="Q270" s="11">
        <v>10639.736999999999</v>
      </c>
      <c r="R270" s="11">
        <v>14374.79</v>
      </c>
      <c r="S270" s="11">
        <v>25369.260999999999</v>
      </c>
      <c r="T270" s="11">
        <v>9561.4599999999991</v>
      </c>
      <c r="U270" s="11">
        <v>11193.016</v>
      </c>
      <c r="V270" s="11">
        <v>25776.681</v>
      </c>
      <c r="W270" s="11">
        <v>9144.43</v>
      </c>
      <c r="X270" s="11">
        <v>11275.79</v>
      </c>
      <c r="Y270" s="11">
        <v>22478.561000000002</v>
      </c>
    </row>
    <row r="271" spans="1:25" x14ac:dyDescent="0.35">
      <c r="A271" s="11">
        <v>2019</v>
      </c>
      <c r="B271" s="11">
        <v>10306.18</v>
      </c>
      <c r="C271" s="11">
        <v>13598.403</v>
      </c>
      <c r="D271" s="11">
        <v>27858.355</v>
      </c>
      <c r="E271" s="11">
        <v>8771.6260000000002</v>
      </c>
      <c r="F271" s="11">
        <v>10715.132</v>
      </c>
      <c r="G271" s="11">
        <v>22052.1</v>
      </c>
      <c r="H271" s="11"/>
      <c r="I271" s="11"/>
      <c r="J271" s="11"/>
      <c r="K271" s="11">
        <v>10306.181</v>
      </c>
      <c r="L271" s="11">
        <v>13598.403</v>
      </c>
      <c r="M271" s="11">
        <v>27858.355</v>
      </c>
      <c r="N271" s="11">
        <v>10082.316000000001</v>
      </c>
      <c r="O271" s="11">
        <v>13233.555</v>
      </c>
      <c r="P271" s="11">
        <v>27370.986000000001</v>
      </c>
      <c r="Q271" s="11">
        <v>10379.307000000001</v>
      </c>
      <c r="R271" s="11">
        <v>14031.002</v>
      </c>
      <c r="S271" s="11">
        <v>26152.183000000001</v>
      </c>
      <c r="T271" s="11">
        <v>9097.3950000000004</v>
      </c>
      <c r="U271" s="11">
        <v>10728.302</v>
      </c>
      <c r="V271" s="11">
        <v>26742.655999999999</v>
      </c>
      <c r="W271" s="11">
        <v>8823.8719999999994</v>
      </c>
      <c r="X271" s="11">
        <v>10898.288</v>
      </c>
      <c r="Y271" s="11">
        <v>23064.920999999998</v>
      </c>
    </row>
    <row r="272" spans="1:25" x14ac:dyDescent="0.35">
      <c r="A272" s="11">
        <v>2020</v>
      </c>
      <c r="B272" s="11">
        <v>9381.0679999999993</v>
      </c>
      <c r="C272" s="11">
        <v>12510.993</v>
      </c>
      <c r="D272" s="11">
        <v>27043.932000000001</v>
      </c>
      <c r="E272" s="11">
        <v>7769.4179999999997</v>
      </c>
      <c r="F272" s="11">
        <v>9397.2540000000008</v>
      </c>
      <c r="G272" s="11">
        <v>21071.345000000001</v>
      </c>
      <c r="H272" s="11"/>
      <c r="I272" s="11"/>
      <c r="J272" s="11"/>
      <c r="K272" s="11">
        <v>9381.0679999999993</v>
      </c>
      <c r="L272" s="11">
        <v>12510.993</v>
      </c>
      <c r="M272" s="11">
        <v>27043.932000000001</v>
      </c>
      <c r="N272" s="11">
        <v>9105.1409999999996</v>
      </c>
      <c r="O272" s="11">
        <v>12053.379000000001</v>
      </c>
      <c r="P272" s="11">
        <v>26550.113000000001</v>
      </c>
      <c r="Q272" s="11">
        <v>9440.7960000000003</v>
      </c>
      <c r="R272" s="11">
        <v>12931.45</v>
      </c>
      <c r="S272" s="11">
        <v>25457.952000000001</v>
      </c>
      <c r="T272" s="11">
        <v>7828.8919999999998</v>
      </c>
      <c r="U272" s="11">
        <v>9238.7800000000007</v>
      </c>
      <c r="V272" s="11">
        <v>25930</v>
      </c>
      <c r="W272" s="11">
        <v>7939.9210000000003</v>
      </c>
      <c r="X272" s="11">
        <v>9895.7919999999995</v>
      </c>
      <c r="Y272" s="11">
        <v>22410.046999999999</v>
      </c>
    </row>
    <row r="273" spans="1:25" x14ac:dyDescent="0.35">
      <c r="A273" s="11">
        <v>2021</v>
      </c>
      <c r="B273" s="11">
        <v>9900.2000000000007</v>
      </c>
      <c r="C273" s="11">
        <v>13198.23</v>
      </c>
      <c r="D273" s="11">
        <v>27983.697</v>
      </c>
      <c r="E273" s="11">
        <v>8223.4179999999997</v>
      </c>
      <c r="F273" s="11">
        <v>10327.371999999999</v>
      </c>
      <c r="G273" s="11">
        <v>22768.91</v>
      </c>
      <c r="H273" s="11"/>
      <c r="I273" s="11"/>
      <c r="J273" s="11"/>
      <c r="K273" s="11">
        <v>9900.2000000000007</v>
      </c>
      <c r="L273" s="11">
        <v>13198.23</v>
      </c>
      <c r="M273" s="11">
        <v>27983.697</v>
      </c>
      <c r="N273" s="11">
        <v>9632.0069999999996</v>
      </c>
      <c r="O273" s="11">
        <v>12768.072</v>
      </c>
      <c r="P273" s="11">
        <v>27617.15</v>
      </c>
      <c r="Q273" s="11">
        <v>9993.768</v>
      </c>
      <c r="R273" s="11">
        <v>13680.161</v>
      </c>
      <c r="S273" s="11">
        <v>26731.892</v>
      </c>
      <c r="T273" s="11">
        <v>8406.8539999999994</v>
      </c>
      <c r="U273" s="11">
        <v>10125.704</v>
      </c>
      <c r="V273" s="11">
        <v>26753.491000000002</v>
      </c>
      <c r="W273" s="11">
        <v>8825.991</v>
      </c>
      <c r="X273" s="11">
        <v>10688.118</v>
      </c>
      <c r="Y273" s="11">
        <v>23734.746999999999</v>
      </c>
    </row>
    <row r="274" spans="1:25" x14ac:dyDescent="0.35">
      <c r="A274" s="11">
        <v>2022</v>
      </c>
      <c r="B274" s="11">
        <v>9805.8889999999992</v>
      </c>
      <c r="C274" s="11">
        <v>13111.008</v>
      </c>
      <c r="D274" s="11">
        <v>28797.037</v>
      </c>
      <c r="E274" s="11">
        <v>8312.0490000000009</v>
      </c>
      <c r="F274" s="11">
        <v>9883.0130000000008</v>
      </c>
      <c r="G274" s="11">
        <v>24557.771000000001</v>
      </c>
      <c r="H274" s="11"/>
      <c r="I274" s="11"/>
      <c r="J274" s="11"/>
      <c r="K274" s="11">
        <v>9805.8889999999992</v>
      </c>
      <c r="L274" s="11">
        <v>13111.008</v>
      </c>
      <c r="M274" s="11">
        <v>28797.037</v>
      </c>
      <c r="N274" s="11">
        <v>9533.2029999999995</v>
      </c>
      <c r="O274" s="11">
        <v>12638.22</v>
      </c>
      <c r="P274" s="11">
        <v>28374.845000000001</v>
      </c>
      <c r="Q274" s="11">
        <v>9941.14</v>
      </c>
      <c r="R274" s="11">
        <v>13618.558999999999</v>
      </c>
      <c r="S274" s="11">
        <v>27544.925999999999</v>
      </c>
      <c r="T274" s="11">
        <v>8399.2829999999994</v>
      </c>
      <c r="U274" s="11">
        <v>9829.8700000000008</v>
      </c>
      <c r="V274" s="11">
        <v>27339.526000000002</v>
      </c>
      <c r="W274" s="11">
        <v>8806.223</v>
      </c>
      <c r="X274" s="11">
        <v>10568.362999999999</v>
      </c>
      <c r="Y274" s="11">
        <v>24061.501</v>
      </c>
    </row>
    <row r="275" spans="1:25" x14ac:dyDescent="0.35">
      <c r="A275" s="11">
        <v>2023</v>
      </c>
      <c r="B275" s="11">
        <v>9434.8860000000004</v>
      </c>
      <c r="C275" s="11">
        <v>12768.114</v>
      </c>
      <c r="D275" s="11">
        <v>29531.821</v>
      </c>
      <c r="E275" s="11">
        <v>7840.3680000000004</v>
      </c>
      <c r="F275" s="11">
        <v>9384.2970000000005</v>
      </c>
      <c r="G275" s="11">
        <v>25061.780999999999</v>
      </c>
      <c r="H275" s="11"/>
      <c r="I275" s="11"/>
      <c r="J275" s="11"/>
      <c r="K275" s="11">
        <v>9434.8860000000004</v>
      </c>
      <c r="L275" s="11">
        <v>12768.114</v>
      </c>
      <c r="M275" s="11">
        <v>29531.821</v>
      </c>
      <c r="N275" s="11">
        <v>9170.7929999999997</v>
      </c>
      <c r="O275" s="11">
        <v>12313.034</v>
      </c>
      <c r="P275" s="11">
        <v>29136.108</v>
      </c>
      <c r="Q275" s="11">
        <v>9582.8060000000005</v>
      </c>
      <c r="R275" s="11">
        <v>13287.958000000001</v>
      </c>
      <c r="S275" s="11">
        <v>28272.627</v>
      </c>
      <c r="T275" s="11">
        <v>9195.01</v>
      </c>
      <c r="U275" s="11">
        <v>10630.898999999999</v>
      </c>
      <c r="V275" s="11">
        <v>28491.460999999999</v>
      </c>
      <c r="W275" s="11">
        <v>8381.9950000000008</v>
      </c>
      <c r="X275" s="11">
        <v>10126.852000000001</v>
      </c>
      <c r="Y275" s="11">
        <v>25077.419000000002</v>
      </c>
    </row>
    <row r="276" spans="1:25" x14ac:dyDescent="0.35">
      <c r="A276" s="11">
        <v>2024</v>
      </c>
      <c r="B276" s="11">
        <v>9328.73</v>
      </c>
      <c r="C276" s="11">
        <v>12711.999</v>
      </c>
      <c r="D276" s="11">
        <v>29835.874</v>
      </c>
      <c r="E276" s="11">
        <v>8641.1509999999998</v>
      </c>
      <c r="F276" s="11">
        <v>11449.105</v>
      </c>
      <c r="G276" s="11">
        <v>24074.684000000001</v>
      </c>
      <c r="H276" s="11"/>
      <c r="I276" s="11"/>
      <c r="J276" s="11"/>
      <c r="K276" s="11">
        <v>9328.73</v>
      </c>
      <c r="L276" s="11">
        <v>12711.999</v>
      </c>
      <c r="M276" s="11">
        <v>29835.874</v>
      </c>
      <c r="N276" s="11">
        <v>9075.4009999999998</v>
      </c>
      <c r="O276" s="11">
        <v>12263.895</v>
      </c>
      <c r="P276" s="11">
        <v>29356.026000000002</v>
      </c>
      <c r="Q276" s="11">
        <v>9496.3680000000004</v>
      </c>
      <c r="R276" s="11">
        <v>13236.471</v>
      </c>
      <c r="S276" s="11">
        <v>28609.333999999999</v>
      </c>
      <c r="T276" s="11">
        <v>8072.82</v>
      </c>
      <c r="U276" s="11">
        <v>9574.7469999999994</v>
      </c>
      <c r="V276" s="11">
        <v>28695.438999999998</v>
      </c>
      <c r="W276" s="11"/>
      <c r="X276" s="11"/>
      <c r="Y27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B0C95-651D-4136-9326-4FC2A3485723}">
  <dimension ref="A1:Y276"/>
  <sheetViews>
    <sheetView workbookViewId="0"/>
  </sheetViews>
  <sheetFormatPr defaultRowHeight="14.5" x14ac:dyDescent="0.35"/>
  <cols>
    <col min="1" max="1" width="4.81640625" bestFit="1" customWidth="1"/>
    <col min="2" max="3" width="12.453125" bestFit="1" customWidth="1"/>
    <col min="4" max="4" width="11.54296875" bestFit="1" customWidth="1"/>
    <col min="5" max="6" width="14.26953125" bestFit="1" customWidth="1"/>
    <col min="7" max="7" width="13.36328125" bestFit="1" customWidth="1"/>
    <col min="8" max="9" width="16.81640625" bestFit="1" customWidth="1"/>
    <col min="10" max="10" width="15.90625" bestFit="1" customWidth="1"/>
    <col min="11" max="12" width="16.54296875" bestFit="1" customWidth="1"/>
    <col min="13" max="13" width="15.6328125" bestFit="1" customWidth="1"/>
    <col min="14" max="15" width="18.26953125" bestFit="1" customWidth="1"/>
    <col min="16" max="16" width="17.36328125" bestFit="1" customWidth="1"/>
    <col min="17" max="18" width="16.7265625" bestFit="1" customWidth="1"/>
    <col min="19" max="19" width="15.81640625" bestFit="1" customWidth="1"/>
    <col min="20" max="21" width="13.6328125" bestFit="1" customWidth="1"/>
    <col min="22" max="22" width="12.6328125" bestFit="1" customWidth="1"/>
    <col min="23" max="24" width="19.90625" bestFit="1" customWidth="1"/>
    <col min="25" max="25" width="19" bestFit="1" customWidth="1"/>
  </cols>
  <sheetData>
    <row r="1" spans="1:25" x14ac:dyDescent="0.35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12" t="s">
        <v>32</v>
      </c>
    </row>
    <row r="2" spans="1:25" x14ac:dyDescent="0.35">
      <c r="A2" s="11">
        <v>1750</v>
      </c>
      <c r="B2" s="11"/>
      <c r="C2" s="11"/>
      <c r="D2" s="11"/>
      <c r="E2" s="11">
        <v>160.02000000000001</v>
      </c>
      <c r="F2" s="11">
        <v>265.89999999999998</v>
      </c>
      <c r="G2" s="11">
        <v>517.95100000000002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35">
      <c r="A3" s="11">
        <v>1751</v>
      </c>
      <c r="B3" s="11"/>
      <c r="C3" s="11"/>
      <c r="D3" s="11"/>
      <c r="E3" s="11">
        <v>169.90799999999999</v>
      </c>
      <c r="F3" s="11">
        <v>276.30099999999999</v>
      </c>
      <c r="G3" s="11">
        <v>519.23299999999995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35">
      <c r="A4" s="11">
        <v>1752</v>
      </c>
      <c r="B4" s="11"/>
      <c r="C4" s="11"/>
      <c r="D4" s="11"/>
      <c r="E4" s="11">
        <v>170.64</v>
      </c>
      <c r="F4" s="11">
        <v>277.54599999999999</v>
      </c>
      <c r="G4" s="11">
        <v>520.51499999999999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35">
      <c r="A5" s="11">
        <v>1753</v>
      </c>
      <c r="B5" s="11"/>
      <c r="C5" s="11"/>
      <c r="D5" s="11"/>
      <c r="E5" s="11">
        <v>171.36500000000001</v>
      </c>
      <c r="F5" s="11">
        <v>278.78500000000003</v>
      </c>
      <c r="G5" s="11">
        <v>521.79700000000003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35">
      <c r="A6" s="11">
        <v>1754</v>
      </c>
      <c r="B6" s="11"/>
      <c r="C6" s="11"/>
      <c r="D6" s="11"/>
      <c r="E6" s="11">
        <v>172.09399999999999</v>
      </c>
      <c r="F6" s="11">
        <v>280.02699999999999</v>
      </c>
      <c r="G6" s="11">
        <v>523.07899999999995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35">
      <c r="A7" s="11">
        <v>1755</v>
      </c>
      <c r="B7" s="11"/>
      <c r="C7" s="11"/>
      <c r="D7" s="11"/>
      <c r="E7" s="11">
        <v>172.822</v>
      </c>
      <c r="F7" s="11">
        <v>281.267</v>
      </c>
      <c r="G7" s="11">
        <v>524.36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35">
      <c r="A8" s="11">
        <v>1756</v>
      </c>
      <c r="B8" s="11"/>
      <c r="C8" s="11"/>
      <c r="D8" s="11"/>
      <c r="E8" s="11">
        <v>174.31299999999999</v>
      </c>
      <c r="F8" s="11">
        <v>283.27199999999999</v>
      </c>
      <c r="G8" s="11">
        <v>525.64200000000005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35">
      <c r="A9" s="11">
        <v>1757</v>
      </c>
      <c r="B9" s="11"/>
      <c r="C9" s="11"/>
      <c r="D9" s="11"/>
      <c r="E9" s="11">
        <v>175.03899999999999</v>
      </c>
      <c r="F9" s="11">
        <v>284.51100000000002</v>
      </c>
      <c r="G9" s="11">
        <v>526.92399999999998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35">
      <c r="A10" s="11">
        <v>1758</v>
      </c>
      <c r="B10" s="11"/>
      <c r="C10" s="11"/>
      <c r="D10" s="11"/>
      <c r="E10" s="11">
        <v>175.76300000000001</v>
      </c>
      <c r="F10" s="11">
        <v>285.74799999999999</v>
      </c>
      <c r="G10" s="11">
        <v>528.20500000000004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35">
      <c r="A11" s="11">
        <v>1759</v>
      </c>
      <c r="B11" s="11"/>
      <c r="C11" s="11"/>
      <c r="D11" s="11"/>
      <c r="E11" s="11">
        <v>176.48599999999999</v>
      </c>
      <c r="F11" s="11">
        <v>286.98399999999998</v>
      </c>
      <c r="G11" s="11">
        <v>529.48599999999999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35">
      <c r="A12" s="11">
        <v>1760</v>
      </c>
      <c r="B12" s="11"/>
      <c r="C12" s="11"/>
      <c r="D12" s="11"/>
      <c r="E12" s="11">
        <v>177.20400000000001</v>
      </c>
      <c r="F12" s="11">
        <v>288.21499999999997</v>
      </c>
      <c r="G12" s="11">
        <v>530.76800000000003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35">
      <c r="A13" s="11">
        <v>1761</v>
      </c>
      <c r="B13" s="11"/>
      <c r="C13" s="11"/>
      <c r="D13" s="11"/>
      <c r="E13" s="11">
        <v>179.10300000000001</v>
      </c>
      <c r="F13" s="11">
        <v>290.65199999999999</v>
      </c>
      <c r="G13" s="11">
        <v>531.822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35">
      <c r="A14" s="11">
        <v>1762</v>
      </c>
      <c r="B14" s="11"/>
      <c r="C14" s="11"/>
      <c r="D14" s="11"/>
      <c r="E14" s="11">
        <v>179.86500000000001</v>
      </c>
      <c r="F14" s="11">
        <v>291.95100000000002</v>
      </c>
      <c r="G14" s="11">
        <v>532.87599999999998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35">
      <c r="A15" s="11">
        <v>1763</v>
      </c>
      <c r="B15" s="11"/>
      <c r="C15" s="11"/>
      <c r="D15" s="11"/>
      <c r="E15" s="11">
        <v>180.625</v>
      </c>
      <c r="F15" s="11">
        <v>293.24799999999999</v>
      </c>
      <c r="G15" s="11">
        <v>533.92999999999995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35">
      <c r="A16" s="11">
        <v>1764</v>
      </c>
      <c r="B16" s="11"/>
      <c r="C16" s="11"/>
      <c r="D16" s="11"/>
      <c r="E16" s="11">
        <v>181.38399999999999</v>
      </c>
      <c r="F16" s="11">
        <v>294.54500000000002</v>
      </c>
      <c r="G16" s="11">
        <v>534.98400000000004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35">
      <c r="A17" s="11">
        <v>1765</v>
      </c>
      <c r="B17" s="11"/>
      <c r="C17" s="11"/>
      <c r="D17" s="11"/>
      <c r="E17" s="11">
        <v>182.142</v>
      </c>
      <c r="F17" s="11">
        <v>295.83999999999997</v>
      </c>
      <c r="G17" s="11">
        <v>536.03800000000001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35">
      <c r="A18" s="11">
        <v>1766</v>
      </c>
      <c r="B18" s="11"/>
      <c r="C18" s="11"/>
      <c r="D18" s="11"/>
      <c r="E18" s="11">
        <v>184.41200000000001</v>
      </c>
      <c r="F18" s="11">
        <v>298.64600000000002</v>
      </c>
      <c r="G18" s="11">
        <v>537.09199999999998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35">
      <c r="A19" s="11">
        <v>1767</v>
      </c>
      <c r="B19" s="11"/>
      <c r="C19" s="11"/>
      <c r="D19" s="11"/>
      <c r="E19" s="11">
        <v>185.16800000000001</v>
      </c>
      <c r="F19" s="11">
        <v>299.93900000000002</v>
      </c>
      <c r="G19" s="11">
        <v>538.14499999999998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35">
      <c r="A20" s="11">
        <v>1768</v>
      </c>
      <c r="B20" s="11"/>
      <c r="C20" s="11"/>
      <c r="D20" s="11"/>
      <c r="E20" s="11">
        <v>185.922</v>
      </c>
      <c r="F20" s="11">
        <v>301.23099999999999</v>
      </c>
      <c r="G20" s="11">
        <v>539.19899999999996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35">
      <c r="A21" s="11">
        <v>1769</v>
      </c>
      <c r="B21" s="11"/>
      <c r="C21" s="11"/>
      <c r="D21" s="11"/>
      <c r="E21" s="11">
        <v>186.67599999999999</v>
      </c>
      <c r="F21" s="11">
        <v>302.52100000000002</v>
      </c>
      <c r="G21" s="11">
        <v>540.25300000000004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35">
      <c r="A22" s="11">
        <v>1770</v>
      </c>
      <c r="B22" s="11"/>
      <c r="C22" s="11"/>
      <c r="D22" s="11"/>
      <c r="E22" s="11">
        <v>187.428</v>
      </c>
      <c r="F22" s="11">
        <v>303.81</v>
      </c>
      <c r="G22" s="11">
        <v>541.30600000000004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35">
      <c r="A23" s="11">
        <v>1771</v>
      </c>
      <c r="B23" s="11"/>
      <c r="C23" s="11"/>
      <c r="D23" s="11"/>
      <c r="E23" s="11">
        <v>190.084</v>
      </c>
      <c r="F23" s="11">
        <v>307.02800000000002</v>
      </c>
      <c r="G23" s="11">
        <v>546.47400000000005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35">
      <c r="A24" s="11">
        <v>1772</v>
      </c>
      <c r="B24" s="11"/>
      <c r="C24" s="11"/>
      <c r="D24" s="11"/>
      <c r="E24" s="11">
        <v>191.14699999999999</v>
      </c>
      <c r="F24" s="11">
        <v>308.65300000000002</v>
      </c>
      <c r="G24" s="11">
        <v>551.64200000000005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35">
      <c r="A25" s="11">
        <v>1773</v>
      </c>
      <c r="B25" s="11"/>
      <c r="C25" s="11"/>
      <c r="D25" s="11"/>
      <c r="E25" s="11">
        <v>192.209</v>
      </c>
      <c r="F25" s="11">
        <v>310.27699999999999</v>
      </c>
      <c r="G25" s="11">
        <v>556.80899999999997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35">
      <c r="A26" s="11">
        <v>1774</v>
      </c>
      <c r="B26" s="11"/>
      <c r="C26" s="11"/>
      <c r="D26" s="11"/>
      <c r="E26" s="11">
        <v>193.26900000000001</v>
      </c>
      <c r="F26" s="11">
        <v>311.89999999999998</v>
      </c>
      <c r="G26" s="11">
        <v>561.976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35">
      <c r="A27" s="11">
        <v>1775</v>
      </c>
      <c r="B27" s="11"/>
      <c r="C27" s="11"/>
      <c r="D27" s="11"/>
      <c r="E27" s="11">
        <v>194.328</v>
      </c>
      <c r="F27" s="11">
        <v>313.52100000000002</v>
      </c>
      <c r="G27" s="11">
        <v>567.14200000000005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35">
      <c r="A28" s="11">
        <v>1776</v>
      </c>
      <c r="B28" s="11"/>
      <c r="C28" s="11"/>
      <c r="D28" s="11"/>
      <c r="E28" s="11">
        <v>197.065</v>
      </c>
      <c r="F28" s="11">
        <v>316.81900000000002</v>
      </c>
      <c r="G28" s="11">
        <v>572.30799999999999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35">
      <c r="A29" s="11">
        <v>1777</v>
      </c>
      <c r="B29" s="11"/>
      <c r="C29" s="11"/>
      <c r="D29" s="11"/>
      <c r="E29" s="11">
        <v>198.17</v>
      </c>
      <c r="F29" s="11">
        <v>318.48599999999999</v>
      </c>
      <c r="G29" s="11">
        <v>577.47299999999996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35">
      <c r="A30" s="11">
        <v>1778</v>
      </c>
      <c r="B30" s="11"/>
      <c r="C30" s="11"/>
      <c r="D30" s="11"/>
      <c r="E30" s="11">
        <v>199.27600000000001</v>
      </c>
      <c r="F30" s="11">
        <v>320.15300000000002</v>
      </c>
      <c r="G30" s="11">
        <v>582.63800000000003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35">
      <c r="A31" s="11">
        <v>1779</v>
      </c>
      <c r="B31" s="11"/>
      <c r="C31" s="11"/>
      <c r="D31" s="11"/>
      <c r="E31" s="11">
        <v>200.381</v>
      </c>
      <c r="F31" s="11">
        <v>321.82100000000003</v>
      </c>
      <c r="G31" s="11">
        <v>587.803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35">
      <c r="A32" s="11">
        <v>1780</v>
      </c>
      <c r="B32" s="11"/>
      <c r="C32" s="11"/>
      <c r="D32" s="11"/>
      <c r="E32" s="11">
        <v>201.49199999999999</v>
      </c>
      <c r="F32" s="11">
        <v>323.49299999999999</v>
      </c>
      <c r="G32" s="11">
        <v>592.96699999999998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35">
      <c r="A33" s="11">
        <v>1781</v>
      </c>
      <c r="B33" s="11"/>
      <c r="C33" s="11"/>
      <c r="D33" s="11"/>
      <c r="E33" s="11">
        <v>205.01599999999999</v>
      </c>
      <c r="F33" s="11">
        <v>327.60399999999998</v>
      </c>
      <c r="G33" s="11">
        <v>594.87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35">
      <c r="A34" s="11">
        <v>1782</v>
      </c>
      <c r="B34" s="11"/>
      <c r="C34" s="11"/>
      <c r="D34" s="11"/>
      <c r="E34" s="11">
        <v>206.41300000000001</v>
      </c>
      <c r="F34" s="11">
        <v>329.58800000000002</v>
      </c>
      <c r="G34" s="11">
        <v>596.77200000000005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35">
      <c r="A35" s="11">
        <v>1783</v>
      </c>
      <c r="B35" s="11"/>
      <c r="C35" s="11"/>
      <c r="D35" s="11"/>
      <c r="E35" s="11">
        <v>207.815</v>
      </c>
      <c r="F35" s="11">
        <v>331.57799999999997</v>
      </c>
      <c r="G35" s="11">
        <v>598.67399999999998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35">
      <c r="A36" s="11">
        <v>1784</v>
      </c>
      <c r="B36" s="11"/>
      <c r="C36" s="11"/>
      <c r="D36" s="11"/>
      <c r="E36" s="11">
        <v>209.215</v>
      </c>
      <c r="F36" s="11">
        <v>333.56400000000002</v>
      </c>
      <c r="G36" s="11">
        <v>600.57600000000002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35">
      <c r="A37" s="11">
        <v>1785</v>
      </c>
      <c r="B37" s="11"/>
      <c r="C37" s="11"/>
      <c r="D37" s="11"/>
      <c r="E37" s="11">
        <v>210.655</v>
      </c>
      <c r="F37" s="11">
        <v>335.59100000000001</v>
      </c>
      <c r="G37" s="11">
        <v>602.47799999999995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35">
      <c r="A38" s="11">
        <v>1786</v>
      </c>
      <c r="B38" s="11"/>
      <c r="C38" s="11"/>
      <c r="D38" s="11"/>
      <c r="E38" s="11">
        <v>214.77600000000001</v>
      </c>
      <c r="F38" s="11">
        <v>340.29899999999998</v>
      </c>
      <c r="G38" s="11">
        <v>604.38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35">
      <c r="A39" s="11">
        <v>1787</v>
      </c>
      <c r="B39" s="11"/>
      <c r="C39" s="11"/>
      <c r="D39" s="11"/>
      <c r="E39" s="11">
        <v>216.184</v>
      </c>
      <c r="F39" s="11">
        <v>342.29399999999998</v>
      </c>
      <c r="G39" s="11">
        <v>606.28200000000004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35">
      <c r="A40" s="11">
        <v>1788</v>
      </c>
      <c r="B40" s="11"/>
      <c r="C40" s="11"/>
      <c r="D40" s="11"/>
      <c r="E40" s="11">
        <v>217.58799999999999</v>
      </c>
      <c r="F40" s="11">
        <v>344.28500000000003</v>
      </c>
      <c r="G40" s="11">
        <v>608.18299999999999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35">
      <c r="A41" s="11">
        <v>1789</v>
      </c>
      <c r="B41" s="11"/>
      <c r="C41" s="11"/>
      <c r="D41" s="11"/>
      <c r="E41" s="11">
        <v>218.999</v>
      </c>
      <c r="F41" s="11">
        <v>346.28199999999998</v>
      </c>
      <c r="G41" s="11">
        <v>610.08399999999995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35">
      <c r="A42" s="11">
        <v>1790</v>
      </c>
      <c r="B42" s="11"/>
      <c r="C42" s="11"/>
      <c r="D42" s="11"/>
      <c r="E42" s="11">
        <v>220.41</v>
      </c>
      <c r="F42" s="11">
        <v>348.28100000000001</v>
      </c>
      <c r="G42" s="11">
        <v>611.98500000000001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35">
      <c r="A43" s="11">
        <v>1791</v>
      </c>
      <c r="B43" s="11"/>
      <c r="C43" s="11"/>
      <c r="D43" s="11"/>
      <c r="E43" s="11">
        <v>224.58500000000001</v>
      </c>
      <c r="F43" s="11">
        <v>353.06900000000002</v>
      </c>
      <c r="G43" s="11">
        <v>611.70000000000005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35">
      <c r="A44" s="11">
        <v>1792</v>
      </c>
      <c r="B44" s="11"/>
      <c r="C44" s="11"/>
      <c r="D44" s="11"/>
      <c r="E44" s="11">
        <v>226.655</v>
      </c>
      <c r="F44" s="11">
        <v>355.75200000000001</v>
      </c>
      <c r="G44" s="11">
        <v>611.41399999999999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35">
      <c r="A45" s="11">
        <v>1793</v>
      </c>
      <c r="B45" s="11"/>
      <c r="C45" s="11"/>
      <c r="D45" s="11"/>
      <c r="E45" s="11">
        <v>228.178</v>
      </c>
      <c r="F45" s="11">
        <v>357.88900000000001</v>
      </c>
      <c r="G45" s="11">
        <v>611.12900000000002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35">
      <c r="A46" s="11">
        <v>1794</v>
      </c>
      <c r="B46" s="11"/>
      <c r="C46" s="11"/>
      <c r="D46" s="11"/>
      <c r="E46" s="11">
        <v>229.64099999999999</v>
      </c>
      <c r="F46" s="11">
        <v>359.96499999999997</v>
      </c>
      <c r="G46" s="11">
        <v>610.84299999999996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35">
      <c r="A47" s="11">
        <v>1795</v>
      </c>
      <c r="B47" s="11"/>
      <c r="C47" s="11"/>
      <c r="D47" s="11"/>
      <c r="E47" s="11">
        <v>231.15799999999999</v>
      </c>
      <c r="F47" s="11">
        <v>362.09500000000003</v>
      </c>
      <c r="G47" s="11">
        <v>610.55799999999999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35">
      <c r="A48" s="11">
        <v>1796</v>
      </c>
      <c r="B48" s="11"/>
      <c r="C48" s="11"/>
      <c r="D48" s="11"/>
      <c r="E48" s="11">
        <v>233.92599999999999</v>
      </c>
      <c r="F48" s="11">
        <v>365.476</v>
      </c>
      <c r="G48" s="11">
        <v>610.27300000000002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35">
      <c r="A49" s="11">
        <v>1797</v>
      </c>
      <c r="B49" s="11"/>
      <c r="C49" s="11"/>
      <c r="D49" s="11"/>
      <c r="E49" s="11">
        <v>236.79599999999999</v>
      </c>
      <c r="F49" s="11">
        <v>368.959</v>
      </c>
      <c r="G49" s="11">
        <v>609.98699999999997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35">
      <c r="A50" s="11">
        <v>1798</v>
      </c>
      <c r="B50" s="11"/>
      <c r="C50" s="11"/>
      <c r="D50" s="11"/>
      <c r="E50" s="11">
        <v>239.49600000000001</v>
      </c>
      <c r="F50" s="11">
        <v>372.27199999999999</v>
      </c>
      <c r="G50" s="11">
        <v>609.702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35">
      <c r="A51" s="11">
        <v>1799</v>
      </c>
      <c r="B51" s="11"/>
      <c r="C51" s="11"/>
      <c r="D51" s="11"/>
      <c r="E51" s="11">
        <v>242.595</v>
      </c>
      <c r="F51" s="11">
        <v>375.98399999999998</v>
      </c>
      <c r="G51" s="11">
        <v>609.41700000000003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35">
      <c r="A52" s="11">
        <v>1800</v>
      </c>
      <c r="B52" s="11"/>
      <c r="C52" s="11"/>
      <c r="D52" s="11"/>
      <c r="E52" s="11">
        <v>245.667</v>
      </c>
      <c r="F52" s="11">
        <v>380.11799999999999</v>
      </c>
      <c r="G52" s="11">
        <v>609.13199999999995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35">
      <c r="A53" s="11">
        <v>1801</v>
      </c>
      <c r="B53" s="11"/>
      <c r="C53" s="11"/>
      <c r="D53" s="11"/>
      <c r="E53" s="11">
        <v>247.57</v>
      </c>
      <c r="F53" s="11">
        <v>382.70400000000001</v>
      </c>
      <c r="G53" s="11">
        <v>612.87400000000002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35">
      <c r="A54" s="11">
        <v>1802</v>
      </c>
      <c r="B54" s="11"/>
      <c r="C54" s="11"/>
      <c r="D54" s="11"/>
      <c r="E54" s="11">
        <v>258.096</v>
      </c>
      <c r="F54" s="11">
        <v>393.88</v>
      </c>
      <c r="G54" s="11">
        <v>616.61599999999999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35">
      <c r="A55" s="11">
        <v>1803</v>
      </c>
      <c r="B55" s="11"/>
      <c r="C55" s="11"/>
      <c r="D55" s="11"/>
      <c r="E55" s="11">
        <v>262.04300000000001</v>
      </c>
      <c r="F55" s="11">
        <v>398.48200000000003</v>
      </c>
      <c r="G55" s="11">
        <v>620.35699999999997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35">
      <c r="A56" s="11">
        <v>1804</v>
      </c>
      <c r="B56" s="11"/>
      <c r="C56" s="11"/>
      <c r="D56" s="11"/>
      <c r="E56" s="11">
        <v>265.67599999999999</v>
      </c>
      <c r="F56" s="11">
        <v>402.75299999999999</v>
      </c>
      <c r="G56" s="11">
        <v>624.09799999999996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35">
      <c r="A57" s="11">
        <v>1805</v>
      </c>
      <c r="B57" s="11"/>
      <c r="C57" s="11"/>
      <c r="D57" s="11"/>
      <c r="E57" s="11">
        <v>268.14400000000001</v>
      </c>
      <c r="F57" s="11">
        <v>405.98899999999998</v>
      </c>
      <c r="G57" s="11">
        <v>627.83799999999997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35">
      <c r="A58" s="11">
        <v>1806</v>
      </c>
      <c r="B58" s="11"/>
      <c r="C58" s="11"/>
      <c r="D58" s="11"/>
      <c r="E58" s="11">
        <v>272.11099999999999</v>
      </c>
      <c r="F58" s="11">
        <v>410.541</v>
      </c>
      <c r="G58" s="11">
        <v>631.57799999999997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35">
      <c r="A59" s="11">
        <v>1807</v>
      </c>
      <c r="B59" s="11"/>
      <c r="C59" s="11"/>
      <c r="D59" s="11"/>
      <c r="E59" s="11">
        <v>276.447</v>
      </c>
      <c r="F59" s="11">
        <v>415.36099999999999</v>
      </c>
      <c r="G59" s="11">
        <v>635.31799999999998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35">
      <c r="A60" s="11">
        <v>1808</v>
      </c>
      <c r="B60" s="11"/>
      <c r="C60" s="11"/>
      <c r="D60" s="11"/>
      <c r="E60" s="11">
        <v>276.26400000000001</v>
      </c>
      <c r="F60" s="11">
        <v>415.95699999999999</v>
      </c>
      <c r="G60" s="11">
        <v>639.05700000000002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35">
      <c r="A61" s="11">
        <v>1809</v>
      </c>
      <c r="B61" s="11"/>
      <c r="C61" s="11"/>
      <c r="D61" s="11"/>
      <c r="E61" s="11">
        <v>278.29000000000002</v>
      </c>
      <c r="F61" s="11">
        <v>418.59300000000002</v>
      </c>
      <c r="G61" s="11">
        <v>642.79499999999996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35">
      <c r="A62" s="11">
        <v>1810</v>
      </c>
      <c r="B62" s="11"/>
      <c r="C62" s="11"/>
      <c r="D62" s="11"/>
      <c r="E62" s="11">
        <v>281.20499999999998</v>
      </c>
      <c r="F62" s="11">
        <v>422.255</v>
      </c>
      <c r="G62" s="11">
        <v>646.53399999999999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35">
      <c r="A63" s="11">
        <v>1811</v>
      </c>
      <c r="B63" s="11"/>
      <c r="C63" s="11"/>
      <c r="D63" s="11"/>
      <c r="E63" s="11">
        <v>286.83699999999999</v>
      </c>
      <c r="F63" s="11">
        <v>428.75099999999998</v>
      </c>
      <c r="G63" s="11">
        <v>647.66700000000003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35">
      <c r="A64" s="11">
        <v>1812</v>
      </c>
      <c r="B64" s="11"/>
      <c r="C64" s="11"/>
      <c r="D64" s="11"/>
      <c r="E64" s="11">
        <v>291.77100000000002</v>
      </c>
      <c r="F64" s="11">
        <v>434.375</v>
      </c>
      <c r="G64" s="11">
        <v>648.79999999999995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35">
      <c r="A65" s="11">
        <v>1813</v>
      </c>
      <c r="B65" s="11"/>
      <c r="C65" s="11"/>
      <c r="D65" s="11"/>
      <c r="E65" s="11">
        <v>295.12</v>
      </c>
      <c r="F65" s="11">
        <v>438.483</v>
      </c>
      <c r="G65" s="11">
        <v>649.93200000000002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35">
      <c r="A66" s="11">
        <v>1814</v>
      </c>
      <c r="B66" s="11"/>
      <c r="C66" s="11"/>
      <c r="D66" s="11"/>
      <c r="E66" s="11">
        <v>299.10399999999998</v>
      </c>
      <c r="F66" s="11">
        <v>443.43900000000002</v>
      </c>
      <c r="G66" s="11">
        <v>651.06500000000005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35">
      <c r="A67" s="11">
        <v>1815</v>
      </c>
      <c r="B67" s="11"/>
      <c r="C67" s="11"/>
      <c r="D67" s="11"/>
      <c r="E67" s="11">
        <v>303.69799999999998</v>
      </c>
      <c r="F67" s="11">
        <v>448.96899999999999</v>
      </c>
      <c r="G67" s="11">
        <v>652.19799999999998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35">
      <c r="A68" s="11">
        <v>1816</v>
      </c>
      <c r="B68" s="11"/>
      <c r="C68" s="11"/>
      <c r="D68" s="11"/>
      <c r="E68" s="11">
        <v>311.642</v>
      </c>
      <c r="F68" s="11">
        <v>457.84899999999999</v>
      </c>
      <c r="G68" s="11">
        <v>653.33000000000004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35">
      <c r="A69" s="11">
        <v>1817</v>
      </c>
      <c r="B69" s="11"/>
      <c r="C69" s="11"/>
      <c r="D69" s="11"/>
      <c r="E69" s="11">
        <v>316.72800000000001</v>
      </c>
      <c r="F69" s="11">
        <v>463.846</v>
      </c>
      <c r="G69" s="11">
        <v>654.46199999999999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35">
      <c r="A70" s="11">
        <v>1818</v>
      </c>
      <c r="B70" s="11"/>
      <c r="C70" s="11"/>
      <c r="D70" s="11"/>
      <c r="E70" s="11">
        <v>319.74700000000001</v>
      </c>
      <c r="F70" s="11">
        <v>467.9</v>
      </c>
      <c r="G70" s="11">
        <v>655.59400000000005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35">
      <c r="A71" s="11">
        <v>1819</v>
      </c>
      <c r="B71" s="11"/>
      <c r="C71" s="11"/>
      <c r="D71" s="11"/>
      <c r="E71" s="11">
        <v>323.11200000000002</v>
      </c>
      <c r="F71" s="11">
        <v>471.92099999999999</v>
      </c>
      <c r="G71" s="11">
        <v>656.726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35">
      <c r="A72" s="11">
        <v>1820</v>
      </c>
      <c r="B72" s="11"/>
      <c r="C72" s="11"/>
      <c r="D72" s="11"/>
      <c r="E72" s="11">
        <v>327.072</v>
      </c>
      <c r="F72" s="11">
        <v>476.70600000000002</v>
      </c>
      <c r="G72" s="11">
        <v>657.85799999999995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35">
      <c r="A73" s="11">
        <v>1821</v>
      </c>
      <c r="B73" s="11"/>
      <c r="C73" s="11"/>
      <c r="D73" s="11"/>
      <c r="E73" s="11">
        <v>331.26900000000001</v>
      </c>
      <c r="F73" s="11">
        <v>482.07</v>
      </c>
      <c r="G73" s="11">
        <v>661.63499999999999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35">
      <c r="A74" s="11">
        <v>1822</v>
      </c>
      <c r="B74" s="11"/>
      <c r="C74" s="11"/>
      <c r="D74" s="11"/>
      <c r="E74" s="11">
        <v>336.99700000000001</v>
      </c>
      <c r="F74" s="11">
        <v>488.96300000000002</v>
      </c>
      <c r="G74" s="11">
        <v>665.41200000000003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35">
      <c r="A75" s="11">
        <v>1823</v>
      </c>
      <c r="B75" s="11"/>
      <c r="C75" s="11"/>
      <c r="D75" s="11"/>
      <c r="E75" s="11">
        <v>343.67</v>
      </c>
      <c r="F75" s="11">
        <v>497.05500000000001</v>
      </c>
      <c r="G75" s="11">
        <v>669.18899999999996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35">
      <c r="A76" s="11">
        <v>1824</v>
      </c>
      <c r="B76" s="11"/>
      <c r="C76" s="11"/>
      <c r="D76" s="11"/>
      <c r="E76" s="11">
        <v>349.40699999999998</v>
      </c>
      <c r="F76" s="11">
        <v>503.928</v>
      </c>
      <c r="G76" s="11">
        <v>672.96500000000003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35">
      <c r="A77" s="11">
        <v>1825</v>
      </c>
      <c r="B77" s="11"/>
      <c r="C77" s="11"/>
      <c r="D77" s="11"/>
      <c r="E77" s="11">
        <v>355.45699999999999</v>
      </c>
      <c r="F77" s="11">
        <v>511.11</v>
      </c>
      <c r="G77" s="11">
        <v>676.74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35">
      <c r="A78" s="11">
        <v>1826</v>
      </c>
      <c r="B78" s="11"/>
      <c r="C78" s="11"/>
      <c r="D78" s="11"/>
      <c r="E78" s="11">
        <v>359.78199999999998</v>
      </c>
      <c r="F78" s="11">
        <v>516.39300000000003</v>
      </c>
      <c r="G78" s="11">
        <v>680.51400000000001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35">
      <c r="A79" s="11">
        <v>1827</v>
      </c>
      <c r="B79" s="11"/>
      <c r="C79" s="11"/>
      <c r="D79" s="11"/>
      <c r="E79" s="11">
        <v>368.73</v>
      </c>
      <c r="F79" s="11">
        <v>526.51199999999994</v>
      </c>
      <c r="G79" s="11">
        <v>684.28800000000001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35">
      <c r="A80" s="11">
        <v>1828</v>
      </c>
      <c r="B80" s="11"/>
      <c r="C80" s="11"/>
      <c r="D80" s="11"/>
      <c r="E80" s="11">
        <v>373.125</v>
      </c>
      <c r="F80" s="11">
        <v>531.87099999999998</v>
      </c>
      <c r="G80" s="11">
        <v>688.06100000000004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35">
      <c r="A81" s="11">
        <v>1829</v>
      </c>
      <c r="B81" s="11"/>
      <c r="C81" s="11"/>
      <c r="D81" s="11"/>
      <c r="E81" s="11">
        <v>376.37200000000001</v>
      </c>
      <c r="F81" s="11">
        <v>536.03399999999999</v>
      </c>
      <c r="G81" s="11">
        <v>691.83399999999995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35">
      <c r="A82" s="11">
        <v>1830</v>
      </c>
      <c r="B82" s="11"/>
      <c r="C82" s="11"/>
      <c r="D82" s="11"/>
      <c r="E82" s="11">
        <v>400.49900000000002</v>
      </c>
      <c r="F82" s="11">
        <v>561.29999999999995</v>
      </c>
      <c r="G82" s="11">
        <v>695.61400000000003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35">
      <c r="A83" s="11">
        <v>1831</v>
      </c>
      <c r="B83" s="11"/>
      <c r="C83" s="11"/>
      <c r="D83" s="11"/>
      <c r="E83" s="11">
        <v>399.23099999999999</v>
      </c>
      <c r="F83" s="11">
        <v>561.74300000000005</v>
      </c>
      <c r="G83" s="11">
        <v>698.52200000000005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35">
      <c r="A84" s="11">
        <v>1832</v>
      </c>
      <c r="B84" s="11"/>
      <c r="C84" s="11"/>
      <c r="D84" s="11"/>
      <c r="E84" s="11">
        <v>403.84699999999998</v>
      </c>
      <c r="F84" s="11">
        <v>568.55499999999995</v>
      </c>
      <c r="G84" s="11">
        <v>701.42499999999995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35">
      <c r="A85" s="11">
        <v>1833</v>
      </c>
      <c r="B85" s="11"/>
      <c r="C85" s="11"/>
      <c r="D85" s="11"/>
      <c r="E85" s="11">
        <v>409.98399999999998</v>
      </c>
      <c r="F85" s="11">
        <v>576.66600000000005</v>
      </c>
      <c r="G85" s="11">
        <v>704.33199999999999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35">
      <c r="A86" s="11">
        <v>1834</v>
      </c>
      <c r="B86" s="11"/>
      <c r="C86" s="11"/>
      <c r="D86" s="11"/>
      <c r="E86" s="11">
        <v>416.15100000000001</v>
      </c>
      <c r="F86" s="11">
        <v>584.84500000000003</v>
      </c>
      <c r="G86" s="11">
        <v>707.23800000000006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35">
      <c r="A87" s="11">
        <v>1835</v>
      </c>
      <c r="B87" s="11"/>
      <c r="C87" s="11"/>
      <c r="D87" s="11"/>
      <c r="E87" s="11">
        <v>422.62</v>
      </c>
      <c r="F87" s="11">
        <v>593.33199999999999</v>
      </c>
      <c r="G87" s="11">
        <v>710.14300000000003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35">
      <c r="A88" s="11">
        <v>1836</v>
      </c>
      <c r="B88" s="11"/>
      <c r="C88" s="11"/>
      <c r="D88" s="11"/>
      <c r="E88" s="11">
        <v>443.68900000000002</v>
      </c>
      <c r="F88" s="11">
        <v>616.55999999999995</v>
      </c>
      <c r="G88" s="11">
        <v>713.05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35">
      <c r="A89" s="11">
        <v>1837</v>
      </c>
      <c r="B89" s="11"/>
      <c r="C89" s="11"/>
      <c r="D89" s="11"/>
      <c r="E89" s="11">
        <v>447.63299999999998</v>
      </c>
      <c r="F89" s="11">
        <v>622.548</v>
      </c>
      <c r="G89" s="11">
        <v>715.95399999999995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35">
      <c r="A90" s="11">
        <v>1838</v>
      </c>
      <c r="B90" s="11"/>
      <c r="C90" s="11"/>
      <c r="D90" s="11"/>
      <c r="E90" s="11">
        <v>455.45600000000002</v>
      </c>
      <c r="F90" s="11">
        <v>632.43499999999995</v>
      </c>
      <c r="G90" s="11">
        <v>718.85799999999995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35">
      <c r="A91" s="11">
        <v>1839</v>
      </c>
      <c r="B91" s="11"/>
      <c r="C91" s="11"/>
      <c r="D91" s="11"/>
      <c r="E91" s="11">
        <v>463.38299999999998</v>
      </c>
      <c r="F91" s="11">
        <v>642.49</v>
      </c>
      <c r="G91" s="11">
        <v>721.76099999999997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35">
      <c r="A92" s="11">
        <v>1840</v>
      </c>
      <c r="B92" s="11"/>
      <c r="C92" s="11"/>
      <c r="D92" s="11"/>
      <c r="E92" s="11">
        <v>475.70400000000001</v>
      </c>
      <c r="F92" s="11">
        <v>657.06500000000005</v>
      </c>
      <c r="G92" s="11">
        <v>724.66499999999996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35">
      <c r="A93" s="11">
        <v>1841</v>
      </c>
      <c r="B93" s="11"/>
      <c r="C93" s="11"/>
      <c r="D93" s="11"/>
      <c r="E93" s="11">
        <v>483.81099999999998</v>
      </c>
      <c r="F93" s="11">
        <v>666.577</v>
      </c>
      <c r="G93" s="11">
        <v>727.78399999999999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35">
      <c r="A94" s="11">
        <v>1842</v>
      </c>
      <c r="B94" s="11"/>
      <c r="C94" s="11"/>
      <c r="D94" s="11"/>
      <c r="E94" s="11">
        <v>495.69400000000002</v>
      </c>
      <c r="F94" s="11">
        <v>679.76499999999999</v>
      </c>
      <c r="G94" s="11">
        <v>730.904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35">
      <c r="A95" s="11">
        <v>1843</v>
      </c>
      <c r="B95" s="11"/>
      <c r="C95" s="11"/>
      <c r="D95" s="11"/>
      <c r="E95" s="11">
        <v>503.28300000000002</v>
      </c>
      <c r="F95" s="11">
        <v>688.52300000000002</v>
      </c>
      <c r="G95" s="11">
        <v>734.02200000000005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35">
      <c r="A96" s="11">
        <v>1844</v>
      </c>
      <c r="B96" s="11"/>
      <c r="C96" s="11"/>
      <c r="D96" s="11"/>
      <c r="E96" s="11">
        <v>517.13400000000001</v>
      </c>
      <c r="F96" s="11">
        <v>703.84500000000003</v>
      </c>
      <c r="G96" s="11">
        <v>737.14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35">
      <c r="A97" s="11">
        <v>1845</v>
      </c>
      <c r="B97" s="11"/>
      <c r="C97" s="11"/>
      <c r="D97" s="11"/>
      <c r="E97" s="11">
        <v>537.58399999999995</v>
      </c>
      <c r="F97" s="11">
        <v>725.84299999999996</v>
      </c>
      <c r="G97" s="11">
        <v>740.25800000000004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35">
      <c r="A98" s="11">
        <v>1846</v>
      </c>
      <c r="B98" s="11"/>
      <c r="C98" s="11"/>
      <c r="D98" s="11"/>
      <c r="E98" s="11">
        <v>544.49699999999996</v>
      </c>
      <c r="F98" s="11">
        <v>734.11099999999999</v>
      </c>
      <c r="G98" s="11">
        <v>743.375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35">
      <c r="A99" s="11">
        <v>1847</v>
      </c>
      <c r="B99" s="11"/>
      <c r="C99" s="11"/>
      <c r="D99" s="11"/>
      <c r="E99" s="11">
        <v>566.09500000000003</v>
      </c>
      <c r="F99" s="11">
        <v>757.10400000000004</v>
      </c>
      <c r="G99" s="11">
        <v>746.49300000000005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35">
      <c r="A100" s="11">
        <v>1848</v>
      </c>
      <c r="B100" s="11"/>
      <c r="C100" s="11"/>
      <c r="D100" s="11"/>
      <c r="E100" s="11">
        <v>571.226</v>
      </c>
      <c r="F100" s="11">
        <v>763.3</v>
      </c>
      <c r="G100" s="11">
        <v>749.60900000000004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35">
      <c r="A101" s="11">
        <v>1849</v>
      </c>
      <c r="B101" s="11"/>
      <c r="C101" s="11"/>
      <c r="D101" s="11"/>
      <c r="E101" s="11">
        <v>586.65800000000002</v>
      </c>
      <c r="F101" s="11">
        <v>779.899</v>
      </c>
      <c r="G101" s="11">
        <v>752.72500000000002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35">
      <c r="A102" s="11">
        <v>1850</v>
      </c>
      <c r="B102" s="11">
        <v>375.32400000000001</v>
      </c>
      <c r="C102" s="11">
        <v>451.71899999999999</v>
      </c>
      <c r="D102" s="11">
        <v>230.60499999999999</v>
      </c>
      <c r="E102" s="11">
        <v>608.53800000000001</v>
      </c>
      <c r="F102" s="11">
        <v>805.61</v>
      </c>
      <c r="G102" s="11">
        <v>757.79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35">
      <c r="A103" s="11">
        <v>1851</v>
      </c>
      <c r="B103" s="11">
        <v>377.22199999999998</v>
      </c>
      <c r="C103" s="11">
        <v>454.87900000000002</v>
      </c>
      <c r="D103" s="11">
        <v>230.577</v>
      </c>
      <c r="E103" s="11">
        <v>614.06500000000005</v>
      </c>
      <c r="F103" s="11">
        <v>813.995</v>
      </c>
      <c r="G103" s="11">
        <v>759.21299999999997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35">
      <c r="A104" s="11">
        <v>1852</v>
      </c>
      <c r="B104" s="11">
        <v>387.49099999999999</v>
      </c>
      <c r="C104" s="11">
        <v>466.75900000000001</v>
      </c>
      <c r="D104" s="11">
        <v>230.70400000000001</v>
      </c>
      <c r="E104" s="11">
        <v>627.67999999999995</v>
      </c>
      <c r="F104" s="11">
        <v>830.76099999999997</v>
      </c>
      <c r="G104" s="11">
        <v>760.70899999999995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35">
      <c r="A105" s="11">
        <v>1853</v>
      </c>
      <c r="B105" s="11">
        <v>400.15199999999999</v>
      </c>
      <c r="C105" s="11">
        <v>480.44099999999997</v>
      </c>
      <c r="D105" s="11">
        <v>230.70699999999999</v>
      </c>
      <c r="E105" s="11">
        <v>643.59299999999996</v>
      </c>
      <c r="F105" s="11">
        <v>849.23</v>
      </c>
      <c r="G105" s="11">
        <v>762.197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35">
      <c r="A106" s="11">
        <v>1854</v>
      </c>
      <c r="B106" s="11">
        <v>445.60500000000002</v>
      </c>
      <c r="C106" s="11">
        <v>527.31100000000004</v>
      </c>
      <c r="D106" s="11">
        <v>230.666</v>
      </c>
      <c r="E106" s="11">
        <v>692.77700000000004</v>
      </c>
      <c r="F106" s="11">
        <v>901.346</v>
      </c>
      <c r="G106" s="11">
        <v>763.66399999999999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35">
      <c r="A107" s="11">
        <v>1855</v>
      </c>
      <c r="B107" s="11">
        <v>451.43700000000001</v>
      </c>
      <c r="C107" s="11">
        <v>535.24400000000003</v>
      </c>
      <c r="D107" s="11">
        <v>230.934</v>
      </c>
      <c r="E107" s="11">
        <v>701.78099999999995</v>
      </c>
      <c r="F107" s="11">
        <v>913.68</v>
      </c>
      <c r="G107" s="11">
        <v>765.09799999999996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35">
      <c r="A108" s="11">
        <v>1856</v>
      </c>
      <c r="B108" s="11">
        <v>472.505</v>
      </c>
      <c r="C108" s="11">
        <v>557.57100000000003</v>
      </c>
      <c r="D108" s="11">
        <v>231.73500000000001</v>
      </c>
      <c r="E108" s="11">
        <v>725.99</v>
      </c>
      <c r="F108" s="11">
        <v>940.88599999999997</v>
      </c>
      <c r="G108" s="11">
        <v>766.46500000000003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35">
      <c r="A109" s="11">
        <v>1857</v>
      </c>
      <c r="B109" s="11">
        <v>476.11099999999999</v>
      </c>
      <c r="C109" s="11">
        <v>562.51499999999999</v>
      </c>
      <c r="D109" s="11">
        <v>232.11199999999999</v>
      </c>
      <c r="E109" s="11">
        <v>732.44100000000003</v>
      </c>
      <c r="F109" s="11">
        <v>950.09900000000005</v>
      </c>
      <c r="G109" s="11">
        <v>767.81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35">
      <c r="A110" s="11">
        <v>1858</v>
      </c>
      <c r="B110" s="11">
        <v>479.73500000000001</v>
      </c>
      <c r="C110" s="11">
        <v>568.36300000000006</v>
      </c>
      <c r="D110" s="11">
        <v>232.80600000000001</v>
      </c>
      <c r="E110" s="11">
        <v>738.92499999999995</v>
      </c>
      <c r="F110" s="11">
        <v>959.83399999999995</v>
      </c>
      <c r="G110" s="11">
        <v>769.60299999999995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35">
      <c r="A111" s="11">
        <v>1859</v>
      </c>
      <c r="B111" s="11">
        <v>501.61599999999999</v>
      </c>
      <c r="C111" s="11">
        <v>590.79499999999996</v>
      </c>
      <c r="D111" s="11">
        <v>232.95</v>
      </c>
      <c r="E111" s="11">
        <v>762.94600000000003</v>
      </c>
      <c r="F111" s="11">
        <v>985.66600000000005</v>
      </c>
      <c r="G111" s="11">
        <v>771.13400000000001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35">
      <c r="A112" s="11">
        <v>1860</v>
      </c>
      <c r="B112" s="11">
        <v>536.45799999999997</v>
      </c>
      <c r="C112" s="11">
        <v>627.41</v>
      </c>
      <c r="D112" s="11">
        <v>233.31399999999999</v>
      </c>
      <c r="E112" s="11">
        <v>800.30799999999999</v>
      </c>
      <c r="F112" s="11">
        <v>1026.0840000000001</v>
      </c>
      <c r="G112" s="11">
        <v>772.31899999999996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35">
      <c r="A113" s="11">
        <v>1861</v>
      </c>
      <c r="B113" s="11">
        <v>555.28399999999999</v>
      </c>
      <c r="C113" s="11">
        <v>648.15700000000004</v>
      </c>
      <c r="D113" s="11">
        <v>233.66800000000001</v>
      </c>
      <c r="E113" s="11">
        <v>822.72</v>
      </c>
      <c r="F113" s="11">
        <v>1051.491</v>
      </c>
      <c r="G113" s="11">
        <v>774.23699999999997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35">
      <c r="A114" s="11">
        <v>1862</v>
      </c>
      <c r="B114" s="11">
        <v>561.01700000000005</v>
      </c>
      <c r="C114" s="11">
        <v>656.71900000000005</v>
      </c>
      <c r="D114" s="11">
        <v>234.24799999999999</v>
      </c>
      <c r="E114" s="11">
        <v>830.75199999999995</v>
      </c>
      <c r="F114" s="11">
        <v>1063.403</v>
      </c>
      <c r="G114" s="11">
        <v>776.34699999999998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35">
      <c r="A115" s="11">
        <v>1863</v>
      </c>
      <c r="B115" s="11">
        <v>586.74</v>
      </c>
      <c r="C115" s="11">
        <v>685.35900000000004</v>
      </c>
      <c r="D115" s="11">
        <v>236.23400000000001</v>
      </c>
      <c r="E115" s="11">
        <v>858.82600000000002</v>
      </c>
      <c r="F115" s="11">
        <v>1095.463</v>
      </c>
      <c r="G115" s="11">
        <v>780.005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35">
      <c r="A116" s="11">
        <v>1864</v>
      </c>
      <c r="B116" s="11">
        <v>619.49400000000003</v>
      </c>
      <c r="C116" s="11">
        <v>720.93</v>
      </c>
      <c r="D116" s="11">
        <v>237.09800000000001</v>
      </c>
      <c r="E116" s="11">
        <v>894.26400000000001</v>
      </c>
      <c r="F116" s="11">
        <v>1134.7919999999999</v>
      </c>
      <c r="G116" s="11">
        <v>782.03599999999994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35">
      <c r="A117" s="11">
        <v>1865</v>
      </c>
      <c r="B117" s="11">
        <v>646.90800000000002</v>
      </c>
      <c r="C117" s="11">
        <v>751.33799999999997</v>
      </c>
      <c r="D117" s="11">
        <v>237.714</v>
      </c>
      <c r="E117" s="11">
        <v>924.596</v>
      </c>
      <c r="F117" s="11">
        <v>1169.174</v>
      </c>
      <c r="G117" s="11">
        <v>784.07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35">
      <c r="A118" s="11">
        <v>1866</v>
      </c>
      <c r="B118" s="11">
        <v>662.58799999999997</v>
      </c>
      <c r="C118" s="11">
        <v>770.40599999999995</v>
      </c>
      <c r="D118" s="11">
        <v>239.00899999999999</v>
      </c>
      <c r="E118" s="11">
        <v>942.20600000000002</v>
      </c>
      <c r="F118" s="11">
        <v>1191.2809999999999</v>
      </c>
      <c r="G118" s="11">
        <v>786.47199999999998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35">
      <c r="A119" s="11">
        <v>1867</v>
      </c>
      <c r="B119" s="11">
        <v>694.86300000000006</v>
      </c>
      <c r="C119" s="11">
        <v>806.14599999999996</v>
      </c>
      <c r="D119" s="11">
        <v>238.88900000000001</v>
      </c>
      <c r="E119" s="11">
        <v>978.49599999999998</v>
      </c>
      <c r="F119" s="11">
        <v>1232.0899999999999</v>
      </c>
      <c r="G119" s="11">
        <v>788.54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35">
      <c r="A120" s="11">
        <v>1868</v>
      </c>
      <c r="B120" s="11">
        <v>707.63</v>
      </c>
      <c r="C120" s="11">
        <v>821.87199999999996</v>
      </c>
      <c r="D120" s="11">
        <v>239.57</v>
      </c>
      <c r="E120" s="11">
        <v>994.07100000000003</v>
      </c>
      <c r="F120" s="11">
        <v>1251.6780000000001</v>
      </c>
      <c r="G120" s="11">
        <v>790.65599999999995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35">
      <c r="A121" s="11">
        <v>1869</v>
      </c>
      <c r="B121" s="11">
        <v>740.26800000000003</v>
      </c>
      <c r="C121" s="11">
        <v>857.68299999999999</v>
      </c>
      <c r="D121" s="11">
        <v>240.029</v>
      </c>
      <c r="E121" s="11">
        <v>1029.2729999999999</v>
      </c>
      <c r="F121" s="11">
        <v>1291.1510000000001</v>
      </c>
      <c r="G121" s="11">
        <v>793.03200000000004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35">
      <c r="A122" s="11">
        <v>1870</v>
      </c>
      <c r="B122" s="11">
        <v>749.83199999999999</v>
      </c>
      <c r="C122" s="11">
        <v>870.18200000000002</v>
      </c>
      <c r="D122" s="11">
        <v>241.84399999999999</v>
      </c>
      <c r="E122" s="11">
        <v>1042.057</v>
      </c>
      <c r="F122" s="11">
        <v>1307.9549999999999</v>
      </c>
      <c r="G122" s="11">
        <v>796.52700000000004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35">
      <c r="A123" s="11">
        <v>1871</v>
      </c>
      <c r="B123" s="11">
        <v>781.98</v>
      </c>
      <c r="C123" s="11">
        <v>908.30799999999999</v>
      </c>
      <c r="D123" s="11">
        <v>243.71100000000001</v>
      </c>
      <c r="E123" s="11">
        <v>1079.5609999999999</v>
      </c>
      <c r="F123" s="11">
        <v>1353.4960000000001</v>
      </c>
      <c r="G123" s="11">
        <v>802.029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35">
      <c r="A124" s="11">
        <v>1872</v>
      </c>
      <c r="B124" s="11">
        <v>849.23900000000003</v>
      </c>
      <c r="C124" s="11">
        <v>979.34699999999998</v>
      </c>
      <c r="D124" s="11">
        <v>245.60599999999999</v>
      </c>
      <c r="E124" s="11">
        <v>1154.4829999999999</v>
      </c>
      <c r="F124" s="11">
        <v>1434.66</v>
      </c>
      <c r="G124" s="11">
        <v>807.56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35">
      <c r="A125" s="11">
        <v>1873</v>
      </c>
      <c r="B125" s="11">
        <v>892.27</v>
      </c>
      <c r="C125" s="11">
        <v>1025.691</v>
      </c>
      <c r="D125" s="11">
        <v>247.303</v>
      </c>
      <c r="E125" s="11">
        <v>1204.9960000000001</v>
      </c>
      <c r="F125" s="11">
        <v>1491.268</v>
      </c>
      <c r="G125" s="11">
        <v>813.81500000000005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35">
      <c r="A126" s="11">
        <v>1874</v>
      </c>
      <c r="B126" s="11">
        <v>841.85400000000004</v>
      </c>
      <c r="C126" s="11">
        <v>979.99300000000005</v>
      </c>
      <c r="D126" s="11">
        <v>249.37700000000001</v>
      </c>
      <c r="E126" s="11">
        <v>1158.748</v>
      </c>
      <c r="F126" s="11">
        <v>1452.8920000000001</v>
      </c>
      <c r="G126" s="11">
        <v>820.67200000000003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35">
      <c r="A127" s="11">
        <v>1875</v>
      </c>
      <c r="B127" s="11">
        <v>900.45</v>
      </c>
      <c r="C127" s="11">
        <v>1040.9290000000001</v>
      </c>
      <c r="D127" s="11">
        <v>250.50700000000001</v>
      </c>
      <c r="E127" s="11">
        <v>1228.32</v>
      </c>
      <c r="F127" s="11">
        <v>1527.9749999999999</v>
      </c>
      <c r="G127" s="11">
        <v>827.71100000000001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35">
      <c r="A128" s="11">
        <v>1876</v>
      </c>
      <c r="B128" s="11">
        <v>901.48299999999995</v>
      </c>
      <c r="C128" s="11">
        <v>1053.1420000000001</v>
      </c>
      <c r="D128" s="11">
        <v>252.14699999999999</v>
      </c>
      <c r="E128" s="11">
        <v>1237.194</v>
      </c>
      <c r="F128" s="11">
        <v>1551.845</v>
      </c>
      <c r="G128" s="11">
        <v>834.92899999999997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35">
      <c r="A129" s="11">
        <v>1877</v>
      </c>
      <c r="B129" s="11">
        <v>917.68600000000004</v>
      </c>
      <c r="C129" s="11">
        <v>1070.25</v>
      </c>
      <c r="D129" s="11">
        <v>253.51900000000001</v>
      </c>
      <c r="E129" s="11">
        <v>1261.0409999999999</v>
      </c>
      <c r="F129" s="11">
        <v>1579.68</v>
      </c>
      <c r="G129" s="11">
        <v>841.78099999999995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35">
      <c r="A130" s="11">
        <v>1878</v>
      </c>
      <c r="B130" s="11">
        <v>916.96400000000006</v>
      </c>
      <c r="C130" s="11">
        <v>1075.376</v>
      </c>
      <c r="D130" s="11">
        <v>257.58800000000002</v>
      </c>
      <c r="E130" s="11">
        <v>1266.164</v>
      </c>
      <c r="F130" s="11">
        <v>1593.749</v>
      </c>
      <c r="G130" s="11">
        <v>849.12699999999995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35">
      <c r="A131" s="11">
        <v>1879</v>
      </c>
      <c r="B131" s="11">
        <v>969.42100000000005</v>
      </c>
      <c r="C131" s="11">
        <v>1132.7739999999999</v>
      </c>
      <c r="D131" s="11">
        <v>259.09300000000002</v>
      </c>
      <c r="E131" s="11">
        <v>1327.404</v>
      </c>
      <c r="F131" s="11">
        <v>1662.72</v>
      </c>
      <c r="G131" s="11">
        <v>855.10400000000004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35">
      <c r="A132" s="11">
        <v>1880</v>
      </c>
      <c r="B132" s="11">
        <v>1075.5450000000001</v>
      </c>
      <c r="C132" s="11">
        <v>1243.577</v>
      </c>
      <c r="D132" s="11">
        <v>261.38499999999999</v>
      </c>
      <c r="E132" s="11">
        <v>1445.9949999999999</v>
      </c>
      <c r="F132" s="11">
        <v>1788.386</v>
      </c>
      <c r="G132" s="11">
        <v>861.13800000000003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35">
      <c r="A133" s="11">
        <v>1881</v>
      </c>
      <c r="B133" s="11">
        <v>1108</v>
      </c>
      <c r="C133" s="11">
        <v>1279.3920000000001</v>
      </c>
      <c r="D133" s="11">
        <v>263.50900000000001</v>
      </c>
      <c r="E133" s="11">
        <v>1479.886</v>
      </c>
      <c r="F133" s="11">
        <v>1827.924</v>
      </c>
      <c r="G133" s="11">
        <v>868.73699999999997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35">
      <c r="A134" s="11">
        <v>1882</v>
      </c>
      <c r="B134" s="11">
        <v>1160.296</v>
      </c>
      <c r="C134" s="11">
        <v>1335.271</v>
      </c>
      <c r="D134" s="11">
        <v>265.94200000000001</v>
      </c>
      <c r="E134" s="11">
        <v>1539.327</v>
      </c>
      <c r="F134" s="11">
        <v>1893.165</v>
      </c>
      <c r="G134" s="11">
        <v>876.74800000000005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35">
      <c r="A135" s="11">
        <v>1883</v>
      </c>
      <c r="B135" s="11">
        <v>1218.8150000000001</v>
      </c>
      <c r="C135" s="11">
        <v>1402.26</v>
      </c>
      <c r="D135" s="11">
        <v>268.62599999999998</v>
      </c>
      <c r="E135" s="11">
        <v>1604.223</v>
      </c>
      <c r="F135" s="11">
        <v>1968.845</v>
      </c>
      <c r="G135" s="11">
        <v>884.83900000000006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35">
      <c r="A136" s="11">
        <v>1884</v>
      </c>
      <c r="B136" s="11">
        <v>1226.058</v>
      </c>
      <c r="C136" s="11">
        <v>1413.7380000000001</v>
      </c>
      <c r="D136" s="11">
        <v>271.33100000000002</v>
      </c>
      <c r="E136" s="11">
        <v>1616.308</v>
      </c>
      <c r="F136" s="11">
        <v>1987.2850000000001</v>
      </c>
      <c r="G136" s="11">
        <v>892.60799999999995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35">
      <c r="A137" s="11">
        <v>1885</v>
      </c>
      <c r="B137" s="11">
        <v>1228.0840000000001</v>
      </c>
      <c r="C137" s="11">
        <v>1421.578</v>
      </c>
      <c r="D137" s="11">
        <v>273.36</v>
      </c>
      <c r="E137" s="11">
        <v>1623.788</v>
      </c>
      <c r="F137" s="11">
        <v>2002.806</v>
      </c>
      <c r="G137" s="11">
        <v>899.96100000000001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35">
      <c r="A138" s="11">
        <v>1886</v>
      </c>
      <c r="B138" s="11">
        <v>1241.635</v>
      </c>
      <c r="C138" s="11">
        <v>1438.519</v>
      </c>
      <c r="D138" s="11">
        <v>275.29300000000001</v>
      </c>
      <c r="E138" s="11">
        <v>1641.183</v>
      </c>
      <c r="F138" s="11">
        <v>2025.7739999999999</v>
      </c>
      <c r="G138" s="11">
        <v>907.74300000000005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35">
      <c r="A139" s="11">
        <v>1887</v>
      </c>
      <c r="B139" s="11">
        <v>1294.067</v>
      </c>
      <c r="C139" s="11">
        <v>1495.383</v>
      </c>
      <c r="D139" s="11">
        <v>278.52300000000002</v>
      </c>
      <c r="E139" s="11">
        <v>1699.212</v>
      </c>
      <c r="F139" s="11">
        <v>2090.4360000000001</v>
      </c>
      <c r="G139" s="11">
        <v>916.87599999999998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35">
      <c r="A140" s="11">
        <v>1888</v>
      </c>
      <c r="B140" s="11">
        <v>1414.1010000000001</v>
      </c>
      <c r="C140" s="11">
        <v>1624.2329999999999</v>
      </c>
      <c r="D140" s="11">
        <v>282.17899999999997</v>
      </c>
      <c r="E140" s="11">
        <v>1828.2</v>
      </c>
      <c r="F140" s="11">
        <v>2230.5250000000001</v>
      </c>
      <c r="G140" s="11">
        <v>924.61300000000006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35">
      <c r="A141" s="11">
        <v>1889</v>
      </c>
      <c r="B141" s="11">
        <v>1404.9939999999999</v>
      </c>
      <c r="C141" s="11">
        <v>1623.423</v>
      </c>
      <c r="D141" s="11">
        <v>286.34500000000003</v>
      </c>
      <c r="E141" s="11">
        <v>1824.1659999999999</v>
      </c>
      <c r="F141" s="11">
        <v>2237.096</v>
      </c>
      <c r="G141" s="11">
        <v>934.01300000000003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35">
      <c r="A142" s="11">
        <v>1890</v>
      </c>
      <c r="B142" s="11">
        <v>1516.7829999999999</v>
      </c>
      <c r="C142" s="11">
        <v>1744.509</v>
      </c>
      <c r="D142" s="11">
        <v>288.69600000000003</v>
      </c>
      <c r="E142" s="11">
        <v>1945.4010000000001</v>
      </c>
      <c r="F142" s="11">
        <v>2370.7399999999998</v>
      </c>
      <c r="G142" s="11">
        <v>945.37099999999998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35">
      <c r="A143" s="11">
        <v>1891</v>
      </c>
      <c r="B143" s="11">
        <v>1574.8230000000001</v>
      </c>
      <c r="C143" s="11">
        <v>1812.9590000000001</v>
      </c>
      <c r="D143" s="11">
        <v>292.48099999999999</v>
      </c>
      <c r="E143" s="11">
        <v>2011.86</v>
      </c>
      <c r="F143" s="11">
        <v>2450.0340000000001</v>
      </c>
      <c r="G143" s="11">
        <v>953.62900000000002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35">
      <c r="A144" s="11">
        <v>1892</v>
      </c>
      <c r="B144" s="11">
        <v>1584.3130000000001</v>
      </c>
      <c r="C144" s="11">
        <v>1823.53</v>
      </c>
      <c r="D144" s="11">
        <v>296.64600000000002</v>
      </c>
      <c r="E144" s="11">
        <v>2027.357</v>
      </c>
      <c r="F144" s="11">
        <v>2468.8139999999999</v>
      </c>
      <c r="G144" s="11">
        <v>962.91700000000003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35">
      <c r="A145" s="11">
        <v>1893</v>
      </c>
      <c r="B145" s="11">
        <v>1549.5260000000001</v>
      </c>
      <c r="C145" s="11">
        <v>1799.5440000000001</v>
      </c>
      <c r="D145" s="11">
        <v>301.63900000000001</v>
      </c>
      <c r="E145" s="11">
        <v>1999.405</v>
      </c>
      <c r="F145" s="11">
        <v>2454.1529999999998</v>
      </c>
      <c r="G145" s="11">
        <v>973.76800000000003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35">
      <c r="A146" s="11">
        <v>1894</v>
      </c>
      <c r="B146" s="11">
        <v>1601.453</v>
      </c>
      <c r="C146" s="11">
        <v>1854.71</v>
      </c>
      <c r="D146" s="11">
        <v>306.15699999999998</v>
      </c>
      <c r="E146" s="11">
        <v>2059.36</v>
      </c>
      <c r="F146" s="11">
        <v>2519.5630000000001</v>
      </c>
      <c r="G146" s="11">
        <v>982.40200000000004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35">
      <c r="A147" s="11">
        <v>1895</v>
      </c>
      <c r="B147" s="11">
        <v>1679.933</v>
      </c>
      <c r="C147" s="11">
        <v>1946.6469999999999</v>
      </c>
      <c r="D147" s="11">
        <v>312.05200000000002</v>
      </c>
      <c r="E147" s="11">
        <v>2146.4490000000001</v>
      </c>
      <c r="F147" s="11">
        <v>2622.6970000000001</v>
      </c>
      <c r="G147" s="11">
        <v>994.76700000000005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35">
      <c r="A148" s="11">
        <v>1896</v>
      </c>
      <c r="B148" s="11">
        <v>1725.2529999999999</v>
      </c>
      <c r="C148" s="11">
        <v>1999.2560000000001</v>
      </c>
      <c r="D148" s="11">
        <v>316.75700000000001</v>
      </c>
      <c r="E148" s="11">
        <v>2198.7530000000002</v>
      </c>
      <c r="F148" s="11">
        <v>2684.6210000000001</v>
      </c>
      <c r="G148" s="11">
        <v>1004.6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35">
      <c r="A149" s="11">
        <v>1897</v>
      </c>
      <c r="B149" s="11">
        <v>1792.04</v>
      </c>
      <c r="C149" s="11">
        <v>2080.0300000000002</v>
      </c>
      <c r="D149" s="11">
        <v>321.524</v>
      </c>
      <c r="E149" s="11">
        <v>2274.6320000000001</v>
      </c>
      <c r="F149" s="11">
        <v>2777.15</v>
      </c>
      <c r="G149" s="11">
        <v>1015.051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35">
      <c r="A150" s="11">
        <v>1898</v>
      </c>
      <c r="B150" s="11">
        <v>1870.877</v>
      </c>
      <c r="C150" s="11">
        <v>2175.3890000000001</v>
      </c>
      <c r="D150" s="11">
        <v>328.54899999999998</v>
      </c>
      <c r="E150" s="11">
        <v>2362.1089999999999</v>
      </c>
      <c r="F150" s="11">
        <v>2883.5549999999998</v>
      </c>
      <c r="G150" s="11">
        <v>1027.46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35">
      <c r="A151" s="11">
        <v>1899</v>
      </c>
      <c r="B151" s="11">
        <v>2031.8</v>
      </c>
      <c r="C151" s="11">
        <v>2350.6120000000001</v>
      </c>
      <c r="D151" s="11">
        <v>333.52</v>
      </c>
      <c r="E151" s="11">
        <v>2536.018</v>
      </c>
      <c r="F151" s="11">
        <v>3074.366</v>
      </c>
      <c r="G151" s="11">
        <v>1037.664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35">
      <c r="A152" s="11">
        <v>1900</v>
      </c>
      <c r="B152" s="11">
        <v>2132.0790000000002</v>
      </c>
      <c r="C152" s="11">
        <v>2465.038</v>
      </c>
      <c r="D152" s="11">
        <v>335.30900000000003</v>
      </c>
      <c r="E152" s="11">
        <v>2649.1410000000001</v>
      </c>
      <c r="F152" s="11">
        <v>3203.92</v>
      </c>
      <c r="G152" s="11">
        <v>1045.3230000000001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35">
      <c r="A153" s="11">
        <v>1901</v>
      </c>
      <c r="B153" s="11">
        <v>2185.58</v>
      </c>
      <c r="C153" s="11">
        <v>2529.585</v>
      </c>
      <c r="D153" s="11">
        <v>344.54199999999997</v>
      </c>
      <c r="E153" s="11">
        <v>2707.11</v>
      </c>
      <c r="F153" s="11">
        <v>3276.6210000000001</v>
      </c>
      <c r="G153" s="11">
        <v>1062.902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35">
      <c r="A154" s="11">
        <v>1902</v>
      </c>
      <c r="B154" s="11">
        <v>2242.9789999999998</v>
      </c>
      <c r="C154" s="11">
        <v>2583.194</v>
      </c>
      <c r="D154" s="11">
        <v>350.34699999999998</v>
      </c>
      <c r="E154" s="11">
        <v>2770.732</v>
      </c>
      <c r="F154" s="11">
        <v>3339.7869999999998</v>
      </c>
      <c r="G154" s="11">
        <v>1073.9349999999999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35">
      <c r="A155" s="11">
        <v>1903</v>
      </c>
      <c r="B155" s="11">
        <v>2444.1010000000001</v>
      </c>
      <c r="C155" s="11">
        <v>2787.81</v>
      </c>
      <c r="D155" s="11">
        <v>358.91</v>
      </c>
      <c r="E155" s="11">
        <v>2984.2159999999999</v>
      </c>
      <c r="F155" s="11">
        <v>3560.152</v>
      </c>
      <c r="G155" s="11">
        <v>1088.575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35">
      <c r="A156" s="11">
        <v>1904</v>
      </c>
      <c r="B156" s="11">
        <v>2455.1210000000001</v>
      </c>
      <c r="C156" s="11">
        <v>2811.0549999999998</v>
      </c>
      <c r="D156" s="11">
        <v>367.56900000000002</v>
      </c>
      <c r="E156" s="11">
        <v>2999.2089999999998</v>
      </c>
      <c r="F156" s="11">
        <v>3591.2020000000002</v>
      </c>
      <c r="G156" s="11">
        <v>1103.0650000000001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35">
      <c r="A157" s="11">
        <v>1905</v>
      </c>
      <c r="B157" s="11">
        <v>2617.37</v>
      </c>
      <c r="C157" s="11">
        <v>2971.3780000000002</v>
      </c>
      <c r="D157" s="11">
        <v>374.10500000000002</v>
      </c>
      <c r="E157" s="11">
        <v>3171.386</v>
      </c>
      <c r="F157" s="11">
        <v>3764.4630000000002</v>
      </c>
      <c r="G157" s="11">
        <v>1112.9939999999999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35">
      <c r="A158" s="11">
        <v>1906</v>
      </c>
      <c r="B158" s="11">
        <v>2712.136</v>
      </c>
      <c r="C158" s="11">
        <v>3087.41</v>
      </c>
      <c r="D158" s="11">
        <v>389.762</v>
      </c>
      <c r="E158" s="11">
        <v>3274.9459999999999</v>
      </c>
      <c r="F158" s="11">
        <v>3893.1869999999999</v>
      </c>
      <c r="G158" s="11">
        <v>1149.8599999999999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35">
      <c r="A159" s="11">
        <v>1907</v>
      </c>
      <c r="B159" s="11">
        <v>3052.1080000000002</v>
      </c>
      <c r="C159" s="11">
        <v>3452.9780000000001</v>
      </c>
      <c r="D159" s="11">
        <v>421.98899999999998</v>
      </c>
      <c r="E159" s="11">
        <v>3638.2040000000002</v>
      </c>
      <c r="F159" s="11">
        <v>4286.45</v>
      </c>
      <c r="G159" s="11">
        <v>1165.557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35">
      <c r="A160" s="11">
        <v>1908</v>
      </c>
      <c r="B160" s="11">
        <v>2905.933</v>
      </c>
      <c r="C160" s="11">
        <v>3316.4349999999999</v>
      </c>
      <c r="D160" s="11">
        <v>434.67</v>
      </c>
      <c r="E160" s="11">
        <v>3499.9650000000001</v>
      </c>
      <c r="F160" s="11">
        <v>4161.6850000000004</v>
      </c>
      <c r="G160" s="11">
        <v>1189.884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35">
      <c r="A161" s="11">
        <v>1909</v>
      </c>
      <c r="B161" s="11">
        <v>3024.1709999999998</v>
      </c>
      <c r="C161" s="11">
        <v>3446.26</v>
      </c>
      <c r="D161" s="11">
        <v>441.43299999999999</v>
      </c>
      <c r="E161" s="11">
        <v>3620.5619999999999</v>
      </c>
      <c r="F161" s="11">
        <v>4297.5280000000002</v>
      </c>
      <c r="G161" s="11">
        <v>1197.0050000000001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35">
      <c r="A162" s="11">
        <v>1910</v>
      </c>
      <c r="B162" s="11">
        <v>3179.9810000000002</v>
      </c>
      <c r="C162" s="11">
        <v>3599.6849999999999</v>
      </c>
      <c r="D162" s="11">
        <v>449.55500000000001</v>
      </c>
      <c r="E162" s="11">
        <v>3788.402</v>
      </c>
      <c r="F162" s="11">
        <v>4466.0619999999999</v>
      </c>
      <c r="G162" s="11">
        <v>1209.2249999999999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35">
      <c r="A163" s="11">
        <v>1911</v>
      </c>
      <c r="B163" s="11">
        <v>3212.9630000000002</v>
      </c>
      <c r="C163" s="11">
        <v>3644.3919999999998</v>
      </c>
      <c r="D163" s="11">
        <v>465.41300000000001</v>
      </c>
      <c r="E163" s="11">
        <v>3824.9989999999998</v>
      </c>
      <c r="F163" s="11">
        <v>4514.308</v>
      </c>
      <c r="G163" s="11">
        <v>1242.5650000000001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35">
      <c r="A164" s="11">
        <v>1912</v>
      </c>
      <c r="B164" s="11">
        <v>3354.3389999999999</v>
      </c>
      <c r="C164" s="11">
        <v>3816.36</v>
      </c>
      <c r="D164" s="11">
        <v>466.18400000000003</v>
      </c>
      <c r="E164" s="11">
        <v>3983.741</v>
      </c>
      <c r="F164" s="11">
        <v>4705.0209999999997</v>
      </c>
      <c r="G164" s="11">
        <v>1242.6610000000001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35">
      <c r="A165" s="11">
        <v>1913</v>
      </c>
      <c r="B165" s="11">
        <v>3612.76</v>
      </c>
      <c r="C165" s="11">
        <v>4095.8679999999999</v>
      </c>
      <c r="D165" s="11">
        <v>491.43</v>
      </c>
      <c r="E165" s="11">
        <v>4257.259</v>
      </c>
      <c r="F165" s="11">
        <v>5001.1970000000001</v>
      </c>
      <c r="G165" s="11">
        <v>1272.8599999999999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35">
      <c r="A166" s="11">
        <v>1914</v>
      </c>
      <c r="B166" s="11">
        <v>3294.2730000000001</v>
      </c>
      <c r="C166" s="11">
        <v>3734.3040000000001</v>
      </c>
      <c r="D166" s="11">
        <v>491.36799999999999</v>
      </c>
      <c r="E166" s="11">
        <v>3929.6149999999998</v>
      </c>
      <c r="F166" s="11">
        <v>4631.3919999999998</v>
      </c>
      <c r="G166" s="11">
        <v>1286.76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35">
      <c r="A167" s="11">
        <v>1915</v>
      </c>
      <c r="B167" s="11">
        <v>3255.4319999999998</v>
      </c>
      <c r="C167" s="11">
        <v>3681.2910000000002</v>
      </c>
      <c r="D167" s="11">
        <v>495.97699999999998</v>
      </c>
      <c r="E167" s="11">
        <v>3890.9470000000001</v>
      </c>
      <c r="F167" s="11">
        <v>4579.7209999999995</v>
      </c>
      <c r="G167" s="11">
        <v>1306.53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35">
      <c r="A168" s="11">
        <v>1916</v>
      </c>
      <c r="B168" s="11">
        <v>3498.5210000000002</v>
      </c>
      <c r="C168" s="11">
        <v>3945.56</v>
      </c>
      <c r="D168" s="11">
        <v>517.90099999999995</v>
      </c>
      <c r="E168" s="11">
        <v>4138.9750000000004</v>
      </c>
      <c r="F168" s="11">
        <v>4851.9359999999997</v>
      </c>
      <c r="G168" s="11">
        <v>1334.5509999999999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35">
      <c r="A169" s="11">
        <v>1917</v>
      </c>
      <c r="B169" s="11">
        <v>3660.971</v>
      </c>
      <c r="C169" s="11">
        <v>4104.1149999999998</v>
      </c>
      <c r="D169" s="11">
        <v>538.76599999999996</v>
      </c>
      <c r="E169" s="11">
        <v>4285.143</v>
      </c>
      <c r="F169" s="11">
        <v>4995.5290000000005</v>
      </c>
      <c r="G169" s="11">
        <v>1362.6179999999999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35">
      <c r="A170" s="11">
        <v>1918</v>
      </c>
      <c r="B170" s="11">
        <v>3682.8910000000001</v>
      </c>
      <c r="C170" s="11">
        <v>4027.1860000000001</v>
      </c>
      <c r="D170" s="11">
        <v>548.41499999999996</v>
      </c>
      <c r="E170" s="11">
        <v>4320.6589999999997</v>
      </c>
      <c r="F170" s="11">
        <v>4929.7240000000002</v>
      </c>
      <c r="G170" s="11">
        <v>1380.636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35">
      <c r="A171" s="11">
        <v>1919</v>
      </c>
      <c r="B171" s="11">
        <v>3268.21</v>
      </c>
      <c r="C171" s="11">
        <v>3492.0740000000001</v>
      </c>
      <c r="D171" s="11">
        <v>578.42100000000005</v>
      </c>
      <c r="E171" s="11">
        <v>3893.431</v>
      </c>
      <c r="F171" s="11">
        <v>4381.0690000000004</v>
      </c>
      <c r="G171" s="11">
        <v>1420.462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35">
      <c r="A172" s="11">
        <v>1920</v>
      </c>
      <c r="B172" s="11">
        <v>3709.5819999999999</v>
      </c>
      <c r="C172" s="11">
        <v>4010.2950000000001</v>
      </c>
      <c r="D172" s="11">
        <v>622.59699999999998</v>
      </c>
      <c r="E172" s="11">
        <v>4347.9560000000001</v>
      </c>
      <c r="F172" s="11">
        <v>4914.0600000000004</v>
      </c>
      <c r="G172" s="11">
        <v>1470.0309999999999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35">
      <c r="A173" s="11">
        <v>1921</v>
      </c>
      <c r="B173" s="11">
        <v>3195.0859999999998</v>
      </c>
      <c r="C173" s="11">
        <v>3498.35</v>
      </c>
      <c r="D173" s="11">
        <v>645.31299999999999</v>
      </c>
      <c r="E173" s="11">
        <v>3819.5169999999998</v>
      </c>
      <c r="F173" s="11">
        <v>4390.9570000000003</v>
      </c>
      <c r="G173" s="11">
        <v>1505.508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35">
      <c r="A174" s="11">
        <v>1922</v>
      </c>
      <c r="B174" s="11">
        <v>3370.6010000000001</v>
      </c>
      <c r="C174" s="11">
        <v>3677.4989999999998</v>
      </c>
      <c r="D174" s="11">
        <v>651.84500000000003</v>
      </c>
      <c r="E174" s="11">
        <v>4015.1860000000001</v>
      </c>
      <c r="F174" s="11">
        <v>4593.5519999999997</v>
      </c>
      <c r="G174" s="11">
        <v>1526.954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35">
      <c r="A175" s="11">
        <v>1923</v>
      </c>
      <c r="B175" s="11">
        <v>3866.1849999999999</v>
      </c>
      <c r="C175" s="11">
        <v>4163.924</v>
      </c>
      <c r="D175" s="11">
        <v>669.65099999999995</v>
      </c>
      <c r="E175" s="11">
        <v>4527.5219999999999</v>
      </c>
      <c r="F175" s="11">
        <v>5100.6629999999996</v>
      </c>
      <c r="G175" s="11">
        <v>1558.1389999999999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35">
      <c r="A176" s="11">
        <v>1924</v>
      </c>
      <c r="B176" s="11">
        <v>3854.1909999999998</v>
      </c>
      <c r="C176" s="11">
        <v>4169.9279999999999</v>
      </c>
      <c r="D176" s="11">
        <v>691.13400000000001</v>
      </c>
      <c r="E176" s="11">
        <v>4525.6729999999998</v>
      </c>
      <c r="F176" s="11">
        <v>5122.0119999999997</v>
      </c>
      <c r="G176" s="11">
        <v>1593.8789999999999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35">
      <c r="A177" s="11">
        <v>1925</v>
      </c>
      <c r="B177" s="11">
        <v>3889.7289999999998</v>
      </c>
      <c r="C177" s="11">
        <v>4204.0389999999998</v>
      </c>
      <c r="D177" s="11">
        <v>690.92</v>
      </c>
      <c r="E177" s="11">
        <v>4591.1790000000001</v>
      </c>
      <c r="F177" s="11">
        <v>5190.0020000000004</v>
      </c>
      <c r="G177" s="11">
        <v>1608.9549999999999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35">
      <c r="A178" s="11">
        <v>1926</v>
      </c>
      <c r="B178" s="11">
        <v>3786.8130000000001</v>
      </c>
      <c r="C178" s="11">
        <v>4134.4870000000001</v>
      </c>
      <c r="D178" s="11">
        <v>691.327</v>
      </c>
      <c r="E178" s="11">
        <v>4488.8739999999998</v>
      </c>
      <c r="F178" s="11">
        <v>5126.0510000000004</v>
      </c>
      <c r="G178" s="11">
        <v>1632.3109999999999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35">
      <c r="A179" s="11">
        <v>1927</v>
      </c>
      <c r="B179" s="11">
        <v>4127.5810000000001</v>
      </c>
      <c r="C179" s="11">
        <v>4518.1080000000002</v>
      </c>
      <c r="D179" s="11">
        <v>702.90499999999997</v>
      </c>
      <c r="E179" s="11">
        <v>4861.8670000000002</v>
      </c>
      <c r="F179" s="11">
        <v>5550.2520000000004</v>
      </c>
      <c r="G179" s="11">
        <v>1660.6010000000001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35">
      <c r="A180" s="11">
        <v>1928</v>
      </c>
      <c r="B180" s="11">
        <v>4079.09</v>
      </c>
      <c r="C180" s="11">
        <v>4490.0780000000004</v>
      </c>
      <c r="D180" s="11">
        <v>716.995</v>
      </c>
      <c r="E180" s="11">
        <v>4805.9799999999996</v>
      </c>
      <c r="F180" s="11">
        <v>5517.2209999999995</v>
      </c>
      <c r="G180" s="11">
        <v>1702.973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35">
      <c r="A181" s="11">
        <v>1929</v>
      </c>
      <c r="B181" s="11">
        <v>4362.1530000000002</v>
      </c>
      <c r="C181" s="11">
        <v>4807.4309999999996</v>
      </c>
      <c r="D181" s="11">
        <v>736.21</v>
      </c>
      <c r="E181" s="11">
        <v>5109.88</v>
      </c>
      <c r="F181" s="11">
        <v>5858.9110000000001</v>
      </c>
      <c r="G181" s="11">
        <v>1744.1189999999999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35">
      <c r="A182" s="11">
        <v>1930</v>
      </c>
      <c r="B182" s="11">
        <v>3986.2429999999999</v>
      </c>
      <c r="C182" s="11">
        <v>4459.4070000000002</v>
      </c>
      <c r="D182" s="11">
        <v>742.37699999999995</v>
      </c>
      <c r="E182" s="11">
        <v>4717.2129999999997</v>
      </c>
      <c r="F182" s="11">
        <v>5498.174</v>
      </c>
      <c r="G182" s="11">
        <v>1771.011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35">
      <c r="A183" s="11">
        <v>1931</v>
      </c>
      <c r="B183" s="11">
        <v>3509.8110000000001</v>
      </c>
      <c r="C183" s="11">
        <v>4016.5430000000001</v>
      </c>
      <c r="D183" s="11">
        <v>736.39</v>
      </c>
      <c r="E183" s="11">
        <v>4226.1469999999999</v>
      </c>
      <c r="F183" s="11">
        <v>5044.8379999999997</v>
      </c>
      <c r="G183" s="11">
        <v>1769.7539999999999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35">
      <c r="A184" s="11">
        <v>1932</v>
      </c>
      <c r="B184" s="11">
        <v>3122.1959999999999</v>
      </c>
      <c r="C184" s="11">
        <v>3633.0210000000002</v>
      </c>
      <c r="D184" s="11">
        <v>754.22</v>
      </c>
      <c r="E184" s="11">
        <v>3826.2130000000002</v>
      </c>
      <c r="F184" s="11">
        <v>4651.2030000000004</v>
      </c>
      <c r="G184" s="11">
        <v>1795.8240000000001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35">
      <c r="A185" s="11">
        <v>1933</v>
      </c>
      <c r="B185" s="11">
        <v>3268.902</v>
      </c>
      <c r="C185" s="11">
        <v>3803.6039999999998</v>
      </c>
      <c r="D185" s="11">
        <v>783.41</v>
      </c>
      <c r="E185" s="11">
        <v>3981.1790000000001</v>
      </c>
      <c r="F185" s="11">
        <v>4832.1670000000004</v>
      </c>
      <c r="G185" s="11">
        <v>1838.864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35">
      <c r="A186" s="11">
        <v>1934</v>
      </c>
      <c r="B186" s="11">
        <v>3496.0419999999999</v>
      </c>
      <c r="C186" s="11">
        <v>4095.5010000000002</v>
      </c>
      <c r="D186" s="11">
        <v>837.42100000000005</v>
      </c>
      <c r="E186" s="11">
        <v>4222.9369999999999</v>
      </c>
      <c r="F186" s="11">
        <v>5142.0569999999998</v>
      </c>
      <c r="G186" s="11">
        <v>1912.3150000000001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35">
      <c r="A187" s="11">
        <v>1935</v>
      </c>
      <c r="B187" s="11">
        <v>3617.741</v>
      </c>
      <c r="C187" s="11">
        <v>4261.2060000000001</v>
      </c>
      <c r="D187" s="11">
        <v>888.21699999999998</v>
      </c>
      <c r="E187" s="11">
        <v>4356.2380000000003</v>
      </c>
      <c r="F187" s="11">
        <v>5322.1940000000004</v>
      </c>
      <c r="G187" s="11">
        <v>1984.9359999999999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35">
      <c r="A188" s="11">
        <v>1936</v>
      </c>
      <c r="B188" s="11">
        <v>3951.7089999999998</v>
      </c>
      <c r="C188" s="11">
        <v>4658.3280000000004</v>
      </c>
      <c r="D188" s="11">
        <v>921.93799999999999</v>
      </c>
      <c r="E188" s="11">
        <v>4707.6030000000001</v>
      </c>
      <c r="F188" s="11">
        <v>5738.3710000000001</v>
      </c>
      <c r="G188" s="11">
        <v>2043.8689999999999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35">
      <c r="A189" s="11">
        <v>1937</v>
      </c>
      <c r="B189" s="11">
        <v>4214.7860000000001</v>
      </c>
      <c r="C189" s="11">
        <v>4944.5150000000003</v>
      </c>
      <c r="D189" s="11">
        <v>967.00400000000002</v>
      </c>
      <c r="E189" s="11">
        <v>4994.5929999999998</v>
      </c>
      <c r="F189" s="11">
        <v>6049.1859999999997</v>
      </c>
      <c r="G189" s="11">
        <v>2115.8789999999999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35">
      <c r="A190" s="11">
        <v>1938</v>
      </c>
      <c r="B190" s="11">
        <v>3882.904</v>
      </c>
      <c r="C190" s="11">
        <v>4649.6000000000004</v>
      </c>
      <c r="D190" s="11">
        <v>981.42700000000002</v>
      </c>
      <c r="E190" s="11">
        <v>4649.2520000000004</v>
      </c>
      <c r="F190" s="11">
        <v>5741.9440000000004</v>
      </c>
      <c r="G190" s="11">
        <v>2156.319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35">
      <c r="A191" s="11">
        <v>1939</v>
      </c>
      <c r="B191" s="11">
        <v>4116.1530000000002</v>
      </c>
      <c r="C191" s="11">
        <v>4886.25</v>
      </c>
      <c r="D191" s="11">
        <v>1021.832</v>
      </c>
      <c r="E191" s="11">
        <v>4909.9939999999997</v>
      </c>
      <c r="F191" s="11">
        <v>6005.8869999999997</v>
      </c>
      <c r="G191" s="11">
        <v>2222.7170000000001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35">
      <c r="A192" s="11">
        <v>1940</v>
      </c>
      <c r="B192" s="11">
        <v>4309.67</v>
      </c>
      <c r="C192" s="11">
        <v>5299.2809999999999</v>
      </c>
      <c r="D192" s="11">
        <v>1068.0709999999999</v>
      </c>
      <c r="E192" s="11">
        <v>5082.3130000000001</v>
      </c>
      <c r="F192" s="11">
        <v>6404.0820000000003</v>
      </c>
      <c r="G192" s="11">
        <v>2270.2460000000001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35">
      <c r="A193" s="11">
        <v>1941</v>
      </c>
      <c r="B193" s="11">
        <v>4503.8739999999998</v>
      </c>
      <c r="C193" s="11">
        <v>5428.3410000000003</v>
      </c>
      <c r="D193" s="11">
        <v>1083.367</v>
      </c>
      <c r="E193" s="11">
        <v>5282.7290000000003</v>
      </c>
      <c r="F193" s="11">
        <v>6538.8919999999998</v>
      </c>
      <c r="G193" s="11">
        <v>2320.9079999999999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35">
      <c r="A194" s="11">
        <v>1942</v>
      </c>
      <c r="B194" s="11">
        <v>4685.6009999999997</v>
      </c>
      <c r="C194" s="11">
        <v>5448.7619999999997</v>
      </c>
      <c r="D194" s="11">
        <v>1060.71</v>
      </c>
      <c r="E194" s="11">
        <v>5491.01</v>
      </c>
      <c r="F194" s="11">
        <v>6637.3779999999997</v>
      </c>
      <c r="G194" s="11">
        <v>2309.3679999999999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35">
      <c r="A195" s="11">
        <v>1943</v>
      </c>
      <c r="B195" s="11">
        <v>4770.5379999999996</v>
      </c>
      <c r="C195" s="11">
        <v>5577.7489999999998</v>
      </c>
      <c r="D195" s="11">
        <v>1066.471</v>
      </c>
      <c r="E195" s="11">
        <v>5587.393</v>
      </c>
      <c r="F195" s="11">
        <v>6846.1040000000003</v>
      </c>
      <c r="G195" s="11">
        <v>2389.8490000000002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35">
      <c r="A196" s="11">
        <v>1944</v>
      </c>
      <c r="B196" s="11">
        <v>4765.9889999999996</v>
      </c>
      <c r="C196" s="11">
        <v>5647.3919999999998</v>
      </c>
      <c r="D196" s="11">
        <v>1108.559</v>
      </c>
      <c r="E196" s="11">
        <v>5580.4979999999996</v>
      </c>
      <c r="F196" s="11">
        <v>6801.4859999999999</v>
      </c>
      <c r="G196" s="11">
        <v>2482.52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35">
      <c r="A197" s="11">
        <v>1945</v>
      </c>
      <c r="B197" s="11">
        <v>4048.9290000000001</v>
      </c>
      <c r="C197" s="11">
        <v>4744.1959999999999</v>
      </c>
      <c r="D197" s="11">
        <v>1080.08</v>
      </c>
      <c r="E197" s="11">
        <v>4863.8469999999998</v>
      </c>
      <c r="F197" s="11">
        <v>5898.5129999999999</v>
      </c>
      <c r="G197" s="11">
        <v>2528.413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35">
      <c r="A198" s="11">
        <v>1946</v>
      </c>
      <c r="B198" s="11">
        <v>4260.3190000000004</v>
      </c>
      <c r="C198" s="11">
        <v>5067.1279999999997</v>
      </c>
      <c r="D198" s="11">
        <v>1149.3800000000001</v>
      </c>
      <c r="E198" s="11">
        <v>5168.2759999999998</v>
      </c>
      <c r="F198" s="11">
        <v>6326.3850000000002</v>
      </c>
      <c r="G198" s="11">
        <v>2707.8870000000002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35">
      <c r="A199" s="11">
        <v>1947</v>
      </c>
      <c r="B199" s="11">
        <v>4758.6450000000004</v>
      </c>
      <c r="C199" s="11">
        <v>5652.87</v>
      </c>
      <c r="D199" s="11">
        <v>1208.623</v>
      </c>
      <c r="E199" s="11">
        <v>5748.5860000000002</v>
      </c>
      <c r="F199" s="11">
        <v>7008.1760000000004</v>
      </c>
      <c r="G199" s="11">
        <v>2776.634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35">
      <c r="A200" s="11">
        <v>1948</v>
      </c>
      <c r="B200" s="11">
        <v>5034.4570000000003</v>
      </c>
      <c r="C200" s="11">
        <v>5976.8969999999999</v>
      </c>
      <c r="D200" s="11">
        <v>1195.0029999999999</v>
      </c>
      <c r="E200" s="11">
        <v>6075.0730000000003</v>
      </c>
      <c r="F200" s="11">
        <v>7393.8810000000003</v>
      </c>
      <c r="G200" s="11">
        <v>2799.2930000000001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35">
      <c r="A201" s="11">
        <v>1949</v>
      </c>
      <c r="B201" s="11">
        <v>4690.4189999999999</v>
      </c>
      <c r="C201" s="11">
        <v>5737.8019999999997</v>
      </c>
      <c r="D201" s="11">
        <v>1209.4469999999999</v>
      </c>
      <c r="E201" s="11">
        <v>5750.5659999999998</v>
      </c>
      <c r="F201" s="11">
        <v>7185.4539999999997</v>
      </c>
      <c r="G201" s="11">
        <v>2891.5729999999999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35">
      <c r="A202" s="11">
        <v>1950</v>
      </c>
      <c r="B202" s="11">
        <v>5192.7120000000004</v>
      </c>
      <c r="C202" s="11">
        <v>6314.183</v>
      </c>
      <c r="D202" s="11">
        <v>1285.104</v>
      </c>
      <c r="E202" s="11">
        <v>6286.86</v>
      </c>
      <c r="F202" s="11">
        <v>7810.674</v>
      </c>
      <c r="G202" s="11">
        <v>2814.6930000000002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35">
      <c r="A203" s="11">
        <v>1951</v>
      </c>
      <c r="B203" s="11">
        <v>5524.0940000000001</v>
      </c>
      <c r="C203" s="11">
        <v>6730.4629999999997</v>
      </c>
      <c r="D203" s="11">
        <v>1369.674</v>
      </c>
      <c r="E203" s="11">
        <v>6659.1859999999997</v>
      </c>
      <c r="F203" s="11">
        <v>8282.43</v>
      </c>
      <c r="G203" s="11">
        <v>2947.7370000000001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35">
      <c r="A204" s="11">
        <v>1952</v>
      </c>
      <c r="B204" s="11">
        <v>5489.3289999999997</v>
      </c>
      <c r="C204" s="11">
        <v>6776.6610000000001</v>
      </c>
      <c r="D204" s="11">
        <v>1452.9780000000001</v>
      </c>
      <c r="E204" s="11">
        <v>6639.5860000000002</v>
      </c>
      <c r="F204" s="11">
        <v>8358.0869999999995</v>
      </c>
      <c r="G204" s="11">
        <v>3058.357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35">
      <c r="A205" s="11">
        <v>1953</v>
      </c>
      <c r="B205" s="11">
        <v>5606.6180000000004</v>
      </c>
      <c r="C205" s="11">
        <v>6973.223</v>
      </c>
      <c r="D205" s="11">
        <v>1488.1479999999999</v>
      </c>
      <c r="E205" s="11">
        <v>6780.22</v>
      </c>
      <c r="F205" s="11">
        <v>8592.1489999999994</v>
      </c>
      <c r="G205" s="11">
        <v>3132.9839999999999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35">
      <c r="A206" s="11">
        <v>1954</v>
      </c>
      <c r="B206" s="11">
        <v>5593.241</v>
      </c>
      <c r="C206" s="11">
        <v>7064.6369999999997</v>
      </c>
      <c r="D206" s="11">
        <v>1593.2760000000001</v>
      </c>
      <c r="E206" s="11">
        <v>6799.7839999999997</v>
      </c>
      <c r="F206" s="11">
        <v>8735.1530000000002</v>
      </c>
      <c r="G206" s="11">
        <v>3281.5239999999999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35">
      <c r="A207" s="11">
        <v>1955</v>
      </c>
      <c r="B207" s="11">
        <v>6040.5959999999995</v>
      </c>
      <c r="C207" s="11">
        <v>7657.1419999999998</v>
      </c>
      <c r="D207" s="11">
        <v>1791.0160000000001</v>
      </c>
      <c r="E207" s="11">
        <v>7291.6139999999996</v>
      </c>
      <c r="F207" s="11">
        <v>9397.1350000000002</v>
      </c>
      <c r="G207" s="11">
        <v>3496.462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35">
      <c r="A208" s="11">
        <v>1956</v>
      </c>
      <c r="B208" s="11">
        <v>6364.7759999999998</v>
      </c>
      <c r="C208" s="11">
        <v>8112.9859999999999</v>
      </c>
      <c r="D208" s="11">
        <v>1894.884</v>
      </c>
      <c r="E208" s="11">
        <v>7654.3280000000004</v>
      </c>
      <c r="F208" s="11">
        <v>9912.6859999999997</v>
      </c>
      <c r="G208" s="11">
        <v>3640.78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35">
      <c r="A209" s="11">
        <v>1957</v>
      </c>
      <c r="B209" s="11">
        <v>6411.0510000000004</v>
      </c>
      <c r="C209" s="11">
        <v>8305.0010000000002</v>
      </c>
      <c r="D209" s="11">
        <v>2037.6489999999999</v>
      </c>
      <c r="E209" s="11">
        <v>7726.0469999999996</v>
      </c>
      <c r="F209" s="11">
        <v>10153.611999999999</v>
      </c>
      <c r="G209" s="11">
        <v>3825.692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35">
      <c r="A210" s="11">
        <v>1958</v>
      </c>
      <c r="B210" s="11">
        <v>6278.59</v>
      </c>
      <c r="C210" s="11">
        <v>8274.3780000000006</v>
      </c>
      <c r="D210" s="11">
        <v>2370.933</v>
      </c>
      <c r="E210" s="11">
        <v>7611.049</v>
      </c>
      <c r="F210" s="11">
        <v>10161.925999999999</v>
      </c>
      <c r="G210" s="11">
        <v>4209.2669999999998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35">
      <c r="A211" s="11">
        <v>1959</v>
      </c>
      <c r="B211" s="11">
        <v>6408.8969999999999</v>
      </c>
      <c r="C211" s="11">
        <v>8499.3780000000006</v>
      </c>
      <c r="D211" s="11">
        <v>2737.848</v>
      </c>
      <c r="E211" s="11">
        <v>7778.3869999999997</v>
      </c>
      <c r="F211" s="11">
        <v>10441.764999999999</v>
      </c>
      <c r="G211" s="11">
        <v>4618.7669999999998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35">
      <c r="A212" s="11">
        <v>1960</v>
      </c>
      <c r="B212" s="11">
        <v>6748.9560000000001</v>
      </c>
      <c r="C212" s="11">
        <v>8927.2540000000008</v>
      </c>
      <c r="D212" s="11">
        <v>2916.0639999999999</v>
      </c>
      <c r="E212" s="11">
        <v>8134.7960000000003</v>
      </c>
      <c r="F212" s="11">
        <v>10902.814</v>
      </c>
      <c r="G212" s="11">
        <v>4843.6109999999999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35">
      <c r="A213" s="11">
        <v>1961</v>
      </c>
      <c r="B213" s="11">
        <v>6898.4989999999998</v>
      </c>
      <c r="C213" s="11">
        <v>9154.357</v>
      </c>
      <c r="D213" s="11">
        <v>2732.73</v>
      </c>
      <c r="E213" s="11">
        <v>8321.2739999999994</v>
      </c>
      <c r="F213" s="11">
        <v>11183.376</v>
      </c>
      <c r="G213" s="11">
        <v>4684.9960000000001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35">
      <c r="A214" s="11">
        <v>1962</v>
      </c>
      <c r="B214" s="11">
        <v>7210.4859999999999</v>
      </c>
      <c r="C214" s="11">
        <v>9581.65</v>
      </c>
      <c r="D214" s="11">
        <v>2677.9140000000002</v>
      </c>
      <c r="E214" s="11">
        <v>8692.5130000000008</v>
      </c>
      <c r="F214" s="11">
        <v>11697.602000000001</v>
      </c>
      <c r="G214" s="11">
        <v>4673.3530000000001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35">
      <c r="A215" s="11">
        <v>1963</v>
      </c>
      <c r="B215" s="11">
        <v>7575.6530000000002</v>
      </c>
      <c r="C215" s="11">
        <v>10100.834999999999</v>
      </c>
      <c r="D215" s="11">
        <v>2791.5</v>
      </c>
      <c r="E215" s="11">
        <v>9144.8629999999994</v>
      </c>
      <c r="F215" s="11">
        <v>12331.325000000001</v>
      </c>
      <c r="G215" s="11">
        <v>4816.6139999999996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35">
      <c r="A216" s="11">
        <v>1964</v>
      </c>
      <c r="B216" s="11">
        <v>7928.415</v>
      </c>
      <c r="C216" s="11">
        <v>10598.999</v>
      </c>
      <c r="D216" s="11">
        <v>2903.5920000000001</v>
      </c>
      <c r="E216" s="11">
        <v>9524.5820000000003</v>
      </c>
      <c r="F216" s="11">
        <v>12872.726000000001</v>
      </c>
      <c r="G216" s="11">
        <v>4963.7039999999997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35">
      <c r="A217" s="11">
        <v>1965</v>
      </c>
      <c r="B217" s="11">
        <v>8202.0370000000003</v>
      </c>
      <c r="C217" s="11">
        <v>10982.646000000001</v>
      </c>
      <c r="D217" s="11">
        <v>3123.9119999999998</v>
      </c>
      <c r="E217" s="11">
        <v>9860.3739999999998</v>
      </c>
      <c r="F217" s="11">
        <v>13349.254000000001</v>
      </c>
      <c r="G217" s="11">
        <v>5204.2460000000001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35">
      <c r="A218" s="11">
        <v>1966</v>
      </c>
      <c r="B218" s="11">
        <v>8529.9840000000004</v>
      </c>
      <c r="C218" s="11">
        <v>11422.924000000001</v>
      </c>
      <c r="D218" s="11">
        <v>3386.761</v>
      </c>
      <c r="E218" s="11">
        <v>10194.626</v>
      </c>
      <c r="F218" s="11">
        <v>13839.799000000001</v>
      </c>
      <c r="G218" s="11">
        <v>5526.2070000000003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35">
      <c r="A219" s="11">
        <v>1967</v>
      </c>
      <c r="B219" s="11">
        <v>8826.0249999999996</v>
      </c>
      <c r="C219" s="11">
        <v>11818.596</v>
      </c>
      <c r="D219" s="11">
        <v>3377.3969999999999</v>
      </c>
      <c r="E219" s="11">
        <v>10536.778</v>
      </c>
      <c r="F219" s="11">
        <v>14313.971</v>
      </c>
      <c r="G219" s="11">
        <v>5494.4679999999998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x14ac:dyDescent="0.35">
      <c r="A220" s="11">
        <v>1968</v>
      </c>
      <c r="B220" s="11">
        <v>9271.5519999999997</v>
      </c>
      <c r="C220" s="11">
        <v>12356.956</v>
      </c>
      <c r="D220" s="11">
        <v>3562.973</v>
      </c>
      <c r="E220" s="11">
        <v>11022.069</v>
      </c>
      <c r="F220" s="11">
        <v>14911.022999999999</v>
      </c>
      <c r="G220" s="11">
        <v>5779.8069999999998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x14ac:dyDescent="0.35">
      <c r="A221" s="11">
        <v>1969</v>
      </c>
      <c r="B221" s="11">
        <v>9806.1679999999997</v>
      </c>
      <c r="C221" s="11">
        <v>13018.927</v>
      </c>
      <c r="D221" s="11">
        <v>3925.0619999999999</v>
      </c>
      <c r="E221" s="11">
        <v>11606.642</v>
      </c>
      <c r="F221" s="11">
        <v>15640.609</v>
      </c>
      <c r="G221" s="11">
        <v>6159.5259999999998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x14ac:dyDescent="0.35">
      <c r="A222" s="11">
        <v>1970</v>
      </c>
      <c r="B222" s="11">
        <v>10352.019</v>
      </c>
      <c r="C222" s="11">
        <v>13720.338</v>
      </c>
      <c r="D222" s="11">
        <v>4400.2659999999996</v>
      </c>
      <c r="E222" s="11">
        <v>12144.936</v>
      </c>
      <c r="F222" s="11">
        <v>16354.745000000001</v>
      </c>
      <c r="G222" s="11">
        <v>6724.4210000000003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>
        <v>11936.206</v>
      </c>
      <c r="U222" s="11">
        <v>15682.132</v>
      </c>
      <c r="V222" s="11">
        <v>6998.0360000000001</v>
      </c>
      <c r="W222" s="11"/>
      <c r="X222" s="11"/>
      <c r="Y222" s="11"/>
    </row>
    <row r="223" spans="1:25" x14ac:dyDescent="0.35">
      <c r="A223" s="11">
        <v>1971</v>
      </c>
      <c r="B223" s="11">
        <v>10493.987999999999</v>
      </c>
      <c r="C223" s="11">
        <v>14029.147000000001</v>
      </c>
      <c r="D223" s="11">
        <v>4705.308</v>
      </c>
      <c r="E223" s="11">
        <v>12286.099</v>
      </c>
      <c r="F223" s="11">
        <v>16642.456999999999</v>
      </c>
      <c r="G223" s="11">
        <v>6970.8230000000003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>
        <v>11815.459000000001</v>
      </c>
      <c r="U223" s="11">
        <v>15605.096</v>
      </c>
      <c r="V223" s="11">
        <v>7108.741</v>
      </c>
      <c r="W223" s="11"/>
      <c r="X223" s="11"/>
      <c r="Y223" s="11"/>
    </row>
    <row r="224" spans="1:25" x14ac:dyDescent="0.35">
      <c r="A224" s="11">
        <v>1972</v>
      </c>
      <c r="B224" s="11">
        <v>10894.134</v>
      </c>
      <c r="C224" s="11">
        <v>14589.731</v>
      </c>
      <c r="D224" s="11">
        <v>4929.1279999999997</v>
      </c>
      <c r="E224" s="11">
        <v>12739.251</v>
      </c>
      <c r="F224" s="11">
        <v>17297.101999999999</v>
      </c>
      <c r="G224" s="11">
        <v>7187.0770000000002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>
        <v>12269.550999999999</v>
      </c>
      <c r="U224" s="11">
        <v>16221.078</v>
      </c>
      <c r="V224" s="11">
        <v>7403.53</v>
      </c>
      <c r="W224" s="11"/>
      <c r="X224" s="11"/>
      <c r="Y224" s="11"/>
    </row>
    <row r="225" spans="1:25" x14ac:dyDescent="0.35">
      <c r="A225" s="11">
        <v>1973</v>
      </c>
      <c r="B225" s="11">
        <v>11351.976000000001</v>
      </c>
      <c r="C225" s="11">
        <v>15201.677</v>
      </c>
      <c r="D225" s="11">
        <v>5292.5690000000004</v>
      </c>
      <c r="E225" s="11">
        <v>13274.075000000001</v>
      </c>
      <c r="F225" s="11">
        <v>18017.205999999998</v>
      </c>
      <c r="G225" s="11">
        <v>7568.9170000000004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>
        <v>12828.771000000001</v>
      </c>
      <c r="U225" s="11">
        <v>16985.101999999999</v>
      </c>
      <c r="V225" s="11">
        <v>7831.6760000000004</v>
      </c>
      <c r="W225" s="11"/>
      <c r="X225" s="11"/>
      <c r="Y225" s="11"/>
    </row>
    <row r="226" spans="1:25" x14ac:dyDescent="0.35">
      <c r="A226" s="11">
        <v>1974</v>
      </c>
      <c r="B226" s="11">
        <v>11065.645</v>
      </c>
      <c r="C226" s="11">
        <v>15045.9</v>
      </c>
      <c r="D226" s="11">
        <v>5398.5389999999998</v>
      </c>
      <c r="E226" s="11">
        <v>12997.178</v>
      </c>
      <c r="F226" s="11">
        <v>17857.445</v>
      </c>
      <c r="G226" s="11">
        <v>7662.7470000000003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>
        <v>12553.737999999999</v>
      </c>
      <c r="U226" s="11">
        <v>16860.289000000001</v>
      </c>
      <c r="V226" s="11">
        <v>7991.1890000000003</v>
      </c>
      <c r="W226" s="11"/>
      <c r="X226" s="11"/>
      <c r="Y226" s="11"/>
    </row>
    <row r="227" spans="1:25" x14ac:dyDescent="0.35">
      <c r="A227" s="11">
        <v>1975</v>
      </c>
      <c r="B227" s="11">
        <v>10668.25</v>
      </c>
      <c r="C227" s="11">
        <v>14849.101000000001</v>
      </c>
      <c r="D227" s="11">
        <v>5634.3440000000001</v>
      </c>
      <c r="E227" s="11">
        <v>12567.922</v>
      </c>
      <c r="F227" s="11">
        <v>17635.179</v>
      </c>
      <c r="G227" s="11">
        <v>8027.6049999999996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>
        <v>12109.99</v>
      </c>
      <c r="U227" s="11">
        <v>16617.985000000001</v>
      </c>
      <c r="V227" s="11">
        <v>8286.2489999999998</v>
      </c>
      <c r="W227" s="11"/>
      <c r="X227" s="11"/>
      <c r="Y227" s="11"/>
    </row>
    <row r="228" spans="1:25" x14ac:dyDescent="0.35">
      <c r="A228" s="11">
        <v>1976</v>
      </c>
      <c r="B228" s="11">
        <v>11153.432000000001</v>
      </c>
      <c r="C228" s="11">
        <v>15510.22</v>
      </c>
      <c r="D228" s="11">
        <v>5932.5569999999998</v>
      </c>
      <c r="E228" s="11">
        <v>13130.168</v>
      </c>
      <c r="F228" s="11">
        <v>18392.126</v>
      </c>
      <c r="G228" s="11">
        <v>8313.81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>
        <v>12695.356</v>
      </c>
      <c r="U228" s="11">
        <v>17371.934000000001</v>
      </c>
      <c r="V228" s="11">
        <v>8660.6540000000005</v>
      </c>
      <c r="W228" s="11"/>
      <c r="X228" s="11"/>
      <c r="Y228" s="11"/>
    </row>
    <row r="229" spans="1:25" x14ac:dyDescent="0.35">
      <c r="A229" s="11">
        <v>1977</v>
      </c>
      <c r="B229" s="11">
        <v>11257.169</v>
      </c>
      <c r="C229" s="11">
        <v>15761.662</v>
      </c>
      <c r="D229" s="11">
        <v>6239.6490000000003</v>
      </c>
      <c r="E229" s="11">
        <v>13200.678</v>
      </c>
      <c r="F229" s="11">
        <v>18608.023000000001</v>
      </c>
      <c r="G229" s="11">
        <v>8669.3389999999999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>
        <v>12854.841</v>
      </c>
      <c r="U229" s="11">
        <v>17657.766</v>
      </c>
      <c r="V229" s="11">
        <v>9045.277</v>
      </c>
      <c r="W229" s="11"/>
      <c r="X229" s="11"/>
      <c r="Y229" s="11"/>
    </row>
    <row r="230" spans="1:25" x14ac:dyDescent="0.35">
      <c r="A230" s="11">
        <v>1978</v>
      </c>
      <c r="B230" s="11">
        <v>11475.918</v>
      </c>
      <c r="C230" s="11">
        <v>16133.583000000001</v>
      </c>
      <c r="D230" s="11">
        <v>6585.7539999999999</v>
      </c>
      <c r="E230" s="11">
        <v>13448.47</v>
      </c>
      <c r="F230" s="11">
        <v>19025.561000000002</v>
      </c>
      <c r="G230" s="11">
        <v>9039.8430000000008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>
        <v>12932.419</v>
      </c>
      <c r="U230" s="11">
        <v>17994.053</v>
      </c>
      <c r="V230" s="11">
        <v>9424.7520000000004</v>
      </c>
      <c r="W230" s="11"/>
      <c r="X230" s="11"/>
      <c r="Y230" s="11"/>
    </row>
    <row r="231" spans="1:25" x14ac:dyDescent="0.35">
      <c r="A231" s="11">
        <v>1979</v>
      </c>
      <c r="B231" s="11">
        <v>11743.637000000001</v>
      </c>
      <c r="C231" s="11">
        <v>16437.349999999999</v>
      </c>
      <c r="D231" s="11">
        <v>6882.277</v>
      </c>
      <c r="E231" s="11">
        <v>13756.334999999999</v>
      </c>
      <c r="F231" s="11">
        <v>19385.358</v>
      </c>
      <c r="G231" s="11">
        <v>9406.8889999999992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>
        <v>13215.228999999999</v>
      </c>
      <c r="U231" s="11">
        <v>18351.504000000001</v>
      </c>
      <c r="V231" s="11">
        <v>9764.5</v>
      </c>
      <c r="W231" s="11"/>
      <c r="X231" s="11"/>
      <c r="Y231" s="11"/>
    </row>
    <row r="232" spans="1:25" x14ac:dyDescent="0.35">
      <c r="A232" s="11">
        <v>1980</v>
      </c>
      <c r="B232" s="11">
        <v>11421.004000000001</v>
      </c>
      <c r="C232" s="11">
        <v>16249.745000000001</v>
      </c>
      <c r="D232" s="11">
        <v>6874.3620000000001</v>
      </c>
      <c r="E232" s="11">
        <v>13384.493</v>
      </c>
      <c r="F232" s="11">
        <v>19154.857</v>
      </c>
      <c r="G232" s="11">
        <v>9472.9279999999999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>
        <v>12814.18</v>
      </c>
      <c r="U232" s="11">
        <v>18049.305</v>
      </c>
      <c r="V232" s="11">
        <v>9803.482</v>
      </c>
      <c r="W232" s="11"/>
      <c r="X232" s="11"/>
      <c r="Y232" s="11"/>
    </row>
    <row r="233" spans="1:25" x14ac:dyDescent="0.35">
      <c r="A233" s="11">
        <v>1981</v>
      </c>
      <c r="B233" s="11">
        <v>11008.27</v>
      </c>
      <c r="C233" s="11">
        <v>15717.598</v>
      </c>
      <c r="D233" s="11">
        <v>6746.1149999999998</v>
      </c>
      <c r="E233" s="11">
        <v>12978.811</v>
      </c>
      <c r="F233" s="11">
        <v>18634.061000000002</v>
      </c>
      <c r="G233" s="11">
        <v>9413.6779999999999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>
        <v>12525.641</v>
      </c>
      <c r="U233" s="11">
        <v>17689.197</v>
      </c>
      <c r="V233" s="11">
        <v>9689.7759999999998</v>
      </c>
      <c r="W233" s="11"/>
      <c r="X233" s="11"/>
      <c r="Y233" s="11"/>
    </row>
    <row r="234" spans="1:25" x14ac:dyDescent="0.35">
      <c r="A234" s="11">
        <v>1982</v>
      </c>
      <c r="B234" s="11">
        <v>10594.201999999999</v>
      </c>
      <c r="C234" s="11">
        <v>15398.5</v>
      </c>
      <c r="D234" s="11">
        <v>6985.4040000000005</v>
      </c>
      <c r="E234" s="11">
        <v>12468.414000000001</v>
      </c>
      <c r="F234" s="11">
        <v>18220.199000000001</v>
      </c>
      <c r="G234" s="11">
        <v>9683.5820000000003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>
        <v>12076.191999999999</v>
      </c>
      <c r="U234" s="11">
        <v>17310.32</v>
      </c>
      <c r="V234" s="11">
        <v>9933.9030000000002</v>
      </c>
      <c r="W234" s="11"/>
      <c r="X234" s="11"/>
      <c r="Y234" s="11"/>
    </row>
    <row r="235" spans="1:25" x14ac:dyDescent="0.35">
      <c r="A235" s="11">
        <v>1983</v>
      </c>
      <c r="B235" s="11">
        <v>10536.266</v>
      </c>
      <c r="C235" s="11">
        <v>15401.039000000001</v>
      </c>
      <c r="D235" s="11">
        <v>7205.3040000000001</v>
      </c>
      <c r="E235" s="11">
        <v>12408.1</v>
      </c>
      <c r="F235" s="11">
        <v>18227.567999999999</v>
      </c>
      <c r="G235" s="11">
        <v>9935.4699999999993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>
        <v>12009.929</v>
      </c>
      <c r="U235" s="11">
        <v>17307.414000000001</v>
      </c>
      <c r="V235" s="11">
        <v>10207.226000000001</v>
      </c>
      <c r="W235" s="11"/>
      <c r="X235" s="11"/>
      <c r="Y235" s="11"/>
    </row>
    <row r="236" spans="1:25" x14ac:dyDescent="0.35">
      <c r="A236" s="11">
        <v>1984</v>
      </c>
      <c r="B236" s="11">
        <v>10745.463</v>
      </c>
      <c r="C236" s="11">
        <v>15656.59</v>
      </c>
      <c r="D236" s="11">
        <v>7572.2560000000003</v>
      </c>
      <c r="E236" s="11">
        <v>12686.045</v>
      </c>
      <c r="F236" s="11">
        <v>18575.028999999999</v>
      </c>
      <c r="G236" s="11">
        <v>10312.986000000001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>
        <v>12330.431</v>
      </c>
      <c r="U236" s="11">
        <v>17707.934000000001</v>
      </c>
      <c r="V236" s="11">
        <v>10590.258</v>
      </c>
      <c r="W236" s="11"/>
      <c r="X236" s="11"/>
      <c r="Y236" s="11"/>
    </row>
    <row r="237" spans="1:25" x14ac:dyDescent="0.35">
      <c r="A237" s="11">
        <v>1985</v>
      </c>
      <c r="B237" s="11">
        <v>10807.509</v>
      </c>
      <c r="C237" s="11">
        <v>15979.126</v>
      </c>
      <c r="D237" s="11">
        <v>7965.4459999999999</v>
      </c>
      <c r="E237" s="11">
        <v>12728.306</v>
      </c>
      <c r="F237" s="11">
        <v>18870.223999999998</v>
      </c>
      <c r="G237" s="11">
        <v>10723.665000000001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>
        <v>12370.183000000001</v>
      </c>
      <c r="U237" s="11">
        <v>17803.64</v>
      </c>
      <c r="V237" s="11">
        <v>10780.614</v>
      </c>
      <c r="W237" s="11"/>
      <c r="X237" s="11"/>
      <c r="Y237" s="11"/>
    </row>
    <row r="238" spans="1:25" x14ac:dyDescent="0.35">
      <c r="A238" s="11">
        <v>1986</v>
      </c>
      <c r="B238" s="11">
        <v>10775.297</v>
      </c>
      <c r="C238" s="11">
        <v>15987.415999999999</v>
      </c>
      <c r="D238" s="11">
        <v>8309.7970000000005</v>
      </c>
      <c r="E238" s="11">
        <v>12660.713</v>
      </c>
      <c r="F238" s="11">
        <v>18868.080000000002</v>
      </c>
      <c r="G238" s="11">
        <v>11067.876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>
        <v>12330.494000000001</v>
      </c>
      <c r="U238" s="11">
        <v>17877.776999999998</v>
      </c>
      <c r="V238" s="11">
        <v>11160.313</v>
      </c>
      <c r="W238" s="11"/>
      <c r="X238" s="11"/>
      <c r="Y238" s="11"/>
    </row>
    <row r="239" spans="1:25" x14ac:dyDescent="0.35">
      <c r="A239" s="11">
        <v>1987</v>
      </c>
      <c r="B239" s="11">
        <v>11019.668</v>
      </c>
      <c r="C239" s="11">
        <v>16258.655000000001</v>
      </c>
      <c r="D239" s="11">
        <v>8644.3970000000008</v>
      </c>
      <c r="E239" s="11">
        <v>12891.429</v>
      </c>
      <c r="F239" s="11">
        <v>19131.384999999998</v>
      </c>
      <c r="G239" s="11">
        <v>11486.931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>
        <v>12531.414000000001</v>
      </c>
      <c r="U239" s="11">
        <v>18211.332999999999</v>
      </c>
      <c r="V239" s="11">
        <v>11576.092000000001</v>
      </c>
      <c r="W239" s="11"/>
      <c r="X239" s="11"/>
      <c r="Y239" s="11"/>
    </row>
    <row r="240" spans="1:25" x14ac:dyDescent="0.35">
      <c r="A240" s="11">
        <v>1988</v>
      </c>
      <c r="B240" s="11">
        <v>11326.159</v>
      </c>
      <c r="C240" s="11">
        <v>16606.833999999999</v>
      </c>
      <c r="D240" s="11">
        <v>9197.0879999999997</v>
      </c>
      <c r="E240" s="11">
        <v>13222.606</v>
      </c>
      <c r="F240" s="11">
        <v>19498.968000000001</v>
      </c>
      <c r="G240" s="11">
        <v>11996.911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>
        <v>12876.905000000001</v>
      </c>
      <c r="U240" s="11">
        <v>18600.044999999998</v>
      </c>
      <c r="V240" s="11">
        <v>12112.04</v>
      </c>
      <c r="W240" s="11"/>
      <c r="X240" s="11"/>
      <c r="Y240" s="11"/>
    </row>
    <row r="241" spans="1:25" x14ac:dyDescent="0.35">
      <c r="A241" s="11">
        <v>1989</v>
      </c>
      <c r="B241" s="11">
        <v>11531.85</v>
      </c>
      <c r="C241" s="11">
        <v>16695.624</v>
      </c>
      <c r="D241" s="11">
        <v>9459.5920000000006</v>
      </c>
      <c r="E241" s="11">
        <v>13437.741</v>
      </c>
      <c r="F241" s="11">
        <v>19605.875</v>
      </c>
      <c r="G241" s="11">
        <v>12385.933999999999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>
        <v>13034.78</v>
      </c>
      <c r="U241" s="11">
        <v>18724.88</v>
      </c>
      <c r="V241" s="11">
        <v>12540.932000000001</v>
      </c>
      <c r="W241" s="11"/>
      <c r="X241" s="11"/>
      <c r="Y241" s="11"/>
    </row>
    <row r="242" spans="1:25" x14ac:dyDescent="0.35">
      <c r="A242" s="11">
        <v>1990</v>
      </c>
      <c r="B242" s="11">
        <v>11974.951999999999</v>
      </c>
      <c r="C242" s="11">
        <v>17191.795999999998</v>
      </c>
      <c r="D242" s="11">
        <v>9463.7080000000005</v>
      </c>
      <c r="E242" s="11">
        <v>13368.744000000001</v>
      </c>
      <c r="F242" s="11">
        <v>19234.575000000001</v>
      </c>
      <c r="G242" s="11">
        <v>12387.395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12982.495000000001</v>
      </c>
      <c r="U242" s="11">
        <v>18796.327000000001</v>
      </c>
      <c r="V242" s="11">
        <v>12793.96</v>
      </c>
      <c r="W242" s="11">
        <v>12383.45</v>
      </c>
      <c r="X242" s="11">
        <v>18062.473999999998</v>
      </c>
      <c r="Y242" s="11">
        <v>12602.034</v>
      </c>
    </row>
    <row r="243" spans="1:25" x14ac:dyDescent="0.35">
      <c r="A243" s="11">
        <v>1991</v>
      </c>
      <c r="B243" s="11">
        <v>11958.915000000001</v>
      </c>
      <c r="C243" s="11">
        <v>16845.830999999998</v>
      </c>
      <c r="D243" s="11">
        <v>10244.694</v>
      </c>
      <c r="E243" s="11">
        <v>13340.249</v>
      </c>
      <c r="F243" s="11">
        <v>18845.689999999999</v>
      </c>
      <c r="G243" s="11">
        <v>12998.885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>
        <v>12988.147000000001</v>
      </c>
      <c r="U243" s="11">
        <v>18544.928</v>
      </c>
      <c r="V243" s="11">
        <v>13110.152</v>
      </c>
      <c r="W243" s="11">
        <v>12391.941999999999</v>
      </c>
      <c r="X243" s="11">
        <v>17840.616999999998</v>
      </c>
      <c r="Y243" s="11">
        <v>12947.096</v>
      </c>
    </row>
    <row r="244" spans="1:25" x14ac:dyDescent="0.35">
      <c r="A244" s="11">
        <v>1992</v>
      </c>
      <c r="B244" s="11">
        <v>12019.986000000001</v>
      </c>
      <c r="C244" s="11">
        <v>16314.093000000001</v>
      </c>
      <c r="D244" s="11">
        <v>10110.022999999999</v>
      </c>
      <c r="E244" s="11">
        <v>13391.88</v>
      </c>
      <c r="F244" s="11">
        <v>18262.716</v>
      </c>
      <c r="G244" s="11">
        <v>12980.674999999999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>
        <v>13014.019</v>
      </c>
      <c r="U244" s="11">
        <v>18146.161</v>
      </c>
      <c r="V244" s="11">
        <v>13430.861999999999</v>
      </c>
      <c r="W244" s="11">
        <v>12426.583000000001</v>
      </c>
      <c r="X244" s="11">
        <v>17429.542000000001</v>
      </c>
      <c r="Y244" s="11">
        <v>13255.210999999999</v>
      </c>
    </row>
    <row r="245" spans="1:25" x14ac:dyDescent="0.35">
      <c r="A245" s="11">
        <v>1993</v>
      </c>
      <c r="B245" s="11">
        <v>12052.668</v>
      </c>
      <c r="C245" s="11">
        <v>16109.819</v>
      </c>
      <c r="D245" s="11">
        <v>10547.611999999999</v>
      </c>
      <c r="E245" s="11">
        <v>13437.762000000001</v>
      </c>
      <c r="F245" s="11">
        <v>18043.395</v>
      </c>
      <c r="G245" s="11">
        <v>13371.601000000001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>
        <v>13070.646000000001</v>
      </c>
      <c r="U245" s="11">
        <v>17831.395</v>
      </c>
      <c r="V245" s="11">
        <v>13833.175999999999</v>
      </c>
      <c r="W245" s="11">
        <v>12470.611999999999</v>
      </c>
      <c r="X245" s="11">
        <v>17143.428</v>
      </c>
      <c r="Y245" s="11">
        <v>13717.210999999999</v>
      </c>
    </row>
    <row r="246" spans="1:25" x14ac:dyDescent="0.35">
      <c r="A246" s="11">
        <v>1994</v>
      </c>
      <c r="B246" s="11">
        <v>12213.09</v>
      </c>
      <c r="C246" s="11">
        <v>15887.724</v>
      </c>
      <c r="D246" s="11">
        <v>11026.964</v>
      </c>
      <c r="E246" s="11">
        <v>13610.468000000001</v>
      </c>
      <c r="F246" s="11">
        <v>17798.919000000002</v>
      </c>
      <c r="G246" s="11">
        <v>13774.495999999999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>
        <v>13282.33</v>
      </c>
      <c r="U246" s="11">
        <v>17644.442999999999</v>
      </c>
      <c r="V246" s="11">
        <v>14351.305</v>
      </c>
      <c r="W246" s="11">
        <v>12670.307000000001</v>
      </c>
      <c r="X246" s="11">
        <v>16960.739000000001</v>
      </c>
      <c r="Y246" s="11">
        <v>14141.028</v>
      </c>
    </row>
    <row r="247" spans="1:25" x14ac:dyDescent="0.35">
      <c r="A247" s="11">
        <v>1995</v>
      </c>
      <c r="B247" s="11">
        <v>12340.436</v>
      </c>
      <c r="C247" s="11">
        <v>15970.284</v>
      </c>
      <c r="D247" s="11">
        <v>11547.357</v>
      </c>
      <c r="E247" s="11">
        <v>13777.983</v>
      </c>
      <c r="F247" s="11">
        <v>17879.937000000002</v>
      </c>
      <c r="G247" s="11">
        <v>14421.959000000001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>
        <v>13442.630999999999</v>
      </c>
      <c r="U247" s="11">
        <v>17726.978999999999</v>
      </c>
      <c r="V247" s="11">
        <v>15066.696</v>
      </c>
      <c r="W247" s="11">
        <v>12826.186</v>
      </c>
      <c r="X247" s="11">
        <v>17014.781999999999</v>
      </c>
      <c r="Y247" s="11">
        <v>14844.401</v>
      </c>
    </row>
    <row r="248" spans="1:25" x14ac:dyDescent="0.35">
      <c r="A248" s="11">
        <v>1996</v>
      </c>
      <c r="B248" s="11">
        <v>12633.130999999999</v>
      </c>
      <c r="C248" s="11">
        <v>16230.737999999999</v>
      </c>
      <c r="D248" s="11">
        <v>12061.251</v>
      </c>
      <c r="E248" s="11">
        <v>14105.386</v>
      </c>
      <c r="F248" s="11">
        <v>18155.737000000001</v>
      </c>
      <c r="G248" s="11">
        <v>15040.64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>
        <v>13761.536</v>
      </c>
      <c r="U248" s="11">
        <v>17948.385999999999</v>
      </c>
      <c r="V248" s="11">
        <v>15461.135</v>
      </c>
      <c r="W248" s="11">
        <v>13130.227000000001</v>
      </c>
      <c r="X248" s="11">
        <v>17229.398000000001</v>
      </c>
      <c r="Y248" s="11">
        <v>15188.922</v>
      </c>
    </row>
    <row r="249" spans="1:25" x14ac:dyDescent="0.35">
      <c r="A249" s="11">
        <v>1997</v>
      </c>
      <c r="B249" s="11">
        <v>12636.197</v>
      </c>
      <c r="C249" s="11">
        <v>16096.977000000001</v>
      </c>
      <c r="D249" s="11">
        <v>12309.654</v>
      </c>
      <c r="E249" s="11">
        <v>14108.635</v>
      </c>
      <c r="F249" s="11">
        <v>18006.532999999999</v>
      </c>
      <c r="G249" s="11">
        <v>15381.162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>
        <v>13983.067999999999</v>
      </c>
      <c r="U249" s="11">
        <v>17990.467000000001</v>
      </c>
      <c r="V249" s="11">
        <v>15795.757</v>
      </c>
      <c r="W249" s="11">
        <v>13335.094999999999</v>
      </c>
      <c r="X249" s="11">
        <v>17259.266</v>
      </c>
      <c r="Y249" s="11">
        <v>15499.593000000001</v>
      </c>
    </row>
    <row r="250" spans="1:25" x14ac:dyDescent="0.35">
      <c r="A250" s="11">
        <v>1998</v>
      </c>
      <c r="B250" s="11">
        <v>12673.241</v>
      </c>
      <c r="C250" s="11">
        <v>16041.1</v>
      </c>
      <c r="D250" s="11">
        <v>12150.263000000001</v>
      </c>
      <c r="E250" s="11">
        <v>14173.652</v>
      </c>
      <c r="F250" s="11">
        <v>17960.851999999999</v>
      </c>
      <c r="G250" s="11">
        <v>15437.89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>
        <v>14020.254000000001</v>
      </c>
      <c r="U250" s="11">
        <v>17922.048999999999</v>
      </c>
      <c r="V250" s="11">
        <v>15944.418</v>
      </c>
      <c r="W250" s="11">
        <v>13383.745999999999</v>
      </c>
      <c r="X250" s="11">
        <v>17214.435000000001</v>
      </c>
      <c r="Y250" s="11">
        <v>15688.246999999999</v>
      </c>
    </row>
    <row r="251" spans="1:25" x14ac:dyDescent="0.35">
      <c r="A251" s="11">
        <v>1999</v>
      </c>
      <c r="B251" s="11">
        <v>12754.268</v>
      </c>
      <c r="C251" s="11">
        <v>16079.748</v>
      </c>
      <c r="D251" s="11">
        <v>12603.699000000001</v>
      </c>
      <c r="E251" s="11">
        <v>14204.499</v>
      </c>
      <c r="F251" s="11">
        <v>17934.117999999999</v>
      </c>
      <c r="G251" s="11">
        <v>16048.561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>
        <v>14036.161</v>
      </c>
      <c r="U251" s="11">
        <v>17932.913</v>
      </c>
      <c r="V251" s="11">
        <v>16121.88</v>
      </c>
      <c r="W251" s="11">
        <v>13398.727000000001</v>
      </c>
      <c r="X251" s="11">
        <v>17205.188999999998</v>
      </c>
      <c r="Y251" s="11">
        <v>15831.638999999999</v>
      </c>
    </row>
    <row r="252" spans="1:25" x14ac:dyDescent="0.35">
      <c r="A252" s="11">
        <v>2000</v>
      </c>
      <c r="B252" s="11">
        <v>13032.554</v>
      </c>
      <c r="C252" s="11">
        <v>16354.44</v>
      </c>
      <c r="D252" s="11">
        <v>13086.375</v>
      </c>
      <c r="E252" s="11">
        <v>14474.385</v>
      </c>
      <c r="F252" s="11">
        <v>18171.378000000001</v>
      </c>
      <c r="G252" s="11">
        <v>16583.919999999998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>
        <v>14250.975</v>
      </c>
      <c r="U252" s="11">
        <v>18184.506000000001</v>
      </c>
      <c r="V252" s="11">
        <v>16714.233</v>
      </c>
      <c r="W252" s="11">
        <v>13622.161</v>
      </c>
      <c r="X252" s="11">
        <v>17486.486000000001</v>
      </c>
      <c r="Y252" s="11">
        <v>16322.936</v>
      </c>
    </row>
    <row r="253" spans="1:25" x14ac:dyDescent="0.35">
      <c r="A253" s="11">
        <v>2001</v>
      </c>
      <c r="B253" s="11">
        <v>12920.486999999999</v>
      </c>
      <c r="C253" s="11">
        <v>16301.445</v>
      </c>
      <c r="D253" s="11">
        <v>13295.259</v>
      </c>
      <c r="E253" s="11">
        <v>14360.838</v>
      </c>
      <c r="F253" s="11">
        <v>18098.643</v>
      </c>
      <c r="G253" s="11">
        <v>16920.435000000001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>
        <v>14202.02</v>
      </c>
      <c r="U253" s="11">
        <v>18126.528999999999</v>
      </c>
      <c r="V253" s="11">
        <v>17111.129000000001</v>
      </c>
      <c r="W253" s="11">
        <v>13613.895</v>
      </c>
      <c r="X253" s="11">
        <v>17480.168000000001</v>
      </c>
      <c r="Y253" s="11">
        <v>16729.536</v>
      </c>
    </row>
    <row r="254" spans="1:25" x14ac:dyDescent="0.35">
      <c r="A254" s="11">
        <v>2002</v>
      </c>
      <c r="B254" s="11">
        <v>12969.549000000001</v>
      </c>
      <c r="C254" s="11">
        <v>16327.813</v>
      </c>
      <c r="D254" s="11">
        <v>13739.213</v>
      </c>
      <c r="E254" s="11">
        <v>14415.983</v>
      </c>
      <c r="F254" s="11">
        <v>18104.141</v>
      </c>
      <c r="G254" s="11">
        <v>17595.803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>
        <v>14079.259</v>
      </c>
      <c r="U254" s="11">
        <v>17992.138999999999</v>
      </c>
      <c r="V254" s="11">
        <v>17662.552</v>
      </c>
      <c r="W254" s="11">
        <v>13482.724</v>
      </c>
      <c r="X254" s="11">
        <v>17337.100999999999</v>
      </c>
      <c r="Y254" s="11">
        <v>17283.017</v>
      </c>
    </row>
    <row r="255" spans="1:25" x14ac:dyDescent="0.35">
      <c r="A255" s="11">
        <v>2003</v>
      </c>
      <c r="B255" s="11">
        <v>13121.954</v>
      </c>
      <c r="C255" s="11">
        <v>16583.224999999999</v>
      </c>
      <c r="D255" s="11">
        <v>15046.210999999999</v>
      </c>
      <c r="E255" s="11">
        <v>14549.835999999999</v>
      </c>
      <c r="F255" s="11">
        <v>18333.011999999999</v>
      </c>
      <c r="G255" s="11">
        <v>18987.055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>
        <v>14234.880999999999</v>
      </c>
      <c r="U255" s="11">
        <v>18293.253000000001</v>
      </c>
      <c r="V255" s="11">
        <v>18863.579000000002</v>
      </c>
      <c r="W255" s="11">
        <v>13570.098</v>
      </c>
      <c r="X255" s="11">
        <v>17565.22</v>
      </c>
      <c r="Y255" s="11">
        <v>18354.947</v>
      </c>
    </row>
    <row r="256" spans="1:25" x14ac:dyDescent="0.35">
      <c r="A256" s="11">
        <v>2004</v>
      </c>
      <c r="B256" s="11">
        <v>13221.197</v>
      </c>
      <c r="C256" s="11">
        <v>16715.097000000002</v>
      </c>
      <c r="D256" s="11">
        <v>15896.494000000001</v>
      </c>
      <c r="E256" s="11">
        <v>14652.648999999999</v>
      </c>
      <c r="F256" s="11">
        <v>18462.667000000001</v>
      </c>
      <c r="G256" s="11">
        <v>20117.173999999999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>
        <v>14338.192999999999</v>
      </c>
      <c r="U256" s="11">
        <v>18393.027999999998</v>
      </c>
      <c r="V256" s="11">
        <v>20236.944</v>
      </c>
      <c r="W256" s="11">
        <v>13680.798000000001</v>
      </c>
      <c r="X256" s="11">
        <v>17652.164000000001</v>
      </c>
      <c r="Y256" s="11">
        <v>19638.738000000001</v>
      </c>
    </row>
    <row r="257" spans="1:25" x14ac:dyDescent="0.35">
      <c r="A257" s="11">
        <v>2005</v>
      </c>
      <c r="B257" s="11">
        <v>13222.099</v>
      </c>
      <c r="C257" s="11">
        <v>16770.259999999998</v>
      </c>
      <c r="D257" s="11">
        <v>16897.812000000002</v>
      </c>
      <c r="E257" s="11">
        <v>14638.534</v>
      </c>
      <c r="F257" s="11">
        <v>18485.886999999999</v>
      </c>
      <c r="G257" s="11">
        <v>21348.936000000002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>
        <v>14334.144</v>
      </c>
      <c r="U257" s="11">
        <v>18389.487000000001</v>
      </c>
      <c r="V257" s="11">
        <v>21486.678</v>
      </c>
      <c r="W257" s="11">
        <v>13654.102999999999</v>
      </c>
      <c r="X257" s="11">
        <v>17658.897000000001</v>
      </c>
      <c r="Y257" s="11">
        <v>20817.811000000002</v>
      </c>
    </row>
    <row r="258" spans="1:25" x14ac:dyDescent="0.35">
      <c r="A258" s="11">
        <v>2006</v>
      </c>
      <c r="B258" s="11">
        <v>13118.285</v>
      </c>
      <c r="C258" s="11">
        <v>16797.792000000001</v>
      </c>
      <c r="D258" s="11">
        <v>17918.057000000001</v>
      </c>
      <c r="E258" s="11">
        <v>14529.594999999999</v>
      </c>
      <c r="F258" s="11">
        <v>18493.011999999999</v>
      </c>
      <c r="G258" s="11">
        <v>22361.418000000001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>
        <v>14158.824000000001</v>
      </c>
      <c r="U258" s="11">
        <v>18308.053</v>
      </c>
      <c r="V258" s="11">
        <v>22673.116000000002</v>
      </c>
      <c r="W258" s="11">
        <v>13556.763999999999</v>
      </c>
      <c r="X258" s="11">
        <v>17643.202000000001</v>
      </c>
      <c r="Y258" s="11">
        <v>21886.2</v>
      </c>
    </row>
    <row r="259" spans="1:25" x14ac:dyDescent="0.35">
      <c r="A259" s="11">
        <v>2007</v>
      </c>
      <c r="B259" s="11">
        <v>13191.788</v>
      </c>
      <c r="C259" s="11">
        <v>16932.345000000001</v>
      </c>
      <c r="D259" s="11">
        <v>18668.969000000001</v>
      </c>
      <c r="E259" s="11">
        <v>14614.02</v>
      </c>
      <c r="F259" s="11">
        <v>18620.751</v>
      </c>
      <c r="G259" s="11">
        <v>23128.172999999999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>
        <v>14259.132</v>
      </c>
      <c r="U259" s="11">
        <v>18466.989000000001</v>
      </c>
      <c r="V259" s="11">
        <v>23733.368999999999</v>
      </c>
      <c r="W259" s="11">
        <v>13673.646000000001</v>
      </c>
      <c r="X259" s="11">
        <v>17816.764999999999</v>
      </c>
      <c r="Y259" s="11">
        <v>22969.277999999998</v>
      </c>
    </row>
    <row r="260" spans="1:25" x14ac:dyDescent="0.35">
      <c r="A260" s="11">
        <v>2008</v>
      </c>
      <c r="B260" s="11">
        <v>12822.44</v>
      </c>
      <c r="C260" s="11">
        <v>16559.697</v>
      </c>
      <c r="D260" s="11">
        <v>19612.766</v>
      </c>
      <c r="E260" s="11">
        <v>14235.392</v>
      </c>
      <c r="F260" s="11">
        <v>18233.544000000002</v>
      </c>
      <c r="G260" s="11">
        <v>24017.879000000001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>
        <v>13868.516</v>
      </c>
      <c r="U260" s="11">
        <v>18032.715</v>
      </c>
      <c r="V260" s="11">
        <v>24451.153999999999</v>
      </c>
      <c r="W260" s="11">
        <v>13281.959000000001</v>
      </c>
      <c r="X260" s="11">
        <v>17375.925999999999</v>
      </c>
      <c r="Y260" s="11">
        <v>23719.065999999999</v>
      </c>
    </row>
    <row r="261" spans="1:25" x14ac:dyDescent="0.35">
      <c r="A261" s="11">
        <v>2009</v>
      </c>
      <c r="B261" s="11">
        <v>11945.429</v>
      </c>
      <c r="C261" s="11">
        <v>15450.621999999999</v>
      </c>
      <c r="D261" s="11">
        <v>20147.199000000001</v>
      </c>
      <c r="E261" s="11">
        <v>13360.968999999999</v>
      </c>
      <c r="F261" s="11">
        <v>17085.629000000001</v>
      </c>
      <c r="G261" s="11">
        <v>24621.038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>
        <v>13035.669</v>
      </c>
      <c r="U261" s="11">
        <v>16944.954000000002</v>
      </c>
      <c r="V261" s="11">
        <v>25141.159</v>
      </c>
      <c r="W261" s="11">
        <v>12522.388000000001</v>
      </c>
      <c r="X261" s="11">
        <v>16359.322</v>
      </c>
      <c r="Y261" s="11">
        <v>24336.667000000001</v>
      </c>
    </row>
    <row r="262" spans="1:25" x14ac:dyDescent="0.35">
      <c r="A262" s="11">
        <v>2010</v>
      </c>
      <c r="B262" s="11">
        <v>12267.41</v>
      </c>
      <c r="C262" s="11">
        <v>15929.107</v>
      </c>
      <c r="D262" s="11">
        <v>21555.933000000001</v>
      </c>
      <c r="E262" s="11">
        <v>13695.19</v>
      </c>
      <c r="F262" s="11">
        <v>17560.032999999999</v>
      </c>
      <c r="G262" s="11">
        <v>25880.047999999999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>
        <v>13490.692999999999</v>
      </c>
      <c r="U262" s="11">
        <v>17572.326000000001</v>
      </c>
      <c r="V262" s="11">
        <v>26684.201000000001</v>
      </c>
      <c r="W262" s="11">
        <v>12927.093999999999</v>
      </c>
      <c r="X262" s="11">
        <v>16894.492999999999</v>
      </c>
      <c r="Y262" s="11">
        <v>25825.469000000001</v>
      </c>
    </row>
    <row r="263" spans="1:25" x14ac:dyDescent="0.35">
      <c r="A263" s="11">
        <v>2011</v>
      </c>
      <c r="B263" s="11">
        <v>12041.380999999999</v>
      </c>
      <c r="C263" s="11">
        <v>15818.934999999999</v>
      </c>
      <c r="D263" s="11">
        <v>22990.006000000001</v>
      </c>
      <c r="E263" s="11">
        <v>13434.759</v>
      </c>
      <c r="F263" s="11">
        <v>17404.231</v>
      </c>
      <c r="G263" s="11">
        <v>27402.531999999999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>
        <v>13202.249</v>
      </c>
      <c r="U263" s="11">
        <v>17426.017</v>
      </c>
      <c r="V263" s="11">
        <v>28190.880000000001</v>
      </c>
      <c r="W263" s="11">
        <v>12751.045</v>
      </c>
      <c r="X263" s="11">
        <v>16850.089</v>
      </c>
      <c r="Y263" s="11">
        <v>27121.841</v>
      </c>
    </row>
    <row r="264" spans="1:25" x14ac:dyDescent="0.35">
      <c r="A264" s="11">
        <v>2012</v>
      </c>
      <c r="B264" s="11">
        <v>11833.886</v>
      </c>
      <c r="C264" s="11">
        <v>15621.683999999999</v>
      </c>
      <c r="D264" s="11">
        <v>23735.893</v>
      </c>
      <c r="E264" s="11">
        <v>13206.076999999999</v>
      </c>
      <c r="F264" s="11">
        <v>17175.864000000001</v>
      </c>
      <c r="G264" s="11">
        <v>28204.866000000002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>
        <v>12992.946</v>
      </c>
      <c r="U264" s="11">
        <v>17208.377</v>
      </c>
      <c r="V264" s="11">
        <v>29075.043000000001</v>
      </c>
      <c r="W264" s="11">
        <v>12570.325000000001</v>
      </c>
      <c r="X264" s="11">
        <v>16627.705000000002</v>
      </c>
      <c r="Y264" s="11">
        <v>27887.262999999999</v>
      </c>
    </row>
    <row r="265" spans="1:25" x14ac:dyDescent="0.35">
      <c r="A265" s="11">
        <v>2013</v>
      </c>
      <c r="B265" s="11">
        <v>11921.143</v>
      </c>
      <c r="C265" s="11">
        <v>15603.499</v>
      </c>
      <c r="D265" s="11">
        <v>24051.050999999999</v>
      </c>
      <c r="E265" s="11">
        <v>13331.63</v>
      </c>
      <c r="F265" s="11">
        <v>17188.449000000001</v>
      </c>
      <c r="G265" s="11">
        <v>28629.203000000001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>
        <v>13071.982</v>
      </c>
      <c r="U265" s="11">
        <v>17196.321</v>
      </c>
      <c r="V265" s="11">
        <v>29844.722000000002</v>
      </c>
      <c r="W265" s="11">
        <v>12599.65</v>
      </c>
      <c r="X265" s="11">
        <v>16571.922999999999</v>
      </c>
      <c r="Y265" s="11">
        <v>28678.215</v>
      </c>
    </row>
    <row r="266" spans="1:25" x14ac:dyDescent="0.35">
      <c r="A266" s="11">
        <v>2014</v>
      </c>
      <c r="B266" s="11">
        <v>11766.173000000001</v>
      </c>
      <c r="C266" s="11">
        <v>15403.626</v>
      </c>
      <c r="D266" s="11">
        <v>24496.273000000001</v>
      </c>
      <c r="E266" s="11">
        <v>13161.575000000001</v>
      </c>
      <c r="F266" s="11">
        <v>16961.733</v>
      </c>
      <c r="G266" s="11">
        <v>29268.339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12894.382</v>
      </c>
      <c r="U266" s="11">
        <v>16963.466</v>
      </c>
      <c r="V266" s="11">
        <v>30397.116000000002</v>
      </c>
      <c r="W266" s="11">
        <v>12466.834999999999</v>
      </c>
      <c r="X266" s="11">
        <v>16372.763000000001</v>
      </c>
      <c r="Y266" s="11">
        <v>29119.773000000001</v>
      </c>
    </row>
    <row r="267" spans="1:25" x14ac:dyDescent="0.35">
      <c r="A267" s="11">
        <v>2015</v>
      </c>
      <c r="B267" s="11">
        <v>11588.035</v>
      </c>
      <c r="C267" s="11">
        <v>15212.561</v>
      </c>
      <c r="D267" s="11">
        <v>24587.428</v>
      </c>
      <c r="E267" s="11">
        <v>12977.353999999999</v>
      </c>
      <c r="F267" s="11">
        <v>16735.429</v>
      </c>
      <c r="G267" s="11">
        <v>29718.654999999999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>
        <v>12750.58</v>
      </c>
      <c r="U267" s="11">
        <v>16798.682000000001</v>
      </c>
      <c r="V267" s="11">
        <v>30409.437999999998</v>
      </c>
      <c r="W267" s="11">
        <v>12346.32</v>
      </c>
      <c r="X267" s="11">
        <v>16168.547</v>
      </c>
      <c r="Y267" s="11">
        <v>29102.433000000001</v>
      </c>
    </row>
    <row r="268" spans="1:25" x14ac:dyDescent="0.35">
      <c r="A268" s="11">
        <v>2016</v>
      </c>
      <c r="B268" s="11">
        <v>11369.508</v>
      </c>
      <c r="C268" s="11">
        <v>15044.370999999999</v>
      </c>
      <c r="D268" s="11">
        <v>24743.116000000002</v>
      </c>
      <c r="E268" s="11">
        <v>12745.261</v>
      </c>
      <c r="F268" s="11">
        <v>16550.843000000001</v>
      </c>
      <c r="G268" s="11">
        <v>30139.285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>
        <v>12582.47</v>
      </c>
      <c r="U268" s="11">
        <v>16663.755000000001</v>
      </c>
      <c r="V268" s="11">
        <v>30703.257000000001</v>
      </c>
      <c r="W268" s="11">
        <v>12159.462</v>
      </c>
      <c r="X268" s="11">
        <v>16023.4</v>
      </c>
      <c r="Y268" s="11">
        <v>29334.633999999998</v>
      </c>
    </row>
    <row r="269" spans="1:25" x14ac:dyDescent="0.35">
      <c r="A269" s="11">
        <v>2017</v>
      </c>
      <c r="B269" s="11">
        <v>11325.46</v>
      </c>
      <c r="C269" s="11">
        <v>15085.261</v>
      </c>
      <c r="D269" s="11">
        <v>25370.645</v>
      </c>
      <c r="E269" s="11">
        <v>12706.203</v>
      </c>
      <c r="F269" s="11">
        <v>16590.07</v>
      </c>
      <c r="G269" s="11">
        <v>31028.532999999999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>
        <v>12531.709000000001</v>
      </c>
      <c r="U269" s="11">
        <v>16710.731</v>
      </c>
      <c r="V269" s="11">
        <v>31421.156999999999</v>
      </c>
      <c r="W269" s="11">
        <v>12145.079</v>
      </c>
      <c r="X269" s="11">
        <v>16087.971</v>
      </c>
      <c r="Y269" s="11">
        <v>29990.136999999999</v>
      </c>
    </row>
    <row r="270" spans="1:25" x14ac:dyDescent="0.35">
      <c r="A270" s="11">
        <v>2018</v>
      </c>
      <c r="B270" s="11">
        <v>11412.57</v>
      </c>
      <c r="C270" s="11">
        <v>15244.098</v>
      </c>
      <c r="D270" s="11">
        <v>26095.018</v>
      </c>
      <c r="E270" s="11">
        <v>12791.475</v>
      </c>
      <c r="F270" s="11">
        <v>16746.100999999999</v>
      </c>
      <c r="G270" s="11">
        <v>31637.839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>
        <v>12598.099</v>
      </c>
      <c r="U270" s="11">
        <v>16882.124</v>
      </c>
      <c r="V270" s="11">
        <v>32308.120999999999</v>
      </c>
      <c r="W270" s="11">
        <v>12264.248</v>
      </c>
      <c r="X270" s="11">
        <v>16308.731</v>
      </c>
      <c r="Y270" s="11">
        <v>30656.584999999999</v>
      </c>
    </row>
    <row r="271" spans="1:25" x14ac:dyDescent="0.35">
      <c r="A271" s="11">
        <v>2019</v>
      </c>
      <c r="B271" s="11">
        <v>11146.928</v>
      </c>
      <c r="C271" s="11">
        <v>14929.248</v>
      </c>
      <c r="D271" s="11">
        <v>26848.478999999999</v>
      </c>
      <c r="E271" s="11">
        <v>12446.253000000001</v>
      </c>
      <c r="F271" s="11">
        <v>16332.204</v>
      </c>
      <c r="G271" s="11">
        <v>32109.751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>
        <v>12300.347</v>
      </c>
      <c r="U271" s="11">
        <v>16555.073</v>
      </c>
      <c r="V271" s="11">
        <v>32906.898999999998</v>
      </c>
      <c r="W271" s="11">
        <v>11942.916999999999</v>
      </c>
      <c r="X271" s="11">
        <v>15929.011</v>
      </c>
      <c r="Y271" s="11">
        <v>31172.326000000001</v>
      </c>
    </row>
    <row r="272" spans="1:25" x14ac:dyDescent="0.35">
      <c r="A272" s="11">
        <v>2020</v>
      </c>
      <c r="B272" s="11">
        <v>10110.066999999999</v>
      </c>
      <c r="C272" s="11">
        <v>13754.537</v>
      </c>
      <c r="D272" s="11">
        <v>26317.035</v>
      </c>
      <c r="E272" s="11">
        <v>11410.817999999999</v>
      </c>
      <c r="F272" s="11">
        <v>15174.106</v>
      </c>
      <c r="G272" s="11">
        <v>31736.9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>
        <v>11299.117</v>
      </c>
      <c r="U272" s="11">
        <v>15424.864</v>
      </c>
      <c r="V272" s="11">
        <v>32563.831999999999</v>
      </c>
      <c r="W272" s="11">
        <v>10949.116</v>
      </c>
      <c r="X272" s="11">
        <v>14809.51</v>
      </c>
      <c r="Y272" s="11">
        <v>30854.438999999998</v>
      </c>
    </row>
    <row r="273" spans="1:25" x14ac:dyDescent="0.35">
      <c r="A273" s="11">
        <v>2021</v>
      </c>
      <c r="B273" s="11">
        <v>10645.296</v>
      </c>
      <c r="C273" s="11">
        <v>14459.23</v>
      </c>
      <c r="D273" s="11">
        <v>27464.455999999998</v>
      </c>
      <c r="E273" s="11">
        <v>11897.638999999999</v>
      </c>
      <c r="F273" s="11">
        <v>15817.947</v>
      </c>
      <c r="G273" s="11">
        <v>33014.620000000003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>
        <v>11771.713</v>
      </c>
      <c r="U273" s="11">
        <v>16152.722</v>
      </c>
      <c r="V273" s="11">
        <v>34008.561999999998</v>
      </c>
      <c r="W273" s="11">
        <v>11391.763999999999</v>
      </c>
      <c r="X273" s="11">
        <v>15512.689</v>
      </c>
      <c r="Y273" s="11">
        <v>32213.937000000002</v>
      </c>
    </row>
    <row r="274" spans="1:25" x14ac:dyDescent="0.35">
      <c r="A274" s="11">
        <v>2022</v>
      </c>
      <c r="B274" s="11">
        <v>10589.18</v>
      </c>
      <c r="C274" s="11">
        <v>14289.32</v>
      </c>
      <c r="D274" s="11">
        <v>28377.31</v>
      </c>
      <c r="E274" s="11">
        <v>11794.931</v>
      </c>
      <c r="F274" s="11">
        <v>15567.946</v>
      </c>
      <c r="G274" s="11">
        <v>33544.574999999997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>
        <v>11749.84</v>
      </c>
      <c r="U274" s="11">
        <v>15954.508</v>
      </c>
      <c r="V274" s="11">
        <v>34618.095999999998</v>
      </c>
      <c r="W274" s="11">
        <v>11382.431</v>
      </c>
      <c r="X274" s="11">
        <v>15363.486999999999</v>
      </c>
      <c r="Y274" s="11">
        <v>32706.931</v>
      </c>
    </row>
    <row r="275" spans="1:25" x14ac:dyDescent="0.35">
      <c r="A275" s="11">
        <v>2023</v>
      </c>
      <c r="B275" s="11">
        <v>10231.641</v>
      </c>
      <c r="C275" s="11">
        <v>13959.637000000001</v>
      </c>
      <c r="D275" s="11">
        <v>29295.151999999998</v>
      </c>
      <c r="E275" s="11">
        <v>11380.54</v>
      </c>
      <c r="F275" s="11">
        <v>15122.355</v>
      </c>
      <c r="G275" s="11">
        <v>34525.696000000004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>
        <v>11313.263999999999</v>
      </c>
      <c r="U275" s="11">
        <v>15497.115</v>
      </c>
      <c r="V275" s="11">
        <v>35712.680999999997</v>
      </c>
      <c r="W275" s="11">
        <v>11034.686</v>
      </c>
      <c r="X275" s="11">
        <v>14998.116</v>
      </c>
      <c r="Y275" s="11">
        <v>33744.497000000003</v>
      </c>
    </row>
    <row r="276" spans="1:25" x14ac:dyDescent="0.35">
      <c r="A276" s="11">
        <v>2024</v>
      </c>
      <c r="B276" s="11">
        <v>10139.766</v>
      </c>
      <c r="C276" s="11">
        <v>13930.995999999999</v>
      </c>
      <c r="D276" s="11">
        <v>29763.416000000001</v>
      </c>
      <c r="E276" s="11">
        <v>8641.1509999999998</v>
      </c>
      <c r="F276" s="11">
        <v>11449.105</v>
      </c>
      <c r="G276" s="11">
        <v>24074.701000000001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>
        <v>11266.064</v>
      </c>
      <c r="U276" s="11">
        <v>15505.316000000001</v>
      </c>
      <c r="V276" s="11">
        <v>36341.428999999996</v>
      </c>
      <c r="W276" s="11"/>
      <c r="X276" s="11"/>
      <c r="Y27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99DCA-00EF-4750-B9DA-582AC5315414}">
  <dimension ref="A1:Y276"/>
  <sheetViews>
    <sheetView workbookViewId="0"/>
  </sheetViews>
  <sheetFormatPr defaultRowHeight="14.5" x14ac:dyDescent="0.35"/>
  <cols>
    <col min="1" max="1" width="4.81640625" bestFit="1" customWidth="1"/>
    <col min="2" max="3" width="12.453125" bestFit="1" customWidth="1"/>
    <col min="4" max="4" width="11.54296875" bestFit="1" customWidth="1"/>
    <col min="5" max="6" width="14.26953125" bestFit="1" customWidth="1"/>
    <col min="7" max="7" width="13.36328125" bestFit="1" customWidth="1"/>
    <col min="8" max="9" width="16.81640625" bestFit="1" customWidth="1"/>
    <col min="10" max="10" width="15.90625" bestFit="1" customWidth="1"/>
    <col min="11" max="12" width="16.54296875" bestFit="1" customWidth="1"/>
    <col min="13" max="13" width="15.6328125" bestFit="1" customWidth="1"/>
    <col min="14" max="15" width="18.26953125" bestFit="1" customWidth="1"/>
    <col min="16" max="16" width="17.36328125" bestFit="1" customWidth="1"/>
    <col min="17" max="18" width="16.7265625" bestFit="1" customWidth="1"/>
    <col min="19" max="19" width="15.81640625" bestFit="1" customWidth="1"/>
    <col min="20" max="21" width="13.6328125" bestFit="1" customWidth="1"/>
    <col min="22" max="22" width="12.6328125" bestFit="1" customWidth="1"/>
    <col min="23" max="24" width="19.90625" bestFit="1" customWidth="1"/>
    <col min="25" max="25" width="19" bestFit="1" customWidth="1"/>
  </cols>
  <sheetData>
    <row r="1" spans="1:25" x14ac:dyDescent="0.35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12" t="s">
        <v>32</v>
      </c>
    </row>
    <row r="2" spans="1:25" x14ac:dyDescent="0.35">
      <c r="A2" s="11">
        <v>1750</v>
      </c>
      <c r="B2" s="11"/>
      <c r="C2" s="11"/>
      <c r="D2" s="11"/>
      <c r="E2" s="11">
        <v>160.02000000000001</v>
      </c>
      <c r="F2" s="11">
        <v>265.89999999999998</v>
      </c>
      <c r="G2" s="11">
        <v>517.95100000000002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35">
      <c r="A3" s="11">
        <v>1751</v>
      </c>
      <c r="B3" s="11"/>
      <c r="C3" s="11"/>
      <c r="D3" s="11"/>
      <c r="E3" s="11">
        <v>181.77</v>
      </c>
      <c r="F3" s="11">
        <v>291.58300000000003</v>
      </c>
      <c r="G3" s="11">
        <v>527.40599999999995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35">
      <c r="A4" s="11">
        <v>1752</v>
      </c>
      <c r="B4" s="11"/>
      <c r="C4" s="11"/>
      <c r="D4" s="11"/>
      <c r="E4" s="11">
        <v>194.363</v>
      </c>
      <c r="F4" s="11">
        <v>308.10899999999998</v>
      </c>
      <c r="G4" s="11">
        <v>536.86199999999997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35">
      <c r="A5" s="11">
        <v>1753</v>
      </c>
      <c r="B5" s="11"/>
      <c r="C5" s="11"/>
      <c r="D5" s="11"/>
      <c r="E5" s="11">
        <v>206.95099999999999</v>
      </c>
      <c r="F5" s="11">
        <v>324.62900000000002</v>
      </c>
      <c r="G5" s="11">
        <v>546.31700000000001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35">
      <c r="A6" s="11">
        <v>1754</v>
      </c>
      <c r="B6" s="11"/>
      <c r="C6" s="11"/>
      <c r="D6" s="11"/>
      <c r="E6" s="11">
        <v>219.542</v>
      </c>
      <c r="F6" s="11">
        <v>341.15300000000002</v>
      </c>
      <c r="G6" s="11">
        <v>555.77200000000005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35">
      <c r="A7" s="11">
        <v>1755</v>
      </c>
      <c r="B7" s="11"/>
      <c r="C7" s="11"/>
      <c r="D7" s="11"/>
      <c r="E7" s="11">
        <v>232.131</v>
      </c>
      <c r="F7" s="11">
        <v>357.67599999999999</v>
      </c>
      <c r="G7" s="11">
        <v>565.22699999999998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35">
      <c r="A8" s="11">
        <v>1756</v>
      </c>
      <c r="B8" s="11"/>
      <c r="C8" s="11"/>
      <c r="D8" s="11"/>
      <c r="E8" s="11">
        <v>245.48500000000001</v>
      </c>
      <c r="F8" s="11">
        <v>374.96199999999999</v>
      </c>
      <c r="G8" s="11">
        <v>574.68200000000002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35">
      <c r="A9" s="11">
        <v>1757</v>
      </c>
      <c r="B9" s="11"/>
      <c r="C9" s="11"/>
      <c r="D9" s="11"/>
      <c r="E9" s="11">
        <v>258.072</v>
      </c>
      <c r="F9" s="11">
        <v>391.48200000000003</v>
      </c>
      <c r="G9" s="11">
        <v>584.13699999999994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35">
      <c r="A10" s="11">
        <v>1758</v>
      </c>
      <c r="B10" s="11"/>
      <c r="C10" s="11"/>
      <c r="D10" s="11"/>
      <c r="E10" s="11">
        <v>270.65800000000002</v>
      </c>
      <c r="F10" s="11">
        <v>408.00099999999998</v>
      </c>
      <c r="G10" s="11">
        <v>593.59199999999998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35">
      <c r="A11" s="11">
        <v>1759</v>
      </c>
      <c r="B11" s="11"/>
      <c r="C11" s="11"/>
      <c r="D11" s="11"/>
      <c r="E11" s="11">
        <v>283.24299999999999</v>
      </c>
      <c r="F11" s="11">
        <v>424.51900000000001</v>
      </c>
      <c r="G11" s="11">
        <v>603.04700000000003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35">
      <c r="A12" s="11">
        <v>1760</v>
      </c>
      <c r="B12" s="11"/>
      <c r="C12" s="11"/>
      <c r="D12" s="11"/>
      <c r="E12" s="11">
        <v>295.82299999999998</v>
      </c>
      <c r="F12" s="11">
        <v>441.03100000000001</v>
      </c>
      <c r="G12" s="11">
        <v>612.50099999999998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35">
      <c r="A13" s="11">
        <v>1761</v>
      </c>
      <c r="B13" s="11"/>
      <c r="C13" s="11"/>
      <c r="D13" s="11"/>
      <c r="E13" s="11">
        <v>309.584</v>
      </c>
      <c r="F13" s="11">
        <v>458.75</v>
      </c>
      <c r="G13" s="11">
        <v>621.72900000000004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35">
      <c r="A14" s="11">
        <v>1762</v>
      </c>
      <c r="B14" s="11"/>
      <c r="C14" s="11"/>
      <c r="D14" s="11"/>
      <c r="E14" s="11">
        <v>322.20800000000003</v>
      </c>
      <c r="F14" s="11">
        <v>475.33</v>
      </c>
      <c r="G14" s="11">
        <v>630.95600000000002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35">
      <c r="A15" s="11">
        <v>1763</v>
      </c>
      <c r="B15" s="11"/>
      <c r="C15" s="11"/>
      <c r="D15" s="11"/>
      <c r="E15" s="11">
        <v>334.83</v>
      </c>
      <c r="F15" s="11">
        <v>491.90899999999999</v>
      </c>
      <c r="G15" s="11">
        <v>640.18399999999997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35">
      <c r="A16" s="11">
        <v>1764</v>
      </c>
      <c r="B16" s="11"/>
      <c r="C16" s="11"/>
      <c r="D16" s="11"/>
      <c r="E16" s="11">
        <v>347.45100000000002</v>
      </c>
      <c r="F16" s="11">
        <v>508.48700000000002</v>
      </c>
      <c r="G16" s="11">
        <v>649.41099999999994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35">
      <c r="A17" s="11">
        <v>1765</v>
      </c>
      <c r="B17" s="11"/>
      <c r="C17" s="11"/>
      <c r="D17" s="11"/>
      <c r="E17" s="11">
        <v>360.07100000000003</v>
      </c>
      <c r="F17" s="11">
        <v>525.06399999999996</v>
      </c>
      <c r="G17" s="11">
        <v>658.63800000000003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35">
      <c r="A18" s="11">
        <v>1766</v>
      </c>
      <c r="B18" s="11"/>
      <c r="C18" s="11"/>
      <c r="D18" s="11"/>
      <c r="E18" s="11">
        <v>374.20299999999997</v>
      </c>
      <c r="F18" s="11">
        <v>543.15300000000002</v>
      </c>
      <c r="G18" s="11">
        <v>667.86599999999999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35">
      <c r="A19" s="11">
        <v>1767</v>
      </c>
      <c r="B19" s="11"/>
      <c r="C19" s="11"/>
      <c r="D19" s="11"/>
      <c r="E19" s="11">
        <v>386.82</v>
      </c>
      <c r="F19" s="11">
        <v>559.72699999999998</v>
      </c>
      <c r="G19" s="11">
        <v>677.09299999999996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35">
      <c r="A20" s="11">
        <v>1768</v>
      </c>
      <c r="B20" s="11"/>
      <c r="C20" s="11"/>
      <c r="D20" s="11"/>
      <c r="E20" s="11">
        <v>399.43700000000001</v>
      </c>
      <c r="F20" s="11">
        <v>576.29999999999995</v>
      </c>
      <c r="G20" s="11">
        <v>686.32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35">
      <c r="A21" s="11">
        <v>1769</v>
      </c>
      <c r="B21" s="11"/>
      <c r="C21" s="11"/>
      <c r="D21" s="11"/>
      <c r="E21" s="11">
        <v>412.05200000000002</v>
      </c>
      <c r="F21" s="11">
        <v>592.87199999999996</v>
      </c>
      <c r="G21" s="11">
        <v>695.54600000000005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35">
      <c r="A22" s="11">
        <v>1770</v>
      </c>
      <c r="B22" s="11"/>
      <c r="C22" s="11"/>
      <c r="D22" s="11"/>
      <c r="E22" s="11">
        <v>424.666</v>
      </c>
      <c r="F22" s="11">
        <v>609.44299999999998</v>
      </c>
      <c r="G22" s="11">
        <v>704.77300000000002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35">
      <c r="A23" s="11">
        <v>1771</v>
      </c>
      <c r="B23" s="11"/>
      <c r="C23" s="11"/>
      <c r="D23" s="11"/>
      <c r="E23" s="11">
        <v>439.18400000000003</v>
      </c>
      <c r="F23" s="11">
        <v>627.94200000000001</v>
      </c>
      <c r="G23" s="11">
        <v>718.11500000000001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35">
      <c r="A24" s="11">
        <v>1772</v>
      </c>
      <c r="B24" s="11"/>
      <c r="C24" s="11"/>
      <c r="D24" s="11"/>
      <c r="E24" s="11">
        <v>452.10899999999998</v>
      </c>
      <c r="F24" s="11">
        <v>644.84900000000005</v>
      </c>
      <c r="G24" s="11">
        <v>731.45600000000002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35">
      <c r="A25" s="11">
        <v>1773</v>
      </c>
      <c r="B25" s="11"/>
      <c r="C25" s="11"/>
      <c r="D25" s="11"/>
      <c r="E25" s="11">
        <v>465.03300000000002</v>
      </c>
      <c r="F25" s="11">
        <v>661.755</v>
      </c>
      <c r="G25" s="11">
        <v>744.79600000000005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35">
      <c r="A26" s="11">
        <v>1774</v>
      </c>
      <c r="B26" s="11"/>
      <c r="C26" s="11"/>
      <c r="D26" s="11"/>
      <c r="E26" s="11">
        <v>477.95499999999998</v>
      </c>
      <c r="F26" s="11">
        <v>678.65899999999999</v>
      </c>
      <c r="G26" s="11">
        <v>758.13599999999997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35">
      <c r="A27" s="11">
        <v>1775</v>
      </c>
      <c r="B27" s="11"/>
      <c r="C27" s="11"/>
      <c r="D27" s="11"/>
      <c r="E27" s="11">
        <v>490.87599999999998</v>
      </c>
      <c r="F27" s="11">
        <v>695.56100000000004</v>
      </c>
      <c r="G27" s="11">
        <v>771.476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35">
      <c r="A28" s="11">
        <v>1776</v>
      </c>
      <c r="B28" s="11"/>
      <c r="C28" s="11"/>
      <c r="D28" s="11"/>
      <c r="E28" s="11">
        <v>505.47500000000002</v>
      </c>
      <c r="F28" s="11">
        <v>714.14099999999996</v>
      </c>
      <c r="G28" s="11">
        <v>784.81500000000005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35">
      <c r="A29" s="11">
        <v>1777</v>
      </c>
      <c r="B29" s="11"/>
      <c r="C29" s="11"/>
      <c r="D29" s="11"/>
      <c r="E29" s="11">
        <v>518.44200000000001</v>
      </c>
      <c r="F29" s="11">
        <v>731.09</v>
      </c>
      <c r="G29" s="11">
        <v>798.154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35">
      <c r="A30" s="11">
        <v>1778</v>
      </c>
      <c r="B30" s="11"/>
      <c r="C30" s="11"/>
      <c r="D30" s="11"/>
      <c r="E30" s="11">
        <v>531.40899999999999</v>
      </c>
      <c r="F30" s="11">
        <v>748.03899999999999</v>
      </c>
      <c r="G30" s="11">
        <v>811.49300000000005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35">
      <c r="A31" s="11">
        <v>1779</v>
      </c>
      <c r="B31" s="11"/>
      <c r="C31" s="11"/>
      <c r="D31" s="11"/>
      <c r="E31" s="11">
        <v>544.37699999999995</v>
      </c>
      <c r="F31" s="11">
        <v>764.98800000000006</v>
      </c>
      <c r="G31" s="11">
        <v>824.83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35">
      <c r="A32" s="11">
        <v>1780</v>
      </c>
      <c r="B32" s="11"/>
      <c r="C32" s="11"/>
      <c r="D32" s="11"/>
      <c r="E32" s="11">
        <v>557.34900000000005</v>
      </c>
      <c r="F32" s="11">
        <v>781.94200000000001</v>
      </c>
      <c r="G32" s="11">
        <v>838.16800000000001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35">
      <c r="A33" s="11">
        <v>1781</v>
      </c>
      <c r="B33" s="11"/>
      <c r="C33" s="11"/>
      <c r="D33" s="11"/>
      <c r="E33" s="11">
        <v>572.73599999999999</v>
      </c>
      <c r="F33" s="11">
        <v>801.33500000000004</v>
      </c>
      <c r="G33" s="11">
        <v>848.24400000000003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35">
      <c r="A34" s="11">
        <v>1782</v>
      </c>
      <c r="B34" s="11"/>
      <c r="C34" s="11"/>
      <c r="D34" s="11"/>
      <c r="E34" s="11">
        <v>585.99400000000003</v>
      </c>
      <c r="F34" s="11">
        <v>818.601</v>
      </c>
      <c r="G34" s="11">
        <v>858.32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35">
      <c r="A35" s="11">
        <v>1783</v>
      </c>
      <c r="B35" s="11"/>
      <c r="C35" s="11"/>
      <c r="D35" s="11"/>
      <c r="E35" s="11">
        <v>599.25900000000001</v>
      </c>
      <c r="F35" s="11">
        <v>835.87199999999996</v>
      </c>
      <c r="G35" s="11">
        <v>868.39499999999998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35">
      <c r="A36" s="11">
        <v>1784</v>
      </c>
      <c r="B36" s="11"/>
      <c r="C36" s="11"/>
      <c r="D36" s="11"/>
      <c r="E36" s="11">
        <v>612.52</v>
      </c>
      <c r="F36" s="11">
        <v>853.14</v>
      </c>
      <c r="G36" s="11">
        <v>878.471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35">
      <c r="A37" s="11">
        <v>1785</v>
      </c>
      <c r="B37" s="11"/>
      <c r="C37" s="11"/>
      <c r="D37" s="11"/>
      <c r="E37" s="11">
        <v>625.822</v>
      </c>
      <c r="F37" s="11">
        <v>870.44799999999998</v>
      </c>
      <c r="G37" s="11">
        <v>888.54600000000005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35">
      <c r="A38" s="11">
        <v>1786</v>
      </c>
      <c r="B38" s="11"/>
      <c r="C38" s="11"/>
      <c r="D38" s="11"/>
      <c r="E38" s="11">
        <v>641.80499999999995</v>
      </c>
      <c r="F38" s="11">
        <v>890.43799999999999</v>
      </c>
      <c r="G38" s="11">
        <v>898.62099999999998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35">
      <c r="A39" s="11">
        <v>1787</v>
      </c>
      <c r="B39" s="11"/>
      <c r="C39" s="11"/>
      <c r="D39" s="11"/>
      <c r="E39" s="11">
        <v>655.07500000000005</v>
      </c>
      <c r="F39" s="11">
        <v>907.71400000000006</v>
      </c>
      <c r="G39" s="11">
        <v>908.69600000000003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35">
      <c r="A40" s="11">
        <v>1788</v>
      </c>
      <c r="B40" s="11"/>
      <c r="C40" s="11"/>
      <c r="D40" s="11"/>
      <c r="E40" s="11">
        <v>668.34100000000001</v>
      </c>
      <c r="F40" s="11">
        <v>924.98699999999997</v>
      </c>
      <c r="G40" s="11">
        <v>918.77099999999996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35">
      <c r="A41" s="11">
        <v>1789</v>
      </c>
      <c r="B41" s="11"/>
      <c r="C41" s="11"/>
      <c r="D41" s="11"/>
      <c r="E41" s="11">
        <v>681.61400000000003</v>
      </c>
      <c r="F41" s="11">
        <v>942.26599999999996</v>
      </c>
      <c r="G41" s="11">
        <v>928.84500000000003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35">
      <c r="A42" s="11">
        <v>1790</v>
      </c>
      <c r="B42" s="11"/>
      <c r="C42" s="11"/>
      <c r="D42" s="11"/>
      <c r="E42" s="11">
        <v>694.88699999999994</v>
      </c>
      <c r="F42" s="11">
        <v>959.54600000000005</v>
      </c>
      <c r="G42" s="11">
        <v>938.91899999999998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35">
      <c r="A43" s="11">
        <v>1791</v>
      </c>
      <c r="B43" s="11"/>
      <c r="C43" s="11"/>
      <c r="D43" s="11"/>
      <c r="E43" s="11">
        <v>710.92399999999998</v>
      </c>
      <c r="F43" s="11">
        <v>979.61599999999999</v>
      </c>
      <c r="G43" s="11">
        <v>946.80799999999999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35">
      <c r="A44" s="11">
        <v>1792</v>
      </c>
      <c r="B44" s="11"/>
      <c r="C44" s="11"/>
      <c r="D44" s="11"/>
      <c r="E44" s="11">
        <v>724.85599999999999</v>
      </c>
      <c r="F44" s="11">
        <v>997.58100000000002</v>
      </c>
      <c r="G44" s="11">
        <v>954.69500000000005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35">
      <c r="A45" s="11">
        <v>1793</v>
      </c>
      <c r="B45" s="11"/>
      <c r="C45" s="11"/>
      <c r="D45" s="11"/>
      <c r="E45" s="11">
        <v>738.24099999999999</v>
      </c>
      <c r="F45" s="11">
        <v>1014.999</v>
      </c>
      <c r="G45" s="11">
        <v>962.58299999999997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35">
      <c r="A46" s="11">
        <v>1794</v>
      </c>
      <c r="B46" s="11"/>
      <c r="C46" s="11"/>
      <c r="D46" s="11"/>
      <c r="E46" s="11">
        <v>751.56600000000003</v>
      </c>
      <c r="F46" s="11">
        <v>1032.357</v>
      </c>
      <c r="G46" s="11">
        <v>970.471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35">
      <c r="A47" s="11">
        <v>1795</v>
      </c>
      <c r="B47" s="11"/>
      <c r="C47" s="11"/>
      <c r="D47" s="11"/>
      <c r="E47" s="11">
        <v>764.94399999999996</v>
      </c>
      <c r="F47" s="11">
        <v>1049.769</v>
      </c>
      <c r="G47" s="11">
        <v>978.35900000000004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35">
      <c r="A48" s="11">
        <v>1796</v>
      </c>
      <c r="B48" s="11"/>
      <c r="C48" s="11"/>
      <c r="D48" s="11"/>
      <c r="E48" s="11">
        <v>779.57399999999996</v>
      </c>
      <c r="F48" s="11">
        <v>1068.432</v>
      </c>
      <c r="G48" s="11">
        <v>986.24699999999996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35">
      <c r="A49" s="11">
        <v>1797</v>
      </c>
      <c r="B49" s="11"/>
      <c r="C49" s="11"/>
      <c r="D49" s="11"/>
      <c r="E49" s="11">
        <v>794.30600000000004</v>
      </c>
      <c r="F49" s="11">
        <v>1087.1959999999999</v>
      </c>
      <c r="G49" s="11">
        <v>994.13499999999999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35">
      <c r="A50" s="11">
        <v>1798</v>
      </c>
      <c r="B50" s="11"/>
      <c r="C50" s="11"/>
      <c r="D50" s="11"/>
      <c r="E50" s="11">
        <v>808.86800000000005</v>
      </c>
      <c r="F50" s="11">
        <v>1105.7909999999999</v>
      </c>
      <c r="G50" s="11">
        <v>1002.023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35">
      <c r="A51" s="11">
        <v>1799</v>
      </c>
      <c r="B51" s="11"/>
      <c r="C51" s="11"/>
      <c r="D51" s="11"/>
      <c r="E51" s="11">
        <v>823.82899999999995</v>
      </c>
      <c r="F51" s="11">
        <v>1124.7850000000001</v>
      </c>
      <c r="G51" s="11">
        <v>1009.912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35">
      <c r="A52" s="11">
        <v>1800</v>
      </c>
      <c r="B52" s="11"/>
      <c r="C52" s="11"/>
      <c r="D52" s="11"/>
      <c r="E52" s="11">
        <v>838.76300000000003</v>
      </c>
      <c r="F52" s="11">
        <v>1144.2</v>
      </c>
      <c r="G52" s="11">
        <v>1017.8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35">
      <c r="A53" s="11">
        <v>1801</v>
      </c>
      <c r="B53" s="11"/>
      <c r="C53" s="11"/>
      <c r="D53" s="11"/>
      <c r="E53" s="11">
        <v>852.52800000000002</v>
      </c>
      <c r="F53" s="11">
        <v>1162.067</v>
      </c>
      <c r="G53" s="11">
        <v>1029.7149999999999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35">
      <c r="A54" s="11">
        <v>1802</v>
      </c>
      <c r="B54" s="11"/>
      <c r="C54" s="11"/>
      <c r="D54" s="11"/>
      <c r="E54" s="11">
        <v>874.91499999999996</v>
      </c>
      <c r="F54" s="11">
        <v>1188.5250000000001</v>
      </c>
      <c r="G54" s="11">
        <v>1041.6310000000001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35">
      <c r="A55" s="11">
        <v>1803</v>
      </c>
      <c r="B55" s="11"/>
      <c r="C55" s="11"/>
      <c r="D55" s="11"/>
      <c r="E55" s="11">
        <v>890.72500000000002</v>
      </c>
      <c r="F55" s="11">
        <v>1208.4079999999999</v>
      </c>
      <c r="G55" s="11">
        <v>1053.5450000000001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35">
      <c r="A56" s="11">
        <v>1804</v>
      </c>
      <c r="B56" s="11"/>
      <c r="C56" s="11"/>
      <c r="D56" s="11"/>
      <c r="E56" s="11">
        <v>906.21900000000005</v>
      </c>
      <c r="F56" s="11">
        <v>1227.961</v>
      </c>
      <c r="G56" s="11">
        <v>1065.4590000000001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35">
      <c r="A57" s="11">
        <v>1805</v>
      </c>
      <c r="B57" s="11"/>
      <c r="C57" s="11"/>
      <c r="D57" s="11"/>
      <c r="E57" s="11">
        <v>920.55</v>
      </c>
      <c r="F57" s="11">
        <v>1246.479</v>
      </c>
      <c r="G57" s="11">
        <v>1077.373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35">
      <c r="A58" s="11">
        <v>1806</v>
      </c>
      <c r="B58" s="11"/>
      <c r="C58" s="11"/>
      <c r="D58" s="11"/>
      <c r="E58" s="11">
        <v>936.37800000000004</v>
      </c>
      <c r="F58" s="11">
        <v>1266.3130000000001</v>
      </c>
      <c r="G58" s="11">
        <v>1089.2860000000001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35">
      <c r="A59" s="11">
        <v>1807</v>
      </c>
      <c r="B59" s="11"/>
      <c r="C59" s="11"/>
      <c r="D59" s="11"/>
      <c r="E59" s="11">
        <v>952.57600000000002</v>
      </c>
      <c r="F59" s="11">
        <v>1286.414</v>
      </c>
      <c r="G59" s="11">
        <v>1101.1990000000001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35">
      <c r="A60" s="11">
        <v>1808</v>
      </c>
      <c r="B60" s="11"/>
      <c r="C60" s="11"/>
      <c r="D60" s="11"/>
      <c r="E60" s="11">
        <v>964.255</v>
      </c>
      <c r="F60" s="11">
        <v>1302.2919999999999</v>
      </c>
      <c r="G60" s="11">
        <v>1113.1120000000001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35">
      <c r="A61" s="11">
        <v>1809</v>
      </c>
      <c r="B61" s="11"/>
      <c r="C61" s="11"/>
      <c r="D61" s="11"/>
      <c r="E61" s="11">
        <v>978.14300000000003</v>
      </c>
      <c r="F61" s="11">
        <v>1320.21</v>
      </c>
      <c r="G61" s="11">
        <v>1125.0229999999999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35">
      <c r="A62" s="11">
        <v>1810</v>
      </c>
      <c r="B62" s="11"/>
      <c r="C62" s="11"/>
      <c r="D62" s="11"/>
      <c r="E62" s="11">
        <v>992.92</v>
      </c>
      <c r="F62" s="11">
        <v>1339.153</v>
      </c>
      <c r="G62" s="11">
        <v>1136.9349999999999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35">
      <c r="A63" s="11">
        <v>1811</v>
      </c>
      <c r="B63" s="11"/>
      <c r="C63" s="11"/>
      <c r="D63" s="11"/>
      <c r="E63" s="11">
        <v>1010.414</v>
      </c>
      <c r="F63" s="11">
        <v>1360.931</v>
      </c>
      <c r="G63" s="11">
        <v>1146.242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35">
      <c r="A64" s="11">
        <v>1812</v>
      </c>
      <c r="B64" s="11"/>
      <c r="C64" s="11"/>
      <c r="D64" s="11"/>
      <c r="E64" s="11">
        <v>1027.21</v>
      </c>
      <c r="F64" s="11">
        <v>1381.836</v>
      </c>
      <c r="G64" s="11">
        <v>1155.548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35">
      <c r="A65" s="11">
        <v>1813</v>
      </c>
      <c r="B65" s="11"/>
      <c r="C65" s="11"/>
      <c r="D65" s="11"/>
      <c r="E65" s="11">
        <v>1042.421</v>
      </c>
      <c r="F65" s="11">
        <v>1401.2260000000001</v>
      </c>
      <c r="G65" s="11">
        <v>1164.854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35">
      <c r="A66" s="11">
        <v>1814</v>
      </c>
      <c r="B66" s="11"/>
      <c r="C66" s="11"/>
      <c r="D66" s="11"/>
      <c r="E66" s="11">
        <v>1058.2670000000001</v>
      </c>
      <c r="F66" s="11">
        <v>1421.4639999999999</v>
      </c>
      <c r="G66" s="11">
        <v>1174.1600000000001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35">
      <c r="A67" s="11">
        <v>1815</v>
      </c>
      <c r="B67" s="11"/>
      <c r="C67" s="11"/>
      <c r="D67" s="11"/>
      <c r="E67" s="11">
        <v>1074.723</v>
      </c>
      <c r="F67" s="11">
        <v>1442.2760000000001</v>
      </c>
      <c r="G67" s="11">
        <v>1183.4659999999999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35">
      <c r="A68" s="11">
        <v>1816</v>
      </c>
      <c r="B68" s="11"/>
      <c r="C68" s="11"/>
      <c r="D68" s="11"/>
      <c r="E68" s="11">
        <v>1094.529</v>
      </c>
      <c r="F68" s="11">
        <v>1466.4369999999999</v>
      </c>
      <c r="G68" s="11">
        <v>1192.7719999999999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35">
      <c r="A69" s="11">
        <v>1817</v>
      </c>
      <c r="B69" s="11"/>
      <c r="C69" s="11"/>
      <c r="D69" s="11"/>
      <c r="E69" s="11">
        <v>1111.4770000000001</v>
      </c>
      <c r="F69" s="11">
        <v>1487.7149999999999</v>
      </c>
      <c r="G69" s="11">
        <v>1202.077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35">
      <c r="A70" s="11">
        <v>1818</v>
      </c>
      <c r="B70" s="11"/>
      <c r="C70" s="11"/>
      <c r="D70" s="11"/>
      <c r="E70" s="11">
        <v>1126.357</v>
      </c>
      <c r="F70" s="11">
        <v>1507.0509999999999</v>
      </c>
      <c r="G70" s="11">
        <v>1211.383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35">
      <c r="A71" s="11">
        <v>1819</v>
      </c>
      <c r="B71" s="11"/>
      <c r="C71" s="11"/>
      <c r="D71" s="11"/>
      <c r="E71" s="11">
        <v>1141.5840000000001</v>
      </c>
      <c r="F71" s="11">
        <v>1526.354</v>
      </c>
      <c r="G71" s="11">
        <v>1220.6880000000001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35">
      <c r="A72" s="11">
        <v>1820</v>
      </c>
      <c r="B72" s="11"/>
      <c r="C72" s="11"/>
      <c r="D72" s="11"/>
      <c r="E72" s="11">
        <v>1157.4059999999999</v>
      </c>
      <c r="F72" s="11">
        <v>1546.421</v>
      </c>
      <c r="G72" s="11">
        <v>1229.9929999999999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35">
      <c r="A73" s="11">
        <v>1821</v>
      </c>
      <c r="B73" s="11"/>
      <c r="C73" s="11"/>
      <c r="D73" s="11"/>
      <c r="E73" s="11">
        <v>1173.4649999999999</v>
      </c>
      <c r="F73" s="11">
        <v>1567.066</v>
      </c>
      <c r="G73" s="11">
        <v>1241.944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35">
      <c r="A74" s="11">
        <v>1822</v>
      </c>
      <c r="B74" s="11"/>
      <c r="C74" s="11"/>
      <c r="D74" s="11"/>
      <c r="E74" s="11">
        <v>1191.0550000000001</v>
      </c>
      <c r="F74" s="11">
        <v>1589.24</v>
      </c>
      <c r="G74" s="11">
        <v>1253.894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35">
      <c r="A75" s="11">
        <v>1823</v>
      </c>
      <c r="B75" s="11"/>
      <c r="C75" s="11"/>
      <c r="D75" s="11"/>
      <c r="E75" s="11">
        <v>1209.5899999999999</v>
      </c>
      <c r="F75" s="11">
        <v>1612.615</v>
      </c>
      <c r="G75" s="11">
        <v>1265.8440000000001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35">
      <c r="A76" s="11">
        <v>1824</v>
      </c>
      <c r="B76" s="11"/>
      <c r="C76" s="11"/>
      <c r="D76" s="11"/>
      <c r="E76" s="11">
        <v>1227.1880000000001</v>
      </c>
      <c r="F76" s="11">
        <v>1634.769</v>
      </c>
      <c r="G76" s="11">
        <v>1277.7929999999999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35">
      <c r="A77" s="11">
        <v>1825</v>
      </c>
      <c r="B77" s="11"/>
      <c r="C77" s="11"/>
      <c r="D77" s="11"/>
      <c r="E77" s="11">
        <v>1245.1010000000001</v>
      </c>
      <c r="F77" s="11">
        <v>1657.2329999999999</v>
      </c>
      <c r="G77" s="11">
        <v>1289.742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35">
      <c r="A78" s="11">
        <v>1826</v>
      </c>
      <c r="B78" s="11"/>
      <c r="C78" s="11"/>
      <c r="D78" s="11"/>
      <c r="E78" s="11">
        <v>1261.288</v>
      </c>
      <c r="F78" s="11">
        <v>1677.797</v>
      </c>
      <c r="G78" s="11">
        <v>1301.69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35">
      <c r="A79" s="11">
        <v>1827</v>
      </c>
      <c r="B79" s="11"/>
      <c r="C79" s="11"/>
      <c r="D79" s="11"/>
      <c r="E79" s="11">
        <v>1282.097</v>
      </c>
      <c r="F79" s="11">
        <v>1703.1980000000001</v>
      </c>
      <c r="G79" s="11">
        <v>1313.6369999999999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35">
      <c r="A80" s="11">
        <v>1828</v>
      </c>
      <c r="B80" s="11"/>
      <c r="C80" s="11"/>
      <c r="D80" s="11"/>
      <c r="E80" s="11">
        <v>1298.354</v>
      </c>
      <c r="F80" s="11">
        <v>1723.8389999999999</v>
      </c>
      <c r="G80" s="11">
        <v>1325.5840000000001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35">
      <c r="A81" s="11">
        <v>1829</v>
      </c>
      <c r="B81" s="11"/>
      <c r="C81" s="11"/>
      <c r="D81" s="11"/>
      <c r="E81" s="11">
        <v>1313.4639999999999</v>
      </c>
      <c r="F81" s="11">
        <v>1743.2829999999999</v>
      </c>
      <c r="G81" s="11">
        <v>1337.53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35">
      <c r="A82" s="11">
        <v>1830</v>
      </c>
      <c r="B82" s="11"/>
      <c r="C82" s="11"/>
      <c r="D82" s="11"/>
      <c r="E82" s="11">
        <v>1349.452</v>
      </c>
      <c r="F82" s="11">
        <v>1783.8309999999999</v>
      </c>
      <c r="G82" s="11">
        <v>1349.4829999999999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35">
      <c r="A83" s="11">
        <v>1831</v>
      </c>
      <c r="B83" s="11"/>
      <c r="C83" s="11"/>
      <c r="D83" s="11"/>
      <c r="E83" s="11">
        <v>1360.046</v>
      </c>
      <c r="F83" s="11">
        <v>1799.556</v>
      </c>
      <c r="G83" s="11">
        <v>1360.5640000000001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35">
      <c r="A84" s="11">
        <v>1832</v>
      </c>
      <c r="B84" s="11"/>
      <c r="C84" s="11"/>
      <c r="D84" s="11"/>
      <c r="E84" s="11">
        <v>1376.5239999999999</v>
      </c>
      <c r="F84" s="11">
        <v>1821.6489999999999</v>
      </c>
      <c r="G84" s="11">
        <v>1371.6410000000001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35">
      <c r="A85" s="11">
        <v>1833</v>
      </c>
      <c r="B85" s="11"/>
      <c r="C85" s="11"/>
      <c r="D85" s="11"/>
      <c r="E85" s="11">
        <v>1394.5229999999999</v>
      </c>
      <c r="F85" s="11">
        <v>1845.0419999999999</v>
      </c>
      <c r="G85" s="11">
        <v>1382.721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35">
      <c r="A86" s="11">
        <v>1834</v>
      </c>
      <c r="B86" s="11"/>
      <c r="C86" s="11"/>
      <c r="D86" s="11"/>
      <c r="E86" s="11">
        <v>1412.5519999999999</v>
      </c>
      <c r="F86" s="11">
        <v>1868.502</v>
      </c>
      <c r="G86" s="11">
        <v>1393.8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35">
      <c r="A87" s="11">
        <v>1835</v>
      </c>
      <c r="B87" s="11"/>
      <c r="C87" s="11"/>
      <c r="D87" s="11"/>
      <c r="E87" s="11">
        <v>1430.883</v>
      </c>
      <c r="F87" s="11">
        <v>1892.2719999999999</v>
      </c>
      <c r="G87" s="11">
        <v>1404.8789999999999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35">
      <c r="A88" s="11">
        <v>1836</v>
      </c>
      <c r="B88" s="11"/>
      <c r="C88" s="11"/>
      <c r="D88" s="11"/>
      <c r="E88" s="11">
        <v>1463.8140000000001</v>
      </c>
      <c r="F88" s="11">
        <v>1930.7809999999999</v>
      </c>
      <c r="G88" s="11">
        <v>1415.9590000000001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35">
      <c r="A89" s="11">
        <v>1837</v>
      </c>
      <c r="B89" s="11"/>
      <c r="C89" s="11"/>
      <c r="D89" s="11"/>
      <c r="E89" s="11">
        <v>1479.6189999999999</v>
      </c>
      <c r="F89" s="11">
        <v>1952.0509999999999</v>
      </c>
      <c r="G89" s="11">
        <v>1427.0360000000001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35">
      <c r="A90" s="11">
        <v>1838</v>
      </c>
      <c r="B90" s="11"/>
      <c r="C90" s="11"/>
      <c r="D90" s="11"/>
      <c r="E90" s="11">
        <v>1499.3050000000001</v>
      </c>
      <c r="F90" s="11">
        <v>1977.2190000000001</v>
      </c>
      <c r="G90" s="11">
        <v>1438.114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35">
      <c r="A91" s="11">
        <v>1839</v>
      </c>
      <c r="B91" s="11"/>
      <c r="C91" s="11"/>
      <c r="D91" s="11"/>
      <c r="E91" s="11">
        <v>1519.0940000000001</v>
      </c>
      <c r="F91" s="11">
        <v>2002.5550000000001</v>
      </c>
      <c r="G91" s="11">
        <v>1449.191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35">
      <c r="A92" s="11">
        <v>1840</v>
      </c>
      <c r="B92" s="11"/>
      <c r="C92" s="11"/>
      <c r="D92" s="11"/>
      <c r="E92" s="11">
        <v>1543.2760000000001</v>
      </c>
      <c r="F92" s="11">
        <v>2032.412</v>
      </c>
      <c r="G92" s="11">
        <v>1460.2670000000001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35">
      <c r="A93" s="11">
        <v>1841</v>
      </c>
      <c r="B93" s="11"/>
      <c r="C93" s="11"/>
      <c r="D93" s="11"/>
      <c r="E93" s="11">
        <v>1563.2449999999999</v>
      </c>
      <c r="F93" s="11">
        <v>2057.2060000000001</v>
      </c>
      <c r="G93" s="11">
        <v>1471.56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35">
      <c r="A94" s="11">
        <v>1842</v>
      </c>
      <c r="B94" s="11"/>
      <c r="C94" s="11"/>
      <c r="D94" s="11"/>
      <c r="E94" s="11">
        <v>1586.99</v>
      </c>
      <c r="F94" s="11">
        <v>2085.6750000000002</v>
      </c>
      <c r="G94" s="11">
        <v>1482.8530000000001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35">
      <c r="A95" s="11">
        <v>1843</v>
      </c>
      <c r="B95" s="11"/>
      <c r="C95" s="11"/>
      <c r="D95" s="11"/>
      <c r="E95" s="11">
        <v>1606.441</v>
      </c>
      <c r="F95" s="11">
        <v>2109.7159999999999</v>
      </c>
      <c r="G95" s="11">
        <v>1494.144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35">
      <c r="A96" s="11">
        <v>1844</v>
      </c>
      <c r="B96" s="11"/>
      <c r="C96" s="11"/>
      <c r="D96" s="11"/>
      <c r="E96" s="11">
        <v>1632.154</v>
      </c>
      <c r="F96" s="11">
        <v>2140.319</v>
      </c>
      <c r="G96" s="11">
        <v>1505.4359999999999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35">
      <c r="A97" s="11">
        <v>1845</v>
      </c>
      <c r="B97" s="11"/>
      <c r="C97" s="11"/>
      <c r="D97" s="11"/>
      <c r="E97" s="11">
        <v>1664.4670000000001</v>
      </c>
      <c r="F97" s="11">
        <v>2177.598</v>
      </c>
      <c r="G97" s="11">
        <v>1516.7280000000001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35">
      <c r="A98" s="11">
        <v>1846</v>
      </c>
      <c r="B98" s="11"/>
      <c r="C98" s="11"/>
      <c r="D98" s="11"/>
      <c r="E98" s="11">
        <v>1683.241</v>
      </c>
      <c r="F98" s="11">
        <v>2201.1480000000001</v>
      </c>
      <c r="G98" s="11">
        <v>1528.018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35">
      <c r="A99" s="11">
        <v>1847</v>
      </c>
      <c r="B99" s="11"/>
      <c r="C99" s="11"/>
      <c r="D99" s="11"/>
      <c r="E99" s="11">
        <v>1716.701</v>
      </c>
      <c r="F99" s="11">
        <v>2239.4229999999998</v>
      </c>
      <c r="G99" s="11">
        <v>1539.309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35">
      <c r="A100" s="11">
        <v>1848</v>
      </c>
      <c r="B100" s="11"/>
      <c r="C100" s="11"/>
      <c r="D100" s="11"/>
      <c r="E100" s="11">
        <v>1733.694</v>
      </c>
      <c r="F100" s="11">
        <v>2260.9</v>
      </c>
      <c r="G100" s="11">
        <v>1550.598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35">
      <c r="A101" s="11">
        <v>1849</v>
      </c>
      <c r="B101" s="11"/>
      <c r="C101" s="11"/>
      <c r="D101" s="11"/>
      <c r="E101" s="11">
        <v>1760.9880000000001</v>
      </c>
      <c r="F101" s="11">
        <v>2292.7809999999999</v>
      </c>
      <c r="G101" s="11">
        <v>1561.8879999999999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35">
      <c r="A102" s="11">
        <v>1850</v>
      </c>
      <c r="B102" s="11">
        <v>1550.6410000000001</v>
      </c>
      <c r="C102" s="11">
        <v>2325.8449999999998</v>
      </c>
      <c r="D102" s="11">
        <v>1967.4659999999999</v>
      </c>
      <c r="E102" s="11">
        <v>1549.27</v>
      </c>
      <c r="F102" s="11">
        <v>2081.8649999999998</v>
      </c>
      <c r="G102" s="11">
        <v>1650.7739999999999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35">
      <c r="A103" s="11">
        <v>1851</v>
      </c>
      <c r="B103" s="11">
        <v>1599.614</v>
      </c>
      <c r="C103" s="11">
        <v>2376.348</v>
      </c>
      <c r="D103" s="11">
        <v>2032.8209999999999</v>
      </c>
      <c r="E103" s="11">
        <v>1560.0630000000001</v>
      </c>
      <c r="F103" s="11">
        <v>2095.4520000000002</v>
      </c>
      <c r="G103" s="11">
        <v>1618.2280000000001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35">
      <c r="A104" s="11">
        <v>1852</v>
      </c>
      <c r="B104" s="11">
        <v>1630.7190000000001</v>
      </c>
      <c r="C104" s="11">
        <v>2447.1280000000002</v>
      </c>
      <c r="D104" s="11">
        <v>2076.5830000000001</v>
      </c>
      <c r="E104" s="11">
        <v>1811.682</v>
      </c>
      <c r="F104" s="11">
        <v>2351.2759999999998</v>
      </c>
      <c r="G104" s="11">
        <v>1585.489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35">
      <c r="A105" s="11">
        <v>1853</v>
      </c>
      <c r="B105" s="11">
        <v>1683.136</v>
      </c>
      <c r="C105" s="11">
        <v>2475.4209999999998</v>
      </c>
      <c r="D105" s="11">
        <v>2085.9780000000001</v>
      </c>
      <c r="E105" s="11">
        <v>1856.2170000000001</v>
      </c>
      <c r="F105" s="11">
        <v>2399.4780000000001</v>
      </c>
      <c r="G105" s="11">
        <v>1550.9939999999999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35">
      <c r="A106" s="11">
        <v>1854</v>
      </c>
      <c r="B106" s="11">
        <v>1755.03</v>
      </c>
      <c r="C106" s="11">
        <v>2574.7579999999998</v>
      </c>
      <c r="D106" s="11">
        <v>2079.2310000000002</v>
      </c>
      <c r="E106" s="11">
        <v>1933.3910000000001</v>
      </c>
      <c r="F106" s="11">
        <v>2480.7530000000002</v>
      </c>
      <c r="G106" s="11">
        <v>1516.01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35">
      <c r="A107" s="11">
        <v>1855</v>
      </c>
      <c r="B107" s="11">
        <v>1775.259</v>
      </c>
      <c r="C107" s="11">
        <v>2601.3939999999998</v>
      </c>
      <c r="D107" s="11">
        <v>2118.6179999999999</v>
      </c>
      <c r="E107" s="11">
        <v>1969.3230000000001</v>
      </c>
      <c r="F107" s="11">
        <v>2521.239</v>
      </c>
      <c r="G107" s="11">
        <v>1479.527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35">
      <c r="A108" s="11">
        <v>1856</v>
      </c>
      <c r="B108" s="11">
        <v>1806.8510000000001</v>
      </c>
      <c r="C108" s="11">
        <v>2640.92</v>
      </c>
      <c r="D108" s="11">
        <v>2123.6419999999998</v>
      </c>
      <c r="E108" s="11">
        <v>2018.9290000000001</v>
      </c>
      <c r="F108" s="11">
        <v>2575.0949999999998</v>
      </c>
      <c r="G108" s="11">
        <v>1474.922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35">
      <c r="A109" s="11">
        <v>1857</v>
      </c>
      <c r="B109" s="11">
        <v>1832.5350000000001</v>
      </c>
      <c r="C109" s="11">
        <v>2679.4459999999999</v>
      </c>
      <c r="D109" s="11">
        <v>2143.3420000000001</v>
      </c>
      <c r="E109" s="11">
        <v>2049.8919999999998</v>
      </c>
      <c r="F109" s="11">
        <v>2610.0659999999998</v>
      </c>
      <c r="G109" s="11">
        <v>1471.3820000000001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35">
      <c r="A110" s="11">
        <v>1858</v>
      </c>
      <c r="B110" s="11">
        <v>1863.287</v>
      </c>
      <c r="C110" s="11">
        <v>2714.2539999999999</v>
      </c>
      <c r="D110" s="11">
        <v>2140.7800000000002</v>
      </c>
      <c r="E110" s="11">
        <v>2079.509</v>
      </c>
      <c r="F110" s="11">
        <v>2644.17</v>
      </c>
      <c r="G110" s="11">
        <v>1468.4659999999999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35">
      <c r="A111" s="11">
        <v>1859</v>
      </c>
      <c r="B111" s="11">
        <v>1914.287</v>
      </c>
      <c r="C111" s="11">
        <v>2773.4630000000002</v>
      </c>
      <c r="D111" s="11">
        <v>2152.288</v>
      </c>
      <c r="E111" s="11">
        <v>2125.9180000000001</v>
      </c>
      <c r="F111" s="11">
        <v>2693.616</v>
      </c>
      <c r="G111" s="11">
        <v>1466.165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35">
      <c r="A112" s="11">
        <v>1860</v>
      </c>
      <c r="B112" s="11">
        <v>1891.3869999999999</v>
      </c>
      <c r="C112" s="11">
        <v>2720.11</v>
      </c>
      <c r="D112" s="11">
        <v>1986.999</v>
      </c>
      <c r="E112" s="11">
        <v>2184.9270000000001</v>
      </c>
      <c r="F112" s="11">
        <v>2756.895</v>
      </c>
      <c r="G112" s="11">
        <v>1462.8330000000001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35">
      <c r="A113" s="11">
        <v>1861</v>
      </c>
      <c r="B113" s="11">
        <v>1845.7850000000001</v>
      </c>
      <c r="C113" s="11">
        <v>2678.7750000000001</v>
      </c>
      <c r="D113" s="11">
        <v>1924.65</v>
      </c>
      <c r="E113" s="11">
        <v>2225.877</v>
      </c>
      <c r="F113" s="11">
        <v>2814.9540000000002</v>
      </c>
      <c r="G113" s="11">
        <v>1471.184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35">
      <c r="A114" s="11">
        <v>1862</v>
      </c>
      <c r="B114" s="11">
        <v>1854.298</v>
      </c>
      <c r="C114" s="11">
        <v>2681.5949999999998</v>
      </c>
      <c r="D114" s="11">
        <v>1861.347</v>
      </c>
      <c r="E114" s="11">
        <v>2046.1310000000001</v>
      </c>
      <c r="F114" s="11">
        <v>2612.7190000000001</v>
      </c>
      <c r="G114" s="11">
        <v>1472.5350000000001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35">
      <c r="A115" s="11">
        <v>1863</v>
      </c>
      <c r="B115" s="11">
        <v>1884.8119999999999</v>
      </c>
      <c r="C115" s="11">
        <v>2701.8389999999999</v>
      </c>
      <c r="D115" s="11">
        <v>1846.817</v>
      </c>
      <c r="E115" s="11">
        <v>2073.5830000000001</v>
      </c>
      <c r="F115" s="11">
        <v>2646.7109999999998</v>
      </c>
      <c r="G115" s="11">
        <v>1474.8969999999999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35">
      <c r="A116" s="11">
        <v>1864</v>
      </c>
      <c r="B116" s="11">
        <v>1901.0609999999999</v>
      </c>
      <c r="C116" s="11">
        <v>2759.3119999999999</v>
      </c>
      <c r="D116" s="11">
        <v>1854.0840000000001</v>
      </c>
      <c r="E116" s="11">
        <v>2108.384</v>
      </c>
      <c r="F116" s="11">
        <v>2686.87</v>
      </c>
      <c r="G116" s="11">
        <v>1478.1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35">
      <c r="A117" s="11">
        <v>1865</v>
      </c>
      <c r="B117" s="11">
        <v>1907.232</v>
      </c>
      <c r="C117" s="11">
        <v>2749.6390000000001</v>
      </c>
      <c r="D117" s="11">
        <v>1820.9929999999999</v>
      </c>
      <c r="E117" s="11">
        <v>2138.5500000000002</v>
      </c>
      <c r="F117" s="11">
        <v>2722.4720000000002</v>
      </c>
      <c r="G117" s="11">
        <v>1482.0150000000001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35">
      <c r="A118" s="11">
        <v>1866</v>
      </c>
      <c r="B118" s="11">
        <v>1913.98</v>
      </c>
      <c r="C118" s="11">
        <v>2797.152</v>
      </c>
      <c r="D118" s="11">
        <v>1811.1690000000001</v>
      </c>
      <c r="E118" s="11">
        <v>2157.08</v>
      </c>
      <c r="F118" s="11">
        <v>2746.192</v>
      </c>
      <c r="G118" s="11">
        <v>1483.317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35">
      <c r="A119" s="11">
        <v>1867</v>
      </c>
      <c r="B119" s="11">
        <v>1963.202</v>
      </c>
      <c r="C119" s="11">
        <v>2801.723</v>
      </c>
      <c r="D119" s="11">
        <v>1800.8050000000001</v>
      </c>
      <c r="E119" s="11">
        <v>2187.6</v>
      </c>
      <c r="F119" s="11">
        <v>2781.8989999999999</v>
      </c>
      <c r="G119" s="11">
        <v>1484.4690000000001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35">
      <c r="A120" s="11">
        <v>1868</v>
      </c>
      <c r="B120" s="11">
        <v>1967.298</v>
      </c>
      <c r="C120" s="11">
        <v>2824.998</v>
      </c>
      <c r="D120" s="11">
        <v>1786.752</v>
      </c>
      <c r="E120" s="11">
        <v>2198.3870000000002</v>
      </c>
      <c r="F120" s="11">
        <v>2797.36</v>
      </c>
      <c r="G120" s="11">
        <v>1485.1410000000001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35">
      <c r="A121" s="11">
        <v>1869</v>
      </c>
      <c r="B121" s="11">
        <v>1982.739</v>
      </c>
      <c r="C121" s="11">
        <v>2850.4029999999998</v>
      </c>
      <c r="D121" s="11">
        <v>1794.9670000000001</v>
      </c>
      <c r="E121" s="11">
        <v>2229.0680000000002</v>
      </c>
      <c r="F121" s="11">
        <v>2832.9740000000002</v>
      </c>
      <c r="G121" s="11">
        <v>1485.3430000000001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35">
      <c r="A122" s="11">
        <v>1870</v>
      </c>
      <c r="B122" s="11">
        <v>2234.2869999999998</v>
      </c>
      <c r="C122" s="11">
        <v>3172.57</v>
      </c>
      <c r="D122" s="11">
        <v>1847.261</v>
      </c>
      <c r="E122" s="11">
        <v>2237.549</v>
      </c>
      <c r="F122" s="11">
        <v>2846.1370000000002</v>
      </c>
      <c r="G122" s="11">
        <v>1488.076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35">
      <c r="A123" s="11">
        <v>1871</v>
      </c>
      <c r="B123" s="11">
        <v>2381.453</v>
      </c>
      <c r="C123" s="11">
        <v>3303.386</v>
      </c>
      <c r="D123" s="11">
        <v>1851.5930000000001</v>
      </c>
      <c r="E123" s="11">
        <v>2279.2719999999999</v>
      </c>
      <c r="F123" s="11">
        <v>2886.8150000000001</v>
      </c>
      <c r="G123" s="11">
        <v>1572.9169999999999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35">
      <c r="A124" s="11">
        <v>1872</v>
      </c>
      <c r="B124" s="11">
        <v>2515.0500000000002</v>
      </c>
      <c r="C124" s="11">
        <v>3487.5970000000002</v>
      </c>
      <c r="D124" s="11">
        <v>1913.337</v>
      </c>
      <c r="E124" s="11">
        <v>2653.1660000000002</v>
      </c>
      <c r="F124" s="11">
        <v>3266.895</v>
      </c>
      <c r="G124" s="11">
        <v>1596.73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35">
      <c r="A125" s="11">
        <v>1873</v>
      </c>
      <c r="B125" s="11">
        <v>2635.826</v>
      </c>
      <c r="C125" s="11">
        <v>3599.4349999999999</v>
      </c>
      <c r="D125" s="11">
        <v>1915.471</v>
      </c>
      <c r="E125" s="11">
        <v>2729.1529999999998</v>
      </c>
      <c r="F125" s="11">
        <v>3348.9810000000002</v>
      </c>
      <c r="G125" s="11">
        <v>1617.7670000000001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35">
      <c r="A126" s="11">
        <v>1874</v>
      </c>
      <c r="B126" s="11">
        <v>2648.7669999999998</v>
      </c>
      <c r="C126" s="11">
        <v>3656.3429999999998</v>
      </c>
      <c r="D126" s="11">
        <v>1932.394</v>
      </c>
      <c r="E126" s="11">
        <v>2704.451</v>
      </c>
      <c r="F126" s="11">
        <v>3332.2</v>
      </c>
      <c r="G126" s="11">
        <v>1628.7660000000001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35">
      <c r="A127" s="11">
        <v>1875</v>
      </c>
      <c r="B127" s="11">
        <v>2753.0610000000001</v>
      </c>
      <c r="C127" s="11">
        <v>3752.66</v>
      </c>
      <c r="D127" s="11">
        <v>1936.4960000000001</v>
      </c>
      <c r="E127" s="11">
        <v>2794.0509999999999</v>
      </c>
      <c r="F127" s="11">
        <v>3427.393</v>
      </c>
      <c r="G127" s="11">
        <v>1642.6669999999999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35">
      <c r="A128" s="11">
        <v>1876</v>
      </c>
      <c r="B128" s="11">
        <v>2801.3029999999999</v>
      </c>
      <c r="C128" s="11">
        <v>3827.3119999999999</v>
      </c>
      <c r="D128" s="11">
        <v>1947.998</v>
      </c>
      <c r="E128" s="11">
        <v>2822.4920000000002</v>
      </c>
      <c r="F128" s="11">
        <v>3472.4479999999999</v>
      </c>
      <c r="G128" s="11">
        <v>1654.5820000000001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35">
      <c r="A129" s="11">
        <v>1877</v>
      </c>
      <c r="B129" s="11">
        <v>2873.701</v>
      </c>
      <c r="C129" s="11">
        <v>3914.8220000000001</v>
      </c>
      <c r="D129" s="11">
        <v>1984.69</v>
      </c>
      <c r="E129" s="11">
        <v>2867.355</v>
      </c>
      <c r="F129" s="11">
        <v>3521.0030000000002</v>
      </c>
      <c r="G129" s="11">
        <v>1666.0650000000001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35">
      <c r="A130" s="11">
        <v>1878</v>
      </c>
      <c r="B130" s="11">
        <v>2923.9380000000001</v>
      </c>
      <c r="C130" s="11">
        <v>3989.2420000000002</v>
      </c>
      <c r="D130" s="11">
        <v>1989.8420000000001</v>
      </c>
      <c r="E130" s="11">
        <v>2893.4609999999998</v>
      </c>
      <c r="F130" s="11">
        <v>3555.8209999999999</v>
      </c>
      <c r="G130" s="11">
        <v>1678.8040000000001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35">
      <c r="A131" s="11">
        <v>1879</v>
      </c>
      <c r="B131" s="11">
        <v>3028.489</v>
      </c>
      <c r="C131" s="11">
        <v>4112.2349999999997</v>
      </c>
      <c r="D131" s="11">
        <v>1996.6759999999999</v>
      </c>
      <c r="E131" s="11">
        <v>2974.8739999999998</v>
      </c>
      <c r="F131" s="11">
        <v>3644.7350000000001</v>
      </c>
      <c r="G131" s="11">
        <v>1690.451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35">
      <c r="A132" s="11">
        <v>1880</v>
      </c>
      <c r="B132" s="11">
        <v>3050.1149999999998</v>
      </c>
      <c r="C132" s="11">
        <v>4162.4369999999999</v>
      </c>
      <c r="D132" s="11">
        <v>2105.4430000000002</v>
      </c>
      <c r="E132" s="11">
        <v>3112.9259999999999</v>
      </c>
      <c r="F132" s="11">
        <v>3789.6990000000001</v>
      </c>
      <c r="G132" s="11">
        <v>1701.1089999999999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35">
      <c r="A133" s="11">
        <v>1881</v>
      </c>
      <c r="B133" s="11">
        <v>3008.8490000000002</v>
      </c>
      <c r="C133" s="11">
        <v>4129.384</v>
      </c>
      <c r="D133" s="11">
        <v>2168.9470000000001</v>
      </c>
      <c r="E133" s="11">
        <v>3161.73</v>
      </c>
      <c r="F133" s="11">
        <v>3844.0659999999998</v>
      </c>
      <c r="G133" s="11">
        <v>1826.038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35">
      <c r="A134" s="11">
        <v>1882</v>
      </c>
      <c r="B134" s="11">
        <v>3081.962</v>
      </c>
      <c r="C134" s="11">
        <v>4223.6490000000003</v>
      </c>
      <c r="D134" s="11">
        <v>2225.2190000000001</v>
      </c>
      <c r="E134" s="11">
        <v>3019.1460000000002</v>
      </c>
      <c r="F134" s="11">
        <v>3707.279</v>
      </c>
      <c r="G134" s="11">
        <v>1866.74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35">
      <c r="A135" s="11">
        <v>1883</v>
      </c>
      <c r="B135" s="11">
        <v>3170.87</v>
      </c>
      <c r="C135" s="11">
        <v>4332.6170000000002</v>
      </c>
      <c r="D135" s="11">
        <v>2257.9699999999998</v>
      </c>
      <c r="E135" s="11">
        <v>3078.107</v>
      </c>
      <c r="F135" s="11">
        <v>3777.096</v>
      </c>
      <c r="G135" s="11">
        <v>1901.1130000000001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35">
      <c r="A136" s="11">
        <v>1884</v>
      </c>
      <c r="B136" s="11">
        <v>3165.835</v>
      </c>
      <c r="C136" s="11">
        <v>4355.2700000000004</v>
      </c>
      <c r="D136" s="11">
        <v>2266.183</v>
      </c>
      <c r="E136" s="11">
        <v>3085.442</v>
      </c>
      <c r="F136" s="11">
        <v>3790.9279999999999</v>
      </c>
      <c r="G136" s="11">
        <v>1932.241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35">
      <c r="A137" s="11">
        <v>1885</v>
      </c>
      <c r="B137" s="11">
        <v>3151.6680000000001</v>
      </c>
      <c r="C137" s="11">
        <v>4362.0420000000004</v>
      </c>
      <c r="D137" s="11">
        <v>2286.3029999999999</v>
      </c>
      <c r="E137" s="11">
        <v>3088.788</v>
      </c>
      <c r="F137" s="11">
        <v>3802.5219999999999</v>
      </c>
      <c r="G137" s="11">
        <v>1959.6590000000001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35">
      <c r="A138" s="11">
        <v>1886</v>
      </c>
      <c r="B138" s="11">
        <v>3168.9409999999998</v>
      </c>
      <c r="C138" s="11">
        <v>4368.1580000000004</v>
      </c>
      <c r="D138" s="11">
        <v>2305.38</v>
      </c>
      <c r="E138" s="11">
        <v>3102.5340000000001</v>
      </c>
      <c r="F138" s="11">
        <v>3822.9270000000001</v>
      </c>
      <c r="G138" s="11">
        <v>1979.952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35">
      <c r="A139" s="11">
        <v>1887</v>
      </c>
      <c r="B139" s="11">
        <v>3258.6770000000001</v>
      </c>
      <c r="C139" s="11">
        <v>4450.2870000000003</v>
      </c>
      <c r="D139" s="11">
        <v>2353.3049999999998</v>
      </c>
      <c r="E139" s="11">
        <v>3148.5059999999999</v>
      </c>
      <c r="F139" s="11">
        <v>3876.6309999999999</v>
      </c>
      <c r="G139" s="11">
        <v>1997.865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35">
      <c r="A140" s="11">
        <v>1888</v>
      </c>
      <c r="B140" s="11">
        <v>3369.6970000000001</v>
      </c>
      <c r="C140" s="11">
        <v>4583.9129999999996</v>
      </c>
      <c r="D140" s="11">
        <v>2355.0549999999998</v>
      </c>
      <c r="E140" s="11">
        <v>3265.491</v>
      </c>
      <c r="F140" s="11">
        <v>4005.8229999999999</v>
      </c>
      <c r="G140" s="11">
        <v>2012.204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35">
      <c r="A141" s="11">
        <v>1889</v>
      </c>
      <c r="B141" s="11">
        <v>3342.4879999999998</v>
      </c>
      <c r="C141" s="11">
        <v>4579.6409999999996</v>
      </c>
      <c r="D141" s="11">
        <v>2408.7919999999999</v>
      </c>
      <c r="E141" s="11">
        <v>3249.7170000000001</v>
      </c>
      <c r="F141" s="11">
        <v>4001.7689999999998</v>
      </c>
      <c r="G141" s="11">
        <v>2027.317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35">
      <c r="A142" s="11">
        <v>1890</v>
      </c>
      <c r="B142" s="11">
        <v>3545.4560000000001</v>
      </c>
      <c r="C142" s="11">
        <v>4901.2560000000003</v>
      </c>
      <c r="D142" s="11">
        <v>2509.694</v>
      </c>
      <c r="E142" s="11">
        <v>3359.5050000000001</v>
      </c>
      <c r="F142" s="11">
        <v>4125.0810000000001</v>
      </c>
      <c r="G142" s="11">
        <v>2044.5540000000001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35">
      <c r="A143" s="11">
        <v>1891</v>
      </c>
      <c r="B143" s="11">
        <v>3640.0210000000002</v>
      </c>
      <c r="C143" s="11">
        <v>5026.5789999999997</v>
      </c>
      <c r="D143" s="11">
        <v>2558.6889999999999</v>
      </c>
      <c r="E143" s="11">
        <v>3411.9369999999999</v>
      </c>
      <c r="F143" s="11">
        <v>4191.4520000000002</v>
      </c>
      <c r="G143" s="11">
        <v>2050.0279999999998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35">
      <c r="A144" s="11">
        <v>1892</v>
      </c>
      <c r="B144" s="11">
        <v>3646.808</v>
      </c>
      <c r="C144" s="11">
        <v>5050.6440000000002</v>
      </c>
      <c r="D144" s="11">
        <v>2537.3989999999999</v>
      </c>
      <c r="E144" s="11">
        <v>3474.1950000000002</v>
      </c>
      <c r="F144" s="11">
        <v>4258.0870000000004</v>
      </c>
      <c r="G144" s="11">
        <v>2061.2040000000002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35">
      <c r="A145" s="11">
        <v>1893</v>
      </c>
      <c r="B145" s="11">
        <v>3653.16</v>
      </c>
      <c r="C145" s="11">
        <v>5065.5110000000004</v>
      </c>
      <c r="D145" s="11">
        <v>2553.3040000000001</v>
      </c>
      <c r="E145" s="11">
        <v>3448.4670000000001</v>
      </c>
      <c r="F145" s="11">
        <v>4246.7299999999996</v>
      </c>
      <c r="G145" s="11">
        <v>2072.2640000000001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35">
      <c r="A146" s="11">
        <v>1894</v>
      </c>
      <c r="B146" s="11">
        <v>3718.3719999999998</v>
      </c>
      <c r="C146" s="11">
        <v>5186.4070000000002</v>
      </c>
      <c r="D146" s="11">
        <v>2589.4059999999999</v>
      </c>
      <c r="E146" s="11">
        <v>3514.8090000000002</v>
      </c>
      <c r="F146" s="11">
        <v>4319.5929999999998</v>
      </c>
      <c r="G146" s="11">
        <v>2137.7220000000002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35">
      <c r="A147" s="11">
        <v>1895</v>
      </c>
      <c r="B147" s="11">
        <v>3801.4540000000002</v>
      </c>
      <c r="C147" s="11">
        <v>5263.0460000000003</v>
      </c>
      <c r="D147" s="11">
        <v>2609.3870000000002</v>
      </c>
      <c r="E147" s="11">
        <v>3608.3989999999999</v>
      </c>
      <c r="F147" s="11">
        <v>4430.2759999999998</v>
      </c>
      <c r="G147" s="11">
        <v>2158.3290000000002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35">
      <c r="A148" s="11">
        <v>1896</v>
      </c>
      <c r="B148" s="11">
        <v>3865.415</v>
      </c>
      <c r="C148" s="11">
        <v>5336.7659999999996</v>
      </c>
      <c r="D148" s="11">
        <v>2620.54</v>
      </c>
      <c r="E148" s="11">
        <v>3660.1320000000001</v>
      </c>
      <c r="F148" s="11">
        <v>4492.6570000000002</v>
      </c>
      <c r="G148" s="11">
        <v>2174.9989999999998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35">
      <c r="A149" s="11">
        <v>1897</v>
      </c>
      <c r="B149" s="11">
        <v>3952.9670000000001</v>
      </c>
      <c r="C149" s="11">
        <v>5459.826</v>
      </c>
      <c r="D149" s="11">
        <v>2665.3919999999998</v>
      </c>
      <c r="E149" s="11">
        <v>3740.0259999999998</v>
      </c>
      <c r="F149" s="11">
        <v>4590.2079999999996</v>
      </c>
      <c r="G149" s="11">
        <v>2193.6570000000002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35">
      <c r="A150" s="11">
        <v>1898</v>
      </c>
      <c r="B150" s="11">
        <v>4053.6370000000002</v>
      </c>
      <c r="C150" s="11">
        <v>5595.6909999999998</v>
      </c>
      <c r="D150" s="11">
        <v>2659.819</v>
      </c>
      <c r="E150" s="11">
        <v>3824.4369999999999</v>
      </c>
      <c r="F150" s="11">
        <v>4694.5290000000005</v>
      </c>
      <c r="G150" s="11">
        <v>2214.1390000000001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35">
      <c r="A151" s="11">
        <v>1899</v>
      </c>
      <c r="B151" s="11">
        <v>4237.4870000000001</v>
      </c>
      <c r="C151" s="11">
        <v>5794.2809999999999</v>
      </c>
      <c r="D151" s="11">
        <v>2689.0630000000001</v>
      </c>
      <c r="E151" s="11">
        <v>3995.2910000000002</v>
      </c>
      <c r="F151" s="11">
        <v>4883.24</v>
      </c>
      <c r="G151" s="11">
        <v>2231.5070000000001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35">
      <c r="A152" s="11">
        <v>1900</v>
      </c>
      <c r="B152" s="11">
        <v>4329.4489999999996</v>
      </c>
      <c r="C152" s="11">
        <v>5937.6170000000002</v>
      </c>
      <c r="D152" s="11">
        <v>2707.2579999999998</v>
      </c>
      <c r="E152" s="11">
        <v>4105.415</v>
      </c>
      <c r="F152" s="11">
        <v>5010.7150000000001</v>
      </c>
      <c r="G152" s="11">
        <v>2245.4969999999998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35">
      <c r="A153" s="11">
        <v>1901</v>
      </c>
      <c r="B153" s="11">
        <v>4358.03</v>
      </c>
      <c r="C153" s="11">
        <v>6043.1149999999998</v>
      </c>
      <c r="D153" s="11">
        <v>2813.0079999999998</v>
      </c>
      <c r="E153" s="11">
        <v>4162.3519999999999</v>
      </c>
      <c r="F153" s="11">
        <v>5089.8530000000001</v>
      </c>
      <c r="G153" s="11">
        <v>2497.8069999999998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35">
      <c r="A154" s="11">
        <v>1902</v>
      </c>
      <c r="B154" s="11">
        <v>4426.9309999999996</v>
      </c>
      <c r="C154" s="11">
        <v>6127.1940000000004</v>
      </c>
      <c r="D154" s="11">
        <v>2843.6950000000002</v>
      </c>
      <c r="E154" s="11">
        <v>4105.3100000000004</v>
      </c>
      <c r="F154" s="11">
        <v>5035.357</v>
      </c>
      <c r="G154" s="11">
        <v>2639.8119999999999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35">
      <c r="A155" s="11">
        <v>1903</v>
      </c>
      <c r="B155" s="11">
        <v>4618.2060000000001</v>
      </c>
      <c r="C155" s="11">
        <v>6363.97</v>
      </c>
      <c r="D155" s="11">
        <v>2868.7269999999999</v>
      </c>
      <c r="E155" s="11">
        <v>4295.3519999999999</v>
      </c>
      <c r="F155" s="11">
        <v>5235.5479999999998</v>
      </c>
      <c r="G155" s="11">
        <v>2779.07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35">
      <c r="A156" s="11">
        <v>1904</v>
      </c>
      <c r="B156" s="11">
        <v>4667.5540000000001</v>
      </c>
      <c r="C156" s="11">
        <v>6456.2979999999998</v>
      </c>
      <c r="D156" s="11">
        <v>2930.64</v>
      </c>
      <c r="E156" s="11">
        <v>4281.8220000000001</v>
      </c>
      <c r="F156" s="11">
        <v>5241.0649999999996</v>
      </c>
      <c r="G156" s="11">
        <v>2913.0410000000002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35">
      <c r="A157" s="11">
        <v>1905</v>
      </c>
      <c r="B157" s="11">
        <v>4831.7169999999996</v>
      </c>
      <c r="C157" s="11">
        <v>6668.6480000000001</v>
      </c>
      <c r="D157" s="11">
        <v>2929.6770000000001</v>
      </c>
      <c r="E157" s="11">
        <v>4426.2240000000002</v>
      </c>
      <c r="F157" s="11">
        <v>5389.6049999999996</v>
      </c>
      <c r="G157" s="11">
        <v>3039.6930000000002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35">
      <c r="A158" s="11">
        <v>1906</v>
      </c>
      <c r="B158" s="11">
        <v>4925.4979999999996</v>
      </c>
      <c r="C158" s="11">
        <v>6805.8379999999997</v>
      </c>
      <c r="D158" s="11">
        <v>3004.7579999999998</v>
      </c>
      <c r="E158" s="11">
        <v>4508.2860000000001</v>
      </c>
      <c r="F158" s="11">
        <v>5499.7939999999999</v>
      </c>
      <c r="G158" s="11">
        <v>3204.5630000000001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35">
      <c r="A159" s="11">
        <v>1907</v>
      </c>
      <c r="B159" s="11">
        <v>5277.2380000000003</v>
      </c>
      <c r="C159" s="11">
        <v>7218.9080000000004</v>
      </c>
      <c r="D159" s="11">
        <v>3005.0839999999998</v>
      </c>
      <c r="E159" s="11">
        <v>4849.12</v>
      </c>
      <c r="F159" s="11">
        <v>5873.0020000000004</v>
      </c>
      <c r="G159" s="11">
        <v>3269.0929999999998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35">
      <c r="A160" s="11">
        <v>1908</v>
      </c>
      <c r="B160" s="11">
        <v>5144.0559999999996</v>
      </c>
      <c r="C160" s="11">
        <v>7125.6210000000001</v>
      </c>
      <c r="D160" s="11">
        <v>3035.25</v>
      </c>
      <c r="E160" s="11">
        <v>4696.4799999999996</v>
      </c>
      <c r="F160" s="11">
        <v>5735.924</v>
      </c>
      <c r="G160" s="11">
        <v>3335.5160000000001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35">
      <c r="A161" s="11">
        <v>1909</v>
      </c>
      <c r="B161" s="11">
        <v>5280.5540000000001</v>
      </c>
      <c r="C161" s="11">
        <v>7311.0559999999996</v>
      </c>
      <c r="D161" s="11">
        <v>3078.1390000000001</v>
      </c>
      <c r="E161" s="11">
        <v>4803.1970000000001</v>
      </c>
      <c r="F161" s="11">
        <v>5859.58</v>
      </c>
      <c r="G161" s="11">
        <v>3377.4639999999999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35">
      <c r="A162" s="11">
        <v>1910</v>
      </c>
      <c r="B162" s="11">
        <v>5392.8249999999998</v>
      </c>
      <c r="C162" s="11">
        <v>7125.1530000000002</v>
      </c>
      <c r="D162" s="11">
        <v>3237.2150000000001</v>
      </c>
      <c r="E162" s="11">
        <v>4957.43</v>
      </c>
      <c r="F162" s="11">
        <v>6015.6970000000001</v>
      </c>
      <c r="G162" s="11">
        <v>3419.011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35">
      <c r="A163" s="11">
        <v>1911</v>
      </c>
      <c r="B163" s="11">
        <v>5419.4120000000003</v>
      </c>
      <c r="C163" s="11">
        <v>7074.5990000000002</v>
      </c>
      <c r="D163" s="11">
        <v>3328.7910000000002</v>
      </c>
      <c r="E163" s="11">
        <v>4983.6319999999996</v>
      </c>
      <c r="F163" s="11">
        <v>6054.1559999999999</v>
      </c>
      <c r="G163" s="11">
        <v>3244.402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35">
      <c r="A164" s="11">
        <v>1912</v>
      </c>
      <c r="B164" s="11">
        <v>5502.0659999999998</v>
      </c>
      <c r="C164" s="11">
        <v>7151.7619999999997</v>
      </c>
      <c r="D164" s="11">
        <v>3340.3020000000001</v>
      </c>
      <c r="E164" s="11">
        <v>5054.4489999999996</v>
      </c>
      <c r="F164" s="11">
        <v>6156.8389999999999</v>
      </c>
      <c r="G164" s="11">
        <v>3192.2159999999999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35">
      <c r="A165" s="11">
        <v>1913</v>
      </c>
      <c r="B165" s="11">
        <v>5757.6</v>
      </c>
      <c r="C165" s="11">
        <v>7345.0919999999996</v>
      </c>
      <c r="D165" s="11">
        <v>3420.2150000000001</v>
      </c>
      <c r="E165" s="11">
        <v>5310.9369999999999</v>
      </c>
      <c r="F165" s="11">
        <v>6452.9859999999999</v>
      </c>
      <c r="G165" s="11">
        <v>3104.933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35">
      <c r="A166" s="11">
        <v>1914</v>
      </c>
      <c r="B166" s="11">
        <v>5453.2860000000001</v>
      </c>
      <c r="C166" s="11">
        <v>6943.0730000000003</v>
      </c>
      <c r="D166" s="11">
        <v>3483.0859999999998</v>
      </c>
      <c r="E166" s="11">
        <v>4970.4359999999997</v>
      </c>
      <c r="F166" s="11">
        <v>6074.6909999999998</v>
      </c>
      <c r="G166" s="11">
        <v>3080.0140000000001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35">
      <c r="A167" s="11">
        <v>1915</v>
      </c>
      <c r="B167" s="11">
        <v>5378.5060000000003</v>
      </c>
      <c r="C167" s="11">
        <v>6801.0379999999996</v>
      </c>
      <c r="D167" s="11">
        <v>3520.1089999999999</v>
      </c>
      <c r="E167" s="11">
        <v>4919.3860000000004</v>
      </c>
      <c r="F167" s="11">
        <v>6014.1239999999998</v>
      </c>
      <c r="G167" s="11">
        <v>3058.82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35">
      <c r="A168" s="11">
        <v>1916</v>
      </c>
      <c r="B168" s="11">
        <v>5606.0619999999999</v>
      </c>
      <c r="C168" s="11">
        <v>7059.3050000000003</v>
      </c>
      <c r="D168" s="11">
        <v>3552.828</v>
      </c>
      <c r="E168" s="11">
        <v>5154.4009999999998</v>
      </c>
      <c r="F168" s="11">
        <v>6276.5749999999998</v>
      </c>
      <c r="G168" s="11">
        <v>3098.03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35">
      <c r="A169" s="11">
        <v>1917</v>
      </c>
      <c r="B169" s="11">
        <v>5749.3059999999996</v>
      </c>
      <c r="C169" s="11">
        <v>7116.924</v>
      </c>
      <c r="D169" s="11">
        <v>3609.44</v>
      </c>
      <c r="E169" s="11">
        <v>5287.6660000000002</v>
      </c>
      <c r="F169" s="11">
        <v>6410.5959999999995</v>
      </c>
      <c r="G169" s="11">
        <v>3141.2570000000001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35">
      <c r="A170" s="11">
        <v>1918</v>
      </c>
      <c r="B170" s="11">
        <v>5798.7089999999998</v>
      </c>
      <c r="C170" s="11">
        <v>6994.5460000000003</v>
      </c>
      <c r="D170" s="11">
        <v>3638.5970000000002</v>
      </c>
      <c r="E170" s="11">
        <v>5309.5770000000002</v>
      </c>
      <c r="F170" s="11">
        <v>6334.5940000000001</v>
      </c>
      <c r="G170" s="11">
        <v>3176.529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35">
      <c r="A171" s="11">
        <v>1919</v>
      </c>
      <c r="B171" s="11">
        <v>5358.1480000000001</v>
      </c>
      <c r="C171" s="11">
        <v>6412.8779999999997</v>
      </c>
      <c r="D171" s="11">
        <v>3699.377</v>
      </c>
      <c r="E171" s="11">
        <v>4877.5510000000004</v>
      </c>
      <c r="F171" s="11">
        <v>5784.8370000000004</v>
      </c>
      <c r="G171" s="11">
        <v>3235.069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35">
      <c r="A172" s="11">
        <v>1920</v>
      </c>
      <c r="B172" s="11">
        <v>5814.09</v>
      </c>
      <c r="C172" s="11">
        <v>7087.6679999999997</v>
      </c>
      <c r="D172" s="11">
        <v>3993.3249999999998</v>
      </c>
      <c r="E172" s="11">
        <v>5313.1379999999999</v>
      </c>
      <c r="F172" s="11">
        <v>6303.1490000000003</v>
      </c>
      <c r="G172" s="11">
        <v>3303.9279999999999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35">
      <c r="A173" s="11">
        <v>1921</v>
      </c>
      <c r="B173" s="11">
        <v>5340.72</v>
      </c>
      <c r="C173" s="11">
        <v>6672.9859999999999</v>
      </c>
      <c r="D173" s="11">
        <v>4147.04</v>
      </c>
      <c r="E173" s="11">
        <v>4765.9859999999999</v>
      </c>
      <c r="F173" s="11">
        <v>5766.0789999999997</v>
      </c>
      <c r="G173" s="11">
        <v>3528.7179999999998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35">
      <c r="A174" s="11">
        <v>1922</v>
      </c>
      <c r="B174" s="11">
        <v>5530.3729999999996</v>
      </c>
      <c r="C174" s="11">
        <v>6881.9560000000001</v>
      </c>
      <c r="D174" s="11">
        <v>4214.4210000000003</v>
      </c>
      <c r="E174" s="11">
        <v>4866.3680000000004</v>
      </c>
      <c r="F174" s="11">
        <v>5878.26</v>
      </c>
      <c r="G174" s="11">
        <v>3612.3040000000001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35">
      <c r="A175" s="11">
        <v>1923</v>
      </c>
      <c r="B175" s="11">
        <v>5991.6639999999998</v>
      </c>
      <c r="C175" s="11">
        <v>7391.1959999999999</v>
      </c>
      <c r="D175" s="11">
        <v>4340.8230000000003</v>
      </c>
      <c r="E175" s="11">
        <v>5349.27</v>
      </c>
      <c r="F175" s="11">
        <v>6360.643</v>
      </c>
      <c r="G175" s="11">
        <v>3697.4580000000001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35">
      <c r="A176" s="11">
        <v>1924</v>
      </c>
      <c r="B176" s="11">
        <v>5966.78</v>
      </c>
      <c r="C176" s="11">
        <v>7319.4129999999996</v>
      </c>
      <c r="D176" s="11">
        <v>4405.6530000000002</v>
      </c>
      <c r="E176" s="11">
        <v>5317.3140000000003</v>
      </c>
      <c r="F176" s="11">
        <v>6356.73</v>
      </c>
      <c r="G176" s="11">
        <v>3779.569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35">
      <c r="A177" s="11">
        <v>1925</v>
      </c>
      <c r="B177" s="11">
        <v>6018.6360000000004</v>
      </c>
      <c r="C177" s="11">
        <v>7453.9290000000001</v>
      </c>
      <c r="D177" s="11">
        <v>4459.6580000000004</v>
      </c>
      <c r="E177" s="11">
        <v>5347.2049999999999</v>
      </c>
      <c r="F177" s="11">
        <v>6394.0709999999999</v>
      </c>
      <c r="G177" s="11">
        <v>3836.393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35">
      <c r="A178" s="11">
        <v>1926</v>
      </c>
      <c r="B178" s="11">
        <v>5894.7730000000001</v>
      </c>
      <c r="C178" s="11">
        <v>7383.9229999999998</v>
      </c>
      <c r="D178" s="11">
        <v>4497.3329999999996</v>
      </c>
      <c r="E178" s="11">
        <v>5223.1499999999996</v>
      </c>
      <c r="F178" s="11">
        <v>6334.1760000000004</v>
      </c>
      <c r="G178" s="11">
        <v>3874.1080000000002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35">
      <c r="A179" s="11">
        <v>1927</v>
      </c>
      <c r="B179" s="11">
        <v>6201.12</v>
      </c>
      <c r="C179" s="11">
        <v>7746.2190000000001</v>
      </c>
      <c r="D179" s="11">
        <v>4554.3069999999998</v>
      </c>
      <c r="E179" s="11">
        <v>5719.0870000000004</v>
      </c>
      <c r="F179" s="11">
        <v>6889.6629999999996</v>
      </c>
      <c r="G179" s="11">
        <v>3915.4630000000002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35">
      <c r="A180" s="11">
        <v>1928</v>
      </c>
      <c r="B180" s="11">
        <v>6146.3590000000004</v>
      </c>
      <c r="C180" s="11">
        <v>7720.2529999999997</v>
      </c>
      <c r="D180" s="11">
        <v>4640.3239999999996</v>
      </c>
      <c r="E180" s="11">
        <v>5656.5069999999996</v>
      </c>
      <c r="F180" s="11">
        <v>6855.0150000000003</v>
      </c>
      <c r="G180" s="11">
        <v>3971.68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35">
      <c r="A181" s="11">
        <v>1929</v>
      </c>
      <c r="B181" s="11">
        <v>6412.66</v>
      </c>
      <c r="C181" s="11">
        <v>8088.2240000000002</v>
      </c>
      <c r="D181" s="11">
        <v>4682.6139999999996</v>
      </c>
      <c r="E181" s="11">
        <v>6042.5280000000002</v>
      </c>
      <c r="F181" s="11">
        <v>7280.5749999999998</v>
      </c>
      <c r="G181" s="11">
        <v>4028.1419999999998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35">
      <c r="A182" s="11">
        <v>1930</v>
      </c>
      <c r="B182" s="11">
        <v>5942.415</v>
      </c>
      <c r="C182" s="11">
        <v>7805.951</v>
      </c>
      <c r="D182" s="11">
        <v>4695.4930000000004</v>
      </c>
      <c r="E182" s="11">
        <v>5917.59</v>
      </c>
      <c r="F182" s="11">
        <v>7188.92</v>
      </c>
      <c r="G182" s="11">
        <v>4072.1439999999998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35">
      <c r="A183" s="11">
        <v>1931</v>
      </c>
      <c r="B183" s="11">
        <v>5447.2219999999998</v>
      </c>
      <c r="C183" s="11">
        <v>7416.0460000000003</v>
      </c>
      <c r="D183" s="11">
        <v>4740.8459999999995</v>
      </c>
      <c r="E183" s="11">
        <v>5404.7280000000001</v>
      </c>
      <c r="F183" s="11">
        <v>6715.7330000000002</v>
      </c>
      <c r="G183" s="11">
        <v>4128.7449999999999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35">
      <c r="A184" s="11">
        <v>1932</v>
      </c>
      <c r="B184" s="11">
        <v>5005.7389999999996</v>
      </c>
      <c r="C184" s="11">
        <v>7028.2280000000001</v>
      </c>
      <c r="D184" s="11">
        <v>4821.2520000000004</v>
      </c>
      <c r="E184" s="11">
        <v>4620.1980000000003</v>
      </c>
      <c r="F184" s="11">
        <v>5939.1509999999998</v>
      </c>
      <c r="G184" s="11">
        <v>4176.7929999999997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35">
      <c r="A185" s="11">
        <v>1933</v>
      </c>
      <c r="B185" s="11">
        <v>5121.2560000000003</v>
      </c>
      <c r="C185" s="11">
        <v>7163.9949999999999</v>
      </c>
      <c r="D185" s="11">
        <v>4857.4359999999997</v>
      </c>
      <c r="E185" s="11">
        <v>4738.4560000000001</v>
      </c>
      <c r="F185" s="11">
        <v>6084.8320000000003</v>
      </c>
      <c r="G185" s="11">
        <v>4240.3620000000001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35">
      <c r="A186" s="11">
        <v>1934</v>
      </c>
      <c r="B186" s="11">
        <v>5342.0360000000001</v>
      </c>
      <c r="C186" s="11">
        <v>7466.7489999999998</v>
      </c>
      <c r="D186" s="11">
        <v>4970.3149999999996</v>
      </c>
      <c r="E186" s="11">
        <v>4943.6540000000005</v>
      </c>
      <c r="F186" s="11">
        <v>6351.817</v>
      </c>
      <c r="G186" s="11">
        <v>4308.18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35">
      <c r="A187" s="11">
        <v>1935</v>
      </c>
      <c r="B187" s="11">
        <v>5420.1260000000002</v>
      </c>
      <c r="C187" s="11">
        <v>7632.7969999999996</v>
      </c>
      <c r="D187" s="11">
        <v>4973.9870000000001</v>
      </c>
      <c r="E187" s="11">
        <v>5057.7619999999997</v>
      </c>
      <c r="F187" s="11">
        <v>6505.6719999999996</v>
      </c>
      <c r="G187" s="11">
        <v>4396.7650000000003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35">
      <c r="A188" s="11">
        <v>1936</v>
      </c>
      <c r="B188" s="11">
        <v>5746.7280000000001</v>
      </c>
      <c r="C188" s="11">
        <v>8088.3040000000001</v>
      </c>
      <c r="D188" s="11">
        <v>5105.6899999999996</v>
      </c>
      <c r="E188" s="11">
        <v>5367.4260000000004</v>
      </c>
      <c r="F188" s="11">
        <v>6872.4229999999998</v>
      </c>
      <c r="G188" s="11">
        <v>4530.9650000000001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35">
      <c r="A189" s="11">
        <v>1937</v>
      </c>
      <c r="B189" s="11">
        <v>5969.5010000000002</v>
      </c>
      <c r="C189" s="11">
        <v>8340.4330000000009</v>
      </c>
      <c r="D189" s="11">
        <v>5189.2960000000003</v>
      </c>
      <c r="E189" s="11">
        <v>5546.1390000000001</v>
      </c>
      <c r="F189" s="11">
        <v>7066.6149999999998</v>
      </c>
      <c r="G189" s="11">
        <v>4631.9570000000003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35">
      <c r="A190" s="11">
        <v>1938</v>
      </c>
      <c r="B190" s="11">
        <v>5631.9189999999999</v>
      </c>
      <c r="C190" s="11">
        <v>8068.9740000000002</v>
      </c>
      <c r="D190" s="11">
        <v>5244.4949999999999</v>
      </c>
      <c r="E190" s="11">
        <v>5191.951</v>
      </c>
      <c r="F190" s="11">
        <v>6741.7619999999997</v>
      </c>
      <c r="G190" s="11">
        <v>4696.6970000000001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35">
      <c r="A191" s="11">
        <v>1939</v>
      </c>
      <c r="B191" s="11">
        <v>5840.942</v>
      </c>
      <c r="C191" s="11">
        <v>8282.4940000000006</v>
      </c>
      <c r="D191" s="11">
        <v>5302.6639999999998</v>
      </c>
      <c r="E191" s="11">
        <v>5427.9589999999998</v>
      </c>
      <c r="F191" s="11">
        <v>6972.058</v>
      </c>
      <c r="G191" s="11">
        <v>4785.3019999999997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35">
      <c r="A192" s="11">
        <v>1940</v>
      </c>
      <c r="B192" s="11">
        <v>6057.268</v>
      </c>
      <c r="C192" s="11">
        <v>8406.8639999999996</v>
      </c>
      <c r="D192" s="11">
        <v>5770.5590000000002</v>
      </c>
      <c r="E192" s="11">
        <v>5542.5330000000004</v>
      </c>
      <c r="F192" s="11">
        <v>7299.4870000000001</v>
      </c>
      <c r="G192" s="11">
        <v>4852.2190000000001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35">
      <c r="A193" s="11">
        <v>1941</v>
      </c>
      <c r="B193" s="11">
        <v>6264.692</v>
      </c>
      <c r="C193" s="11">
        <v>8426.9169999999995</v>
      </c>
      <c r="D193" s="11">
        <v>6081.0159999999996</v>
      </c>
      <c r="E193" s="11">
        <v>5727.6509999999998</v>
      </c>
      <c r="F193" s="11">
        <v>7360.6270000000004</v>
      </c>
      <c r="G193" s="11">
        <v>4909.6819999999998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35">
      <c r="A194" s="11">
        <v>1942</v>
      </c>
      <c r="B194" s="11">
        <v>6471.5479999999998</v>
      </c>
      <c r="C194" s="11">
        <v>8350.9120000000003</v>
      </c>
      <c r="D194" s="11">
        <v>6227.7089999999998</v>
      </c>
      <c r="E194" s="11">
        <v>5976.6909999999998</v>
      </c>
      <c r="F194" s="11">
        <v>7474.7359999999999</v>
      </c>
      <c r="G194" s="11">
        <v>4956.1400000000003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35">
      <c r="A195" s="11">
        <v>1943</v>
      </c>
      <c r="B195" s="11">
        <v>6563.65</v>
      </c>
      <c r="C195" s="11">
        <v>8402.1110000000008</v>
      </c>
      <c r="D195" s="11">
        <v>6374.2349999999997</v>
      </c>
      <c r="E195" s="11">
        <v>6015.0749999999998</v>
      </c>
      <c r="F195" s="11">
        <v>7601.0910000000003</v>
      </c>
      <c r="G195" s="11">
        <v>5097.4830000000002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35">
      <c r="A196" s="11">
        <v>1944</v>
      </c>
      <c r="B196" s="11">
        <v>6584.0360000000001</v>
      </c>
      <c r="C196" s="11">
        <v>8388.5789999999997</v>
      </c>
      <c r="D196" s="11">
        <v>6515.723</v>
      </c>
      <c r="E196" s="11">
        <v>5987.2370000000001</v>
      </c>
      <c r="F196" s="11">
        <v>7511.6549999999997</v>
      </c>
      <c r="G196" s="11">
        <v>5252.99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35">
      <c r="A197" s="11">
        <v>1945</v>
      </c>
      <c r="B197" s="11">
        <v>5891.1469999999999</v>
      </c>
      <c r="C197" s="11">
        <v>7481.8459999999995</v>
      </c>
      <c r="D197" s="11">
        <v>6618.2870000000003</v>
      </c>
      <c r="E197" s="11">
        <v>5232.808</v>
      </c>
      <c r="F197" s="11">
        <v>6547.5749999999998</v>
      </c>
      <c r="G197" s="11">
        <v>5362.652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35">
      <c r="A198" s="11">
        <v>1946</v>
      </c>
      <c r="B198" s="11">
        <v>6125.5140000000001</v>
      </c>
      <c r="C198" s="11">
        <v>7755.2629999999999</v>
      </c>
      <c r="D198" s="11">
        <v>6792.2719999999999</v>
      </c>
      <c r="E198" s="11">
        <v>5513.8090000000002</v>
      </c>
      <c r="F198" s="11">
        <v>6936.4859999999999</v>
      </c>
      <c r="G198" s="11">
        <v>5881.74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35">
      <c r="A199" s="11">
        <v>1947</v>
      </c>
      <c r="B199" s="11">
        <v>6642.0309999999999</v>
      </c>
      <c r="C199" s="11">
        <v>8283.8189999999995</v>
      </c>
      <c r="D199" s="11">
        <v>6946.1940000000004</v>
      </c>
      <c r="E199" s="11">
        <v>6127.9290000000001</v>
      </c>
      <c r="F199" s="11">
        <v>7637.9219999999996</v>
      </c>
      <c r="G199" s="11">
        <v>6044.902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35">
      <c r="A200" s="11">
        <v>1948</v>
      </c>
      <c r="B200" s="11">
        <v>6932.8810000000003</v>
      </c>
      <c r="C200" s="11">
        <v>8556.4830000000002</v>
      </c>
      <c r="D200" s="11">
        <v>7011.1289999999999</v>
      </c>
      <c r="E200" s="11">
        <v>6408.1350000000002</v>
      </c>
      <c r="F200" s="11">
        <v>7964.37</v>
      </c>
      <c r="G200" s="11">
        <v>6149.4309999999996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35">
      <c r="A201" s="11">
        <v>1949</v>
      </c>
      <c r="B201" s="11">
        <v>6582.4290000000001</v>
      </c>
      <c r="C201" s="11">
        <v>8232.9220000000005</v>
      </c>
      <c r="D201" s="11">
        <v>7135.4979999999996</v>
      </c>
      <c r="E201" s="11">
        <v>6058.8360000000002</v>
      </c>
      <c r="F201" s="11">
        <v>7719.4380000000001</v>
      </c>
      <c r="G201" s="11">
        <v>6308.8459999999995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35">
      <c r="A202" s="11">
        <v>1950</v>
      </c>
      <c r="B202" s="11">
        <v>7105.4</v>
      </c>
      <c r="C202" s="11">
        <v>9052.2379999999994</v>
      </c>
      <c r="D202" s="11">
        <v>7988.0190000000002</v>
      </c>
      <c r="E202" s="11">
        <v>6587.4179999999997</v>
      </c>
      <c r="F202" s="11">
        <v>8330.8209999999999</v>
      </c>
      <c r="G202" s="11">
        <v>6289.1639999999998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35">
      <c r="A203" s="11">
        <v>1951</v>
      </c>
      <c r="B203" s="11">
        <v>7403.8019999999997</v>
      </c>
      <c r="C203" s="11">
        <v>9564.94</v>
      </c>
      <c r="D203" s="11">
        <v>8573.8909999999996</v>
      </c>
      <c r="E203" s="11">
        <v>7113.192</v>
      </c>
      <c r="F203" s="11">
        <v>9317.3919999999998</v>
      </c>
      <c r="G203" s="11">
        <v>6715.7079999999996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35">
      <c r="A204" s="11">
        <v>1952</v>
      </c>
      <c r="B204" s="11">
        <v>7394.84</v>
      </c>
      <c r="C204" s="11">
        <v>9699.0339999999997</v>
      </c>
      <c r="D204" s="11">
        <v>8676.4959999999992</v>
      </c>
      <c r="E204" s="11">
        <v>6953.8450000000003</v>
      </c>
      <c r="F204" s="11">
        <v>9324.0429999999997</v>
      </c>
      <c r="G204" s="11">
        <v>6990.2489999999998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35">
      <c r="A205" s="11">
        <v>1953</v>
      </c>
      <c r="B205" s="11">
        <v>7506.1930000000002</v>
      </c>
      <c r="C205" s="11">
        <v>9952.0460000000003</v>
      </c>
      <c r="D205" s="11">
        <v>8840.4879999999994</v>
      </c>
      <c r="E205" s="11">
        <v>7022.3590000000004</v>
      </c>
      <c r="F205" s="11">
        <v>9553.8259999999991</v>
      </c>
      <c r="G205" s="11">
        <v>7053.72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35">
      <c r="A206" s="11">
        <v>1954</v>
      </c>
      <c r="B206" s="11">
        <v>7496.509</v>
      </c>
      <c r="C206" s="11">
        <v>10123.982</v>
      </c>
      <c r="D206" s="11">
        <v>9341.6569999999992</v>
      </c>
      <c r="E206" s="11">
        <v>7047.9279999999999</v>
      </c>
      <c r="F206" s="11">
        <v>9767.5830000000005</v>
      </c>
      <c r="G206" s="11">
        <v>7328.4250000000002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35">
      <c r="A207" s="11">
        <v>1955</v>
      </c>
      <c r="B207" s="11">
        <v>7951.7690000000002</v>
      </c>
      <c r="C207" s="11">
        <v>10789.407999999999</v>
      </c>
      <c r="D207" s="11">
        <v>9707.9779999999992</v>
      </c>
      <c r="E207" s="11">
        <v>7502.7650000000003</v>
      </c>
      <c r="F207" s="11">
        <v>10457.197</v>
      </c>
      <c r="G207" s="11">
        <v>7678.192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35">
      <c r="A208" s="11">
        <v>1956</v>
      </c>
      <c r="B208" s="11">
        <v>8264.7929999999997</v>
      </c>
      <c r="C208" s="11">
        <v>11275.028</v>
      </c>
      <c r="D208" s="11">
        <v>9904.7800000000007</v>
      </c>
      <c r="E208" s="11">
        <v>7890.9409999999998</v>
      </c>
      <c r="F208" s="11">
        <v>11071.411</v>
      </c>
      <c r="G208" s="11">
        <v>7941.29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35">
      <c r="A209" s="11">
        <v>1957</v>
      </c>
      <c r="B209" s="11">
        <v>8324.7999999999993</v>
      </c>
      <c r="C209" s="11">
        <v>11519.003000000001</v>
      </c>
      <c r="D209" s="11">
        <v>10273.614</v>
      </c>
      <c r="E209" s="11">
        <v>7948.8149999999996</v>
      </c>
      <c r="F209" s="11">
        <v>11370.933999999999</v>
      </c>
      <c r="G209" s="11">
        <v>8178.2060000000001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35">
      <c r="A210" s="11">
        <v>1958</v>
      </c>
      <c r="B210" s="11">
        <v>8167.18</v>
      </c>
      <c r="C210" s="11">
        <v>11497.611000000001</v>
      </c>
      <c r="D210" s="11">
        <v>10591.391</v>
      </c>
      <c r="E210" s="11">
        <v>7957.9520000000002</v>
      </c>
      <c r="F210" s="11">
        <v>11574.75</v>
      </c>
      <c r="G210" s="11">
        <v>8556.4989999999998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35">
      <c r="A211" s="11">
        <v>1959</v>
      </c>
      <c r="B211" s="11">
        <v>8252.5689999999995</v>
      </c>
      <c r="C211" s="11">
        <v>11992.004999999999</v>
      </c>
      <c r="D211" s="11">
        <v>11234.089</v>
      </c>
      <c r="E211" s="11">
        <v>7979.7690000000002</v>
      </c>
      <c r="F211" s="11">
        <v>11464.53</v>
      </c>
      <c r="G211" s="11">
        <v>8906.0660000000007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35">
      <c r="A212" s="11">
        <v>1960</v>
      </c>
      <c r="B212" s="11">
        <v>8525.4699999999993</v>
      </c>
      <c r="C212" s="11">
        <v>12105.671</v>
      </c>
      <c r="D212" s="11">
        <v>10714.763999999999</v>
      </c>
      <c r="E212" s="11">
        <v>8322.8240000000005</v>
      </c>
      <c r="F212" s="11">
        <v>11919.21</v>
      </c>
      <c r="G212" s="11">
        <v>9095.0229999999992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35">
      <c r="A213" s="11">
        <v>1961</v>
      </c>
      <c r="B213" s="11">
        <v>8599.73</v>
      </c>
      <c r="C213" s="11">
        <v>12265.846</v>
      </c>
      <c r="D213" s="11">
        <v>10690.52</v>
      </c>
      <c r="E213" s="11">
        <v>8455.0580000000009</v>
      </c>
      <c r="F213" s="11">
        <v>12119.944</v>
      </c>
      <c r="G213" s="11">
        <v>9305.2749999999996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35">
      <c r="A214" s="11">
        <v>1962</v>
      </c>
      <c r="B214" s="11">
        <v>8955.973</v>
      </c>
      <c r="C214" s="11">
        <v>12458.481</v>
      </c>
      <c r="D214" s="11">
        <v>10450.813</v>
      </c>
      <c r="E214" s="11">
        <v>8836.85</v>
      </c>
      <c r="F214" s="11">
        <v>12631.05</v>
      </c>
      <c r="G214" s="11">
        <v>9286.8680000000004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35">
      <c r="A215" s="11">
        <v>1963</v>
      </c>
      <c r="B215" s="11">
        <v>9232.9869999999992</v>
      </c>
      <c r="C215" s="11">
        <v>12879.036</v>
      </c>
      <c r="D215" s="11">
        <v>10519.512000000001</v>
      </c>
      <c r="E215" s="11">
        <v>9270.5310000000009</v>
      </c>
      <c r="F215" s="11">
        <v>13233.602000000001</v>
      </c>
      <c r="G215" s="11">
        <v>9522.1630000000005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35">
      <c r="A216" s="11">
        <v>1964</v>
      </c>
      <c r="B216" s="11">
        <v>9570.4670000000006</v>
      </c>
      <c r="C216" s="11">
        <v>13286.556</v>
      </c>
      <c r="D216" s="11">
        <v>10498.4</v>
      </c>
      <c r="E216" s="11">
        <v>9643.0190000000002</v>
      </c>
      <c r="F216" s="11">
        <v>13756.813</v>
      </c>
      <c r="G216" s="11">
        <v>9738.8179999999993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35">
      <c r="A217" s="11">
        <v>1965</v>
      </c>
      <c r="B217" s="11">
        <v>9853.6409999999996</v>
      </c>
      <c r="C217" s="11">
        <v>13646.052</v>
      </c>
      <c r="D217" s="11">
        <v>10535.766</v>
      </c>
      <c r="E217" s="11">
        <v>9967.1329999999998</v>
      </c>
      <c r="F217" s="11">
        <v>14208.742</v>
      </c>
      <c r="G217" s="11">
        <v>10076.523999999999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35">
      <c r="A218" s="11">
        <v>1966</v>
      </c>
      <c r="B218" s="11">
        <v>10099.212</v>
      </c>
      <c r="C218" s="11">
        <v>13954.907999999999</v>
      </c>
      <c r="D218" s="11">
        <v>10550.011</v>
      </c>
      <c r="E218" s="11">
        <v>10423.724</v>
      </c>
      <c r="F218" s="11">
        <v>14784.147999999999</v>
      </c>
      <c r="G218" s="11">
        <v>10446.643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35">
      <c r="A219" s="11">
        <v>1967</v>
      </c>
      <c r="B219" s="11">
        <v>10892.242</v>
      </c>
      <c r="C219" s="11">
        <v>14885.298000000001</v>
      </c>
      <c r="D219" s="11">
        <v>10419.719999999999</v>
      </c>
      <c r="E219" s="11">
        <v>10785.081</v>
      </c>
      <c r="F219" s="11">
        <v>15238.2</v>
      </c>
      <c r="G219" s="11">
        <v>10465.718999999999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x14ac:dyDescent="0.35">
      <c r="A220" s="11">
        <v>1968</v>
      </c>
      <c r="B220" s="11">
        <v>11447.433999999999</v>
      </c>
      <c r="C220" s="11">
        <v>15616.718000000001</v>
      </c>
      <c r="D220" s="11">
        <v>10557.741</v>
      </c>
      <c r="E220" s="11">
        <v>11277.314</v>
      </c>
      <c r="F220" s="11">
        <v>15802.995000000001</v>
      </c>
      <c r="G220" s="11">
        <v>10539.215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x14ac:dyDescent="0.35">
      <c r="A221" s="11">
        <v>1969</v>
      </c>
      <c r="B221" s="11">
        <v>11668.79</v>
      </c>
      <c r="C221" s="11">
        <v>15917.13</v>
      </c>
      <c r="D221" s="11">
        <v>11927.9</v>
      </c>
      <c r="E221" s="11">
        <v>11904.407999999999</v>
      </c>
      <c r="F221" s="11">
        <v>16540.192999999999</v>
      </c>
      <c r="G221" s="11">
        <v>10935.757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x14ac:dyDescent="0.35">
      <c r="A222" s="11">
        <v>1970</v>
      </c>
      <c r="B222" s="11">
        <v>12039.522999999999</v>
      </c>
      <c r="C222" s="11">
        <v>16545.331999999999</v>
      </c>
      <c r="D222" s="11">
        <v>12339.508</v>
      </c>
      <c r="E222" s="11">
        <v>12435.165000000001</v>
      </c>
      <c r="F222" s="11">
        <v>17129.992999999999</v>
      </c>
      <c r="G222" s="11">
        <v>11468.986000000001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x14ac:dyDescent="0.35">
      <c r="A223" s="11">
        <v>1971</v>
      </c>
      <c r="B223" s="11">
        <v>12184.334000000001</v>
      </c>
      <c r="C223" s="11">
        <v>16707.112000000001</v>
      </c>
      <c r="D223" s="11">
        <v>12217.963</v>
      </c>
      <c r="E223" s="11">
        <v>12326.415000000001</v>
      </c>
      <c r="F223" s="11">
        <v>17115.121999999999</v>
      </c>
      <c r="G223" s="11">
        <v>11477.143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x14ac:dyDescent="0.35">
      <c r="A224" s="11">
        <v>1972</v>
      </c>
      <c r="B224" s="11">
        <v>12487.412</v>
      </c>
      <c r="C224" s="11">
        <v>17155.807000000001</v>
      </c>
      <c r="D224" s="11">
        <v>12946.379000000001</v>
      </c>
      <c r="E224" s="11">
        <v>12768.758</v>
      </c>
      <c r="F224" s="11">
        <v>17704.847000000002</v>
      </c>
      <c r="G224" s="11">
        <v>11659.407999999999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x14ac:dyDescent="0.35">
      <c r="A225" s="11">
        <v>1973</v>
      </c>
      <c r="B225" s="11">
        <v>12918</v>
      </c>
      <c r="C225" s="11">
        <v>17781.893</v>
      </c>
      <c r="D225" s="11">
        <v>13172.752</v>
      </c>
      <c r="E225" s="11">
        <v>13227.263999999999</v>
      </c>
      <c r="F225" s="11">
        <v>18296.350999999999</v>
      </c>
      <c r="G225" s="11">
        <v>12115.494000000001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x14ac:dyDescent="0.35">
      <c r="A226" s="11">
        <v>1974</v>
      </c>
      <c r="B226" s="11">
        <v>12679.605</v>
      </c>
      <c r="C226" s="11">
        <v>17683.400000000001</v>
      </c>
      <c r="D226" s="11">
        <v>13320.019</v>
      </c>
      <c r="E226" s="11">
        <v>12938.991</v>
      </c>
      <c r="F226" s="11">
        <v>18098.866000000002</v>
      </c>
      <c r="G226" s="11">
        <v>12271.073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x14ac:dyDescent="0.35">
      <c r="A227" s="11">
        <v>1975</v>
      </c>
      <c r="B227" s="11">
        <v>12335.092000000001</v>
      </c>
      <c r="C227" s="11">
        <v>17506.486000000001</v>
      </c>
      <c r="D227" s="11">
        <v>13482.918</v>
      </c>
      <c r="E227" s="11">
        <v>12536.319</v>
      </c>
      <c r="F227" s="11">
        <v>17877.756000000001</v>
      </c>
      <c r="G227" s="11">
        <v>12602.621999999999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x14ac:dyDescent="0.35">
      <c r="A228" s="11">
        <v>1976</v>
      </c>
      <c r="B228" s="11">
        <v>12841.450999999999</v>
      </c>
      <c r="C228" s="11">
        <v>18224.866000000002</v>
      </c>
      <c r="D228" s="11">
        <v>13718.549000000001</v>
      </c>
      <c r="E228" s="11">
        <v>13149.370999999999</v>
      </c>
      <c r="F228" s="11">
        <v>18671.108</v>
      </c>
      <c r="G228" s="11">
        <v>13100.183000000001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x14ac:dyDescent="0.35">
      <c r="A229" s="11">
        <v>1977</v>
      </c>
      <c r="B229" s="11">
        <v>13082.07</v>
      </c>
      <c r="C229" s="11">
        <v>18598.952000000001</v>
      </c>
      <c r="D229" s="11">
        <v>14527.929</v>
      </c>
      <c r="E229" s="11">
        <v>13227.078</v>
      </c>
      <c r="F229" s="11">
        <v>18870.391</v>
      </c>
      <c r="G229" s="11">
        <v>13486.758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x14ac:dyDescent="0.35">
      <c r="A230" s="11">
        <v>1978</v>
      </c>
      <c r="B230" s="11">
        <v>13154.111000000001</v>
      </c>
      <c r="C230" s="11">
        <v>18845.444</v>
      </c>
      <c r="D230" s="11">
        <v>14955.882</v>
      </c>
      <c r="E230" s="11">
        <v>13486.94</v>
      </c>
      <c r="F230" s="11">
        <v>19276.017</v>
      </c>
      <c r="G230" s="11">
        <v>13860.380999999999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x14ac:dyDescent="0.35">
      <c r="A231" s="11">
        <v>1979</v>
      </c>
      <c r="B231" s="11">
        <v>13438.103999999999</v>
      </c>
      <c r="C231" s="11">
        <v>19117.071</v>
      </c>
      <c r="D231" s="11">
        <v>14682.716</v>
      </c>
      <c r="E231" s="11">
        <v>13795.673000000001</v>
      </c>
      <c r="F231" s="11">
        <v>19613.164000000001</v>
      </c>
      <c r="G231" s="11">
        <v>14149.728999999999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x14ac:dyDescent="0.35">
      <c r="A232" s="11">
        <v>1980</v>
      </c>
      <c r="B232" s="11">
        <v>13179.019</v>
      </c>
      <c r="C232" s="11">
        <v>19122.404999999999</v>
      </c>
      <c r="D232" s="11">
        <v>14713.674999999999</v>
      </c>
      <c r="E232" s="11">
        <v>13409.076999999999</v>
      </c>
      <c r="F232" s="11">
        <v>19350.901000000002</v>
      </c>
      <c r="G232" s="11">
        <v>14089.218999999999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x14ac:dyDescent="0.35">
      <c r="A233" s="11">
        <v>1981</v>
      </c>
      <c r="B233" s="11">
        <v>12710.737999999999</v>
      </c>
      <c r="C233" s="11">
        <v>18391.236000000001</v>
      </c>
      <c r="D233" s="11">
        <v>14560.887000000001</v>
      </c>
      <c r="E233" s="11">
        <v>13018.56</v>
      </c>
      <c r="F233" s="11">
        <v>18823.841</v>
      </c>
      <c r="G233" s="11">
        <v>14120.948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x14ac:dyDescent="0.35">
      <c r="A234" s="11">
        <v>1982</v>
      </c>
      <c r="B234" s="11">
        <v>12246.287</v>
      </c>
      <c r="C234" s="11">
        <v>18048.564999999999</v>
      </c>
      <c r="D234" s="11">
        <v>14620.4</v>
      </c>
      <c r="E234" s="11">
        <v>12535.825999999999</v>
      </c>
      <c r="F234" s="11">
        <v>18425.731</v>
      </c>
      <c r="G234" s="11">
        <v>15106.401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x14ac:dyDescent="0.35">
      <c r="A235" s="11">
        <v>1983</v>
      </c>
      <c r="B235" s="11">
        <v>12218.709000000001</v>
      </c>
      <c r="C235" s="11">
        <v>18083.766</v>
      </c>
      <c r="D235" s="11">
        <v>15125.017</v>
      </c>
      <c r="E235" s="11">
        <v>12464.137000000001</v>
      </c>
      <c r="F235" s="11">
        <v>18413.732</v>
      </c>
      <c r="G235" s="11">
        <v>15560.825999999999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x14ac:dyDescent="0.35">
      <c r="A236" s="11">
        <v>1984</v>
      </c>
      <c r="B236" s="11">
        <v>12426.436</v>
      </c>
      <c r="C236" s="11">
        <v>18365.352999999999</v>
      </c>
      <c r="D236" s="11">
        <v>16070.306</v>
      </c>
      <c r="E236" s="11">
        <v>12718.941999999999</v>
      </c>
      <c r="F236" s="11">
        <v>18735.654999999999</v>
      </c>
      <c r="G236" s="11">
        <v>16137.922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x14ac:dyDescent="0.35">
      <c r="A237" s="11">
        <v>1985</v>
      </c>
      <c r="B237" s="11">
        <v>12472.437</v>
      </c>
      <c r="C237" s="11">
        <v>18705.612000000001</v>
      </c>
      <c r="D237" s="11">
        <v>16859.393</v>
      </c>
      <c r="E237" s="11">
        <v>12763.718999999999</v>
      </c>
      <c r="F237" s="11">
        <v>19030.951000000001</v>
      </c>
      <c r="G237" s="11">
        <v>16633.281999999999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x14ac:dyDescent="0.35">
      <c r="A238" s="11">
        <v>1986</v>
      </c>
      <c r="B238" s="11">
        <v>12350.242</v>
      </c>
      <c r="C238" s="11">
        <v>18611.277999999998</v>
      </c>
      <c r="D238" s="11">
        <v>17480.02</v>
      </c>
      <c r="E238" s="11">
        <v>12720.044</v>
      </c>
      <c r="F238" s="11">
        <v>19058.894</v>
      </c>
      <c r="G238" s="11">
        <v>17041.917000000001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x14ac:dyDescent="0.35">
      <c r="A239" s="11">
        <v>1987</v>
      </c>
      <c r="B239" s="11">
        <v>12542.266</v>
      </c>
      <c r="C239" s="11">
        <v>18798.812000000002</v>
      </c>
      <c r="D239" s="11">
        <v>17489.823</v>
      </c>
      <c r="E239" s="11">
        <v>12955.128000000001</v>
      </c>
      <c r="F239" s="11">
        <v>19330.481</v>
      </c>
      <c r="G239" s="11">
        <v>17495.941999999999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x14ac:dyDescent="0.35">
      <c r="A240" s="11">
        <v>1988</v>
      </c>
      <c r="B240" s="11">
        <v>12852.85</v>
      </c>
      <c r="C240" s="11">
        <v>19131.101999999999</v>
      </c>
      <c r="D240" s="11">
        <v>17717.401000000002</v>
      </c>
      <c r="E240" s="11">
        <v>13317.812</v>
      </c>
      <c r="F240" s="11">
        <v>19696.288</v>
      </c>
      <c r="G240" s="11">
        <v>18079.927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x14ac:dyDescent="0.35">
      <c r="A241" s="11">
        <v>1989</v>
      </c>
      <c r="B241" s="11">
        <v>13065.592000000001</v>
      </c>
      <c r="C241" s="11">
        <v>19183.045999999998</v>
      </c>
      <c r="D241" s="11">
        <v>17926.701000000001</v>
      </c>
      <c r="E241" s="11">
        <v>13533.434999999999</v>
      </c>
      <c r="F241" s="11">
        <v>19784.856</v>
      </c>
      <c r="G241" s="11">
        <v>18507.54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x14ac:dyDescent="0.35">
      <c r="A242" s="11">
        <v>1990</v>
      </c>
      <c r="B242" s="11">
        <v>13567.904</v>
      </c>
      <c r="C242" s="11">
        <v>19712.12</v>
      </c>
      <c r="D242" s="11">
        <v>17852.914000000001</v>
      </c>
      <c r="E242" s="11">
        <v>12359.763999999999</v>
      </c>
      <c r="F242" s="11">
        <v>17237.502</v>
      </c>
      <c r="G242" s="11">
        <v>15440.382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>
        <v>12677.704</v>
      </c>
      <c r="U242" s="11">
        <v>17381.156999999999</v>
      </c>
      <c r="V242" s="11">
        <v>15878.308999999999</v>
      </c>
      <c r="W242" s="11">
        <v>11492.984</v>
      </c>
      <c r="X242" s="11">
        <v>16048.887000000001</v>
      </c>
      <c r="Y242" s="11">
        <v>16919.402999999998</v>
      </c>
    </row>
    <row r="243" spans="1:25" x14ac:dyDescent="0.35">
      <c r="A243" s="11">
        <v>1991</v>
      </c>
      <c r="B243" s="11">
        <v>13491.061</v>
      </c>
      <c r="C243" s="11">
        <v>19277.760999999999</v>
      </c>
      <c r="D243" s="11">
        <v>18603.04</v>
      </c>
      <c r="E243" s="11">
        <v>12198.771000000001</v>
      </c>
      <c r="F243" s="11">
        <v>16499.663</v>
      </c>
      <c r="G243" s="11">
        <v>16181.271000000001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>
        <v>12564.093000000001</v>
      </c>
      <c r="U243" s="11">
        <v>17090.046999999999</v>
      </c>
      <c r="V243" s="11">
        <v>16159.589</v>
      </c>
      <c r="W243" s="11">
        <v>11501.468999999999</v>
      </c>
      <c r="X243" s="11">
        <v>15827.013000000001</v>
      </c>
      <c r="Y243" s="11">
        <v>17264.48</v>
      </c>
    </row>
    <row r="244" spans="1:25" x14ac:dyDescent="0.35">
      <c r="A244" s="11">
        <v>1992</v>
      </c>
      <c r="B244" s="11">
        <v>13522.205</v>
      </c>
      <c r="C244" s="11">
        <v>18589.396000000001</v>
      </c>
      <c r="D244" s="11">
        <v>18858.056</v>
      </c>
      <c r="E244" s="11">
        <v>12202.289000000001</v>
      </c>
      <c r="F244" s="11">
        <v>15824.74</v>
      </c>
      <c r="G244" s="11">
        <v>16275.291999999999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>
        <v>12571.454</v>
      </c>
      <c r="U244" s="11">
        <v>16623.475999999999</v>
      </c>
      <c r="V244" s="11">
        <v>16718.545999999998</v>
      </c>
      <c r="W244" s="11">
        <v>11536.107</v>
      </c>
      <c r="X244" s="11">
        <v>15415.936</v>
      </c>
      <c r="Y244" s="11">
        <v>17572.505000000001</v>
      </c>
    </row>
    <row r="245" spans="1:25" x14ac:dyDescent="0.35">
      <c r="A245" s="11">
        <v>1993</v>
      </c>
      <c r="B245" s="11">
        <v>13522.06</v>
      </c>
      <c r="C245" s="11">
        <v>18278.925999999999</v>
      </c>
      <c r="D245" s="11">
        <v>19139.017</v>
      </c>
      <c r="E245" s="11">
        <v>12223.611000000001</v>
      </c>
      <c r="F245" s="11">
        <v>15433.86</v>
      </c>
      <c r="G245" s="11">
        <v>16683.197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>
        <v>13038.341</v>
      </c>
      <c r="U245" s="11">
        <v>16492.651000000002</v>
      </c>
      <c r="V245" s="11">
        <v>17492.781999999999</v>
      </c>
      <c r="W245" s="11">
        <v>11579.905000000001</v>
      </c>
      <c r="X245" s="11">
        <v>15129.56</v>
      </c>
      <c r="Y245" s="11">
        <v>18035.221000000001</v>
      </c>
    </row>
    <row r="246" spans="1:25" x14ac:dyDescent="0.35">
      <c r="A246" s="11">
        <v>1994</v>
      </c>
      <c r="B246" s="11">
        <v>13674.412</v>
      </c>
      <c r="C246" s="11">
        <v>17965.23</v>
      </c>
      <c r="D246" s="11">
        <v>20691.273000000001</v>
      </c>
      <c r="E246" s="11">
        <v>12394.957</v>
      </c>
      <c r="F246" s="11">
        <v>14986.861999999999</v>
      </c>
      <c r="G246" s="11">
        <v>14755.968000000001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>
        <v>13069.005999999999</v>
      </c>
      <c r="U246" s="11">
        <v>16351.016</v>
      </c>
      <c r="V246" s="11">
        <v>17613.059000000001</v>
      </c>
      <c r="W246" s="11">
        <v>11779.352999999999</v>
      </c>
      <c r="X246" s="11">
        <v>14946.58</v>
      </c>
      <c r="Y246" s="11">
        <v>18458.993999999999</v>
      </c>
    </row>
    <row r="247" spans="1:25" x14ac:dyDescent="0.35">
      <c r="A247" s="11">
        <v>1995</v>
      </c>
      <c r="B247" s="11">
        <v>13839.907999999999</v>
      </c>
      <c r="C247" s="11">
        <v>17977.053</v>
      </c>
      <c r="D247" s="11">
        <v>20947.259999999998</v>
      </c>
      <c r="E247" s="11">
        <v>12565.603999999999</v>
      </c>
      <c r="F247" s="11">
        <v>14976.334000000001</v>
      </c>
      <c r="G247" s="11">
        <v>16035.243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>
        <v>13287.949000000001</v>
      </c>
      <c r="U247" s="11">
        <v>16518.199000000001</v>
      </c>
      <c r="V247" s="11">
        <v>18504.829000000002</v>
      </c>
      <c r="W247" s="11">
        <v>11936.018</v>
      </c>
      <c r="X247" s="11">
        <v>15002.054</v>
      </c>
      <c r="Y247" s="11">
        <v>19166.555</v>
      </c>
    </row>
    <row r="248" spans="1:25" x14ac:dyDescent="0.35">
      <c r="A248" s="11">
        <v>1996</v>
      </c>
      <c r="B248" s="11">
        <v>14139.195</v>
      </c>
      <c r="C248" s="11">
        <v>18597.606</v>
      </c>
      <c r="D248" s="11">
        <v>21390.793000000001</v>
      </c>
      <c r="E248" s="11">
        <v>12825.447</v>
      </c>
      <c r="F248" s="11">
        <v>15432.814</v>
      </c>
      <c r="G248" s="11">
        <v>15886.050999999999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>
        <v>13179.138000000001</v>
      </c>
      <c r="U248" s="11">
        <v>16113.56</v>
      </c>
      <c r="V248" s="11">
        <v>18908.149000000001</v>
      </c>
      <c r="W248" s="11">
        <v>12247.002</v>
      </c>
      <c r="X248" s="11">
        <v>15237.611999999999</v>
      </c>
      <c r="Y248" s="11">
        <v>19296.192999999999</v>
      </c>
    </row>
    <row r="249" spans="1:25" x14ac:dyDescent="0.35">
      <c r="A249" s="11">
        <v>1997</v>
      </c>
      <c r="B249" s="11">
        <v>14059.181</v>
      </c>
      <c r="C249" s="11">
        <v>17971.185000000001</v>
      </c>
      <c r="D249" s="11">
        <v>23539.388999999999</v>
      </c>
      <c r="E249" s="11">
        <v>12841.267</v>
      </c>
      <c r="F249" s="11">
        <v>15041.124</v>
      </c>
      <c r="G249" s="11">
        <v>15774.950999999999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>
        <v>13241.811</v>
      </c>
      <c r="U249" s="11">
        <v>15891.883</v>
      </c>
      <c r="V249" s="11">
        <v>18297.173999999999</v>
      </c>
      <c r="W249" s="11">
        <v>12450.306</v>
      </c>
      <c r="X249" s="11">
        <v>15252.83</v>
      </c>
      <c r="Y249" s="11">
        <v>20620.839</v>
      </c>
    </row>
    <row r="250" spans="1:25" x14ac:dyDescent="0.35">
      <c r="A250" s="11">
        <v>1998</v>
      </c>
      <c r="B250" s="11">
        <v>14144.731</v>
      </c>
      <c r="C250" s="11">
        <v>17979.267</v>
      </c>
      <c r="D250" s="11">
        <v>22144.786</v>
      </c>
      <c r="E250" s="11">
        <v>12865.704</v>
      </c>
      <c r="F250" s="11">
        <v>15244.956</v>
      </c>
      <c r="G250" s="11">
        <v>16165.741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>
        <v>13862.611999999999</v>
      </c>
      <c r="U250" s="11">
        <v>15990.967000000001</v>
      </c>
      <c r="V250" s="11">
        <v>19706.054</v>
      </c>
      <c r="W250" s="11">
        <v>12507.052</v>
      </c>
      <c r="X250" s="11">
        <v>15223.754000000001</v>
      </c>
      <c r="Y250" s="11">
        <v>20106.310000000001</v>
      </c>
    </row>
    <row r="251" spans="1:25" x14ac:dyDescent="0.35">
      <c r="A251" s="11">
        <v>1999</v>
      </c>
      <c r="B251" s="11">
        <v>14247.844999999999</v>
      </c>
      <c r="C251" s="11">
        <v>18043.091</v>
      </c>
      <c r="D251" s="11">
        <v>22401.091</v>
      </c>
      <c r="E251" s="11">
        <v>12956.491</v>
      </c>
      <c r="F251" s="11">
        <v>14902.096</v>
      </c>
      <c r="G251" s="11">
        <v>16551.743999999999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>
        <v>13778.123</v>
      </c>
      <c r="U251" s="11">
        <v>16395.072</v>
      </c>
      <c r="V251" s="11">
        <v>19888.217000000001</v>
      </c>
      <c r="W251" s="11">
        <v>12519.106</v>
      </c>
      <c r="X251" s="11">
        <v>15207.758</v>
      </c>
      <c r="Y251" s="11">
        <v>20058.135999999999</v>
      </c>
    </row>
    <row r="252" spans="1:25" x14ac:dyDescent="0.35">
      <c r="A252" s="11">
        <v>2000</v>
      </c>
      <c r="B252" s="11">
        <v>14590.566999999999</v>
      </c>
      <c r="C252" s="11">
        <v>18264.277999999998</v>
      </c>
      <c r="D252" s="11">
        <v>22515.535</v>
      </c>
      <c r="E252" s="11">
        <v>13262.195</v>
      </c>
      <c r="F252" s="11">
        <v>15297.981</v>
      </c>
      <c r="G252" s="11">
        <v>16364.483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>
        <v>14301.141</v>
      </c>
      <c r="U252" s="11">
        <v>17278.166000000001</v>
      </c>
      <c r="V252" s="11">
        <v>21094.417000000001</v>
      </c>
      <c r="W252" s="11">
        <v>12734.759</v>
      </c>
      <c r="X252" s="11">
        <v>15483.083000000001</v>
      </c>
      <c r="Y252" s="11">
        <v>20400.023000000001</v>
      </c>
    </row>
    <row r="253" spans="1:25" x14ac:dyDescent="0.35">
      <c r="A253" s="11">
        <v>2001</v>
      </c>
      <c r="B253" s="11">
        <v>14331.77</v>
      </c>
      <c r="C253" s="11">
        <v>18038.995999999999</v>
      </c>
      <c r="D253" s="11">
        <v>22204.716</v>
      </c>
      <c r="E253" s="11">
        <v>13092.569</v>
      </c>
      <c r="F253" s="11">
        <v>15079.125</v>
      </c>
      <c r="G253" s="11">
        <v>16773.487000000001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>
        <v>14158.627</v>
      </c>
      <c r="U253" s="11">
        <v>16597.361000000001</v>
      </c>
      <c r="V253" s="11">
        <v>21366.234</v>
      </c>
      <c r="W253" s="11">
        <v>12802.608</v>
      </c>
      <c r="X253" s="11">
        <v>15370.415000000001</v>
      </c>
      <c r="Y253" s="11">
        <v>19017.438999999998</v>
      </c>
    </row>
    <row r="254" spans="1:25" x14ac:dyDescent="0.35">
      <c r="A254" s="11">
        <v>2002</v>
      </c>
      <c r="B254" s="11">
        <v>14364.741</v>
      </c>
      <c r="C254" s="11">
        <v>17996.098000000002</v>
      </c>
      <c r="D254" s="11">
        <v>23410.516</v>
      </c>
      <c r="E254" s="11">
        <v>13251.282999999999</v>
      </c>
      <c r="F254" s="11">
        <v>15254.338</v>
      </c>
      <c r="G254" s="11">
        <v>17851.576000000001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>
        <v>14403.73</v>
      </c>
      <c r="U254" s="11">
        <v>16613.227999999999</v>
      </c>
      <c r="V254" s="11">
        <v>22154.202000000001</v>
      </c>
      <c r="W254" s="11">
        <v>12674.263000000001</v>
      </c>
      <c r="X254" s="11">
        <v>15232.589</v>
      </c>
      <c r="Y254" s="11">
        <v>20095.606</v>
      </c>
    </row>
    <row r="255" spans="1:25" x14ac:dyDescent="0.35">
      <c r="A255" s="11">
        <v>2003</v>
      </c>
      <c r="B255" s="11">
        <v>14667.239</v>
      </c>
      <c r="C255" s="11">
        <v>18473.633000000002</v>
      </c>
      <c r="D255" s="11">
        <v>25715.633999999998</v>
      </c>
      <c r="E255" s="11">
        <v>13364.656000000001</v>
      </c>
      <c r="F255" s="11">
        <v>15583.972</v>
      </c>
      <c r="G255" s="11">
        <v>20248.030999999999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>
        <v>13603.048000000001</v>
      </c>
      <c r="U255" s="11">
        <v>16127.448</v>
      </c>
      <c r="V255" s="11">
        <v>22456.333999999999</v>
      </c>
      <c r="W255" s="11">
        <v>12765.411</v>
      </c>
      <c r="X255" s="11">
        <v>15466.467000000001</v>
      </c>
      <c r="Y255" s="11">
        <v>20848.73</v>
      </c>
    </row>
    <row r="256" spans="1:25" x14ac:dyDescent="0.35">
      <c r="A256" s="11">
        <v>2004</v>
      </c>
      <c r="B256" s="11">
        <v>14741.705</v>
      </c>
      <c r="C256" s="11">
        <v>18532.89</v>
      </c>
      <c r="D256" s="11">
        <v>25870.444</v>
      </c>
      <c r="E256" s="11">
        <v>13493.121999999999</v>
      </c>
      <c r="F256" s="11">
        <v>15335.022999999999</v>
      </c>
      <c r="G256" s="11">
        <v>22014.905999999999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>
        <v>14082.290999999999</v>
      </c>
      <c r="U256" s="11">
        <v>16461.981</v>
      </c>
      <c r="V256" s="11">
        <v>25065.057000000001</v>
      </c>
      <c r="W256" s="11">
        <v>12868.825999999999</v>
      </c>
      <c r="X256" s="11">
        <v>15544.415000000001</v>
      </c>
      <c r="Y256" s="11">
        <v>22519.958999999999</v>
      </c>
    </row>
    <row r="257" spans="1:25" x14ac:dyDescent="0.35">
      <c r="A257" s="11">
        <v>2005</v>
      </c>
      <c r="B257" s="11">
        <v>14715.933999999999</v>
      </c>
      <c r="C257" s="11">
        <v>18584.277999999998</v>
      </c>
      <c r="D257" s="11">
        <v>26404.707999999999</v>
      </c>
      <c r="E257" s="11">
        <v>13476.358</v>
      </c>
      <c r="F257" s="11">
        <v>15415.919</v>
      </c>
      <c r="G257" s="11">
        <v>22204.800999999999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>
        <v>13649.374</v>
      </c>
      <c r="U257" s="11">
        <v>16005.239</v>
      </c>
      <c r="V257" s="11">
        <v>25890.391</v>
      </c>
      <c r="W257" s="11">
        <v>12841.883</v>
      </c>
      <c r="X257" s="11">
        <v>15547.608</v>
      </c>
      <c r="Y257" s="11">
        <v>23415.681</v>
      </c>
    </row>
    <row r="258" spans="1:25" x14ac:dyDescent="0.35">
      <c r="A258" s="11">
        <v>2006</v>
      </c>
      <c r="B258" s="11">
        <v>14292</v>
      </c>
      <c r="C258" s="11">
        <v>18282.004000000001</v>
      </c>
      <c r="D258" s="11">
        <v>27917.294999999998</v>
      </c>
      <c r="E258" s="11">
        <v>13339.402</v>
      </c>
      <c r="F258" s="11">
        <v>15367.998</v>
      </c>
      <c r="G258" s="11">
        <v>22797.88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>
        <v>13963.647999999999</v>
      </c>
      <c r="U258" s="11">
        <v>16423.181</v>
      </c>
      <c r="V258" s="11">
        <v>26669.582999999999</v>
      </c>
      <c r="W258" s="11">
        <v>12749.666999999999</v>
      </c>
      <c r="X258" s="11">
        <v>15539.348</v>
      </c>
      <c r="Y258" s="11">
        <v>24847.48</v>
      </c>
    </row>
    <row r="259" spans="1:25" x14ac:dyDescent="0.35">
      <c r="A259" s="11">
        <v>2007</v>
      </c>
      <c r="B259" s="11">
        <v>14435.58</v>
      </c>
      <c r="C259" s="11">
        <v>18569.150000000001</v>
      </c>
      <c r="D259" s="11">
        <v>28146.095000000001</v>
      </c>
      <c r="E259" s="11">
        <v>13476.138000000001</v>
      </c>
      <c r="F259" s="11">
        <v>15499.503000000001</v>
      </c>
      <c r="G259" s="11">
        <v>22937.248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>
        <v>14056.117</v>
      </c>
      <c r="U259" s="11">
        <v>16562.108</v>
      </c>
      <c r="V259" s="11">
        <v>26930.560000000001</v>
      </c>
      <c r="W259" s="11">
        <v>12863.198</v>
      </c>
      <c r="X259" s="11">
        <v>15706.353999999999</v>
      </c>
      <c r="Y259" s="11">
        <v>25397.887999999999</v>
      </c>
    </row>
    <row r="260" spans="1:25" x14ac:dyDescent="0.35">
      <c r="A260" s="11">
        <v>2008</v>
      </c>
      <c r="B260" s="11">
        <v>14223.795</v>
      </c>
      <c r="C260" s="11">
        <v>18297.382000000001</v>
      </c>
      <c r="D260" s="11">
        <v>29348.887999999999</v>
      </c>
      <c r="E260" s="11">
        <v>13027.143</v>
      </c>
      <c r="F260" s="11">
        <v>15141.92</v>
      </c>
      <c r="G260" s="11">
        <v>23721.710999999999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>
        <v>12880.913</v>
      </c>
      <c r="U260" s="11">
        <v>15433.549000000001</v>
      </c>
      <c r="V260" s="11">
        <v>27266.767</v>
      </c>
      <c r="W260" s="11">
        <v>12469.398999999999</v>
      </c>
      <c r="X260" s="11">
        <v>15270.093000000001</v>
      </c>
      <c r="Y260" s="11">
        <v>26086.786</v>
      </c>
    </row>
    <row r="261" spans="1:25" x14ac:dyDescent="0.35">
      <c r="A261" s="11">
        <v>2009</v>
      </c>
      <c r="B261" s="11">
        <v>13170.375</v>
      </c>
      <c r="C261" s="11">
        <v>17220.52</v>
      </c>
      <c r="D261" s="11">
        <v>30440.955999999998</v>
      </c>
      <c r="E261" s="11">
        <v>12185.001</v>
      </c>
      <c r="F261" s="11">
        <v>13962.259</v>
      </c>
      <c r="G261" s="11">
        <v>23758.166000000001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>
        <v>11873.431</v>
      </c>
      <c r="U261" s="11">
        <v>13962.427</v>
      </c>
      <c r="V261" s="11">
        <v>28117.924999999999</v>
      </c>
      <c r="W261" s="11">
        <v>11712.117</v>
      </c>
      <c r="X261" s="11">
        <v>14250.046</v>
      </c>
      <c r="Y261" s="11">
        <v>27110.523000000001</v>
      </c>
    </row>
    <row r="262" spans="1:25" x14ac:dyDescent="0.35">
      <c r="A262" s="11">
        <v>2010</v>
      </c>
      <c r="B262" s="11">
        <v>13746.319</v>
      </c>
      <c r="C262" s="11">
        <v>18065.312000000002</v>
      </c>
      <c r="D262" s="11">
        <v>31517.054</v>
      </c>
      <c r="E262" s="11">
        <v>12524.359</v>
      </c>
      <c r="F262" s="11">
        <v>14443.476000000001</v>
      </c>
      <c r="G262" s="11">
        <v>24617.62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>
        <v>12333.046</v>
      </c>
      <c r="U262" s="11">
        <v>14577.466</v>
      </c>
      <c r="V262" s="11">
        <v>29973.202000000001</v>
      </c>
      <c r="W262" s="11">
        <v>12114.575999999999</v>
      </c>
      <c r="X262" s="11">
        <v>14785.4</v>
      </c>
      <c r="Y262" s="11">
        <v>28275.577000000001</v>
      </c>
    </row>
    <row r="263" spans="1:25" x14ac:dyDescent="0.35">
      <c r="A263" s="11">
        <v>2011</v>
      </c>
      <c r="B263" s="11">
        <v>13376.062</v>
      </c>
      <c r="C263" s="11">
        <v>17565.224999999999</v>
      </c>
      <c r="D263" s="11">
        <v>33348.186000000002</v>
      </c>
      <c r="E263" s="11">
        <v>12180.875</v>
      </c>
      <c r="F263" s="11">
        <v>14580.798000000001</v>
      </c>
      <c r="G263" s="11">
        <v>26777.878000000001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>
        <v>13372.288</v>
      </c>
      <c r="U263" s="11">
        <v>15870.251</v>
      </c>
      <c r="V263" s="11">
        <v>31629.795999999998</v>
      </c>
      <c r="W263" s="11">
        <v>11744.94</v>
      </c>
      <c r="X263" s="11">
        <v>14828.683999999999</v>
      </c>
      <c r="Y263" s="11">
        <v>28970.724999999999</v>
      </c>
    </row>
    <row r="264" spans="1:25" x14ac:dyDescent="0.35">
      <c r="A264" s="11">
        <v>2012</v>
      </c>
      <c r="B264" s="11">
        <v>13174.028</v>
      </c>
      <c r="C264" s="11">
        <v>17632.703000000001</v>
      </c>
      <c r="D264" s="11">
        <v>34132.99</v>
      </c>
      <c r="E264" s="11">
        <v>11929.063</v>
      </c>
      <c r="F264" s="11">
        <v>14736.448</v>
      </c>
      <c r="G264" s="11">
        <v>27569.804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>
        <v>13017.941000000001</v>
      </c>
      <c r="U264" s="11">
        <v>15508.589</v>
      </c>
      <c r="V264" s="11">
        <v>33111.220999999998</v>
      </c>
      <c r="W264" s="11">
        <v>11565.164000000001</v>
      </c>
      <c r="X264" s="11">
        <v>14611.395</v>
      </c>
      <c r="Y264" s="11">
        <v>29763.505000000001</v>
      </c>
    </row>
    <row r="265" spans="1:25" x14ac:dyDescent="0.35">
      <c r="A265" s="11">
        <v>2013</v>
      </c>
      <c r="B265" s="11">
        <v>13125.269</v>
      </c>
      <c r="C265" s="11">
        <v>17384.099999999999</v>
      </c>
      <c r="D265" s="11">
        <v>34283.438999999998</v>
      </c>
      <c r="E265" s="11">
        <v>12110.896000000001</v>
      </c>
      <c r="F265" s="11">
        <v>14331.868</v>
      </c>
      <c r="G265" s="11">
        <v>27878.397000000001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>
        <v>12199.745000000001</v>
      </c>
      <c r="U265" s="11">
        <v>14593.489</v>
      </c>
      <c r="V265" s="11">
        <v>34489.622000000003</v>
      </c>
      <c r="W265" s="11">
        <v>11595.449000000001</v>
      </c>
      <c r="X265" s="11">
        <v>14548.94</v>
      </c>
      <c r="Y265" s="11">
        <v>30508.269</v>
      </c>
    </row>
    <row r="266" spans="1:25" x14ac:dyDescent="0.35">
      <c r="A266" s="11">
        <v>2014</v>
      </c>
      <c r="B266" s="11">
        <v>13018.089</v>
      </c>
      <c r="C266" s="11">
        <v>17124.001</v>
      </c>
      <c r="D266" s="11">
        <v>34939.535000000003</v>
      </c>
      <c r="E266" s="11">
        <v>11887.377</v>
      </c>
      <c r="F266" s="11">
        <v>14240.411</v>
      </c>
      <c r="G266" s="11">
        <v>28455.205000000002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>
        <v>12234.455</v>
      </c>
      <c r="U266" s="11">
        <v>14645.405000000001</v>
      </c>
      <c r="V266" s="11">
        <v>35522.51</v>
      </c>
      <c r="W266" s="11">
        <v>11461.357</v>
      </c>
      <c r="X266" s="11">
        <v>14355.843999999999</v>
      </c>
      <c r="Y266" s="11">
        <v>31300.527999999998</v>
      </c>
    </row>
    <row r="267" spans="1:25" x14ac:dyDescent="0.35">
      <c r="A267" s="11">
        <v>2015</v>
      </c>
      <c r="B267" s="11">
        <v>12782.51</v>
      </c>
      <c r="C267" s="11">
        <v>17155.285</v>
      </c>
      <c r="D267" s="11">
        <v>34939.697</v>
      </c>
      <c r="E267" s="11">
        <v>11805.423000000001</v>
      </c>
      <c r="F267" s="11">
        <v>14175.657999999999</v>
      </c>
      <c r="G267" s="11">
        <v>29732.957999999999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>
        <v>12127.333000000001</v>
      </c>
      <c r="U267" s="11">
        <v>14397.364</v>
      </c>
      <c r="V267" s="11">
        <v>35964.750999999997</v>
      </c>
      <c r="W267" s="11">
        <v>11343.384</v>
      </c>
      <c r="X267" s="11">
        <v>14147.197</v>
      </c>
      <c r="Y267" s="11">
        <v>31322.898000000001</v>
      </c>
    </row>
    <row r="268" spans="1:25" x14ac:dyDescent="0.35">
      <c r="A268" s="11">
        <v>2016</v>
      </c>
      <c r="B268" s="11">
        <v>12637.306</v>
      </c>
      <c r="C268" s="11">
        <v>17051.407999999999</v>
      </c>
      <c r="D268" s="11">
        <v>33937.006000000001</v>
      </c>
      <c r="E268" s="11">
        <v>11467.754999999999</v>
      </c>
      <c r="F268" s="11">
        <v>14015.956</v>
      </c>
      <c r="G268" s="11">
        <v>29439.946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>
        <v>11546.769</v>
      </c>
      <c r="U268" s="11">
        <v>13895.200999999999</v>
      </c>
      <c r="V268" s="11">
        <v>35829.447999999997</v>
      </c>
      <c r="W268" s="11">
        <v>11611.445</v>
      </c>
      <c r="X268" s="11">
        <v>14618.412</v>
      </c>
      <c r="Y268" s="11">
        <v>30761.205000000002</v>
      </c>
    </row>
    <row r="269" spans="1:25" x14ac:dyDescent="0.35">
      <c r="A269" s="11">
        <v>2017</v>
      </c>
      <c r="B269" s="11">
        <v>12702.748</v>
      </c>
      <c r="C269" s="11">
        <v>17168.690999999999</v>
      </c>
      <c r="D269" s="11">
        <v>34511.152999999998</v>
      </c>
      <c r="E269" s="11">
        <v>11487.383</v>
      </c>
      <c r="F269" s="11">
        <v>13986.623</v>
      </c>
      <c r="G269" s="11">
        <v>29973.044999999998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>
        <v>12059.088</v>
      </c>
      <c r="U269" s="11">
        <v>14427.977000000001</v>
      </c>
      <c r="V269" s="11">
        <v>35335.377999999997</v>
      </c>
      <c r="W269" s="11">
        <v>11598.797</v>
      </c>
      <c r="X269" s="11">
        <v>14681.611999999999</v>
      </c>
      <c r="Y269" s="11">
        <v>31372.183000000001</v>
      </c>
    </row>
    <row r="270" spans="1:25" x14ac:dyDescent="0.35">
      <c r="A270" s="11">
        <v>2018</v>
      </c>
      <c r="B270" s="11">
        <v>12716.782999999999</v>
      </c>
      <c r="C270" s="11">
        <v>17152.135999999999</v>
      </c>
      <c r="D270" s="11">
        <v>34964.718999999997</v>
      </c>
      <c r="E270" s="11">
        <v>11611.688</v>
      </c>
      <c r="F270" s="11">
        <v>14319.224</v>
      </c>
      <c r="G270" s="11">
        <v>30178.387999999999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>
        <v>12140.973</v>
      </c>
      <c r="U270" s="11">
        <v>14833.147000000001</v>
      </c>
      <c r="V270" s="11">
        <v>35658.053</v>
      </c>
      <c r="W270" s="11">
        <v>11721.128000000001</v>
      </c>
      <c r="X270" s="11">
        <v>14908.968999999999</v>
      </c>
      <c r="Y270" s="11">
        <v>32199.904999999999</v>
      </c>
    </row>
    <row r="271" spans="1:25" x14ac:dyDescent="0.35">
      <c r="A271" s="11">
        <v>2019</v>
      </c>
      <c r="B271" s="11">
        <v>12386.691999999999</v>
      </c>
      <c r="C271" s="11">
        <v>16741.491000000002</v>
      </c>
      <c r="D271" s="11">
        <v>35809.362999999998</v>
      </c>
      <c r="E271" s="11">
        <v>11306.42</v>
      </c>
      <c r="F271" s="11">
        <v>14085.705</v>
      </c>
      <c r="G271" s="11">
        <v>31086.960999999999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>
        <v>11694.588</v>
      </c>
      <c r="U271" s="11">
        <v>14371.582</v>
      </c>
      <c r="V271" s="11">
        <v>36926.555999999997</v>
      </c>
      <c r="W271" s="11">
        <v>11415.187</v>
      </c>
      <c r="X271" s="11">
        <v>14543.843999999999</v>
      </c>
      <c r="Y271" s="11">
        <v>32982.411</v>
      </c>
    </row>
    <row r="272" spans="1:25" x14ac:dyDescent="0.35">
      <c r="A272" s="11">
        <v>2020</v>
      </c>
      <c r="B272" s="11">
        <v>11344.105</v>
      </c>
      <c r="C272" s="11">
        <v>15516.697</v>
      </c>
      <c r="D272" s="11">
        <v>35065.239000000001</v>
      </c>
      <c r="E272" s="11">
        <v>10245.014999999999</v>
      </c>
      <c r="F272" s="11">
        <v>12704.348</v>
      </c>
      <c r="G272" s="11">
        <v>30136.681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>
        <v>10295.429</v>
      </c>
      <c r="U272" s="11">
        <v>12736.991</v>
      </c>
      <c r="V272" s="11">
        <v>35969.453999999998</v>
      </c>
      <c r="W272" s="11">
        <v>10415.585999999999</v>
      </c>
      <c r="X272" s="11">
        <v>13416.18</v>
      </c>
      <c r="Y272" s="11">
        <v>32261.382000000001</v>
      </c>
    </row>
    <row r="273" spans="1:25" x14ac:dyDescent="0.35">
      <c r="A273" s="11">
        <v>2021</v>
      </c>
      <c r="B273" s="11">
        <v>11925.713</v>
      </c>
      <c r="C273" s="11">
        <v>16310.691999999999</v>
      </c>
      <c r="D273" s="11">
        <v>36309.713000000003</v>
      </c>
      <c r="E273" s="11">
        <v>10688.112999999999</v>
      </c>
      <c r="F273" s="11">
        <v>13663.715</v>
      </c>
      <c r="G273" s="11">
        <v>32096.237000000001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>
        <v>10907.333000000001</v>
      </c>
      <c r="U273" s="11">
        <v>13681.553</v>
      </c>
      <c r="V273" s="11">
        <v>36918.720000000001</v>
      </c>
      <c r="W273" s="11">
        <v>11286.832</v>
      </c>
      <c r="X273" s="11">
        <v>14220.088</v>
      </c>
      <c r="Y273" s="11">
        <v>33745.216999999997</v>
      </c>
    </row>
    <row r="274" spans="1:25" x14ac:dyDescent="0.35">
      <c r="A274" s="11">
        <v>2022</v>
      </c>
      <c r="B274" s="11">
        <v>11837.419</v>
      </c>
      <c r="C274" s="11">
        <v>16193.2</v>
      </c>
      <c r="D274" s="11">
        <v>37302.514000000003</v>
      </c>
      <c r="E274" s="11">
        <v>10714.416999999999</v>
      </c>
      <c r="F274" s="11">
        <v>13085.791999999999</v>
      </c>
      <c r="G274" s="11">
        <v>33963.822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>
        <v>10878.264999999999</v>
      </c>
      <c r="U274" s="11">
        <v>13331.507</v>
      </c>
      <c r="V274" s="11">
        <v>37745.442000000003</v>
      </c>
      <c r="W274" s="11">
        <v>11273.584000000001</v>
      </c>
      <c r="X274" s="11">
        <v>14067.263999999999</v>
      </c>
      <c r="Y274" s="11">
        <v>34195.705999999998</v>
      </c>
    </row>
    <row r="275" spans="1:25" x14ac:dyDescent="0.35">
      <c r="A275" s="11">
        <v>2023</v>
      </c>
      <c r="B275" s="11">
        <v>11483.51</v>
      </c>
      <c r="C275" s="11">
        <v>15874.977000000001</v>
      </c>
      <c r="D275" s="11">
        <v>38197.728000000003</v>
      </c>
      <c r="E275" s="11">
        <v>10210.924000000001</v>
      </c>
      <c r="F275" s="11">
        <v>12545.828</v>
      </c>
      <c r="G275" s="11">
        <v>34525.696000000004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>
        <v>11890.499</v>
      </c>
      <c r="U275" s="11">
        <v>14360.017</v>
      </c>
      <c r="V275" s="11">
        <v>39108.699999999997</v>
      </c>
      <c r="W275" s="11">
        <v>10938.941999999999</v>
      </c>
      <c r="X275" s="11">
        <v>13714.424999999999</v>
      </c>
      <c r="Y275" s="11">
        <v>35484.976999999999</v>
      </c>
    </row>
    <row r="276" spans="1:25" x14ac:dyDescent="0.35">
      <c r="A276" s="11">
        <v>2024</v>
      </c>
      <c r="B276" s="11">
        <v>11369.645</v>
      </c>
      <c r="C276" s="11">
        <v>15810.797</v>
      </c>
      <c r="D276" s="11">
        <v>38602.845000000001</v>
      </c>
      <c r="E276" s="11">
        <v>8641.1509999999998</v>
      </c>
      <c r="F276" s="11">
        <v>11449.105</v>
      </c>
      <c r="G276" s="11">
        <v>24074.701000000001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>
        <v>10627.385</v>
      </c>
      <c r="U276" s="11">
        <v>13166.136</v>
      </c>
      <c r="V276" s="11">
        <v>39545.381000000001</v>
      </c>
      <c r="W276" s="11"/>
      <c r="X276" s="11"/>
      <c r="Y276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753A-B524-41B6-9DF1-D38CF326C2EA}">
  <dimension ref="A1:M175"/>
  <sheetViews>
    <sheetView tabSelected="1" workbookViewId="0"/>
  </sheetViews>
  <sheetFormatPr defaultRowHeight="14.5" x14ac:dyDescent="0.35"/>
  <cols>
    <col min="1" max="1" width="4.81640625" bestFit="1" customWidth="1"/>
    <col min="2" max="3" width="18.08984375" bestFit="1" customWidth="1"/>
    <col min="4" max="4" width="16.54296875" bestFit="1" customWidth="1"/>
    <col min="5" max="6" width="17.81640625" bestFit="1" customWidth="1"/>
    <col min="7" max="7" width="16.26953125" bestFit="1" customWidth="1"/>
    <col min="8" max="9" width="18" bestFit="1" customWidth="1"/>
    <col min="10" max="10" width="16.453125" bestFit="1" customWidth="1"/>
    <col min="11" max="12" width="17.7265625" bestFit="1" customWidth="1"/>
    <col min="13" max="13" width="16.1796875" bestFit="1" customWidth="1"/>
  </cols>
  <sheetData>
    <row r="1" spans="1:13" x14ac:dyDescent="0.35">
      <c r="A1" s="12" t="s">
        <v>8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40</v>
      </c>
      <c r="J1" s="12" t="s">
        <v>41</v>
      </c>
      <c r="K1" s="12" t="s">
        <v>42</v>
      </c>
      <c r="L1" s="12" t="s">
        <v>43</v>
      </c>
      <c r="M1" s="12" t="s">
        <v>44</v>
      </c>
    </row>
    <row r="2" spans="1:13" x14ac:dyDescent="0.35">
      <c r="A2" s="11">
        <v>1851</v>
      </c>
      <c r="B2" s="11">
        <v>8.7999999999999998E-5</v>
      </c>
      <c r="C2" s="11">
        <v>8.8999999999999995E-5</v>
      </c>
      <c r="D2" s="11">
        <v>9.0000000000000006E-5</v>
      </c>
      <c r="E2" s="11">
        <v>5.3499999999999999E-4</v>
      </c>
      <c r="F2" s="11">
        <v>7.9500000000000003E-4</v>
      </c>
      <c r="G2" s="11">
        <v>1.359E-3</v>
      </c>
      <c r="H2" s="11">
        <v>1.9900000000000001E-4</v>
      </c>
      <c r="I2" s="11">
        <v>2.34E-4</v>
      </c>
      <c r="J2" s="11">
        <v>2.9E-4</v>
      </c>
      <c r="K2" s="11">
        <v>7.4200000000000004E-4</v>
      </c>
      <c r="L2" s="11">
        <v>1.09E-3</v>
      </c>
      <c r="M2" s="11">
        <v>1.874E-3</v>
      </c>
    </row>
    <row r="3" spans="1:13" x14ac:dyDescent="0.35">
      <c r="A3" s="11">
        <v>1852</v>
      </c>
      <c r="B3" s="11">
        <v>1.7899999999999999E-4</v>
      </c>
      <c r="C3" s="11">
        <v>1.83E-4</v>
      </c>
      <c r="D3" s="11">
        <v>1.83E-4</v>
      </c>
      <c r="E3" s="11">
        <v>1.0820000000000001E-3</v>
      </c>
      <c r="F3" s="11">
        <v>1.619E-3</v>
      </c>
      <c r="G3" s="11">
        <v>2.7659999999999998E-3</v>
      </c>
      <c r="H3" s="11">
        <v>4.0299999999999998E-4</v>
      </c>
      <c r="I3" s="11">
        <v>4.73E-4</v>
      </c>
      <c r="J3" s="11">
        <v>5.8399999999999999E-4</v>
      </c>
      <c r="K3" s="11">
        <v>1.498E-3</v>
      </c>
      <c r="L3" s="11">
        <v>2.2109999999999999E-3</v>
      </c>
      <c r="M3" s="11">
        <v>3.7950000000000002E-3</v>
      </c>
    </row>
    <row r="4" spans="1:13" x14ac:dyDescent="0.35">
      <c r="A4" s="11">
        <v>1853</v>
      </c>
      <c r="B4" s="11">
        <v>2.7500000000000002E-4</v>
      </c>
      <c r="C4" s="11">
        <v>2.81E-4</v>
      </c>
      <c r="D4" s="11">
        <v>2.81E-4</v>
      </c>
      <c r="E4" s="11">
        <v>1.65E-3</v>
      </c>
      <c r="F4" s="11">
        <v>2.4520000000000002E-3</v>
      </c>
      <c r="G4" s="11">
        <v>4.1859999999999996E-3</v>
      </c>
      <c r="H4" s="11">
        <v>6.1300000000000005E-4</v>
      </c>
      <c r="I4" s="11">
        <v>7.2000000000000005E-4</v>
      </c>
      <c r="J4" s="11">
        <v>8.8400000000000002E-4</v>
      </c>
      <c r="K4" s="11">
        <v>2.2780000000000001E-3</v>
      </c>
      <c r="L4" s="11">
        <v>3.3449999999999999E-3</v>
      </c>
      <c r="M4" s="11">
        <v>5.7299999999999999E-3</v>
      </c>
    </row>
    <row r="5" spans="1:13" x14ac:dyDescent="0.35">
      <c r="A5" s="11">
        <v>1854</v>
      </c>
      <c r="B5" s="11">
        <v>3.8699999999999997E-4</v>
      </c>
      <c r="C5" s="11">
        <v>3.9500000000000001E-4</v>
      </c>
      <c r="D5" s="11">
        <v>3.9599999999999998E-4</v>
      </c>
      <c r="E5" s="11">
        <v>2.2460000000000002E-3</v>
      </c>
      <c r="F5" s="11">
        <v>3.323E-3</v>
      </c>
      <c r="G5" s="11">
        <v>5.64E-3</v>
      </c>
      <c r="H5" s="11">
        <v>8.5300000000000003E-4</v>
      </c>
      <c r="I5" s="11">
        <v>9.9599999999999992E-4</v>
      </c>
      <c r="J5" s="11">
        <v>1.212E-3</v>
      </c>
      <c r="K5" s="11">
        <v>3.0990000000000002E-3</v>
      </c>
      <c r="L5" s="11">
        <v>4.5329999999999997E-3</v>
      </c>
      <c r="M5" s="11">
        <v>7.7120000000000001E-3</v>
      </c>
    </row>
    <row r="6" spans="1:13" x14ac:dyDescent="0.35">
      <c r="A6" s="11">
        <v>1855</v>
      </c>
      <c r="B6" s="11">
        <v>5.0199999999999995E-4</v>
      </c>
      <c r="C6" s="11">
        <v>5.13E-4</v>
      </c>
      <c r="D6" s="11">
        <v>5.13E-4</v>
      </c>
      <c r="E6" s="11">
        <v>2.8479999999999998E-3</v>
      </c>
      <c r="F6" s="11">
        <v>4.2040000000000003E-3</v>
      </c>
      <c r="G6" s="11">
        <v>7.1199999999999996E-3</v>
      </c>
      <c r="H6" s="11">
        <v>1.096E-3</v>
      </c>
      <c r="I6" s="11">
        <v>1.276E-3</v>
      </c>
      <c r="J6" s="11">
        <v>1.5430000000000001E-3</v>
      </c>
      <c r="K6" s="11">
        <v>3.9290000000000002E-3</v>
      </c>
      <c r="L6" s="11">
        <v>5.731E-3</v>
      </c>
      <c r="M6" s="11">
        <v>9.7179999999999992E-3</v>
      </c>
    </row>
    <row r="7" spans="1:13" x14ac:dyDescent="0.35">
      <c r="A7" s="11">
        <v>1856</v>
      </c>
      <c r="B7" s="11">
        <v>6.2299999999999996E-4</v>
      </c>
      <c r="C7" s="11">
        <v>6.3699999999999998E-4</v>
      </c>
      <c r="D7" s="11">
        <v>6.38E-4</v>
      </c>
      <c r="E7" s="11">
        <v>3.4619999999999998E-3</v>
      </c>
      <c r="F7" s="11">
        <v>5.0980000000000001E-3</v>
      </c>
      <c r="G7" s="11">
        <v>8.6160000000000004E-3</v>
      </c>
      <c r="H7" s="11">
        <v>1.346E-3</v>
      </c>
      <c r="I7" s="11">
        <v>1.5640000000000001E-3</v>
      </c>
      <c r="J7" s="11">
        <v>1.8810000000000001E-3</v>
      </c>
      <c r="K7" s="11">
        <v>4.7710000000000001E-3</v>
      </c>
      <c r="L7" s="11">
        <v>6.9459999999999999E-3</v>
      </c>
      <c r="M7" s="11">
        <v>1.1738999999999999E-2</v>
      </c>
    </row>
    <row r="8" spans="1:13" x14ac:dyDescent="0.35">
      <c r="A8" s="11">
        <v>1857</v>
      </c>
      <c r="B8" s="11">
        <v>7.4600000000000003E-4</v>
      </c>
      <c r="C8" s="11">
        <v>7.6400000000000003E-4</v>
      </c>
      <c r="D8" s="11">
        <v>7.6499999999999995E-4</v>
      </c>
      <c r="E8" s="11">
        <v>4.0860000000000002E-3</v>
      </c>
      <c r="F8" s="11">
        <v>6.0070000000000002E-3</v>
      </c>
      <c r="G8" s="11">
        <v>1.0134000000000001E-2</v>
      </c>
      <c r="H8" s="11">
        <v>1.598E-3</v>
      </c>
      <c r="I8" s="11">
        <v>1.854E-3</v>
      </c>
      <c r="J8" s="11">
        <v>2.2190000000000001E-3</v>
      </c>
      <c r="K8" s="11">
        <v>5.6230000000000004E-3</v>
      </c>
      <c r="L8" s="11">
        <v>8.1770000000000002E-3</v>
      </c>
      <c r="M8" s="11">
        <v>1.3782000000000001E-2</v>
      </c>
    </row>
    <row r="9" spans="1:13" x14ac:dyDescent="0.35">
      <c r="A9" s="11">
        <v>1858</v>
      </c>
      <c r="B9" s="11">
        <v>8.7000000000000001E-4</v>
      </c>
      <c r="C9" s="11">
        <v>8.9099999999999997E-4</v>
      </c>
      <c r="D9" s="11">
        <v>8.9300000000000002E-4</v>
      </c>
      <c r="E9" s="11">
        <v>4.7219999999999996E-3</v>
      </c>
      <c r="F9" s="11">
        <v>6.9290000000000003E-3</v>
      </c>
      <c r="G9" s="11">
        <v>1.1664000000000001E-2</v>
      </c>
      <c r="H9" s="11">
        <v>1.848E-3</v>
      </c>
      <c r="I9" s="11">
        <v>2.1440000000000001E-3</v>
      </c>
      <c r="J9" s="11">
        <v>2.5579999999999999E-3</v>
      </c>
      <c r="K9" s="11">
        <v>6.4869999999999997E-3</v>
      </c>
      <c r="L9" s="11">
        <v>9.4210000000000006E-3</v>
      </c>
      <c r="M9" s="11">
        <v>1.5833E-2</v>
      </c>
    </row>
    <row r="10" spans="1:13" x14ac:dyDescent="0.35">
      <c r="A10" s="11">
        <v>1859</v>
      </c>
      <c r="B10" s="11">
        <v>1.0020000000000001E-3</v>
      </c>
      <c r="C10" s="11">
        <v>1.0269999999999999E-3</v>
      </c>
      <c r="D10" s="11">
        <v>1.0300000000000001E-3</v>
      </c>
      <c r="E10" s="11">
        <v>5.378E-3</v>
      </c>
      <c r="F10" s="11">
        <v>7.8740000000000008E-3</v>
      </c>
      <c r="G10" s="11">
        <v>1.3221E-2</v>
      </c>
      <c r="H10" s="11">
        <v>2.1129999999999999E-3</v>
      </c>
      <c r="I10" s="11">
        <v>2.4480000000000001E-3</v>
      </c>
      <c r="J10" s="11">
        <v>2.908E-3</v>
      </c>
      <c r="K10" s="11">
        <v>7.3769999999999999E-3</v>
      </c>
      <c r="L10" s="11">
        <v>1.0694E-2</v>
      </c>
      <c r="M10" s="11">
        <v>1.7915E-2</v>
      </c>
    </row>
    <row r="11" spans="1:13" x14ac:dyDescent="0.35">
      <c r="A11" s="11">
        <v>1860</v>
      </c>
      <c r="B11" s="11">
        <v>1.1460000000000001E-3</v>
      </c>
      <c r="C11" s="11">
        <v>1.175E-3</v>
      </c>
      <c r="D11" s="11">
        <v>1.1789999999999999E-3</v>
      </c>
      <c r="E11" s="11">
        <v>6.0200000000000002E-3</v>
      </c>
      <c r="F11" s="11">
        <v>8.7899999999999992E-3</v>
      </c>
      <c r="G11" s="11">
        <v>1.4674E-2</v>
      </c>
      <c r="H11" s="11">
        <v>2.398E-3</v>
      </c>
      <c r="I11" s="11">
        <v>2.7729999999999999E-3</v>
      </c>
      <c r="J11" s="11">
        <v>3.2799999999999999E-3</v>
      </c>
      <c r="K11" s="11">
        <v>8.2620000000000002E-3</v>
      </c>
      <c r="L11" s="11">
        <v>1.1948E-2</v>
      </c>
      <c r="M11" s="11">
        <v>1.9899E-2</v>
      </c>
    </row>
    <row r="12" spans="1:13" x14ac:dyDescent="0.35">
      <c r="A12" s="11">
        <v>1861</v>
      </c>
      <c r="B12" s="11">
        <v>1.2979999999999999E-3</v>
      </c>
      <c r="C12" s="11">
        <v>1.3320000000000001E-3</v>
      </c>
      <c r="D12" s="11">
        <v>1.3370000000000001E-3</v>
      </c>
      <c r="E12" s="11">
        <v>6.6389999999999999E-3</v>
      </c>
      <c r="F12" s="11">
        <v>9.6849999999999992E-3</v>
      </c>
      <c r="G12" s="11">
        <v>1.6076E-2</v>
      </c>
      <c r="H12" s="11">
        <v>2.6930000000000001E-3</v>
      </c>
      <c r="I12" s="11">
        <v>3.1089999999999998E-3</v>
      </c>
      <c r="J12" s="11">
        <v>3.6610000000000002E-3</v>
      </c>
      <c r="K12" s="11">
        <v>9.1280000000000007E-3</v>
      </c>
      <c r="L12" s="11">
        <v>1.3186E-2</v>
      </c>
      <c r="M12" s="11">
        <v>2.1836999999999999E-2</v>
      </c>
    </row>
    <row r="13" spans="1:13" x14ac:dyDescent="0.35">
      <c r="A13" s="11">
        <v>1862</v>
      </c>
      <c r="B13" s="11">
        <v>1.4519999999999999E-3</v>
      </c>
      <c r="C13" s="11">
        <v>1.4909999999999999E-3</v>
      </c>
      <c r="D13" s="11">
        <v>1.4970000000000001E-3</v>
      </c>
      <c r="E13" s="11">
        <v>7.2610000000000001E-3</v>
      </c>
      <c r="F13" s="11">
        <v>1.0578000000000001E-2</v>
      </c>
      <c r="G13" s="11">
        <v>1.7448000000000002E-2</v>
      </c>
      <c r="H13" s="11">
        <v>2.9870000000000001E-3</v>
      </c>
      <c r="I13" s="11">
        <v>3.4459999999999998E-3</v>
      </c>
      <c r="J13" s="11">
        <v>4.0429999999999997E-3</v>
      </c>
      <c r="K13" s="11">
        <v>9.9950000000000004E-3</v>
      </c>
      <c r="L13" s="11">
        <v>1.4423999999999999E-2</v>
      </c>
      <c r="M13" s="11">
        <v>2.3744000000000001E-2</v>
      </c>
    </row>
    <row r="14" spans="1:13" x14ac:dyDescent="0.35">
      <c r="A14" s="11">
        <v>1863</v>
      </c>
      <c r="B14" s="11">
        <v>1.616E-3</v>
      </c>
      <c r="C14" s="11">
        <v>1.6609999999999999E-3</v>
      </c>
      <c r="D14" s="11">
        <v>1.668E-3</v>
      </c>
      <c r="E14" s="11">
        <v>7.894E-3</v>
      </c>
      <c r="F14" s="11">
        <v>1.1476999999999999E-2</v>
      </c>
      <c r="G14" s="11">
        <v>1.8818000000000001E-2</v>
      </c>
      <c r="H14" s="11">
        <v>3.2950000000000002E-3</v>
      </c>
      <c r="I14" s="11">
        <v>3.7989999999999999E-3</v>
      </c>
      <c r="J14" s="11">
        <v>4.4429999999999999E-3</v>
      </c>
      <c r="K14" s="11">
        <v>1.0880000000000001E-2</v>
      </c>
      <c r="L14" s="11">
        <v>1.5675999999999999E-2</v>
      </c>
      <c r="M14" s="11">
        <v>2.5658E-2</v>
      </c>
    </row>
    <row r="15" spans="1:13" x14ac:dyDescent="0.35">
      <c r="A15" s="11">
        <v>1864</v>
      </c>
      <c r="B15" s="11">
        <v>1.792E-3</v>
      </c>
      <c r="C15" s="11">
        <v>1.8439999999999999E-3</v>
      </c>
      <c r="D15" s="11">
        <v>1.8519999999999999E-3</v>
      </c>
      <c r="E15" s="11">
        <v>8.5310000000000004E-3</v>
      </c>
      <c r="F15" s="11">
        <v>1.2397999999999999E-2</v>
      </c>
      <c r="G15" s="11">
        <v>2.0211E-2</v>
      </c>
      <c r="H15" s="11">
        <v>3.62E-3</v>
      </c>
      <c r="I15" s="11">
        <v>4.1710000000000002E-3</v>
      </c>
      <c r="J15" s="11">
        <v>4.8630000000000001E-3</v>
      </c>
      <c r="K15" s="11">
        <v>1.1776E-2</v>
      </c>
      <c r="L15" s="11">
        <v>1.6958000000000001E-2</v>
      </c>
      <c r="M15" s="11">
        <v>2.7602999999999999E-2</v>
      </c>
    </row>
    <row r="16" spans="1:13" x14ac:dyDescent="0.35">
      <c r="A16" s="11">
        <v>1865</v>
      </c>
      <c r="B16" s="11">
        <v>1.9780000000000002E-3</v>
      </c>
      <c r="C16" s="11">
        <v>2.039E-3</v>
      </c>
      <c r="D16" s="11">
        <v>2.0479999999999999E-3</v>
      </c>
      <c r="E16" s="11">
        <v>9.1669999999999998E-3</v>
      </c>
      <c r="F16" s="11">
        <v>1.3310000000000001E-2</v>
      </c>
      <c r="G16" s="11">
        <v>2.1580999999999999E-2</v>
      </c>
      <c r="H16" s="11">
        <v>3.9579999999999997E-3</v>
      </c>
      <c r="I16" s="11">
        <v>4.5580000000000004E-3</v>
      </c>
      <c r="J16" s="11">
        <v>5.2969999999999996E-3</v>
      </c>
      <c r="K16" s="11">
        <v>1.2676E-2</v>
      </c>
      <c r="L16" s="11">
        <v>1.8238000000000001E-2</v>
      </c>
      <c r="M16" s="11">
        <v>2.9529E-2</v>
      </c>
    </row>
    <row r="17" spans="1:13" x14ac:dyDescent="0.35">
      <c r="A17" s="11">
        <v>1866</v>
      </c>
      <c r="B17" s="11">
        <v>2.1700000000000001E-3</v>
      </c>
      <c r="C17" s="11">
        <v>2.2399999999999998E-3</v>
      </c>
      <c r="D17" s="11">
        <v>2.2499999999999998E-3</v>
      </c>
      <c r="E17" s="11">
        <v>9.8040000000000002E-3</v>
      </c>
      <c r="F17" s="11">
        <v>1.4239999999999999E-2</v>
      </c>
      <c r="G17" s="11">
        <v>2.2962E-2</v>
      </c>
      <c r="H17" s="11">
        <v>4.3080000000000002E-3</v>
      </c>
      <c r="I17" s="11">
        <v>4.9589999999999999E-3</v>
      </c>
      <c r="J17" s="11">
        <v>5.7450000000000001E-3</v>
      </c>
      <c r="K17" s="11">
        <v>1.3584000000000001E-2</v>
      </c>
      <c r="L17" s="11">
        <v>1.9546999999999998E-2</v>
      </c>
      <c r="M17" s="11">
        <v>3.1475999999999997E-2</v>
      </c>
    </row>
    <row r="18" spans="1:13" x14ac:dyDescent="0.35">
      <c r="A18" s="11">
        <v>1867</v>
      </c>
      <c r="B18" s="11">
        <v>2.3749999999999999E-3</v>
      </c>
      <c r="C18" s="11">
        <v>2.4550000000000002E-3</v>
      </c>
      <c r="D18" s="11">
        <v>2.467E-3</v>
      </c>
      <c r="E18" s="11">
        <v>1.0461E-2</v>
      </c>
      <c r="F18" s="11">
        <v>1.5169E-2</v>
      </c>
      <c r="G18" s="11">
        <v>2.4337999999999999E-2</v>
      </c>
      <c r="H18" s="11">
        <v>4.6690000000000004E-3</v>
      </c>
      <c r="I18" s="11">
        <v>5.3740000000000003E-3</v>
      </c>
      <c r="J18" s="11">
        <v>6.2059999999999997E-3</v>
      </c>
      <c r="K18" s="11">
        <v>1.4512000000000001E-2</v>
      </c>
      <c r="L18" s="11">
        <v>2.0856E-2</v>
      </c>
      <c r="M18" s="11">
        <v>3.3417000000000002E-2</v>
      </c>
    </row>
    <row r="19" spans="1:13" x14ac:dyDescent="0.35">
      <c r="A19" s="11">
        <v>1868</v>
      </c>
      <c r="B19" s="11">
        <v>2.5850000000000001E-3</v>
      </c>
      <c r="C19" s="11">
        <v>2.676E-3</v>
      </c>
      <c r="D19" s="11">
        <v>2.689E-3</v>
      </c>
      <c r="E19" s="11">
        <v>1.1119E-2</v>
      </c>
      <c r="F19" s="11">
        <v>1.6107E-2</v>
      </c>
      <c r="G19" s="11">
        <v>2.5714000000000001E-2</v>
      </c>
      <c r="H19" s="11">
        <v>5.0350000000000004E-3</v>
      </c>
      <c r="I19" s="11">
        <v>5.7970000000000001E-3</v>
      </c>
      <c r="J19" s="11">
        <v>6.6740000000000002E-3</v>
      </c>
      <c r="K19" s="11">
        <v>1.5443999999999999E-2</v>
      </c>
      <c r="L19" s="11">
        <v>2.2178E-2</v>
      </c>
      <c r="M19" s="11">
        <v>3.5361999999999998E-2</v>
      </c>
    </row>
    <row r="20" spans="1:13" x14ac:dyDescent="0.35">
      <c r="A20" s="11">
        <v>1869</v>
      </c>
      <c r="B20" s="11">
        <v>2.8080000000000002E-3</v>
      </c>
      <c r="C20" s="11">
        <v>2.911E-3</v>
      </c>
      <c r="D20" s="11">
        <v>2.9260000000000002E-3</v>
      </c>
      <c r="E20" s="11">
        <v>1.1780000000000001E-2</v>
      </c>
      <c r="F20" s="11">
        <v>1.7051E-2</v>
      </c>
      <c r="G20" s="11">
        <v>2.7099999999999999E-2</v>
      </c>
      <c r="H20" s="11">
        <v>5.4180000000000001E-3</v>
      </c>
      <c r="I20" s="11">
        <v>6.2379999999999996E-3</v>
      </c>
      <c r="J20" s="11">
        <v>7.1599999999999997E-3</v>
      </c>
      <c r="K20" s="11">
        <v>1.6385E-2</v>
      </c>
      <c r="L20" s="11">
        <v>2.3515000000000001E-2</v>
      </c>
      <c r="M20" s="11">
        <v>3.7323000000000002E-2</v>
      </c>
    </row>
    <row r="21" spans="1:13" x14ac:dyDescent="0.35">
      <c r="A21" s="11">
        <v>1870</v>
      </c>
      <c r="B21" s="11">
        <v>3.0349999999999999E-3</v>
      </c>
      <c r="C21" s="11">
        <v>3.1510000000000002E-3</v>
      </c>
      <c r="D21" s="11">
        <v>3.1670000000000001E-3</v>
      </c>
      <c r="E21" s="11">
        <v>1.2553999999999999E-2</v>
      </c>
      <c r="F21" s="11">
        <v>1.8138999999999999E-2</v>
      </c>
      <c r="G21" s="11">
        <v>2.8652E-2</v>
      </c>
      <c r="H21" s="11">
        <v>5.7990000000000003E-3</v>
      </c>
      <c r="I21" s="11">
        <v>6.679E-3</v>
      </c>
      <c r="J21" s="11">
        <v>7.6480000000000003E-3</v>
      </c>
      <c r="K21" s="11">
        <v>1.7433000000000001E-2</v>
      </c>
      <c r="L21" s="11">
        <v>2.4992E-2</v>
      </c>
      <c r="M21" s="11">
        <v>3.9447999999999997E-2</v>
      </c>
    </row>
    <row r="22" spans="1:13" x14ac:dyDescent="0.35">
      <c r="A22" s="11">
        <v>1871</v>
      </c>
      <c r="B22" s="11">
        <v>3.2750000000000001E-3</v>
      </c>
      <c r="C22" s="11">
        <v>3.4060000000000002E-3</v>
      </c>
      <c r="D22" s="11">
        <v>3.424E-3</v>
      </c>
      <c r="E22" s="11">
        <v>1.3391E-2</v>
      </c>
      <c r="F22" s="11">
        <v>1.9282000000000001E-2</v>
      </c>
      <c r="G22" s="11">
        <v>3.0256999999999999E-2</v>
      </c>
      <c r="H22" s="11">
        <v>6.1989999999999996E-3</v>
      </c>
      <c r="I22" s="11">
        <v>7.1419999999999999E-3</v>
      </c>
      <c r="J22" s="11">
        <v>8.1620000000000009E-3</v>
      </c>
      <c r="K22" s="11">
        <v>1.8554000000000001E-2</v>
      </c>
      <c r="L22" s="11">
        <v>2.6535E-2</v>
      </c>
      <c r="M22" s="11">
        <v>4.1646000000000002E-2</v>
      </c>
    </row>
    <row r="23" spans="1:13" x14ac:dyDescent="0.35">
      <c r="A23" s="11">
        <v>1872</v>
      </c>
      <c r="B23" s="11">
        <v>3.5409999999999999E-3</v>
      </c>
      <c r="C23" s="11">
        <v>3.6879999999999999E-3</v>
      </c>
      <c r="D23" s="11">
        <v>3.7079999999999999E-3</v>
      </c>
      <c r="E23" s="11">
        <v>1.4281E-2</v>
      </c>
      <c r="F23" s="11">
        <v>2.0499E-2</v>
      </c>
      <c r="G23" s="11">
        <v>3.1961999999999997E-2</v>
      </c>
      <c r="H23" s="11">
        <v>6.6400000000000001E-3</v>
      </c>
      <c r="I23" s="11">
        <v>7.6480000000000003E-3</v>
      </c>
      <c r="J23" s="11">
        <v>8.7209999999999996E-3</v>
      </c>
      <c r="K23" s="11">
        <v>1.9746E-2</v>
      </c>
      <c r="L23" s="11">
        <v>2.8173E-2</v>
      </c>
      <c r="M23" s="11">
        <v>4.3971000000000003E-2</v>
      </c>
    </row>
    <row r="24" spans="1:13" x14ac:dyDescent="0.35">
      <c r="A24" s="11">
        <v>1873</v>
      </c>
      <c r="B24" s="11">
        <v>3.823E-3</v>
      </c>
      <c r="C24" s="11">
        <v>3.9880000000000002E-3</v>
      </c>
      <c r="D24" s="11">
        <v>4.0099999999999997E-3</v>
      </c>
      <c r="E24" s="11">
        <v>1.5221E-2</v>
      </c>
      <c r="F24" s="11">
        <v>2.1759000000000001E-2</v>
      </c>
      <c r="G24" s="11">
        <v>3.3708000000000002E-2</v>
      </c>
      <c r="H24" s="11">
        <v>7.1029999999999999E-3</v>
      </c>
      <c r="I24" s="11">
        <v>8.1779999999999995E-3</v>
      </c>
      <c r="J24" s="11">
        <v>9.3069999999999993E-3</v>
      </c>
      <c r="K24" s="11">
        <v>2.0996999999999998E-2</v>
      </c>
      <c r="L24" s="11">
        <v>2.9866E-2</v>
      </c>
      <c r="M24" s="11">
        <v>4.6358000000000003E-2</v>
      </c>
    </row>
    <row r="25" spans="1:13" x14ac:dyDescent="0.35">
      <c r="A25" s="11">
        <v>1874</v>
      </c>
      <c r="B25" s="11">
        <v>4.0850000000000001E-3</v>
      </c>
      <c r="C25" s="11">
        <v>4.2680000000000001E-3</v>
      </c>
      <c r="D25" s="11">
        <v>4.2929999999999999E-3</v>
      </c>
      <c r="E25" s="11">
        <v>1.6166E-2</v>
      </c>
      <c r="F25" s="11">
        <v>2.3043000000000001E-2</v>
      </c>
      <c r="G25" s="11">
        <v>3.5480999999999999E-2</v>
      </c>
      <c r="H25" s="11">
        <v>7.5209999999999999E-3</v>
      </c>
      <c r="I25" s="11">
        <v>8.6650000000000008E-3</v>
      </c>
      <c r="J25" s="11">
        <v>9.8530000000000006E-3</v>
      </c>
      <c r="K25" s="11">
        <v>2.2231999999999998E-2</v>
      </c>
      <c r="L25" s="11">
        <v>3.1564000000000002E-2</v>
      </c>
      <c r="M25" s="11">
        <v>4.8762E-2</v>
      </c>
    </row>
    <row r="26" spans="1:13" x14ac:dyDescent="0.35">
      <c r="A26" s="11">
        <v>1875</v>
      </c>
      <c r="B26" s="11">
        <v>4.3709999999999999E-3</v>
      </c>
      <c r="C26" s="11">
        <v>4.5729999999999998E-3</v>
      </c>
      <c r="D26" s="11">
        <v>4.5999999999999999E-3</v>
      </c>
      <c r="E26" s="11">
        <v>1.7152000000000001E-2</v>
      </c>
      <c r="F26" s="11">
        <v>2.4362000000000002E-2</v>
      </c>
      <c r="G26" s="11">
        <v>3.7287000000000001E-2</v>
      </c>
      <c r="H26" s="11">
        <v>7.9710000000000007E-3</v>
      </c>
      <c r="I26" s="11">
        <v>9.1859999999999997E-3</v>
      </c>
      <c r="J26" s="11">
        <v>1.0435E-2</v>
      </c>
      <c r="K26" s="11">
        <v>2.3521E-2</v>
      </c>
      <c r="L26" s="11">
        <v>3.3312000000000001E-2</v>
      </c>
      <c r="M26" s="11">
        <v>5.1223999999999999E-2</v>
      </c>
    </row>
    <row r="27" spans="1:13" x14ac:dyDescent="0.35">
      <c r="A27" s="11">
        <v>1876</v>
      </c>
      <c r="B27" s="11">
        <v>4.6560000000000004E-3</v>
      </c>
      <c r="C27" s="11">
        <v>4.8820000000000001E-3</v>
      </c>
      <c r="D27" s="11">
        <v>4.9109999999999996E-3</v>
      </c>
      <c r="E27" s="11">
        <v>1.8155999999999999E-2</v>
      </c>
      <c r="F27" s="11">
        <v>2.5708999999999999E-2</v>
      </c>
      <c r="G27" s="11">
        <v>3.9121999999999997E-2</v>
      </c>
      <c r="H27" s="11">
        <v>8.4139999999999996E-3</v>
      </c>
      <c r="I27" s="11">
        <v>9.7059999999999994E-3</v>
      </c>
      <c r="J27" s="11">
        <v>1.1018999999999999E-2</v>
      </c>
      <c r="K27" s="11">
        <v>2.4825E-2</v>
      </c>
      <c r="L27" s="11">
        <v>3.5090000000000003E-2</v>
      </c>
      <c r="M27" s="11">
        <v>5.3726000000000003E-2</v>
      </c>
    </row>
    <row r="28" spans="1:13" x14ac:dyDescent="0.35">
      <c r="A28" s="11">
        <v>1877</v>
      </c>
      <c r="B28" s="11">
        <v>4.9480000000000001E-3</v>
      </c>
      <c r="C28" s="11">
        <v>5.1960000000000001E-3</v>
      </c>
      <c r="D28" s="11">
        <v>5.228E-3</v>
      </c>
      <c r="E28" s="11">
        <v>1.9189000000000001E-2</v>
      </c>
      <c r="F28" s="11">
        <v>2.7089999999999999E-2</v>
      </c>
      <c r="G28" s="11">
        <v>4.1003999999999999E-2</v>
      </c>
      <c r="H28" s="11">
        <v>8.8640000000000004E-3</v>
      </c>
      <c r="I28" s="11">
        <v>1.0234999999999999E-2</v>
      </c>
      <c r="J28" s="11">
        <v>1.1613999999999999E-2</v>
      </c>
      <c r="K28" s="11">
        <v>2.6164E-2</v>
      </c>
      <c r="L28" s="11">
        <v>3.6908999999999997E-2</v>
      </c>
      <c r="M28" s="11">
        <v>5.629E-2</v>
      </c>
    </row>
    <row r="29" spans="1:13" x14ac:dyDescent="0.35">
      <c r="A29" s="11">
        <v>1878</v>
      </c>
      <c r="B29" s="11">
        <v>5.2389999999999997E-3</v>
      </c>
      <c r="C29" s="11">
        <v>5.5129999999999997E-3</v>
      </c>
      <c r="D29" s="11">
        <v>5.5469999999999998E-3</v>
      </c>
      <c r="E29" s="11">
        <v>2.0242E-2</v>
      </c>
      <c r="F29" s="11">
        <v>2.8499E-2</v>
      </c>
      <c r="G29" s="11">
        <v>4.2913E-2</v>
      </c>
      <c r="H29" s="11">
        <v>9.3120000000000008E-3</v>
      </c>
      <c r="I29" s="11">
        <v>1.0763999999999999E-2</v>
      </c>
      <c r="J29" s="11">
        <v>1.2213E-2</v>
      </c>
      <c r="K29" s="11">
        <v>2.7522999999999999E-2</v>
      </c>
      <c r="L29" s="11">
        <v>3.8760999999999997E-2</v>
      </c>
      <c r="M29" s="11">
        <v>5.8895999999999997E-2</v>
      </c>
    </row>
    <row r="30" spans="1:13" x14ac:dyDescent="0.35">
      <c r="A30" s="11">
        <v>1879</v>
      </c>
      <c r="B30" s="11">
        <v>5.5510000000000004E-3</v>
      </c>
      <c r="C30" s="11">
        <v>5.8520000000000004E-3</v>
      </c>
      <c r="D30" s="11">
        <v>5.8890000000000001E-3</v>
      </c>
      <c r="E30" s="11">
        <v>2.1336999999999998E-2</v>
      </c>
      <c r="F30" s="11">
        <v>2.9957000000000001E-2</v>
      </c>
      <c r="G30" s="11">
        <v>4.487E-2</v>
      </c>
      <c r="H30" s="11">
        <v>9.783E-3</v>
      </c>
      <c r="I30" s="11">
        <v>1.1318999999999999E-2</v>
      </c>
      <c r="J30" s="11">
        <v>1.2841999999999999E-2</v>
      </c>
      <c r="K30" s="11">
        <v>2.8930999999999998E-2</v>
      </c>
      <c r="L30" s="11">
        <v>4.0670999999999999E-2</v>
      </c>
      <c r="M30" s="11">
        <v>6.1566999999999997E-2</v>
      </c>
    </row>
    <row r="31" spans="1:13" x14ac:dyDescent="0.35">
      <c r="A31" s="11">
        <v>1880</v>
      </c>
      <c r="B31" s="11">
        <v>5.9059999999999998E-3</v>
      </c>
      <c r="C31" s="11">
        <v>6.2350000000000001E-3</v>
      </c>
      <c r="D31" s="11">
        <v>6.2760000000000003E-3</v>
      </c>
      <c r="E31" s="11">
        <v>2.2435E-2</v>
      </c>
      <c r="F31" s="11">
        <v>3.1427999999999998E-2</v>
      </c>
      <c r="G31" s="11">
        <v>4.6885999999999997E-2</v>
      </c>
      <c r="H31" s="11">
        <v>1.0309E-2</v>
      </c>
      <c r="I31" s="11">
        <v>1.1932E-2</v>
      </c>
      <c r="J31" s="11">
        <v>1.353E-2</v>
      </c>
      <c r="K31" s="11">
        <v>3.0356000000000001E-2</v>
      </c>
      <c r="L31" s="11">
        <v>4.2611999999999997E-2</v>
      </c>
      <c r="M31" s="11">
        <v>6.4323000000000005E-2</v>
      </c>
    </row>
    <row r="32" spans="1:13" x14ac:dyDescent="0.35">
      <c r="A32" s="11">
        <v>1881</v>
      </c>
      <c r="B32" s="11">
        <v>6.2729999999999999E-3</v>
      </c>
      <c r="C32" s="11">
        <v>6.6309999999999997E-3</v>
      </c>
      <c r="D32" s="11">
        <v>6.6759999999999996E-3</v>
      </c>
      <c r="E32" s="11">
        <v>2.351E-2</v>
      </c>
      <c r="F32" s="11">
        <v>3.288E-2</v>
      </c>
      <c r="G32" s="11">
        <v>4.8908E-2</v>
      </c>
      <c r="H32" s="11">
        <v>1.0851E-2</v>
      </c>
      <c r="I32" s="11">
        <v>1.2563E-2</v>
      </c>
      <c r="J32" s="11">
        <v>1.4241E-2</v>
      </c>
      <c r="K32" s="11">
        <v>3.1766000000000003E-2</v>
      </c>
      <c r="L32" s="11">
        <v>4.4541999999999998E-2</v>
      </c>
      <c r="M32" s="11">
        <v>6.7104999999999998E-2</v>
      </c>
    </row>
    <row r="33" spans="1:13" x14ac:dyDescent="0.35">
      <c r="A33" s="11">
        <v>1882</v>
      </c>
      <c r="B33" s="11">
        <v>6.6620000000000004E-3</v>
      </c>
      <c r="C33" s="11">
        <v>7.0489999999999997E-3</v>
      </c>
      <c r="D33" s="11">
        <v>7.0980000000000001E-3</v>
      </c>
      <c r="E33" s="11">
        <v>2.4612999999999999E-2</v>
      </c>
      <c r="F33" s="11">
        <v>3.4368000000000003E-2</v>
      </c>
      <c r="G33" s="11">
        <v>5.0987999999999999E-2</v>
      </c>
      <c r="H33" s="11">
        <v>1.1423000000000001E-2</v>
      </c>
      <c r="I33" s="11">
        <v>1.3225000000000001E-2</v>
      </c>
      <c r="J33" s="11">
        <v>1.4985999999999999E-2</v>
      </c>
      <c r="K33" s="11">
        <v>3.3216000000000002E-2</v>
      </c>
      <c r="L33" s="11">
        <v>4.6524000000000003E-2</v>
      </c>
      <c r="M33" s="11">
        <v>6.9971000000000005E-2</v>
      </c>
    </row>
    <row r="34" spans="1:13" x14ac:dyDescent="0.35">
      <c r="A34" s="11">
        <v>1883</v>
      </c>
      <c r="B34" s="11">
        <v>7.0740000000000004E-3</v>
      </c>
      <c r="C34" s="11">
        <v>7.4939999999999998E-3</v>
      </c>
      <c r="D34" s="11">
        <v>7.548E-3</v>
      </c>
      <c r="E34" s="11">
        <v>2.5753000000000002E-2</v>
      </c>
      <c r="F34" s="11">
        <v>3.5897999999999999E-2</v>
      </c>
      <c r="G34" s="11">
        <v>5.3122000000000003E-2</v>
      </c>
      <c r="H34" s="11">
        <v>1.2024E-2</v>
      </c>
      <c r="I34" s="11">
        <v>1.3920999999999999E-2</v>
      </c>
      <c r="J34" s="11">
        <v>1.5764E-2</v>
      </c>
      <c r="K34" s="11">
        <v>3.4709999999999998E-2</v>
      </c>
      <c r="L34" s="11">
        <v>4.8561E-2</v>
      </c>
      <c r="M34" s="11">
        <v>7.2911000000000004E-2</v>
      </c>
    </row>
    <row r="35" spans="1:13" x14ac:dyDescent="0.35">
      <c r="A35" s="11">
        <v>1884</v>
      </c>
      <c r="B35" s="11">
        <v>7.489E-3</v>
      </c>
      <c r="C35" s="11">
        <v>7.9439999999999997E-3</v>
      </c>
      <c r="D35" s="11">
        <v>8.0020000000000004E-3</v>
      </c>
      <c r="E35" s="11">
        <v>2.6887999999999999E-2</v>
      </c>
      <c r="F35" s="11">
        <v>3.7436999999999998E-2</v>
      </c>
      <c r="G35" s="11">
        <v>5.5264000000000001E-2</v>
      </c>
      <c r="H35" s="11">
        <v>1.2617E-2</v>
      </c>
      <c r="I35" s="11">
        <v>1.4612E-2</v>
      </c>
      <c r="J35" s="11">
        <v>1.6541E-2</v>
      </c>
      <c r="K35" s="11">
        <v>3.6191000000000001E-2</v>
      </c>
      <c r="L35" s="11">
        <v>5.0598999999999998E-2</v>
      </c>
      <c r="M35" s="11">
        <v>7.5863E-2</v>
      </c>
    </row>
    <row r="36" spans="1:13" x14ac:dyDescent="0.35">
      <c r="A36" s="11">
        <v>1885</v>
      </c>
      <c r="B36" s="11">
        <v>7.9059999999999998E-3</v>
      </c>
      <c r="C36" s="11">
        <v>8.3979999999999992E-3</v>
      </c>
      <c r="D36" s="11">
        <v>8.4609999999999998E-3</v>
      </c>
      <c r="E36" s="11">
        <v>2.8017E-2</v>
      </c>
      <c r="F36" s="11">
        <v>3.8975000000000003E-2</v>
      </c>
      <c r="G36" s="11">
        <v>5.7411999999999998E-2</v>
      </c>
      <c r="H36" s="11">
        <v>1.32E-2</v>
      </c>
      <c r="I36" s="11">
        <v>1.5296000000000001E-2</v>
      </c>
      <c r="J36" s="11">
        <v>1.7314E-2</v>
      </c>
      <c r="K36" s="11">
        <v>3.7657000000000003E-2</v>
      </c>
      <c r="L36" s="11">
        <v>5.2632999999999999E-2</v>
      </c>
      <c r="M36" s="11">
        <v>7.8826999999999994E-2</v>
      </c>
    </row>
    <row r="37" spans="1:13" x14ac:dyDescent="0.35">
      <c r="A37" s="11">
        <v>1886</v>
      </c>
      <c r="B37" s="11">
        <v>8.3300000000000006E-3</v>
      </c>
      <c r="C37" s="11">
        <v>8.8579999999999996E-3</v>
      </c>
      <c r="D37" s="11">
        <v>8.9259999999999999E-3</v>
      </c>
      <c r="E37" s="11">
        <v>2.9151E-2</v>
      </c>
      <c r="F37" s="11">
        <v>4.0513E-2</v>
      </c>
      <c r="G37" s="11">
        <v>5.9563999999999999E-2</v>
      </c>
      <c r="H37" s="11">
        <v>1.3781E-2</v>
      </c>
      <c r="I37" s="11">
        <v>1.5980000000000001E-2</v>
      </c>
      <c r="J37" s="11">
        <v>1.8089000000000001E-2</v>
      </c>
      <c r="K37" s="11">
        <v>3.9123999999999999E-2</v>
      </c>
      <c r="L37" s="11">
        <v>5.4663000000000003E-2</v>
      </c>
      <c r="M37" s="11">
        <v>8.1804000000000002E-2</v>
      </c>
    </row>
    <row r="38" spans="1:13" x14ac:dyDescent="0.35">
      <c r="A38" s="11">
        <v>1887</v>
      </c>
      <c r="B38" s="11">
        <v>8.7740000000000005E-3</v>
      </c>
      <c r="C38" s="11">
        <v>9.3410000000000003E-3</v>
      </c>
      <c r="D38" s="11">
        <v>9.4140000000000005E-3</v>
      </c>
      <c r="E38" s="11">
        <v>3.0322000000000002E-2</v>
      </c>
      <c r="F38" s="11">
        <v>4.2083000000000002E-2</v>
      </c>
      <c r="G38" s="11">
        <v>6.1766000000000001E-2</v>
      </c>
      <c r="H38" s="11">
        <v>1.4389000000000001E-2</v>
      </c>
      <c r="I38" s="11">
        <v>1.6693E-2</v>
      </c>
      <c r="J38" s="11">
        <v>1.8898000000000002E-2</v>
      </c>
      <c r="K38" s="11">
        <v>4.0635999999999999E-2</v>
      </c>
      <c r="L38" s="11">
        <v>5.6737000000000003E-2</v>
      </c>
      <c r="M38" s="11">
        <v>8.4852999999999998E-2</v>
      </c>
    </row>
    <row r="39" spans="1:13" x14ac:dyDescent="0.35">
      <c r="A39" s="11">
        <v>1888</v>
      </c>
      <c r="B39" s="11">
        <v>9.2669999999999992E-3</v>
      </c>
      <c r="C39" s="11">
        <v>9.8759999999999994E-3</v>
      </c>
      <c r="D39" s="11">
        <v>9.9550000000000003E-3</v>
      </c>
      <c r="E39" s="11">
        <v>3.1536000000000002E-2</v>
      </c>
      <c r="F39" s="11">
        <v>4.3704E-2</v>
      </c>
      <c r="G39" s="11">
        <v>6.4017000000000004E-2</v>
      </c>
      <c r="H39" s="11">
        <v>1.5068E-2</v>
      </c>
      <c r="I39" s="11">
        <v>1.7482000000000001E-2</v>
      </c>
      <c r="J39" s="11">
        <v>1.9786000000000002E-2</v>
      </c>
      <c r="K39" s="11">
        <v>4.2215999999999997E-2</v>
      </c>
      <c r="L39" s="11">
        <v>5.8889999999999998E-2</v>
      </c>
      <c r="M39" s="11">
        <v>8.7991E-2</v>
      </c>
    </row>
    <row r="40" spans="1:13" x14ac:dyDescent="0.35">
      <c r="A40" s="11">
        <v>1889</v>
      </c>
      <c r="B40" s="11">
        <v>9.757E-3</v>
      </c>
      <c r="C40" s="11">
        <v>1.0410000000000001E-2</v>
      </c>
      <c r="D40" s="11">
        <v>1.0496E-2</v>
      </c>
      <c r="E40" s="11">
        <v>3.2736000000000001E-2</v>
      </c>
      <c r="F40" s="11">
        <v>4.5319999999999999E-2</v>
      </c>
      <c r="G40" s="11">
        <v>6.6283999999999996E-2</v>
      </c>
      <c r="H40" s="11">
        <v>1.5731999999999999E-2</v>
      </c>
      <c r="I40" s="11">
        <v>1.8259999999999998E-2</v>
      </c>
      <c r="J40" s="11">
        <v>2.0667999999999999E-2</v>
      </c>
      <c r="K40" s="11">
        <v>4.3775000000000001E-2</v>
      </c>
      <c r="L40" s="11">
        <v>6.1033999999999998E-2</v>
      </c>
      <c r="M40" s="11">
        <v>9.1149999999999995E-2</v>
      </c>
    </row>
    <row r="41" spans="1:13" x14ac:dyDescent="0.35">
      <c r="A41" s="11">
        <v>1890</v>
      </c>
      <c r="B41" s="11">
        <v>1.0290000000000001E-2</v>
      </c>
      <c r="C41" s="11">
        <v>1.0991000000000001E-2</v>
      </c>
      <c r="D41" s="11">
        <v>1.1084999999999999E-2</v>
      </c>
      <c r="E41" s="11">
        <v>3.4020000000000002E-2</v>
      </c>
      <c r="F41" s="11">
        <v>4.7070000000000001E-2</v>
      </c>
      <c r="G41" s="11">
        <v>6.8724999999999994E-2</v>
      </c>
      <c r="H41" s="11">
        <v>1.6466000000000001E-2</v>
      </c>
      <c r="I41" s="11">
        <v>1.9113999999999999E-2</v>
      </c>
      <c r="J41" s="11">
        <v>2.1625999999999999E-2</v>
      </c>
      <c r="K41" s="11">
        <v>4.5444999999999999E-2</v>
      </c>
      <c r="L41" s="11">
        <v>6.3346E-2</v>
      </c>
      <c r="M41" s="11">
        <v>9.4528000000000001E-2</v>
      </c>
    </row>
    <row r="42" spans="1:13" x14ac:dyDescent="0.35">
      <c r="A42" s="11">
        <v>1891</v>
      </c>
      <c r="B42" s="11">
        <v>1.0847000000000001E-2</v>
      </c>
      <c r="C42" s="11">
        <v>1.1599999999999999E-2</v>
      </c>
      <c r="D42" s="11">
        <v>1.1702000000000001E-2</v>
      </c>
      <c r="E42" s="11">
        <v>3.5341999999999998E-2</v>
      </c>
      <c r="F42" s="11">
        <v>4.8870999999999998E-2</v>
      </c>
      <c r="G42" s="11">
        <v>7.1235000000000007E-2</v>
      </c>
      <c r="H42" s="11">
        <v>1.7226999999999999E-2</v>
      </c>
      <c r="I42" s="11">
        <v>2.0001999999999999E-2</v>
      </c>
      <c r="J42" s="11">
        <v>2.2619E-2</v>
      </c>
      <c r="K42" s="11">
        <v>4.7159E-2</v>
      </c>
      <c r="L42" s="11">
        <v>6.5716999999999998E-2</v>
      </c>
      <c r="M42" s="11">
        <v>9.7988000000000006E-2</v>
      </c>
    </row>
    <row r="43" spans="1:13" x14ac:dyDescent="0.35">
      <c r="A43" s="11">
        <v>1892</v>
      </c>
      <c r="B43" s="11">
        <v>1.1409000000000001E-2</v>
      </c>
      <c r="C43" s="11">
        <v>1.2212000000000001E-2</v>
      </c>
      <c r="D43" s="11">
        <v>1.2324E-2</v>
      </c>
      <c r="E43" s="11">
        <v>3.6664000000000002E-2</v>
      </c>
      <c r="F43" s="11">
        <v>5.0678000000000001E-2</v>
      </c>
      <c r="G43" s="11">
        <v>7.3737999999999998E-2</v>
      </c>
      <c r="H43" s="11">
        <v>1.7975000000000001E-2</v>
      </c>
      <c r="I43" s="11">
        <v>2.0875999999999999E-2</v>
      </c>
      <c r="J43" s="11">
        <v>2.3602999999999999E-2</v>
      </c>
      <c r="K43" s="11">
        <v>4.8859E-2</v>
      </c>
      <c r="L43" s="11">
        <v>6.8081000000000003E-2</v>
      </c>
      <c r="M43" s="11">
        <v>0.101435</v>
      </c>
    </row>
    <row r="44" spans="1:13" x14ac:dyDescent="0.35">
      <c r="A44" s="11">
        <v>1893</v>
      </c>
      <c r="B44" s="11">
        <v>1.1957000000000001E-2</v>
      </c>
      <c r="C44" s="11">
        <v>1.2815999999999999E-2</v>
      </c>
      <c r="D44" s="11">
        <v>1.2937000000000001E-2</v>
      </c>
      <c r="E44" s="11">
        <v>3.7990000000000003E-2</v>
      </c>
      <c r="F44" s="11">
        <v>5.2490000000000002E-2</v>
      </c>
      <c r="G44" s="11">
        <v>7.6249999999999998E-2</v>
      </c>
      <c r="H44" s="11">
        <v>1.8686000000000001E-2</v>
      </c>
      <c r="I44" s="11">
        <v>2.1721000000000001E-2</v>
      </c>
      <c r="J44" s="11">
        <v>2.4559999999999998E-2</v>
      </c>
      <c r="K44" s="11">
        <v>5.0539000000000001E-2</v>
      </c>
      <c r="L44" s="11">
        <v>7.0431999999999995E-2</v>
      </c>
      <c r="M44" s="11">
        <v>0.104878</v>
      </c>
    </row>
    <row r="45" spans="1:13" x14ac:dyDescent="0.35">
      <c r="A45" s="11">
        <v>1894</v>
      </c>
      <c r="B45" s="11">
        <v>1.2526000000000001E-2</v>
      </c>
      <c r="C45" s="11">
        <v>1.3440000000000001E-2</v>
      </c>
      <c r="D45" s="11">
        <v>1.3573E-2</v>
      </c>
      <c r="E45" s="11">
        <v>3.9338999999999999E-2</v>
      </c>
      <c r="F45" s="11">
        <v>5.4350000000000002E-2</v>
      </c>
      <c r="G45" s="11">
        <v>7.8823000000000004E-2</v>
      </c>
      <c r="H45" s="11">
        <v>1.9442000000000001E-2</v>
      </c>
      <c r="I45" s="11">
        <v>2.2610999999999999E-2</v>
      </c>
      <c r="J45" s="11">
        <v>2.5565000000000001E-2</v>
      </c>
      <c r="K45" s="11">
        <v>5.2270999999999998E-2</v>
      </c>
      <c r="L45" s="11">
        <v>7.2858000000000006E-2</v>
      </c>
      <c r="M45" s="11">
        <v>0.108414</v>
      </c>
    </row>
    <row r="46" spans="1:13" x14ac:dyDescent="0.35">
      <c r="A46" s="11">
        <v>1895</v>
      </c>
      <c r="B46" s="11">
        <v>1.3126000000000001E-2</v>
      </c>
      <c r="C46" s="11">
        <v>1.4101000000000001E-2</v>
      </c>
      <c r="D46" s="11">
        <v>1.4246999999999999E-2</v>
      </c>
      <c r="E46" s="11">
        <v>4.0719999999999999E-2</v>
      </c>
      <c r="F46" s="11">
        <v>5.6236000000000001E-2</v>
      </c>
      <c r="G46" s="11">
        <v>8.1426999999999999E-2</v>
      </c>
      <c r="H46" s="11">
        <v>2.0233000000000001E-2</v>
      </c>
      <c r="I46" s="11">
        <v>2.3545E-2</v>
      </c>
      <c r="J46" s="11">
        <v>2.6617999999999999E-2</v>
      </c>
      <c r="K46" s="11">
        <v>5.4039999999999998E-2</v>
      </c>
      <c r="L46" s="11">
        <v>7.5319999999999998E-2</v>
      </c>
      <c r="M46" s="11">
        <v>0.111999</v>
      </c>
    </row>
    <row r="47" spans="1:13" x14ac:dyDescent="0.35">
      <c r="A47" s="11">
        <v>1896</v>
      </c>
      <c r="B47" s="11">
        <v>1.3745E-2</v>
      </c>
      <c r="C47" s="11">
        <v>1.4782999999999999E-2</v>
      </c>
      <c r="D47" s="11">
        <v>1.4943E-2</v>
      </c>
      <c r="E47" s="11">
        <v>4.2125999999999997E-2</v>
      </c>
      <c r="F47" s="11">
        <v>5.815E-2</v>
      </c>
      <c r="G47" s="11">
        <v>8.4059999999999996E-2</v>
      </c>
      <c r="H47" s="11">
        <v>2.1049999999999999E-2</v>
      </c>
      <c r="I47" s="11">
        <v>2.4507000000000001E-2</v>
      </c>
      <c r="J47" s="11">
        <v>2.7702000000000001E-2</v>
      </c>
      <c r="K47" s="11">
        <v>5.5842999999999997E-2</v>
      </c>
      <c r="L47" s="11">
        <v>7.782E-2</v>
      </c>
      <c r="M47" s="11">
        <v>0.115629</v>
      </c>
    </row>
    <row r="48" spans="1:13" x14ac:dyDescent="0.35">
      <c r="A48" s="11">
        <v>1897</v>
      </c>
      <c r="B48" s="11">
        <v>1.439E-2</v>
      </c>
      <c r="C48" s="11">
        <v>1.5495999999999999E-2</v>
      </c>
      <c r="D48" s="11">
        <v>1.5671999999999998E-2</v>
      </c>
      <c r="E48" s="11">
        <v>4.3567000000000002E-2</v>
      </c>
      <c r="F48" s="11">
        <v>6.0111999999999999E-2</v>
      </c>
      <c r="G48" s="11">
        <v>8.6758000000000002E-2</v>
      </c>
      <c r="H48" s="11">
        <v>2.1905000000000001E-2</v>
      </c>
      <c r="I48" s="11">
        <v>2.5514999999999999E-2</v>
      </c>
      <c r="J48" s="11">
        <v>2.8836000000000001E-2</v>
      </c>
      <c r="K48" s="11">
        <v>5.7692E-2</v>
      </c>
      <c r="L48" s="11">
        <v>8.0383999999999997E-2</v>
      </c>
      <c r="M48" s="11">
        <v>0.11934599999999999</v>
      </c>
    </row>
    <row r="49" spans="1:13" x14ac:dyDescent="0.35">
      <c r="A49" s="11">
        <v>1898</v>
      </c>
      <c r="B49" s="11">
        <v>1.5068E-2</v>
      </c>
      <c r="C49" s="11">
        <v>1.6247999999999999E-2</v>
      </c>
      <c r="D49" s="11">
        <v>1.6441000000000001E-2</v>
      </c>
      <c r="E49" s="11">
        <v>4.5046999999999997E-2</v>
      </c>
      <c r="F49" s="11">
        <v>6.2127000000000002E-2</v>
      </c>
      <c r="G49" s="11">
        <v>8.9502999999999999E-2</v>
      </c>
      <c r="H49" s="11">
        <v>2.2806E-2</v>
      </c>
      <c r="I49" s="11">
        <v>2.6579999999999999E-2</v>
      </c>
      <c r="J49" s="11">
        <v>3.0030000000000001E-2</v>
      </c>
      <c r="K49" s="11">
        <v>5.9597999999999998E-2</v>
      </c>
      <c r="L49" s="11">
        <v>8.3024000000000001E-2</v>
      </c>
      <c r="M49" s="11">
        <v>0.123139</v>
      </c>
    </row>
    <row r="50" spans="1:13" x14ac:dyDescent="0.35">
      <c r="A50" s="11">
        <v>1899</v>
      </c>
      <c r="B50" s="11">
        <v>1.5810000000000001E-2</v>
      </c>
      <c r="C50" s="11">
        <v>1.7069000000000001E-2</v>
      </c>
      <c r="D50" s="11">
        <v>1.728E-2</v>
      </c>
      <c r="E50" s="11">
        <v>4.6600000000000003E-2</v>
      </c>
      <c r="F50" s="11">
        <v>6.4218999999999998E-2</v>
      </c>
      <c r="G50" s="11">
        <v>9.2335E-2</v>
      </c>
      <c r="H50" s="11">
        <v>2.3796000000000001E-2</v>
      </c>
      <c r="I50" s="11">
        <v>2.7743E-2</v>
      </c>
      <c r="J50" s="11">
        <v>3.1326E-2</v>
      </c>
      <c r="K50" s="11">
        <v>6.1602999999999998E-2</v>
      </c>
      <c r="L50" s="11">
        <v>8.5772000000000001E-2</v>
      </c>
      <c r="M50" s="11">
        <v>0.127054</v>
      </c>
    </row>
    <row r="51" spans="1:13" x14ac:dyDescent="0.35">
      <c r="A51" s="11">
        <v>1900</v>
      </c>
      <c r="B51" s="11">
        <v>1.6591999999999999E-2</v>
      </c>
      <c r="C51" s="11">
        <v>1.7935E-2</v>
      </c>
      <c r="D51" s="11">
        <v>1.8164E-2</v>
      </c>
      <c r="E51" s="11">
        <v>4.8189000000000003E-2</v>
      </c>
      <c r="F51" s="11">
        <v>6.6366999999999995E-2</v>
      </c>
      <c r="G51" s="11">
        <v>9.5226000000000005E-2</v>
      </c>
      <c r="H51" s="11">
        <v>2.4825E-2</v>
      </c>
      <c r="I51" s="11">
        <v>2.8957E-2</v>
      </c>
      <c r="J51" s="11">
        <v>3.2673000000000001E-2</v>
      </c>
      <c r="K51" s="11">
        <v>6.3644000000000006E-2</v>
      </c>
      <c r="L51" s="11">
        <v>8.8581999999999994E-2</v>
      </c>
      <c r="M51" s="11">
        <v>0.13104299999999999</v>
      </c>
    </row>
    <row r="52" spans="1:13" x14ac:dyDescent="0.35">
      <c r="A52" s="11">
        <v>1901</v>
      </c>
      <c r="B52" s="11">
        <v>1.7396999999999999E-2</v>
      </c>
      <c r="C52" s="11">
        <v>1.8825999999999999E-2</v>
      </c>
      <c r="D52" s="11">
        <v>1.9075999999999999E-2</v>
      </c>
      <c r="E52" s="11">
        <v>4.9785999999999997E-2</v>
      </c>
      <c r="F52" s="11">
        <v>6.8555000000000005E-2</v>
      </c>
      <c r="G52" s="11">
        <v>9.8201999999999998E-2</v>
      </c>
      <c r="H52" s="11">
        <v>2.5876E-2</v>
      </c>
      <c r="I52" s="11">
        <v>3.0197999999999999E-2</v>
      </c>
      <c r="J52" s="11">
        <v>3.4054000000000001E-2</v>
      </c>
      <c r="K52" s="11">
        <v>6.5694000000000002E-2</v>
      </c>
      <c r="L52" s="11">
        <v>9.1440999999999995E-2</v>
      </c>
      <c r="M52" s="11">
        <v>0.135127</v>
      </c>
    </row>
    <row r="53" spans="1:13" x14ac:dyDescent="0.35">
      <c r="A53" s="11">
        <v>1902</v>
      </c>
      <c r="B53" s="11">
        <v>1.8225000000000002E-2</v>
      </c>
      <c r="C53" s="11">
        <v>1.9739E-2</v>
      </c>
      <c r="D53" s="11">
        <v>2.0011999999999999E-2</v>
      </c>
      <c r="E53" s="11">
        <v>5.1409999999999997E-2</v>
      </c>
      <c r="F53" s="11">
        <v>7.0775000000000005E-2</v>
      </c>
      <c r="G53" s="11">
        <v>0.10122</v>
      </c>
      <c r="H53" s="11">
        <v>2.6949000000000001E-2</v>
      </c>
      <c r="I53" s="11">
        <v>3.1459000000000001E-2</v>
      </c>
      <c r="J53" s="11">
        <v>3.5458000000000003E-2</v>
      </c>
      <c r="K53" s="11">
        <v>6.7774000000000001E-2</v>
      </c>
      <c r="L53" s="11">
        <v>9.4336000000000003E-2</v>
      </c>
      <c r="M53" s="11">
        <v>0.13925599999999999</v>
      </c>
    </row>
    <row r="54" spans="1:13" x14ac:dyDescent="0.35">
      <c r="A54" s="11">
        <v>1903</v>
      </c>
      <c r="B54" s="11">
        <v>1.9134000000000002E-2</v>
      </c>
      <c r="C54" s="11">
        <v>2.0733999999999999E-2</v>
      </c>
      <c r="D54" s="11">
        <v>2.1031000000000001E-2</v>
      </c>
      <c r="E54" s="11">
        <v>5.3108000000000002E-2</v>
      </c>
      <c r="F54" s="11">
        <v>7.3088E-2</v>
      </c>
      <c r="G54" s="11">
        <v>0.104338</v>
      </c>
      <c r="H54" s="11">
        <v>2.8133999999999999E-2</v>
      </c>
      <c r="I54" s="11">
        <v>3.2828999999999997E-2</v>
      </c>
      <c r="J54" s="11">
        <v>3.6977000000000003E-2</v>
      </c>
      <c r="K54" s="11">
        <v>6.9961999999999996E-2</v>
      </c>
      <c r="L54" s="11">
        <v>9.7356999999999999E-2</v>
      </c>
      <c r="M54" s="11">
        <v>0.14352100000000001</v>
      </c>
    </row>
    <row r="55" spans="1:13" x14ac:dyDescent="0.35">
      <c r="A55" s="11">
        <v>1904</v>
      </c>
      <c r="B55" s="11">
        <v>2.0046999999999999E-2</v>
      </c>
      <c r="C55" s="11">
        <v>2.1738E-2</v>
      </c>
      <c r="D55" s="11">
        <v>2.2062999999999999E-2</v>
      </c>
      <c r="E55" s="11">
        <v>5.4827000000000001E-2</v>
      </c>
      <c r="F55" s="11">
        <v>7.5439000000000006E-2</v>
      </c>
      <c r="G55" s="11">
        <v>0.107517</v>
      </c>
      <c r="H55" s="11">
        <v>2.9325E-2</v>
      </c>
      <c r="I55" s="11">
        <v>3.4213E-2</v>
      </c>
      <c r="J55" s="11">
        <v>3.8515000000000001E-2</v>
      </c>
      <c r="K55" s="11">
        <v>7.2173000000000001E-2</v>
      </c>
      <c r="L55" s="11">
        <v>0.100425</v>
      </c>
      <c r="M55" s="11">
        <v>0.14785699999999999</v>
      </c>
    </row>
    <row r="56" spans="1:13" x14ac:dyDescent="0.35">
      <c r="A56" s="11">
        <v>1905</v>
      </c>
      <c r="B56" s="11">
        <v>2.1027000000000001E-2</v>
      </c>
      <c r="C56" s="11">
        <v>2.2808999999999999E-2</v>
      </c>
      <c r="D56" s="11">
        <v>2.3161999999999999E-2</v>
      </c>
      <c r="E56" s="11">
        <v>5.6610000000000001E-2</v>
      </c>
      <c r="F56" s="11">
        <v>7.7875E-2</v>
      </c>
      <c r="G56" s="11">
        <v>0.110778</v>
      </c>
      <c r="H56" s="11">
        <v>3.0616000000000001E-2</v>
      </c>
      <c r="I56" s="11">
        <v>3.5688999999999999E-2</v>
      </c>
      <c r="J56" s="11">
        <v>4.0148000000000003E-2</v>
      </c>
      <c r="K56" s="11">
        <v>7.4485999999999997E-2</v>
      </c>
      <c r="L56" s="11">
        <v>0.10360999999999999</v>
      </c>
      <c r="M56" s="11">
        <v>0.152307</v>
      </c>
    </row>
    <row r="57" spans="1:13" x14ac:dyDescent="0.35">
      <c r="A57" s="11">
        <v>1906</v>
      </c>
      <c r="B57" s="11">
        <v>2.2044000000000001E-2</v>
      </c>
      <c r="C57" s="11">
        <v>2.3924000000000001E-2</v>
      </c>
      <c r="D57" s="11">
        <v>2.4309999999999998E-2</v>
      </c>
      <c r="E57" s="11">
        <v>5.8428000000000001E-2</v>
      </c>
      <c r="F57" s="11">
        <v>8.0362000000000003E-2</v>
      </c>
      <c r="G57" s="11">
        <v>0.114117</v>
      </c>
      <c r="H57" s="11">
        <v>3.1967000000000002E-2</v>
      </c>
      <c r="I57" s="11">
        <v>3.7240000000000002E-2</v>
      </c>
      <c r="J57" s="11">
        <v>4.1869000000000003E-2</v>
      </c>
      <c r="K57" s="11">
        <v>7.6857999999999996E-2</v>
      </c>
      <c r="L57" s="11">
        <v>0.106882</v>
      </c>
      <c r="M57" s="11">
        <v>0.15687999999999999</v>
      </c>
    </row>
    <row r="58" spans="1:13" x14ac:dyDescent="0.35">
      <c r="A58" s="11">
        <v>1907</v>
      </c>
      <c r="B58" s="11">
        <v>2.3198E-2</v>
      </c>
      <c r="C58" s="11">
        <v>2.5186E-2</v>
      </c>
      <c r="D58" s="11">
        <v>2.5617999999999998E-2</v>
      </c>
      <c r="E58" s="11">
        <v>6.0387999999999997E-2</v>
      </c>
      <c r="F58" s="11">
        <v>8.3014000000000004E-2</v>
      </c>
      <c r="G58" s="11">
        <v>0.117618</v>
      </c>
      <c r="H58" s="11">
        <v>3.3513000000000001E-2</v>
      </c>
      <c r="I58" s="11">
        <v>3.9001000000000001E-2</v>
      </c>
      <c r="J58" s="11">
        <v>4.3817000000000002E-2</v>
      </c>
      <c r="K58" s="11">
        <v>7.9432000000000003E-2</v>
      </c>
      <c r="L58" s="11">
        <v>0.110389</v>
      </c>
      <c r="M58" s="11">
        <v>0.161685</v>
      </c>
    </row>
    <row r="59" spans="1:13" x14ac:dyDescent="0.35">
      <c r="A59" s="11">
        <v>1908</v>
      </c>
      <c r="B59" s="11">
        <v>2.4294E-2</v>
      </c>
      <c r="C59" s="11">
        <v>2.6393E-2</v>
      </c>
      <c r="D59" s="11">
        <v>2.6873999999999999E-2</v>
      </c>
      <c r="E59" s="11">
        <v>6.2292E-2</v>
      </c>
      <c r="F59" s="11">
        <v>8.5626999999999995E-2</v>
      </c>
      <c r="G59" s="11">
        <v>0.121089</v>
      </c>
      <c r="H59" s="11">
        <v>3.4944000000000003E-2</v>
      </c>
      <c r="I59" s="11">
        <v>4.0651E-2</v>
      </c>
      <c r="J59" s="11">
        <v>4.5663000000000002E-2</v>
      </c>
      <c r="K59" s="11">
        <v>8.1897999999999999E-2</v>
      </c>
      <c r="L59" s="11">
        <v>0.113806</v>
      </c>
      <c r="M59" s="11">
        <v>0.16641400000000001</v>
      </c>
    </row>
    <row r="60" spans="1:13" x14ac:dyDescent="0.35">
      <c r="A60" s="11">
        <v>1909</v>
      </c>
      <c r="B60" s="11">
        <v>2.5437000000000001E-2</v>
      </c>
      <c r="C60" s="11">
        <v>2.7650999999999998E-2</v>
      </c>
      <c r="D60" s="11">
        <v>2.8184000000000001E-2</v>
      </c>
      <c r="E60" s="11">
        <v>6.4250000000000002E-2</v>
      </c>
      <c r="F60" s="11">
        <v>8.8312000000000002E-2</v>
      </c>
      <c r="G60" s="11">
        <v>0.12464699999999999</v>
      </c>
      <c r="H60" s="11">
        <v>3.6450999999999997E-2</v>
      </c>
      <c r="I60" s="11">
        <v>4.2384999999999999E-2</v>
      </c>
      <c r="J60" s="11">
        <v>4.7595999999999999E-2</v>
      </c>
      <c r="K60" s="11">
        <v>8.4447999999999995E-2</v>
      </c>
      <c r="L60" s="11">
        <v>0.11733399999999999</v>
      </c>
      <c r="M60" s="11">
        <v>0.171269</v>
      </c>
    </row>
    <row r="61" spans="1:13" x14ac:dyDescent="0.35">
      <c r="A61" s="11">
        <v>1910</v>
      </c>
      <c r="B61" s="11">
        <v>2.6643E-2</v>
      </c>
      <c r="C61" s="11">
        <v>2.8971E-2</v>
      </c>
      <c r="D61" s="11">
        <v>2.9557E-2</v>
      </c>
      <c r="E61" s="11">
        <v>6.6249000000000002E-2</v>
      </c>
      <c r="F61" s="11">
        <v>9.0902999999999998E-2</v>
      </c>
      <c r="G61" s="11">
        <v>0.12817899999999999</v>
      </c>
      <c r="H61" s="11">
        <v>3.8026999999999998E-2</v>
      </c>
      <c r="I61" s="11">
        <v>4.4185000000000002E-2</v>
      </c>
      <c r="J61" s="11">
        <v>4.9598000000000003E-2</v>
      </c>
      <c r="K61" s="11">
        <v>8.7049000000000001E-2</v>
      </c>
      <c r="L61" s="11">
        <v>0.120777</v>
      </c>
      <c r="M61" s="11">
        <v>0.17610600000000001</v>
      </c>
    </row>
    <row r="62" spans="1:13" x14ac:dyDescent="0.35">
      <c r="A62" s="11">
        <v>1911</v>
      </c>
      <c r="B62" s="11">
        <v>2.7862000000000001E-2</v>
      </c>
      <c r="C62" s="11">
        <v>3.0307000000000001E-2</v>
      </c>
      <c r="D62" s="11">
        <v>3.0952E-2</v>
      </c>
      <c r="E62" s="11">
        <v>6.8255999999999997E-2</v>
      </c>
      <c r="F62" s="11">
        <v>9.3465999999999994E-2</v>
      </c>
      <c r="G62" s="11">
        <v>0.131718</v>
      </c>
      <c r="H62" s="11">
        <v>3.9616999999999999E-2</v>
      </c>
      <c r="I62" s="11">
        <v>4.5999999999999999E-2</v>
      </c>
      <c r="J62" s="11">
        <v>5.1629000000000001E-2</v>
      </c>
      <c r="K62" s="11">
        <v>8.9659000000000003E-2</v>
      </c>
      <c r="L62" s="11">
        <v>0.124186</v>
      </c>
      <c r="M62" s="11">
        <v>0.18096200000000001</v>
      </c>
    </row>
    <row r="63" spans="1:13" x14ac:dyDescent="0.35">
      <c r="A63" s="11">
        <v>1912</v>
      </c>
      <c r="B63" s="11">
        <v>2.9139000000000002E-2</v>
      </c>
      <c r="C63" s="11">
        <v>3.1715E-2</v>
      </c>
      <c r="D63" s="11">
        <v>3.2417000000000001E-2</v>
      </c>
      <c r="E63" s="11">
        <v>7.0293999999999995E-2</v>
      </c>
      <c r="F63" s="11">
        <v>9.6055000000000001E-2</v>
      </c>
      <c r="G63" s="11">
        <v>0.13528299999999999</v>
      </c>
      <c r="H63" s="11">
        <v>4.1286999999999997E-2</v>
      </c>
      <c r="I63" s="11">
        <v>4.7912000000000003E-2</v>
      </c>
      <c r="J63" s="11">
        <v>5.3756999999999999E-2</v>
      </c>
      <c r="K63" s="11">
        <v>9.2322000000000001E-2</v>
      </c>
      <c r="L63" s="11">
        <v>0.12764500000000001</v>
      </c>
      <c r="M63" s="11">
        <v>0.18587300000000001</v>
      </c>
    </row>
    <row r="64" spans="1:13" x14ac:dyDescent="0.35">
      <c r="A64" s="11">
        <v>1913</v>
      </c>
      <c r="B64" s="11">
        <v>3.0521E-2</v>
      </c>
      <c r="C64" s="11">
        <v>3.3236000000000002E-2</v>
      </c>
      <c r="D64" s="11">
        <v>3.4005000000000001E-2</v>
      </c>
      <c r="E64" s="11">
        <v>7.2432999999999997E-2</v>
      </c>
      <c r="F64" s="11">
        <v>9.8716999999999999E-2</v>
      </c>
      <c r="G64" s="11">
        <v>0.13894899999999999</v>
      </c>
      <c r="H64" s="11">
        <v>4.3128E-2</v>
      </c>
      <c r="I64" s="11">
        <v>5.0004E-2</v>
      </c>
      <c r="J64" s="11">
        <v>5.6078999999999997E-2</v>
      </c>
      <c r="K64" s="11">
        <v>9.5152E-2</v>
      </c>
      <c r="L64" s="11">
        <v>0.13123699999999999</v>
      </c>
      <c r="M64" s="11">
        <v>0.19096099999999999</v>
      </c>
    </row>
    <row r="65" spans="1:13" x14ac:dyDescent="0.35">
      <c r="A65" s="11">
        <v>1914</v>
      </c>
      <c r="B65" s="11">
        <v>3.1777E-2</v>
      </c>
      <c r="C65" s="11">
        <v>3.4611999999999997E-2</v>
      </c>
      <c r="D65" s="11">
        <v>3.5444999999999997E-2</v>
      </c>
      <c r="E65" s="11">
        <v>7.4450000000000002E-2</v>
      </c>
      <c r="F65" s="11">
        <v>0.101213</v>
      </c>
      <c r="G65" s="11">
        <v>0.14247000000000001</v>
      </c>
      <c r="H65" s="11">
        <v>4.4749999999999998E-2</v>
      </c>
      <c r="I65" s="11">
        <v>5.185E-2</v>
      </c>
      <c r="J65" s="11">
        <v>5.8164E-2</v>
      </c>
      <c r="K65" s="11">
        <v>9.7768999999999995E-2</v>
      </c>
      <c r="L65" s="11">
        <v>0.13456099999999999</v>
      </c>
      <c r="M65" s="11">
        <v>0.19581899999999999</v>
      </c>
    </row>
    <row r="66" spans="1:13" x14ac:dyDescent="0.35">
      <c r="A66" s="11">
        <v>1915</v>
      </c>
      <c r="B66" s="11">
        <v>3.3015999999999997E-2</v>
      </c>
      <c r="C66" s="11">
        <v>3.5968E-2</v>
      </c>
      <c r="D66" s="11">
        <v>3.6861999999999999E-2</v>
      </c>
      <c r="E66" s="11">
        <v>7.6433000000000001E-2</v>
      </c>
      <c r="F66" s="11">
        <v>0.103645</v>
      </c>
      <c r="G66" s="11">
        <v>0.14593600000000001</v>
      </c>
      <c r="H66" s="11">
        <v>4.6336000000000002E-2</v>
      </c>
      <c r="I66" s="11">
        <v>5.3641000000000001E-2</v>
      </c>
      <c r="J66" s="11">
        <v>6.0201999999999999E-2</v>
      </c>
      <c r="K66" s="11">
        <v>0.100332</v>
      </c>
      <c r="L66" s="11">
        <v>0.13778299999999999</v>
      </c>
      <c r="M66" s="11">
        <v>0.200602</v>
      </c>
    </row>
    <row r="67" spans="1:13" x14ac:dyDescent="0.35">
      <c r="A67" s="11">
        <v>1916</v>
      </c>
      <c r="B67" s="11">
        <v>3.4353000000000002E-2</v>
      </c>
      <c r="C67" s="11">
        <v>3.7429999999999998E-2</v>
      </c>
      <c r="D67" s="11">
        <v>3.8393999999999998E-2</v>
      </c>
      <c r="E67" s="11">
        <v>7.8504000000000004E-2</v>
      </c>
      <c r="F67" s="11">
        <v>0.106179</v>
      </c>
      <c r="G67" s="11">
        <v>0.14951</v>
      </c>
      <c r="H67" s="11">
        <v>4.8064000000000003E-2</v>
      </c>
      <c r="I67" s="11">
        <v>5.5583E-2</v>
      </c>
      <c r="J67" s="11">
        <v>6.2407999999999998E-2</v>
      </c>
      <c r="K67" s="11">
        <v>0.103029</v>
      </c>
      <c r="L67" s="11">
        <v>0.14114699999999999</v>
      </c>
      <c r="M67" s="11">
        <v>0.20555200000000001</v>
      </c>
    </row>
    <row r="68" spans="1:13" x14ac:dyDescent="0.35">
      <c r="A68" s="11">
        <v>1917</v>
      </c>
      <c r="B68" s="11">
        <v>3.5754000000000001E-2</v>
      </c>
      <c r="C68" s="11">
        <v>3.8956999999999999E-2</v>
      </c>
      <c r="D68" s="11">
        <v>3.9995000000000003E-2</v>
      </c>
      <c r="E68" s="11">
        <v>8.0629999999999993E-2</v>
      </c>
      <c r="F68" s="11">
        <v>0.10872999999999999</v>
      </c>
      <c r="G68" s="11">
        <v>0.153118</v>
      </c>
      <c r="H68" s="11">
        <v>4.9883999999999998E-2</v>
      </c>
      <c r="I68" s="11">
        <v>5.7600999999999999E-2</v>
      </c>
      <c r="J68" s="11">
        <v>6.4709000000000003E-2</v>
      </c>
      <c r="K68" s="11">
        <v>0.105808</v>
      </c>
      <c r="L68" s="11">
        <v>0.144536</v>
      </c>
      <c r="M68" s="11">
        <v>0.210565</v>
      </c>
    </row>
    <row r="69" spans="1:13" x14ac:dyDescent="0.35">
      <c r="A69" s="11">
        <v>1918</v>
      </c>
      <c r="B69" s="11">
        <v>3.7166999999999999E-2</v>
      </c>
      <c r="C69" s="11">
        <v>4.0460000000000003E-2</v>
      </c>
      <c r="D69" s="11">
        <v>4.1574E-2</v>
      </c>
      <c r="E69" s="11">
        <v>8.2777000000000003E-2</v>
      </c>
      <c r="F69" s="11">
        <v>0.111233</v>
      </c>
      <c r="G69" s="11">
        <v>0.15668399999999999</v>
      </c>
      <c r="H69" s="11">
        <v>5.1693999999999997E-2</v>
      </c>
      <c r="I69" s="11">
        <v>5.9526999999999997E-2</v>
      </c>
      <c r="J69" s="11">
        <v>6.6927E-2</v>
      </c>
      <c r="K69" s="11">
        <v>0.108588</v>
      </c>
      <c r="L69" s="11">
        <v>0.14780699999999999</v>
      </c>
      <c r="M69" s="11">
        <v>0.21548</v>
      </c>
    </row>
    <row r="70" spans="1:13" x14ac:dyDescent="0.35">
      <c r="A70" s="11">
        <v>1919</v>
      </c>
      <c r="B70" s="11">
        <v>3.8411000000000001E-2</v>
      </c>
      <c r="C70" s="11">
        <v>4.1744000000000003E-2</v>
      </c>
      <c r="D70" s="11">
        <v>4.2944000000000003E-2</v>
      </c>
      <c r="E70" s="11">
        <v>8.4741999999999998E-2</v>
      </c>
      <c r="F70" s="11">
        <v>0.113494</v>
      </c>
      <c r="G70" s="11">
        <v>0.160027</v>
      </c>
      <c r="H70" s="11">
        <v>5.3225000000000001E-2</v>
      </c>
      <c r="I70" s="11">
        <v>6.1096999999999999E-2</v>
      </c>
      <c r="J70" s="11">
        <v>6.8811999999999998E-2</v>
      </c>
      <c r="K70" s="11">
        <v>0.11107599999999999</v>
      </c>
      <c r="L70" s="11">
        <v>0.15069399999999999</v>
      </c>
      <c r="M70" s="11">
        <v>0.220051</v>
      </c>
    </row>
    <row r="71" spans="1:13" x14ac:dyDescent="0.35">
      <c r="A71" s="11">
        <v>1920</v>
      </c>
      <c r="B71" s="11">
        <v>3.9830999999999998E-2</v>
      </c>
      <c r="C71" s="11">
        <v>4.3237999999999999E-2</v>
      </c>
      <c r="D71" s="11">
        <v>4.4540999999999997E-2</v>
      </c>
      <c r="E71" s="11">
        <v>8.6888000000000007E-2</v>
      </c>
      <c r="F71" s="11">
        <v>0.116034</v>
      </c>
      <c r="G71" s="11">
        <v>0.163774</v>
      </c>
      <c r="H71" s="11">
        <v>5.5009000000000002E-2</v>
      </c>
      <c r="I71" s="11">
        <v>6.2952999999999995E-2</v>
      </c>
      <c r="J71" s="11">
        <v>7.1007000000000001E-2</v>
      </c>
      <c r="K71" s="11">
        <v>0.11382200000000001</v>
      </c>
      <c r="L71" s="11">
        <v>0.15393200000000001</v>
      </c>
      <c r="M71" s="11">
        <v>0.22511300000000001</v>
      </c>
    </row>
    <row r="72" spans="1:13" x14ac:dyDescent="0.35">
      <c r="A72" s="11">
        <v>1921</v>
      </c>
      <c r="B72" s="11">
        <v>4.1049000000000002E-2</v>
      </c>
      <c r="C72" s="11">
        <v>4.453E-2</v>
      </c>
      <c r="D72" s="11">
        <v>4.5943999999999999E-2</v>
      </c>
      <c r="E72" s="11">
        <v>8.8848999999999997E-2</v>
      </c>
      <c r="F72" s="11">
        <v>0.118412</v>
      </c>
      <c r="G72" s="11">
        <v>0.16742000000000001</v>
      </c>
      <c r="H72" s="11">
        <v>5.6453000000000003E-2</v>
      </c>
      <c r="I72" s="11">
        <v>6.4463000000000006E-2</v>
      </c>
      <c r="J72" s="11">
        <v>7.2870000000000004E-2</v>
      </c>
      <c r="K72" s="11">
        <v>0.116245</v>
      </c>
      <c r="L72" s="11">
        <v>0.156863</v>
      </c>
      <c r="M72" s="11">
        <v>0.22994899999999999</v>
      </c>
    </row>
    <row r="73" spans="1:13" x14ac:dyDescent="0.35">
      <c r="A73" s="11">
        <v>1922</v>
      </c>
      <c r="B73" s="11">
        <v>4.2333999999999997E-2</v>
      </c>
      <c r="C73" s="11">
        <v>4.589E-2</v>
      </c>
      <c r="D73" s="11">
        <v>4.7413999999999998E-2</v>
      </c>
      <c r="E73" s="11">
        <v>9.0880000000000002E-2</v>
      </c>
      <c r="F73" s="11">
        <v>0.120869</v>
      </c>
      <c r="G73" s="11">
        <v>0.17116600000000001</v>
      </c>
      <c r="H73" s="11">
        <v>5.8009999999999999E-2</v>
      </c>
      <c r="I73" s="11">
        <v>6.6088999999999995E-2</v>
      </c>
      <c r="J73" s="11">
        <v>7.4859999999999996E-2</v>
      </c>
      <c r="K73" s="11">
        <v>0.118786</v>
      </c>
      <c r="L73" s="11">
        <v>0.159918</v>
      </c>
      <c r="M73" s="11">
        <v>0.234955</v>
      </c>
    </row>
    <row r="74" spans="1:13" x14ac:dyDescent="0.35">
      <c r="A74" s="11">
        <v>1923</v>
      </c>
      <c r="B74" s="11">
        <v>4.3816000000000001E-2</v>
      </c>
      <c r="C74" s="11">
        <v>4.7444E-2</v>
      </c>
      <c r="D74" s="11">
        <v>4.9081E-2</v>
      </c>
      <c r="E74" s="11">
        <v>9.3091999999999994E-2</v>
      </c>
      <c r="F74" s="11">
        <v>0.123526</v>
      </c>
      <c r="G74" s="11">
        <v>0.17515900000000001</v>
      </c>
      <c r="H74" s="11">
        <v>5.9838000000000002E-2</v>
      </c>
      <c r="I74" s="11">
        <v>6.7984000000000003E-2</v>
      </c>
      <c r="J74" s="11">
        <v>7.7134999999999995E-2</v>
      </c>
      <c r="K74" s="11">
        <v>0.12157999999999999</v>
      </c>
      <c r="L74" s="11">
        <v>0.163247</v>
      </c>
      <c r="M74" s="11">
        <v>0.24030799999999999</v>
      </c>
    </row>
    <row r="75" spans="1:13" x14ac:dyDescent="0.35">
      <c r="A75" s="11">
        <v>1924</v>
      </c>
      <c r="B75" s="11">
        <v>4.5293E-2</v>
      </c>
      <c r="C75" s="11">
        <v>4.8999000000000001E-2</v>
      </c>
      <c r="D75" s="11">
        <v>5.0755000000000002E-2</v>
      </c>
      <c r="E75" s="11">
        <v>9.5291000000000001E-2</v>
      </c>
      <c r="F75" s="11">
        <v>0.12614400000000001</v>
      </c>
      <c r="G75" s="11">
        <v>0.17913299999999999</v>
      </c>
      <c r="H75" s="11">
        <v>6.1663000000000003E-2</v>
      </c>
      <c r="I75" s="11">
        <v>6.9884000000000002E-2</v>
      </c>
      <c r="J75" s="11">
        <v>7.9434000000000005E-2</v>
      </c>
      <c r="K75" s="11">
        <v>0.124364</v>
      </c>
      <c r="L75" s="11">
        <v>0.166542</v>
      </c>
      <c r="M75" s="11">
        <v>0.245672</v>
      </c>
    </row>
    <row r="76" spans="1:13" x14ac:dyDescent="0.35">
      <c r="A76" s="11">
        <v>1925</v>
      </c>
      <c r="B76" s="11">
        <v>4.6786000000000001E-2</v>
      </c>
      <c r="C76" s="11">
        <v>5.0567000000000001E-2</v>
      </c>
      <c r="D76" s="11">
        <v>5.2439E-2</v>
      </c>
      <c r="E76" s="11">
        <v>9.7511E-2</v>
      </c>
      <c r="F76" s="11">
        <v>0.12881899999999999</v>
      </c>
      <c r="G76" s="11">
        <v>0.18317900000000001</v>
      </c>
      <c r="H76" s="11">
        <v>6.3477000000000006E-2</v>
      </c>
      <c r="I76" s="11">
        <v>7.1776999999999994E-2</v>
      </c>
      <c r="J76" s="11">
        <v>8.1733E-2</v>
      </c>
      <c r="K76" s="11">
        <v>0.127141</v>
      </c>
      <c r="L76" s="11">
        <v>0.16986999999999999</v>
      </c>
      <c r="M76" s="11">
        <v>0.25110900000000003</v>
      </c>
    </row>
    <row r="77" spans="1:13" x14ac:dyDescent="0.35">
      <c r="A77" s="11">
        <v>1926</v>
      </c>
      <c r="B77" s="11">
        <v>4.8240999999999999E-2</v>
      </c>
      <c r="C77" s="11">
        <v>5.2110999999999998E-2</v>
      </c>
      <c r="D77" s="11">
        <v>5.4094999999999997E-2</v>
      </c>
      <c r="E77" s="11">
        <v>9.9682000000000007E-2</v>
      </c>
      <c r="F77" s="11">
        <v>0.131465</v>
      </c>
      <c r="G77" s="11">
        <v>0.18720500000000001</v>
      </c>
      <c r="H77" s="11">
        <v>6.5189999999999998E-2</v>
      </c>
      <c r="I77" s="11">
        <v>7.3587E-2</v>
      </c>
      <c r="J77" s="11">
        <v>8.3948999999999996E-2</v>
      </c>
      <c r="K77" s="11">
        <v>0.12980700000000001</v>
      </c>
      <c r="L77" s="11">
        <v>0.17310900000000001</v>
      </c>
      <c r="M77" s="11">
        <v>0.25648199999999999</v>
      </c>
    </row>
    <row r="78" spans="1:13" x14ac:dyDescent="0.35">
      <c r="A78" s="11">
        <v>1927</v>
      </c>
      <c r="B78" s="11">
        <v>4.9831E-2</v>
      </c>
      <c r="C78" s="11">
        <v>5.3804999999999999E-2</v>
      </c>
      <c r="D78" s="11">
        <v>5.5902E-2</v>
      </c>
      <c r="E78" s="11">
        <v>0.10197000000000001</v>
      </c>
      <c r="F78" s="11">
        <v>0.13424800000000001</v>
      </c>
      <c r="G78" s="11">
        <v>0.191384</v>
      </c>
      <c r="H78" s="11">
        <v>6.7059999999999995E-2</v>
      </c>
      <c r="I78" s="11">
        <v>7.5577000000000005E-2</v>
      </c>
      <c r="J78" s="11">
        <v>8.6359000000000005E-2</v>
      </c>
      <c r="K78" s="11">
        <v>0.13261400000000001</v>
      </c>
      <c r="L78" s="11">
        <v>0.176513</v>
      </c>
      <c r="M78" s="11">
        <v>0.26206299999999999</v>
      </c>
    </row>
    <row r="79" spans="1:13" x14ac:dyDescent="0.35">
      <c r="A79" s="11">
        <v>1928</v>
      </c>
      <c r="B79" s="11">
        <v>5.1402999999999997E-2</v>
      </c>
      <c r="C79" s="11">
        <v>5.5488999999999997E-2</v>
      </c>
      <c r="D79" s="11">
        <v>5.7702000000000003E-2</v>
      </c>
      <c r="E79" s="11">
        <v>0.10423499999999999</v>
      </c>
      <c r="F79" s="11">
        <v>0.13702</v>
      </c>
      <c r="G79" s="11">
        <v>0.19558</v>
      </c>
      <c r="H79" s="11">
        <v>6.8926000000000001E-2</v>
      </c>
      <c r="I79" s="11">
        <v>7.7572000000000002E-2</v>
      </c>
      <c r="J79" s="11">
        <v>8.8787000000000005E-2</v>
      </c>
      <c r="K79" s="11">
        <v>0.13541</v>
      </c>
      <c r="L79" s="11">
        <v>0.179919</v>
      </c>
      <c r="M79" s="11">
        <v>0.26769700000000002</v>
      </c>
    </row>
    <row r="80" spans="1:13" x14ac:dyDescent="0.35">
      <c r="A80" s="11">
        <v>1929</v>
      </c>
      <c r="B80" s="11">
        <v>5.3089999999999998E-2</v>
      </c>
      <c r="C80" s="11">
        <v>5.7299999999999997E-2</v>
      </c>
      <c r="D80" s="11">
        <v>5.9632999999999999E-2</v>
      </c>
      <c r="E80" s="11">
        <v>0.10660600000000001</v>
      </c>
      <c r="F80" s="11">
        <v>0.13993800000000001</v>
      </c>
      <c r="G80" s="11">
        <v>0.199932</v>
      </c>
      <c r="H80" s="11">
        <v>7.0938000000000001E-2</v>
      </c>
      <c r="I80" s="11">
        <v>7.9732999999999998E-2</v>
      </c>
      <c r="J80" s="11">
        <v>9.1399999999999995E-2</v>
      </c>
      <c r="K80" s="11">
        <v>0.138345</v>
      </c>
      <c r="L80" s="11">
        <v>0.183508</v>
      </c>
      <c r="M80" s="11">
        <v>0.27355299999999999</v>
      </c>
    </row>
    <row r="81" spans="1:13" x14ac:dyDescent="0.35">
      <c r="A81" s="11">
        <v>1930</v>
      </c>
      <c r="B81" s="11">
        <v>5.4622999999999998E-2</v>
      </c>
      <c r="C81" s="11">
        <v>5.8964000000000003E-2</v>
      </c>
      <c r="D81" s="11">
        <v>6.1415999999999998E-2</v>
      </c>
      <c r="E81" s="11">
        <v>0.108778</v>
      </c>
      <c r="F81" s="11">
        <v>0.142734</v>
      </c>
      <c r="G81" s="11">
        <v>0.20416100000000001</v>
      </c>
      <c r="H81" s="11">
        <v>7.2701000000000002E-2</v>
      </c>
      <c r="I81" s="11">
        <v>8.1679000000000002E-2</v>
      </c>
      <c r="J81" s="11">
        <v>9.3807000000000001E-2</v>
      </c>
      <c r="K81" s="11">
        <v>0.140985</v>
      </c>
      <c r="L81" s="11">
        <v>0.18690699999999999</v>
      </c>
      <c r="M81" s="11">
        <v>0.27923799999999999</v>
      </c>
    </row>
    <row r="82" spans="1:13" x14ac:dyDescent="0.35">
      <c r="A82" s="11">
        <v>1931</v>
      </c>
      <c r="B82" s="11">
        <v>5.5961999999999998E-2</v>
      </c>
      <c r="C82" s="11">
        <v>6.0443999999999998E-2</v>
      </c>
      <c r="D82" s="11">
        <v>6.3008999999999996E-2</v>
      </c>
      <c r="E82" s="11">
        <v>0.110747</v>
      </c>
      <c r="F82" s="11">
        <v>0.145369</v>
      </c>
      <c r="G82" s="11">
        <v>0.20824000000000001</v>
      </c>
      <c r="H82" s="11">
        <v>7.4163000000000007E-2</v>
      </c>
      <c r="I82" s="11">
        <v>8.3354999999999999E-2</v>
      </c>
      <c r="J82" s="11">
        <v>9.5937999999999996E-2</v>
      </c>
      <c r="K82" s="11">
        <v>0.143316</v>
      </c>
      <c r="L82" s="11">
        <v>0.19006400000000001</v>
      </c>
      <c r="M82" s="11">
        <v>0.28470200000000001</v>
      </c>
    </row>
    <row r="83" spans="1:13" x14ac:dyDescent="0.35">
      <c r="A83" s="11">
        <v>1932</v>
      </c>
      <c r="B83" s="11">
        <v>5.7145000000000001E-2</v>
      </c>
      <c r="C83" s="11">
        <v>6.1768000000000003E-2</v>
      </c>
      <c r="D83" s="11">
        <v>6.4447000000000004E-2</v>
      </c>
      <c r="E83" s="11">
        <v>0.11253299999999999</v>
      </c>
      <c r="F83" s="11">
        <v>0.147842</v>
      </c>
      <c r="G83" s="11">
        <v>0.21218100000000001</v>
      </c>
      <c r="H83" s="11">
        <v>7.5368000000000004E-2</v>
      </c>
      <c r="I83" s="11">
        <v>8.4769999999999998E-2</v>
      </c>
      <c r="J83" s="11">
        <v>9.7842999999999999E-2</v>
      </c>
      <c r="K83" s="11">
        <v>0.14536299999999999</v>
      </c>
      <c r="L83" s="11">
        <v>0.192964</v>
      </c>
      <c r="M83" s="11">
        <v>0.28997400000000001</v>
      </c>
    </row>
    <row r="84" spans="1:13" x14ac:dyDescent="0.35">
      <c r="A84" s="11">
        <v>1933</v>
      </c>
      <c r="B84" s="11">
        <v>5.8388000000000002E-2</v>
      </c>
      <c r="C84" s="11">
        <v>6.3160999999999995E-2</v>
      </c>
      <c r="D84" s="11">
        <v>6.5962000000000007E-2</v>
      </c>
      <c r="E84" s="11">
        <v>0.11436300000000001</v>
      </c>
      <c r="F84" s="11">
        <v>0.150366</v>
      </c>
      <c r="G84" s="11">
        <v>0.21617800000000001</v>
      </c>
      <c r="H84" s="11">
        <v>7.6608999999999997E-2</v>
      </c>
      <c r="I84" s="11">
        <v>8.6235000000000006E-2</v>
      </c>
      <c r="J84" s="11">
        <v>9.9818000000000004E-2</v>
      </c>
      <c r="K84" s="11">
        <v>0.14743200000000001</v>
      </c>
      <c r="L84" s="11">
        <v>0.19590299999999999</v>
      </c>
      <c r="M84" s="11">
        <v>0.29531099999999999</v>
      </c>
    </row>
    <row r="85" spans="1:13" x14ac:dyDescent="0.35">
      <c r="A85" s="11">
        <v>1934</v>
      </c>
      <c r="B85" s="11">
        <v>5.9722999999999998E-2</v>
      </c>
      <c r="C85" s="11">
        <v>6.4669000000000004E-2</v>
      </c>
      <c r="D85" s="11">
        <v>6.7608000000000001E-2</v>
      </c>
      <c r="E85" s="11">
        <v>0.116281</v>
      </c>
      <c r="F85" s="11">
        <v>0.15300800000000001</v>
      </c>
      <c r="G85" s="11">
        <v>0.220331</v>
      </c>
      <c r="H85" s="11">
        <v>7.8056E-2</v>
      </c>
      <c r="I85" s="11">
        <v>8.7964000000000001E-2</v>
      </c>
      <c r="J85" s="11">
        <v>0.10209500000000001</v>
      </c>
      <c r="K85" s="11">
        <v>0.149702</v>
      </c>
      <c r="L85" s="11">
        <v>0.19911599999999999</v>
      </c>
      <c r="M85" s="11">
        <v>0.30098900000000001</v>
      </c>
    </row>
    <row r="86" spans="1:13" x14ac:dyDescent="0.35">
      <c r="A86" s="11">
        <v>1935</v>
      </c>
      <c r="B86" s="11">
        <v>6.1109999999999998E-2</v>
      </c>
      <c r="C86" s="11">
        <v>6.6243999999999997E-2</v>
      </c>
      <c r="D86" s="11">
        <v>6.9334999999999994E-2</v>
      </c>
      <c r="E86" s="11">
        <v>0.118229</v>
      </c>
      <c r="F86" s="11">
        <v>0.15571399999999999</v>
      </c>
      <c r="G86" s="11">
        <v>0.22453699999999999</v>
      </c>
      <c r="H86" s="11">
        <v>7.9577999999999996E-2</v>
      </c>
      <c r="I86" s="11">
        <v>8.9804999999999996E-2</v>
      </c>
      <c r="J86" s="11">
        <v>0.104522</v>
      </c>
      <c r="K86" s="11">
        <v>0.15202599999999999</v>
      </c>
      <c r="L86" s="11">
        <v>0.20244599999999999</v>
      </c>
      <c r="M86" s="11">
        <v>0.30680400000000002</v>
      </c>
    </row>
    <row r="87" spans="1:13" x14ac:dyDescent="0.35">
      <c r="A87" s="11">
        <v>1936</v>
      </c>
      <c r="B87" s="11">
        <v>6.2631000000000006E-2</v>
      </c>
      <c r="C87" s="11">
        <v>6.7976999999999996E-2</v>
      </c>
      <c r="D87" s="11">
        <v>7.1230000000000002E-2</v>
      </c>
      <c r="E87" s="11">
        <v>0.120305</v>
      </c>
      <c r="F87" s="11">
        <v>0.15860199999999999</v>
      </c>
      <c r="G87" s="11">
        <v>0.22897000000000001</v>
      </c>
      <c r="H87" s="11">
        <v>8.1251000000000004E-2</v>
      </c>
      <c r="I87" s="11">
        <v>9.1843999999999995E-2</v>
      </c>
      <c r="J87" s="11">
        <v>0.107167</v>
      </c>
      <c r="K87" s="11">
        <v>0.154501</v>
      </c>
      <c r="L87" s="11">
        <v>0.206008</v>
      </c>
      <c r="M87" s="11">
        <v>0.31292599999999998</v>
      </c>
    </row>
    <row r="88" spans="1:13" x14ac:dyDescent="0.35">
      <c r="A88" s="11">
        <v>1937</v>
      </c>
      <c r="B88" s="11">
        <v>6.4258999999999997E-2</v>
      </c>
      <c r="C88" s="11">
        <v>6.9824999999999998E-2</v>
      </c>
      <c r="D88" s="11">
        <v>7.3255000000000001E-2</v>
      </c>
      <c r="E88" s="11">
        <v>0.12246799999999999</v>
      </c>
      <c r="F88" s="11">
        <v>0.16158600000000001</v>
      </c>
      <c r="G88" s="11">
        <v>0.23352500000000001</v>
      </c>
      <c r="H88" s="11">
        <v>8.3044000000000007E-2</v>
      </c>
      <c r="I88" s="11">
        <v>9.4026999999999999E-2</v>
      </c>
      <c r="J88" s="11">
        <v>0.10997899999999999</v>
      </c>
      <c r="K88" s="11">
        <v>0.157079</v>
      </c>
      <c r="L88" s="11">
        <v>0.209706</v>
      </c>
      <c r="M88" s="11">
        <v>0.31923699999999999</v>
      </c>
    </row>
    <row r="89" spans="1:13" x14ac:dyDescent="0.35">
      <c r="A89" s="11">
        <v>1938</v>
      </c>
      <c r="B89" s="11">
        <v>6.5753000000000006E-2</v>
      </c>
      <c r="C89" s="11">
        <v>7.1552000000000004E-2</v>
      </c>
      <c r="D89" s="11">
        <v>7.5160000000000005E-2</v>
      </c>
      <c r="E89" s="11">
        <v>0.124491</v>
      </c>
      <c r="F89" s="11">
        <v>0.16445699999999999</v>
      </c>
      <c r="G89" s="11">
        <v>0.23797699999999999</v>
      </c>
      <c r="H89" s="11">
        <v>8.4639000000000006E-2</v>
      </c>
      <c r="I89" s="11">
        <v>9.6076999999999996E-2</v>
      </c>
      <c r="J89" s="11">
        <v>0.11267199999999999</v>
      </c>
      <c r="K89" s="11">
        <v>0.15945899999999999</v>
      </c>
      <c r="L89" s="11">
        <v>0.21328800000000001</v>
      </c>
      <c r="M89" s="11">
        <v>0.32547599999999999</v>
      </c>
    </row>
    <row r="90" spans="1:13" x14ac:dyDescent="0.35">
      <c r="A90" s="11">
        <v>1939</v>
      </c>
      <c r="B90" s="11">
        <v>6.7341999999999999E-2</v>
      </c>
      <c r="C90" s="11">
        <v>7.3373999999999995E-2</v>
      </c>
      <c r="D90" s="11">
        <v>7.7173000000000005E-2</v>
      </c>
      <c r="E90" s="11">
        <v>0.12659500000000001</v>
      </c>
      <c r="F90" s="11">
        <v>0.16741</v>
      </c>
      <c r="G90" s="11">
        <v>0.24252399999999999</v>
      </c>
      <c r="H90" s="11">
        <v>8.6444999999999994E-2</v>
      </c>
      <c r="I90" s="11">
        <v>9.8361000000000004E-2</v>
      </c>
      <c r="J90" s="11">
        <v>0.11562</v>
      </c>
      <c r="K90" s="11">
        <v>0.16204199999999999</v>
      </c>
      <c r="L90" s="11">
        <v>0.21710199999999999</v>
      </c>
      <c r="M90" s="11">
        <v>0.33198699999999998</v>
      </c>
    </row>
    <row r="91" spans="1:13" x14ac:dyDescent="0.35">
      <c r="A91" s="11">
        <v>1940</v>
      </c>
      <c r="B91" s="11">
        <v>6.9012000000000004E-2</v>
      </c>
      <c r="C91" s="11">
        <v>7.5366000000000002E-2</v>
      </c>
      <c r="D91" s="11">
        <v>7.9372999999999999E-2</v>
      </c>
      <c r="E91" s="11">
        <v>0.12878899999999999</v>
      </c>
      <c r="F91" s="11">
        <v>0.17039799999999999</v>
      </c>
      <c r="G91" s="11">
        <v>0.247305</v>
      </c>
      <c r="H91" s="11">
        <v>8.8264999999999996E-2</v>
      </c>
      <c r="I91" s="11">
        <v>0.100789</v>
      </c>
      <c r="J91" s="11">
        <v>0.11873300000000001</v>
      </c>
      <c r="K91" s="11">
        <v>0.16465099999999999</v>
      </c>
      <c r="L91" s="11">
        <v>0.22093699999999999</v>
      </c>
      <c r="M91" s="11">
        <v>0.33874300000000002</v>
      </c>
    </row>
    <row r="92" spans="1:13" x14ac:dyDescent="0.35">
      <c r="A92" s="11">
        <v>1941</v>
      </c>
      <c r="B92" s="11">
        <v>7.0758000000000001E-2</v>
      </c>
      <c r="C92" s="11">
        <v>7.7410000000000007E-2</v>
      </c>
      <c r="D92" s="11">
        <v>8.1624000000000002E-2</v>
      </c>
      <c r="E92" s="11">
        <v>0.13105900000000001</v>
      </c>
      <c r="F92" s="11">
        <v>0.17338300000000001</v>
      </c>
      <c r="G92" s="11">
        <v>0.25220399999999998</v>
      </c>
      <c r="H92" s="11">
        <v>9.0332999999999997E-2</v>
      </c>
      <c r="I92" s="11">
        <v>0.103418</v>
      </c>
      <c r="J92" s="11">
        <v>0.12206400000000001</v>
      </c>
      <c r="K92" s="11">
        <v>0.167519</v>
      </c>
      <c r="L92" s="11">
        <v>0.22492500000000001</v>
      </c>
      <c r="M92" s="11">
        <v>0.34581299999999998</v>
      </c>
    </row>
    <row r="93" spans="1:13" x14ac:dyDescent="0.35">
      <c r="A93" s="11">
        <v>1942</v>
      </c>
      <c r="B93" s="11">
        <v>7.2572999999999999E-2</v>
      </c>
      <c r="C93" s="11">
        <v>7.9458000000000001E-2</v>
      </c>
      <c r="D93" s="11">
        <v>8.3867999999999998E-2</v>
      </c>
      <c r="E93" s="11">
        <v>0.13340099999999999</v>
      </c>
      <c r="F93" s="11">
        <v>0.176319</v>
      </c>
      <c r="G93" s="11">
        <v>0.25710100000000002</v>
      </c>
      <c r="H93" s="11">
        <v>9.2474000000000001E-2</v>
      </c>
      <c r="I93" s="11">
        <v>0.106015</v>
      </c>
      <c r="J93" s="11">
        <v>0.12534300000000001</v>
      </c>
      <c r="K93" s="11">
        <v>0.17047699999999999</v>
      </c>
      <c r="L93" s="11">
        <v>0.22883700000000001</v>
      </c>
      <c r="M93" s="11">
        <v>0.35287600000000002</v>
      </c>
    </row>
    <row r="94" spans="1:13" x14ac:dyDescent="0.35">
      <c r="A94" s="11">
        <v>1943</v>
      </c>
      <c r="B94" s="11">
        <v>7.4418999999999999E-2</v>
      </c>
      <c r="C94" s="11">
        <v>8.1550999999999998E-2</v>
      </c>
      <c r="D94" s="11">
        <v>8.6152999999999993E-2</v>
      </c>
      <c r="E94" s="11">
        <v>0.135766</v>
      </c>
      <c r="F94" s="11">
        <v>0.179254</v>
      </c>
      <c r="G94" s="11">
        <v>0.26203500000000002</v>
      </c>
      <c r="H94" s="11">
        <v>9.4571000000000002E-2</v>
      </c>
      <c r="I94" s="11">
        <v>0.108601</v>
      </c>
      <c r="J94" s="11">
        <v>0.12861700000000001</v>
      </c>
      <c r="K94" s="11">
        <v>0.173399</v>
      </c>
      <c r="L94" s="11">
        <v>0.23270399999999999</v>
      </c>
      <c r="M94" s="11">
        <v>0.35997600000000002</v>
      </c>
    </row>
    <row r="95" spans="1:13" x14ac:dyDescent="0.35">
      <c r="A95" s="11">
        <v>1944</v>
      </c>
      <c r="B95" s="11">
        <v>7.6260999999999995E-2</v>
      </c>
      <c r="C95" s="11">
        <v>8.3672999999999997E-2</v>
      </c>
      <c r="D95" s="11">
        <v>8.8478000000000001E-2</v>
      </c>
      <c r="E95" s="11">
        <v>0.138126</v>
      </c>
      <c r="F95" s="11">
        <v>0.18216399999999999</v>
      </c>
      <c r="G95" s="11">
        <v>0.26697700000000002</v>
      </c>
      <c r="H95" s="11">
        <v>9.6665000000000001E-2</v>
      </c>
      <c r="I95" s="11">
        <v>0.11121499999999999</v>
      </c>
      <c r="J95" s="11">
        <v>0.13194700000000001</v>
      </c>
      <c r="K95" s="11">
        <v>0.17633399999999999</v>
      </c>
      <c r="L95" s="11">
        <v>0.23656199999999999</v>
      </c>
      <c r="M95" s="11">
        <v>0.36715100000000001</v>
      </c>
    </row>
    <row r="96" spans="1:13" x14ac:dyDescent="0.35">
      <c r="A96" s="11">
        <v>1945</v>
      </c>
      <c r="B96" s="11">
        <v>7.7798999999999993E-2</v>
      </c>
      <c r="C96" s="11">
        <v>8.5420999999999997E-2</v>
      </c>
      <c r="D96" s="11">
        <v>9.0410000000000004E-2</v>
      </c>
      <c r="E96" s="11">
        <v>0.140179</v>
      </c>
      <c r="F96" s="11">
        <v>0.18468300000000001</v>
      </c>
      <c r="G96" s="11">
        <v>0.27154299999999998</v>
      </c>
      <c r="H96" s="11">
        <v>9.8366999999999996E-2</v>
      </c>
      <c r="I96" s="11">
        <v>0.1133</v>
      </c>
      <c r="J96" s="11">
        <v>0.13474</v>
      </c>
      <c r="K96" s="11">
        <v>0.178893</v>
      </c>
      <c r="L96" s="11">
        <v>0.23988899999999999</v>
      </c>
      <c r="M96" s="11">
        <v>0.37386000000000003</v>
      </c>
    </row>
    <row r="97" spans="1:13" x14ac:dyDescent="0.35">
      <c r="A97" s="11">
        <v>1946</v>
      </c>
      <c r="B97" s="11">
        <v>7.9424999999999996E-2</v>
      </c>
      <c r="C97" s="11">
        <v>8.7302000000000005E-2</v>
      </c>
      <c r="D97" s="11">
        <v>9.2484999999999998E-2</v>
      </c>
      <c r="E97" s="11">
        <v>0.142319</v>
      </c>
      <c r="F97" s="11">
        <v>0.18729799999999999</v>
      </c>
      <c r="G97" s="11">
        <v>0.27623500000000001</v>
      </c>
      <c r="H97" s="11">
        <v>0.100219</v>
      </c>
      <c r="I97" s="11">
        <v>0.115591</v>
      </c>
      <c r="J97" s="11">
        <v>0.13782900000000001</v>
      </c>
      <c r="K97" s="11">
        <v>0.181618</v>
      </c>
      <c r="L97" s="11">
        <v>0.24340100000000001</v>
      </c>
      <c r="M97" s="11">
        <v>0.38090400000000002</v>
      </c>
    </row>
    <row r="98" spans="1:13" x14ac:dyDescent="0.35">
      <c r="A98" s="11">
        <v>1947</v>
      </c>
      <c r="B98" s="11">
        <v>8.1242999999999996E-2</v>
      </c>
      <c r="C98" s="11">
        <v>8.9407E-2</v>
      </c>
      <c r="D98" s="11">
        <v>9.4811000000000006E-2</v>
      </c>
      <c r="E98" s="11">
        <v>0.144645</v>
      </c>
      <c r="F98" s="11">
        <v>0.19009499999999999</v>
      </c>
      <c r="G98" s="11">
        <v>0.28115499999999999</v>
      </c>
      <c r="H98" s="11">
        <v>0.10233</v>
      </c>
      <c r="I98" s="11">
        <v>0.118188</v>
      </c>
      <c r="J98" s="11">
        <v>0.14122799999999999</v>
      </c>
      <c r="K98" s="11">
        <v>0.184614</v>
      </c>
      <c r="L98" s="11">
        <v>0.247194</v>
      </c>
      <c r="M98" s="11">
        <v>0.38828699999999999</v>
      </c>
    </row>
    <row r="99" spans="1:13" x14ac:dyDescent="0.35">
      <c r="A99" s="11">
        <v>1948</v>
      </c>
      <c r="B99" s="11">
        <v>8.3169000000000007E-2</v>
      </c>
      <c r="C99" s="11">
        <v>9.1638999999999998E-2</v>
      </c>
      <c r="D99" s="11">
        <v>9.7264000000000003E-2</v>
      </c>
      <c r="E99" s="11">
        <v>0.14707500000000001</v>
      </c>
      <c r="F99" s="11">
        <v>0.19298199999999999</v>
      </c>
      <c r="G99" s="11">
        <v>0.28617900000000002</v>
      </c>
      <c r="H99" s="11">
        <v>0.104631</v>
      </c>
      <c r="I99" s="11">
        <v>0.121003</v>
      </c>
      <c r="J99" s="11">
        <v>0.14479700000000001</v>
      </c>
      <c r="K99" s="11">
        <v>0.18781400000000001</v>
      </c>
      <c r="L99" s="11">
        <v>0.25118200000000002</v>
      </c>
      <c r="M99" s="11">
        <v>0.39586700000000002</v>
      </c>
    </row>
    <row r="100" spans="1:13" x14ac:dyDescent="0.35">
      <c r="A100" s="11">
        <v>1949</v>
      </c>
      <c r="B100" s="11">
        <v>8.4946999999999995E-2</v>
      </c>
      <c r="C100" s="11">
        <v>9.3762999999999999E-2</v>
      </c>
      <c r="D100" s="11">
        <v>9.9608000000000002E-2</v>
      </c>
      <c r="E100" s="11">
        <v>0.14934500000000001</v>
      </c>
      <c r="F100" s="11">
        <v>0.195713</v>
      </c>
      <c r="G100" s="11">
        <v>0.291074</v>
      </c>
      <c r="H100" s="11">
        <v>0.106697</v>
      </c>
      <c r="I100" s="11">
        <v>0.12364</v>
      </c>
      <c r="J100" s="11">
        <v>0.148203</v>
      </c>
      <c r="K100" s="11">
        <v>0.19078000000000001</v>
      </c>
      <c r="L100" s="11">
        <v>0.25495499999999999</v>
      </c>
      <c r="M100" s="11">
        <v>0.40330899999999997</v>
      </c>
    </row>
    <row r="101" spans="1:13" x14ac:dyDescent="0.35">
      <c r="A101" s="11">
        <v>1950</v>
      </c>
      <c r="B101" s="11">
        <v>8.6929000000000006E-2</v>
      </c>
      <c r="C101" s="11">
        <v>9.6119999999999997E-2</v>
      </c>
      <c r="D101" s="11">
        <v>0.10222000000000001</v>
      </c>
      <c r="E101" s="11">
        <v>0.15182100000000001</v>
      </c>
      <c r="F101" s="11">
        <v>0.19877800000000001</v>
      </c>
      <c r="G101" s="11">
        <v>0.296676</v>
      </c>
      <c r="H101" s="11">
        <v>0.109126</v>
      </c>
      <c r="I101" s="11">
        <v>0.12665999999999999</v>
      </c>
      <c r="J101" s="11">
        <v>0.15202199999999999</v>
      </c>
      <c r="K101" s="11">
        <v>0.19412499999999999</v>
      </c>
      <c r="L101" s="11">
        <v>0.25922000000000001</v>
      </c>
      <c r="M101" s="11">
        <v>0.411638</v>
      </c>
    </row>
    <row r="102" spans="1:13" x14ac:dyDescent="0.35">
      <c r="A102" s="11">
        <v>1951</v>
      </c>
      <c r="B102" s="11">
        <v>8.9039999999999994E-2</v>
      </c>
      <c r="C102" s="11">
        <v>9.8639000000000004E-2</v>
      </c>
      <c r="D102" s="11">
        <v>0.10502300000000001</v>
      </c>
      <c r="E102" s="11">
        <v>0.15440699999999999</v>
      </c>
      <c r="F102" s="11">
        <v>0.20204</v>
      </c>
      <c r="G102" s="11">
        <v>0.30271399999999998</v>
      </c>
      <c r="H102" s="11">
        <v>0.11186</v>
      </c>
      <c r="I102" s="11">
        <v>0.130019</v>
      </c>
      <c r="J102" s="11">
        <v>0.15623999999999999</v>
      </c>
      <c r="K102" s="11">
        <v>0.197769</v>
      </c>
      <c r="L102" s="11">
        <v>0.26387699999999997</v>
      </c>
      <c r="M102" s="11">
        <v>0.42067399999999999</v>
      </c>
    </row>
    <row r="103" spans="1:13" x14ac:dyDescent="0.35">
      <c r="A103" s="11">
        <v>1952</v>
      </c>
      <c r="B103" s="11">
        <v>9.1131000000000004E-2</v>
      </c>
      <c r="C103" s="11">
        <v>0.10116700000000001</v>
      </c>
      <c r="D103" s="11">
        <v>0.107865</v>
      </c>
      <c r="E103" s="11">
        <v>0.15697900000000001</v>
      </c>
      <c r="F103" s="11">
        <v>0.205345</v>
      </c>
      <c r="G103" s="11">
        <v>0.30881399999999998</v>
      </c>
      <c r="H103" s="11">
        <v>0.114662</v>
      </c>
      <c r="I103" s="11">
        <v>0.13349800000000001</v>
      </c>
      <c r="J103" s="11">
        <v>0.160605</v>
      </c>
      <c r="K103" s="11">
        <v>0.20150199999999999</v>
      </c>
      <c r="L103" s="11">
        <v>0.26870100000000002</v>
      </c>
      <c r="M103" s="11">
        <v>0.42994399999999999</v>
      </c>
    </row>
    <row r="104" spans="1:13" x14ac:dyDescent="0.35">
      <c r="A104" s="11">
        <v>1953</v>
      </c>
      <c r="B104" s="11">
        <v>9.3264E-2</v>
      </c>
      <c r="C104" s="11">
        <v>0.103768</v>
      </c>
      <c r="D104" s="11">
        <v>0.110786</v>
      </c>
      <c r="E104" s="11">
        <v>0.159583</v>
      </c>
      <c r="F104" s="11">
        <v>0.20873700000000001</v>
      </c>
      <c r="G104" s="11">
        <v>0.315054</v>
      </c>
      <c r="H104" s="11">
        <v>0.117522</v>
      </c>
      <c r="I104" s="11">
        <v>0.13707900000000001</v>
      </c>
      <c r="J104" s="11">
        <v>0.16508800000000001</v>
      </c>
      <c r="K104" s="11">
        <v>0.20530000000000001</v>
      </c>
      <c r="L104" s="11">
        <v>0.27366200000000002</v>
      </c>
      <c r="M104" s="11">
        <v>0.43945899999999999</v>
      </c>
    </row>
    <row r="105" spans="1:13" x14ac:dyDescent="0.35">
      <c r="A105" s="11">
        <v>1954</v>
      </c>
      <c r="B105" s="11">
        <v>9.5382999999999996E-2</v>
      </c>
      <c r="C105" s="11">
        <v>0.106393</v>
      </c>
      <c r="D105" s="11">
        <v>0.11377</v>
      </c>
      <c r="E105" s="11">
        <v>0.16217000000000001</v>
      </c>
      <c r="F105" s="11">
        <v>0.21218300000000001</v>
      </c>
      <c r="G105" s="11">
        <v>0.32154700000000003</v>
      </c>
      <c r="H105" s="11">
        <v>0.120353</v>
      </c>
      <c r="I105" s="11">
        <v>0.14067399999999999</v>
      </c>
      <c r="J105" s="11">
        <v>0.16965</v>
      </c>
      <c r="K105" s="11">
        <v>0.20908199999999999</v>
      </c>
      <c r="L105" s="11">
        <v>0.27868300000000001</v>
      </c>
      <c r="M105" s="11">
        <v>0.44931100000000002</v>
      </c>
    </row>
    <row r="106" spans="1:13" x14ac:dyDescent="0.35">
      <c r="A106" s="11">
        <v>1955</v>
      </c>
      <c r="B106" s="11">
        <v>9.7675999999999999E-2</v>
      </c>
      <c r="C106" s="11">
        <v>0.109249</v>
      </c>
      <c r="D106" s="11">
        <v>0.117037</v>
      </c>
      <c r="E106" s="11">
        <v>0.16492799999999999</v>
      </c>
      <c r="F106" s="11">
        <v>0.21588199999999999</v>
      </c>
      <c r="G106" s="11">
        <v>0.328407</v>
      </c>
      <c r="H106" s="11">
        <v>0.12345</v>
      </c>
      <c r="I106" s="11">
        <v>0.14461599999999999</v>
      </c>
      <c r="J106" s="11">
        <v>0.17472699999999999</v>
      </c>
      <c r="K106" s="11">
        <v>0.213145</v>
      </c>
      <c r="L106" s="11">
        <v>0.28409400000000001</v>
      </c>
      <c r="M106" s="11">
        <v>0.45983299999999999</v>
      </c>
    </row>
    <row r="107" spans="1:13" x14ac:dyDescent="0.35">
      <c r="A107" s="11">
        <v>1956</v>
      </c>
      <c r="B107" s="11">
        <v>0.100093</v>
      </c>
      <c r="C107" s="11">
        <v>0.112277</v>
      </c>
      <c r="D107" s="11">
        <v>0.120516</v>
      </c>
      <c r="E107" s="11">
        <v>0.167799</v>
      </c>
      <c r="F107" s="11">
        <v>0.21975800000000001</v>
      </c>
      <c r="G107" s="11">
        <v>0.335509</v>
      </c>
      <c r="H107" s="11">
        <v>0.12669800000000001</v>
      </c>
      <c r="I107" s="11">
        <v>0.14877299999999999</v>
      </c>
      <c r="J107" s="11">
        <v>0.18007600000000001</v>
      </c>
      <c r="K107" s="11">
        <v>0.21736</v>
      </c>
      <c r="L107" s="11">
        <v>0.28974299999999997</v>
      </c>
      <c r="M107" s="11">
        <v>0.47071800000000003</v>
      </c>
    </row>
    <row r="108" spans="1:13" x14ac:dyDescent="0.35">
      <c r="A108" s="11">
        <v>1957</v>
      </c>
      <c r="B108" s="11">
        <v>0.102519</v>
      </c>
      <c r="C108" s="11">
        <v>0.11537</v>
      </c>
      <c r="D108" s="11">
        <v>0.124101</v>
      </c>
      <c r="E108" s="11">
        <v>0.170678</v>
      </c>
      <c r="F108" s="11">
        <v>0.223713</v>
      </c>
      <c r="G108" s="11">
        <v>0.34281600000000001</v>
      </c>
      <c r="H108" s="11">
        <v>0.129945</v>
      </c>
      <c r="I108" s="11">
        <v>0.15301899999999999</v>
      </c>
      <c r="J108" s="11">
        <v>0.185616</v>
      </c>
      <c r="K108" s="11">
        <v>0.22158900000000001</v>
      </c>
      <c r="L108" s="11">
        <v>0.29551100000000002</v>
      </c>
      <c r="M108" s="11">
        <v>0.481958</v>
      </c>
    </row>
    <row r="109" spans="1:13" x14ac:dyDescent="0.35">
      <c r="A109" s="11">
        <v>1958</v>
      </c>
      <c r="B109" s="11">
        <v>0.104881</v>
      </c>
      <c r="C109" s="11">
        <v>0.118437</v>
      </c>
      <c r="D109" s="11">
        <v>0.12779799999999999</v>
      </c>
      <c r="E109" s="11">
        <v>0.17347499999999999</v>
      </c>
      <c r="F109" s="11">
        <v>0.22763800000000001</v>
      </c>
      <c r="G109" s="11">
        <v>0.35020400000000002</v>
      </c>
      <c r="H109" s="11">
        <v>0.13319800000000001</v>
      </c>
      <c r="I109" s="11">
        <v>0.15732199999999999</v>
      </c>
      <c r="J109" s="11">
        <v>0.191381</v>
      </c>
      <c r="K109" s="11">
        <v>0.22582099999999999</v>
      </c>
      <c r="L109" s="11">
        <v>0.30134899999999998</v>
      </c>
      <c r="M109" s="11">
        <v>0.49345899999999998</v>
      </c>
    </row>
    <row r="110" spans="1:13" x14ac:dyDescent="0.35">
      <c r="A110" s="11">
        <v>1959</v>
      </c>
      <c r="B110" s="11">
        <v>0.107289</v>
      </c>
      <c r="C110" s="11">
        <v>0.121588</v>
      </c>
      <c r="D110" s="11">
        <v>0.131689</v>
      </c>
      <c r="E110" s="11">
        <v>0.176292</v>
      </c>
      <c r="F110" s="11">
        <v>0.23175699999999999</v>
      </c>
      <c r="G110" s="11">
        <v>0.35800300000000002</v>
      </c>
      <c r="H110" s="11">
        <v>0.13649800000000001</v>
      </c>
      <c r="I110" s="11">
        <v>0.16172700000000001</v>
      </c>
      <c r="J110" s="11">
        <v>0.197579</v>
      </c>
      <c r="K110" s="11">
        <v>0.23008799999999999</v>
      </c>
      <c r="L110" s="11">
        <v>0.30741800000000002</v>
      </c>
      <c r="M110" s="11">
        <v>0.50568199999999996</v>
      </c>
    </row>
    <row r="111" spans="1:13" x14ac:dyDescent="0.35">
      <c r="A111" s="11">
        <v>1960</v>
      </c>
      <c r="B111" s="11">
        <v>0.109828</v>
      </c>
      <c r="C111" s="11">
        <v>0.124904</v>
      </c>
      <c r="D111" s="11">
        <v>0.13580999999999999</v>
      </c>
      <c r="E111" s="11">
        <v>0.179202</v>
      </c>
      <c r="F111" s="11">
        <v>0.23589199999999999</v>
      </c>
      <c r="G111" s="11">
        <v>0.36554399999999998</v>
      </c>
      <c r="H111" s="11">
        <v>0.13999200000000001</v>
      </c>
      <c r="I111" s="11">
        <v>0.16633100000000001</v>
      </c>
      <c r="J111" s="11">
        <v>0.204094</v>
      </c>
      <c r="K111" s="11">
        <v>0.23452600000000001</v>
      </c>
      <c r="L111" s="11">
        <v>0.313554</v>
      </c>
      <c r="M111" s="11">
        <v>0.51781100000000002</v>
      </c>
    </row>
    <row r="112" spans="1:13" x14ac:dyDescent="0.35">
      <c r="A112" s="11">
        <v>1961</v>
      </c>
      <c r="B112" s="11">
        <v>0.11242000000000001</v>
      </c>
      <c r="C112" s="11">
        <v>0.128303</v>
      </c>
      <c r="D112" s="11">
        <v>0.139932</v>
      </c>
      <c r="E112" s="11">
        <v>0.18212200000000001</v>
      </c>
      <c r="F112" s="11">
        <v>0.240068</v>
      </c>
      <c r="G112" s="11">
        <v>0.37309500000000001</v>
      </c>
      <c r="H112" s="11">
        <v>0.143543</v>
      </c>
      <c r="I112" s="11">
        <v>0.17105699999999999</v>
      </c>
      <c r="J112" s="11">
        <v>0.210616</v>
      </c>
      <c r="K112" s="11">
        <v>0.238983</v>
      </c>
      <c r="L112" s="11">
        <v>0.31977100000000003</v>
      </c>
      <c r="M112" s="11">
        <v>0.52996900000000002</v>
      </c>
    </row>
    <row r="113" spans="1:13" x14ac:dyDescent="0.35">
      <c r="A113" s="11">
        <v>1962</v>
      </c>
      <c r="B113" s="11">
        <v>0.11513</v>
      </c>
      <c r="C113" s="11">
        <v>0.13186600000000001</v>
      </c>
      <c r="D113" s="11">
        <v>0.14419899999999999</v>
      </c>
      <c r="E113" s="11">
        <v>0.185171</v>
      </c>
      <c r="F113" s="11">
        <v>0.244284</v>
      </c>
      <c r="G113" s="11">
        <v>0.38057000000000002</v>
      </c>
      <c r="H113" s="11">
        <v>0.14724100000000001</v>
      </c>
      <c r="I113" s="11">
        <v>0.176033</v>
      </c>
      <c r="J113" s="11">
        <v>0.217331</v>
      </c>
      <c r="K113" s="11">
        <v>0.24360799999999999</v>
      </c>
      <c r="L113" s="11">
        <v>0.326156</v>
      </c>
      <c r="M113" s="11">
        <v>0.54215999999999998</v>
      </c>
    </row>
    <row r="114" spans="1:13" x14ac:dyDescent="0.35">
      <c r="A114" s="11">
        <v>1963</v>
      </c>
      <c r="B114" s="11">
        <v>0.117978</v>
      </c>
      <c r="C114" s="11">
        <v>0.135629</v>
      </c>
      <c r="D114" s="11">
        <v>0.14869499999999999</v>
      </c>
      <c r="E114" s="11">
        <v>0.18831400000000001</v>
      </c>
      <c r="F114" s="11">
        <v>0.24864800000000001</v>
      </c>
      <c r="G114" s="11">
        <v>0.38818999999999998</v>
      </c>
      <c r="H114" s="11">
        <v>0.151144</v>
      </c>
      <c r="I114" s="11">
        <v>0.181283</v>
      </c>
      <c r="J114" s="11">
        <v>0.22442100000000001</v>
      </c>
      <c r="K114" s="11">
        <v>0.248388</v>
      </c>
      <c r="L114" s="11">
        <v>0.33277400000000001</v>
      </c>
      <c r="M114" s="11">
        <v>0.55464800000000003</v>
      </c>
    </row>
    <row r="115" spans="1:13" x14ac:dyDescent="0.35">
      <c r="A115" s="11">
        <v>1964</v>
      </c>
      <c r="B115" s="11">
        <v>0.120963</v>
      </c>
      <c r="C115" s="11">
        <v>0.13958899999999999</v>
      </c>
      <c r="D115" s="11">
        <v>0.15342900000000001</v>
      </c>
      <c r="E115" s="11">
        <v>0.191583</v>
      </c>
      <c r="F115" s="11">
        <v>0.253166</v>
      </c>
      <c r="G115" s="11">
        <v>0.39591599999999999</v>
      </c>
      <c r="H115" s="11">
        <v>0.15526000000000001</v>
      </c>
      <c r="I115" s="11">
        <v>0.18681600000000001</v>
      </c>
      <c r="J115" s="11">
        <v>0.23183500000000001</v>
      </c>
      <c r="K115" s="11">
        <v>0.253361</v>
      </c>
      <c r="L115" s="11">
        <v>0.33961200000000002</v>
      </c>
      <c r="M115" s="11">
        <v>0.56738100000000002</v>
      </c>
    </row>
    <row r="116" spans="1:13" x14ac:dyDescent="0.35">
      <c r="A116" s="11">
        <v>1965</v>
      </c>
      <c r="B116" s="11">
        <v>0.12404900000000001</v>
      </c>
      <c r="C116" s="11">
        <v>0.14369599999999999</v>
      </c>
      <c r="D116" s="11">
        <v>0.15837799999999999</v>
      </c>
      <c r="E116" s="11">
        <v>0.19495199999999999</v>
      </c>
      <c r="F116" s="11">
        <v>0.25781199999999999</v>
      </c>
      <c r="G116" s="11">
        <v>0.40373199999999998</v>
      </c>
      <c r="H116" s="11">
        <v>0.159635</v>
      </c>
      <c r="I116" s="11">
        <v>0.192718</v>
      </c>
      <c r="J116" s="11">
        <v>0.23980299999999999</v>
      </c>
      <c r="K116" s="11">
        <v>0.25858799999999998</v>
      </c>
      <c r="L116" s="11">
        <v>0.34680800000000001</v>
      </c>
      <c r="M116" s="11">
        <v>0.58058299999999996</v>
      </c>
    </row>
    <row r="117" spans="1:13" x14ac:dyDescent="0.35">
      <c r="A117" s="11">
        <v>1966</v>
      </c>
      <c r="B117" s="11">
        <v>0.12726199999999999</v>
      </c>
      <c r="C117" s="11">
        <v>0.147979</v>
      </c>
      <c r="D117" s="11">
        <v>0.16356299999999999</v>
      </c>
      <c r="E117" s="11">
        <v>0.198408</v>
      </c>
      <c r="F117" s="11">
        <v>0.26256200000000002</v>
      </c>
      <c r="G117" s="11">
        <v>0.411574</v>
      </c>
      <c r="H117" s="11">
        <v>0.164189</v>
      </c>
      <c r="I117" s="11">
        <v>0.198825</v>
      </c>
      <c r="J117" s="11">
        <v>0.248198</v>
      </c>
      <c r="K117" s="11">
        <v>0.26393499999999998</v>
      </c>
      <c r="L117" s="11">
        <v>0.35414699999999999</v>
      </c>
      <c r="M117" s="11">
        <v>0.59407100000000002</v>
      </c>
    </row>
    <row r="118" spans="1:13" x14ac:dyDescent="0.35">
      <c r="A118" s="11">
        <v>1967</v>
      </c>
      <c r="B118" s="11">
        <v>0.13058600000000001</v>
      </c>
      <c r="C118" s="11">
        <v>0.152418</v>
      </c>
      <c r="D118" s="11">
        <v>0.168905</v>
      </c>
      <c r="E118" s="11">
        <v>0.20219100000000001</v>
      </c>
      <c r="F118" s="11">
        <v>0.26769300000000001</v>
      </c>
      <c r="G118" s="11">
        <v>0.41972399999999999</v>
      </c>
      <c r="H118" s="11">
        <v>0.168791</v>
      </c>
      <c r="I118" s="11">
        <v>0.204989</v>
      </c>
      <c r="J118" s="11">
        <v>0.256631</v>
      </c>
      <c r="K118" s="11">
        <v>0.26955099999999999</v>
      </c>
      <c r="L118" s="11">
        <v>0.36180000000000001</v>
      </c>
      <c r="M118" s="11">
        <v>0.60781200000000002</v>
      </c>
    </row>
    <row r="119" spans="1:13" x14ac:dyDescent="0.35">
      <c r="A119" s="11">
        <v>1968</v>
      </c>
      <c r="B119" s="11">
        <v>0.13408500000000001</v>
      </c>
      <c r="C119" s="11">
        <v>0.15707399999999999</v>
      </c>
      <c r="D119" s="11">
        <v>0.174539</v>
      </c>
      <c r="E119" s="11">
        <v>0.20619199999999999</v>
      </c>
      <c r="F119" s="11">
        <v>0.273119</v>
      </c>
      <c r="G119" s="11">
        <v>0.428199</v>
      </c>
      <c r="H119" s="11">
        <v>0.17360800000000001</v>
      </c>
      <c r="I119" s="11">
        <v>0.21138699999999999</v>
      </c>
      <c r="J119" s="11">
        <v>0.26543299999999997</v>
      </c>
      <c r="K119" s="11">
        <v>0.275426</v>
      </c>
      <c r="L119" s="11">
        <v>0.36977300000000002</v>
      </c>
      <c r="M119" s="11">
        <v>0.622</v>
      </c>
    </row>
    <row r="120" spans="1:13" x14ac:dyDescent="0.35">
      <c r="A120" s="11">
        <v>1969</v>
      </c>
      <c r="B120" s="11">
        <v>0.137796</v>
      </c>
      <c r="C120" s="11">
        <v>0.161999</v>
      </c>
      <c r="D120" s="11">
        <v>0.18055099999999999</v>
      </c>
      <c r="E120" s="11">
        <v>0.210259</v>
      </c>
      <c r="F120" s="11">
        <v>0.27864800000000001</v>
      </c>
      <c r="G120" s="11">
        <v>0.43732799999999999</v>
      </c>
      <c r="H120" s="11">
        <v>0.178781</v>
      </c>
      <c r="I120" s="11">
        <v>0.218164</v>
      </c>
      <c r="J120" s="11">
        <v>0.27493699999999999</v>
      </c>
      <c r="K120" s="11">
        <v>0.28150900000000001</v>
      </c>
      <c r="L120" s="11">
        <v>0.37795000000000001</v>
      </c>
      <c r="M120" s="11">
        <v>0.637154</v>
      </c>
    </row>
    <row r="121" spans="1:13" x14ac:dyDescent="0.35">
      <c r="A121" s="11">
        <v>1970</v>
      </c>
      <c r="B121" s="11">
        <v>0.14176900000000001</v>
      </c>
      <c r="C121" s="11">
        <v>0.16725699999999999</v>
      </c>
      <c r="D121" s="11">
        <v>0.18706400000000001</v>
      </c>
      <c r="E121" s="11">
        <v>0.214506</v>
      </c>
      <c r="F121" s="11">
        <v>0.28447299999999998</v>
      </c>
      <c r="G121" s="11">
        <v>0.44684600000000002</v>
      </c>
      <c r="H121" s="11">
        <v>0.184091</v>
      </c>
      <c r="I121" s="11">
        <v>0.22514999999999999</v>
      </c>
      <c r="J121" s="11">
        <v>0.28501399999999999</v>
      </c>
      <c r="K121" s="11">
        <v>0.28763499999999997</v>
      </c>
      <c r="L121" s="11">
        <v>0.38628299999999999</v>
      </c>
      <c r="M121" s="11">
        <v>0.65285599999999999</v>
      </c>
    </row>
    <row r="122" spans="1:13" x14ac:dyDescent="0.35">
      <c r="A122" s="11">
        <v>1971</v>
      </c>
      <c r="B122" s="11">
        <v>0.14580599999999999</v>
      </c>
      <c r="C122" s="11">
        <v>0.17265</v>
      </c>
      <c r="D122" s="11">
        <v>0.19383900000000001</v>
      </c>
      <c r="E122" s="11">
        <v>0.21881600000000001</v>
      </c>
      <c r="F122" s="11">
        <v>0.29035699999999998</v>
      </c>
      <c r="G122" s="11">
        <v>0.45637800000000001</v>
      </c>
      <c r="H122" s="11">
        <v>0.189388</v>
      </c>
      <c r="I122" s="11">
        <v>0.232186</v>
      </c>
      <c r="J122" s="11">
        <v>0.29527300000000001</v>
      </c>
      <c r="K122" s="11">
        <v>0.29372999999999999</v>
      </c>
      <c r="L122" s="11">
        <v>0.394592</v>
      </c>
      <c r="M122" s="11">
        <v>0.66838500000000001</v>
      </c>
    </row>
    <row r="123" spans="1:13" x14ac:dyDescent="0.35">
      <c r="A123" s="11">
        <v>1972</v>
      </c>
      <c r="B123" s="11">
        <v>0.15001999999999999</v>
      </c>
      <c r="C123" s="11">
        <v>0.178284</v>
      </c>
      <c r="D123" s="11">
        <v>0.20092499999999999</v>
      </c>
      <c r="E123" s="11">
        <v>0.22324099999999999</v>
      </c>
      <c r="F123" s="11">
        <v>0.296408</v>
      </c>
      <c r="G123" s="11">
        <v>0.46635500000000002</v>
      </c>
      <c r="H123" s="11">
        <v>0.194858</v>
      </c>
      <c r="I123" s="11">
        <v>0.23946500000000001</v>
      </c>
      <c r="J123" s="11">
        <v>0.30594700000000002</v>
      </c>
      <c r="K123" s="11">
        <v>0.29997099999999999</v>
      </c>
      <c r="L123" s="11">
        <v>0.403115</v>
      </c>
      <c r="M123" s="11">
        <v>0.68449800000000005</v>
      </c>
    </row>
    <row r="124" spans="1:13" x14ac:dyDescent="0.35">
      <c r="A124" s="11">
        <v>1973</v>
      </c>
      <c r="B124" s="11">
        <v>0.15442800000000001</v>
      </c>
      <c r="C124" s="11">
        <v>0.184173</v>
      </c>
      <c r="D124" s="11">
        <v>0.20837900000000001</v>
      </c>
      <c r="E124" s="11">
        <v>0.227852</v>
      </c>
      <c r="F124" s="11">
        <v>0.30271799999999999</v>
      </c>
      <c r="G124" s="11">
        <v>0.47661700000000001</v>
      </c>
      <c r="H124" s="11">
        <v>0.20050999999999999</v>
      </c>
      <c r="I124" s="11">
        <v>0.24699699999999999</v>
      </c>
      <c r="J124" s="11">
        <v>0.31717899999999999</v>
      </c>
      <c r="K124" s="11">
        <v>0.30635400000000002</v>
      </c>
      <c r="L124" s="11">
        <v>0.41187200000000002</v>
      </c>
      <c r="M124" s="11">
        <v>0.70108300000000001</v>
      </c>
    </row>
    <row r="125" spans="1:13" x14ac:dyDescent="0.35">
      <c r="A125" s="11">
        <v>1974</v>
      </c>
      <c r="B125" s="11">
        <v>0.158721</v>
      </c>
      <c r="C125" s="11">
        <v>0.189996</v>
      </c>
      <c r="D125" s="11">
        <v>0.21581400000000001</v>
      </c>
      <c r="E125" s="11">
        <v>0.232353</v>
      </c>
      <c r="F125" s="11">
        <v>0.30896800000000002</v>
      </c>
      <c r="G125" s="11">
        <v>0.48688700000000001</v>
      </c>
      <c r="H125" s="11">
        <v>0.20596700000000001</v>
      </c>
      <c r="I125" s="11">
        <v>0.254386</v>
      </c>
      <c r="J125" s="11">
        <v>0.32825599999999999</v>
      </c>
      <c r="K125" s="11">
        <v>0.312585</v>
      </c>
      <c r="L125" s="11">
        <v>0.42054000000000002</v>
      </c>
      <c r="M125" s="11">
        <v>0.71752800000000005</v>
      </c>
    </row>
    <row r="126" spans="1:13" x14ac:dyDescent="0.35">
      <c r="A126" s="11">
        <v>1975</v>
      </c>
      <c r="B126" s="11">
        <v>0.16284699999999999</v>
      </c>
      <c r="C126" s="11">
        <v>0.19573599999999999</v>
      </c>
      <c r="D126" s="11">
        <v>0.22326399999999999</v>
      </c>
      <c r="E126" s="11">
        <v>0.23669599999999999</v>
      </c>
      <c r="F126" s="11">
        <v>0.31512299999999999</v>
      </c>
      <c r="G126" s="11">
        <v>0.49708599999999997</v>
      </c>
      <c r="H126" s="11">
        <v>0.21113299999999999</v>
      </c>
      <c r="I126" s="11">
        <v>0.26156200000000002</v>
      </c>
      <c r="J126" s="11">
        <v>0.33909899999999998</v>
      </c>
      <c r="K126" s="11">
        <v>0.31855099999999997</v>
      </c>
      <c r="L126" s="11">
        <v>0.42900899999999997</v>
      </c>
      <c r="M126" s="11">
        <v>0.733734</v>
      </c>
    </row>
    <row r="127" spans="1:13" x14ac:dyDescent="0.35">
      <c r="A127" s="11">
        <v>1976</v>
      </c>
      <c r="B127" s="11">
        <v>0.167184</v>
      </c>
      <c r="C127" s="11">
        <v>0.20175799999999999</v>
      </c>
      <c r="D127" s="11">
        <v>0.23111100000000001</v>
      </c>
      <c r="E127" s="11">
        <v>0.24125099999999999</v>
      </c>
      <c r="F127" s="11">
        <v>0.321575</v>
      </c>
      <c r="G127" s="11">
        <v>0.50765499999999997</v>
      </c>
      <c r="H127" s="11">
        <v>0.216446</v>
      </c>
      <c r="I127" s="11">
        <v>0.268955</v>
      </c>
      <c r="J127" s="11">
        <v>0.35033900000000001</v>
      </c>
      <c r="K127" s="11">
        <v>0.32465500000000003</v>
      </c>
      <c r="L127" s="11">
        <v>0.43769799999999998</v>
      </c>
      <c r="M127" s="11">
        <v>0.750282</v>
      </c>
    </row>
    <row r="128" spans="1:13" x14ac:dyDescent="0.35">
      <c r="A128" s="11">
        <v>1977</v>
      </c>
      <c r="B128" s="11">
        <v>0.171568</v>
      </c>
      <c r="C128" s="11">
        <v>0.20788799999999999</v>
      </c>
      <c r="D128" s="11">
        <v>0.239177</v>
      </c>
      <c r="E128" s="11">
        <v>0.245924</v>
      </c>
      <c r="F128" s="11">
        <v>0.32819799999999999</v>
      </c>
      <c r="G128" s="11">
        <v>0.51869299999999996</v>
      </c>
      <c r="H128" s="11">
        <v>0.22176999999999999</v>
      </c>
      <c r="I128" s="11">
        <v>0.27640999999999999</v>
      </c>
      <c r="J128" s="11">
        <v>0.36177300000000001</v>
      </c>
      <c r="K128" s="11">
        <v>0.330787</v>
      </c>
      <c r="L128" s="11">
        <v>0.44645400000000002</v>
      </c>
      <c r="M128" s="11">
        <v>0.76724700000000001</v>
      </c>
    </row>
    <row r="129" spans="1:13" x14ac:dyDescent="0.35">
      <c r="A129" s="11">
        <v>1978</v>
      </c>
      <c r="B129" s="11">
        <v>0.17604900000000001</v>
      </c>
      <c r="C129" s="11">
        <v>0.214175</v>
      </c>
      <c r="D129" s="11">
        <v>0.24754000000000001</v>
      </c>
      <c r="E129" s="11">
        <v>0.25064399999999998</v>
      </c>
      <c r="F129" s="11">
        <v>0.33493299999999998</v>
      </c>
      <c r="G129" s="11">
        <v>0.53000400000000003</v>
      </c>
      <c r="H129" s="11">
        <v>0.227187</v>
      </c>
      <c r="I129" s="11">
        <v>0.28403499999999998</v>
      </c>
      <c r="J129" s="11">
        <v>0.373525</v>
      </c>
      <c r="K129" s="11">
        <v>0.33688200000000001</v>
      </c>
      <c r="L129" s="11">
        <v>0.45526100000000003</v>
      </c>
      <c r="M129" s="11">
        <v>0.78439199999999998</v>
      </c>
    </row>
    <row r="130" spans="1:13" x14ac:dyDescent="0.35">
      <c r="A130" s="11">
        <v>1979</v>
      </c>
      <c r="B130" s="11">
        <v>0.18063599999999999</v>
      </c>
      <c r="C130" s="11">
        <v>0.22058</v>
      </c>
      <c r="D130" s="11">
        <v>0.25612099999999999</v>
      </c>
      <c r="E130" s="11">
        <v>0.255465</v>
      </c>
      <c r="F130" s="11">
        <v>0.34175800000000001</v>
      </c>
      <c r="G130" s="11">
        <v>0.54121200000000003</v>
      </c>
      <c r="H130" s="11">
        <v>0.23275599999999999</v>
      </c>
      <c r="I130" s="11">
        <v>0.29182599999999997</v>
      </c>
      <c r="J130" s="11">
        <v>0.38546399999999997</v>
      </c>
      <c r="K130" s="11">
        <v>0.34312300000000001</v>
      </c>
      <c r="L130" s="11">
        <v>0.46420899999999998</v>
      </c>
      <c r="M130" s="11">
        <v>0.80142100000000005</v>
      </c>
    </row>
    <row r="131" spans="1:13" x14ac:dyDescent="0.35">
      <c r="A131" s="11">
        <v>1980</v>
      </c>
      <c r="B131" s="11">
        <v>0.185085</v>
      </c>
      <c r="C131" s="11">
        <v>0.22691</v>
      </c>
      <c r="D131" s="11">
        <v>0.26466099999999998</v>
      </c>
      <c r="E131" s="11">
        <v>0.26016800000000001</v>
      </c>
      <c r="F131" s="11">
        <v>0.348582</v>
      </c>
      <c r="G131" s="11">
        <v>0.55244599999999999</v>
      </c>
      <c r="H131" s="11">
        <v>0.23811599999999999</v>
      </c>
      <c r="I131" s="11">
        <v>0.29944999999999999</v>
      </c>
      <c r="J131" s="11">
        <v>0.39702599999999999</v>
      </c>
      <c r="K131" s="11">
        <v>0.34918100000000002</v>
      </c>
      <c r="L131" s="11">
        <v>0.47307300000000002</v>
      </c>
      <c r="M131" s="11">
        <v>0.81814299999999995</v>
      </c>
    </row>
    <row r="132" spans="1:13" x14ac:dyDescent="0.35">
      <c r="A132" s="11">
        <v>1981</v>
      </c>
      <c r="B132" s="11">
        <v>0.189358</v>
      </c>
      <c r="C132" s="11">
        <v>0.233016</v>
      </c>
      <c r="D132" s="11">
        <v>0.272978</v>
      </c>
      <c r="E132" s="11">
        <v>0.26468999999999998</v>
      </c>
      <c r="F132" s="11">
        <v>0.35511300000000001</v>
      </c>
      <c r="G132" s="11">
        <v>0.56338200000000005</v>
      </c>
      <c r="H132" s="11">
        <v>0.24323900000000001</v>
      </c>
      <c r="I132" s="11">
        <v>0.30675200000000002</v>
      </c>
      <c r="J132" s="11">
        <v>0.40801100000000001</v>
      </c>
      <c r="K132" s="11">
        <v>0.35492699999999999</v>
      </c>
      <c r="L132" s="11">
        <v>0.48148000000000002</v>
      </c>
      <c r="M132" s="11">
        <v>0.83410799999999996</v>
      </c>
    </row>
    <row r="133" spans="1:13" x14ac:dyDescent="0.35">
      <c r="A133" s="11">
        <v>1982</v>
      </c>
      <c r="B133" s="11">
        <v>0.19345300000000001</v>
      </c>
      <c r="C133" s="11">
        <v>0.238979</v>
      </c>
      <c r="D133" s="11">
        <v>0.28124500000000002</v>
      </c>
      <c r="E133" s="11">
        <v>0.26899699999999999</v>
      </c>
      <c r="F133" s="11">
        <v>0.36147400000000002</v>
      </c>
      <c r="G133" s="11">
        <v>0.574133</v>
      </c>
      <c r="H133" s="11">
        <v>0.24809200000000001</v>
      </c>
      <c r="I133" s="11">
        <v>0.31384499999999999</v>
      </c>
      <c r="J133" s="11">
        <v>0.41894700000000001</v>
      </c>
      <c r="K133" s="11">
        <v>0.36038900000000001</v>
      </c>
      <c r="L133" s="11">
        <v>0.48965500000000001</v>
      </c>
      <c r="M133" s="11">
        <v>0.84991399999999995</v>
      </c>
    </row>
    <row r="134" spans="1:13" x14ac:dyDescent="0.35">
      <c r="A134" s="11">
        <v>1983</v>
      </c>
      <c r="B134" s="11">
        <v>0.19752500000000001</v>
      </c>
      <c r="C134" s="11">
        <v>0.244945</v>
      </c>
      <c r="D134" s="11">
        <v>0.28959600000000002</v>
      </c>
      <c r="E134" s="11">
        <v>0.27331499999999997</v>
      </c>
      <c r="F134" s="11">
        <v>0.367869</v>
      </c>
      <c r="G134" s="11">
        <v>0.58510600000000001</v>
      </c>
      <c r="H134" s="11">
        <v>0.25279000000000001</v>
      </c>
      <c r="I134" s="11">
        <v>0.32079999999999997</v>
      </c>
      <c r="J134" s="11">
        <v>0.42979400000000001</v>
      </c>
      <c r="K134" s="11">
        <v>0.36566199999999999</v>
      </c>
      <c r="L134" s="11">
        <v>0.497641</v>
      </c>
      <c r="M134" s="11">
        <v>0.86572700000000002</v>
      </c>
    </row>
    <row r="135" spans="1:13" x14ac:dyDescent="0.35">
      <c r="A135" s="11">
        <v>1984</v>
      </c>
      <c r="B135" s="11">
        <v>0.20169899999999999</v>
      </c>
      <c r="C135" s="11">
        <v>0.251031</v>
      </c>
      <c r="D135" s="11">
        <v>0.29819699999999999</v>
      </c>
      <c r="E135" s="11">
        <v>0.277725</v>
      </c>
      <c r="F135" s="11">
        <v>0.37438500000000002</v>
      </c>
      <c r="G135" s="11">
        <v>0.59659300000000004</v>
      </c>
      <c r="H135" s="11">
        <v>0.25750200000000001</v>
      </c>
      <c r="I135" s="11">
        <v>0.32778600000000002</v>
      </c>
      <c r="J135" s="11">
        <v>0.44094899999999998</v>
      </c>
      <c r="K135" s="11">
        <v>0.370952</v>
      </c>
      <c r="L135" s="11">
        <v>0.50569500000000001</v>
      </c>
      <c r="M135" s="11">
        <v>0.88203600000000004</v>
      </c>
    </row>
    <row r="136" spans="1:13" x14ac:dyDescent="0.35">
      <c r="A136" s="11">
        <v>1985</v>
      </c>
      <c r="B136" s="11">
        <v>0.205901</v>
      </c>
      <c r="C136" s="11">
        <v>0.25726399999999999</v>
      </c>
      <c r="D136" s="11">
        <v>0.30710399999999999</v>
      </c>
      <c r="E136" s="11">
        <v>0.282142</v>
      </c>
      <c r="F136" s="11">
        <v>0.38104199999999999</v>
      </c>
      <c r="G136" s="11">
        <v>0.60854900000000001</v>
      </c>
      <c r="H136" s="11">
        <v>0.26220399999999999</v>
      </c>
      <c r="I136" s="11">
        <v>0.33488099999999998</v>
      </c>
      <c r="J136" s="11">
        <v>0.45233400000000001</v>
      </c>
      <c r="K136" s="11">
        <v>0.37624200000000002</v>
      </c>
      <c r="L136" s="11">
        <v>0.51387300000000002</v>
      </c>
      <c r="M136" s="11">
        <v>0.898733</v>
      </c>
    </row>
    <row r="137" spans="1:13" x14ac:dyDescent="0.35">
      <c r="A137" s="11">
        <v>1986</v>
      </c>
      <c r="B137" s="11">
        <v>0.210091</v>
      </c>
      <c r="C137" s="11">
        <v>0.26350000000000001</v>
      </c>
      <c r="D137" s="11">
        <v>0.316131</v>
      </c>
      <c r="E137" s="11">
        <v>0.286522</v>
      </c>
      <c r="F137" s="11">
        <v>0.38767200000000002</v>
      </c>
      <c r="G137" s="11">
        <v>0.620695</v>
      </c>
      <c r="H137" s="11">
        <v>0.26683499999999999</v>
      </c>
      <c r="I137" s="11">
        <v>0.34194600000000003</v>
      </c>
      <c r="J137" s="11">
        <v>0.46370400000000001</v>
      </c>
      <c r="K137" s="11">
        <v>0.38139699999999999</v>
      </c>
      <c r="L137" s="11">
        <v>0.52191900000000002</v>
      </c>
      <c r="M137" s="11">
        <v>0.91541099999999997</v>
      </c>
    </row>
    <row r="138" spans="1:13" x14ac:dyDescent="0.35">
      <c r="A138" s="11">
        <v>1987</v>
      </c>
      <c r="B138" s="11">
        <v>0.214389</v>
      </c>
      <c r="C138" s="11">
        <v>0.26985199999999998</v>
      </c>
      <c r="D138" s="11">
        <v>0.32539800000000002</v>
      </c>
      <c r="E138" s="11">
        <v>0.29100799999999999</v>
      </c>
      <c r="F138" s="11">
        <v>0.39440199999999997</v>
      </c>
      <c r="G138" s="11">
        <v>0.63288</v>
      </c>
      <c r="H138" s="11">
        <v>0.27151599999999998</v>
      </c>
      <c r="I138" s="11">
        <v>0.34909299999999999</v>
      </c>
      <c r="J138" s="11">
        <v>0.475414</v>
      </c>
      <c r="K138" s="11">
        <v>0.38651099999999999</v>
      </c>
      <c r="L138" s="11">
        <v>0.52992499999999998</v>
      </c>
      <c r="M138" s="11">
        <v>0.93215599999999998</v>
      </c>
    </row>
    <row r="139" spans="1:13" x14ac:dyDescent="0.35">
      <c r="A139" s="11">
        <v>1988</v>
      </c>
      <c r="B139" s="11">
        <v>0.21882599999999999</v>
      </c>
      <c r="C139" s="11">
        <v>0.276362</v>
      </c>
      <c r="D139" s="11">
        <v>0.33502300000000002</v>
      </c>
      <c r="E139" s="11">
        <v>0.29563800000000001</v>
      </c>
      <c r="F139" s="11">
        <v>0.40128799999999998</v>
      </c>
      <c r="G139" s="11">
        <v>0.64526899999999998</v>
      </c>
      <c r="H139" s="11">
        <v>0.27624599999999999</v>
      </c>
      <c r="I139" s="11">
        <v>0.35632999999999998</v>
      </c>
      <c r="J139" s="11">
        <v>0.48760300000000001</v>
      </c>
      <c r="K139" s="11">
        <v>0.39166099999999998</v>
      </c>
      <c r="L139" s="11">
        <v>0.53798500000000005</v>
      </c>
      <c r="M139" s="11">
        <v>0.94915099999999997</v>
      </c>
    </row>
    <row r="140" spans="1:13" x14ac:dyDescent="0.35">
      <c r="A140" s="11">
        <v>1989</v>
      </c>
      <c r="B140" s="11">
        <v>0.223355</v>
      </c>
      <c r="C140" s="11">
        <v>0.28291699999999997</v>
      </c>
      <c r="D140" s="11">
        <v>0.34476600000000002</v>
      </c>
      <c r="E140" s="11">
        <v>0.30036000000000002</v>
      </c>
      <c r="F140" s="11">
        <v>0.40820299999999998</v>
      </c>
      <c r="G140" s="11">
        <v>0.65769500000000003</v>
      </c>
      <c r="H140" s="11">
        <v>0.28097800000000001</v>
      </c>
      <c r="I140" s="11">
        <v>0.363506</v>
      </c>
      <c r="J140" s="11">
        <v>0.49979000000000001</v>
      </c>
      <c r="K140" s="11">
        <v>0.39680399999999999</v>
      </c>
      <c r="L140" s="11">
        <v>0.54596299999999998</v>
      </c>
      <c r="M140" s="11">
        <v>0.966167</v>
      </c>
    </row>
    <row r="141" spans="1:13" x14ac:dyDescent="0.35">
      <c r="A141" s="11">
        <v>1990</v>
      </c>
      <c r="B141" s="11">
        <v>0.228099</v>
      </c>
      <c r="C141" s="11">
        <v>0.28972100000000001</v>
      </c>
      <c r="D141" s="11">
        <v>0.35475600000000002</v>
      </c>
      <c r="E141" s="11">
        <v>0.305315</v>
      </c>
      <c r="F141" s="11">
        <v>0.415379</v>
      </c>
      <c r="G141" s="11">
        <v>0.67029899999999998</v>
      </c>
      <c r="H141" s="11">
        <v>0.285914</v>
      </c>
      <c r="I141" s="11">
        <v>0.37088599999999999</v>
      </c>
      <c r="J141" s="11">
        <v>0.51199899999999998</v>
      </c>
      <c r="K141" s="11">
        <v>0.40219100000000002</v>
      </c>
      <c r="L141" s="11">
        <v>0.55417499999999997</v>
      </c>
      <c r="M141" s="11">
        <v>0.98317299999999996</v>
      </c>
    </row>
    <row r="142" spans="1:13" x14ac:dyDescent="0.35">
      <c r="A142" s="11">
        <v>1991</v>
      </c>
      <c r="B142" s="11">
        <v>0.23283499999999999</v>
      </c>
      <c r="C142" s="11">
        <v>0.29638599999999998</v>
      </c>
      <c r="D142" s="11">
        <v>0.36474499999999999</v>
      </c>
      <c r="E142" s="11">
        <v>0.31024099999999999</v>
      </c>
      <c r="F142" s="11">
        <v>0.42239599999999999</v>
      </c>
      <c r="G142" s="11">
        <v>0.68285499999999999</v>
      </c>
      <c r="H142" s="11">
        <v>0.29084100000000002</v>
      </c>
      <c r="I142" s="11">
        <v>0.37803999999999999</v>
      </c>
      <c r="J142" s="11">
        <v>0.52405299999999999</v>
      </c>
      <c r="K142" s="11">
        <v>0.40753200000000001</v>
      </c>
      <c r="L142" s="11">
        <v>0.56207099999999999</v>
      </c>
      <c r="M142" s="11">
        <v>0.99997999999999998</v>
      </c>
    </row>
    <row r="143" spans="1:13" x14ac:dyDescent="0.35">
      <c r="A143" s="11">
        <v>1992</v>
      </c>
      <c r="B143" s="11">
        <v>0.237598</v>
      </c>
      <c r="C143" s="11">
        <v>0.30282500000000001</v>
      </c>
      <c r="D143" s="11">
        <v>0.374637</v>
      </c>
      <c r="E143" s="11">
        <v>0.31518600000000002</v>
      </c>
      <c r="F143" s="11">
        <v>0.42914000000000002</v>
      </c>
      <c r="G143" s="11">
        <v>0.69542599999999999</v>
      </c>
      <c r="H143" s="11">
        <v>0.295788</v>
      </c>
      <c r="I143" s="11">
        <v>0.38488600000000001</v>
      </c>
      <c r="J143" s="11">
        <v>0.53590400000000005</v>
      </c>
      <c r="K143" s="11">
        <v>0.41282600000000003</v>
      </c>
      <c r="L143" s="11">
        <v>0.56947400000000004</v>
      </c>
      <c r="M143" s="11">
        <v>1.0165690000000001</v>
      </c>
    </row>
    <row r="144" spans="1:13" x14ac:dyDescent="0.35">
      <c r="A144" s="11">
        <v>1993</v>
      </c>
      <c r="B144" s="11">
        <v>0.24237800000000001</v>
      </c>
      <c r="C144" s="11">
        <v>0.30918800000000002</v>
      </c>
      <c r="D144" s="11">
        <v>0.38463000000000003</v>
      </c>
      <c r="E144" s="11">
        <v>0.32013799999999998</v>
      </c>
      <c r="F144" s="11">
        <v>0.43577700000000003</v>
      </c>
      <c r="G144" s="11">
        <v>0.70799400000000001</v>
      </c>
      <c r="H144" s="11">
        <v>0.30072599999999999</v>
      </c>
      <c r="I144" s="11">
        <v>0.39155299999999998</v>
      </c>
      <c r="J144" s="11">
        <v>0.54764100000000004</v>
      </c>
      <c r="K144" s="11">
        <v>0.41809400000000002</v>
      </c>
      <c r="L144" s="11">
        <v>0.57660900000000004</v>
      </c>
      <c r="M144" s="11">
        <v>1.0328250000000001</v>
      </c>
    </row>
    <row r="145" spans="1:13" x14ac:dyDescent="0.35">
      <c r="A145" s="11">
        <v>1994</v>
      </c>
      <c r="B145" s="11">
        <v>0.247229</v>
      </c>
      <c r="C145" s="11">
        <v>0.31546400000000002</v>
      </c>
      <c r="D145" s="11">
        <v>0.39471200000000001</v>
      </c>
      <c r="E145" s="11">
        <v>0.32514799999999999</v>
      </c>
      <c r="F145" s="11">
        <v>0.44229299999999999</v>
      </c>
      <c r="G145" s="11">
        <v>0.72107299999999996</v>
      </c>
      <c r="H145" s="11">
        <v>0.30578</v>
      </c>
      <c r="I145" s="11">
        <v>0.39809699999999998</v>
      </c>
      <c r="J145" s="11">
        <v>0.559612</v>
      </c>
      <c r="K145" s="11">
        <v>0.42343700000000001</v>
      </c>
      <c r="L145" s="11">
        <v>0.58349899999999999</v>
      </c>
      <c r="M145" s="11">
        <v>1.0497240000000001</v>
      </c>
    </row>
    <row r="146" spans="1:13" x14ac:dyDescent="0.35">
      <c r="A146" s="11">
        <v>1995</v>
      </c>
      <c r="B146" s="11">
        <v>0.25213999999999998</v>
      </c>
      <c r="C146" s="11">
        <v>0.32178099999999998</v>
      </c>
      <c r="D146" s="11">
        <v>0.40502300000000002</v>
      </c>
      <c r="E146" s="11">
        <v>0.330239</v>
      </c>
      <c r="F146" s="11">
        <v>0.44883499999999998</v>
      </c>
      <c r="G146" s="11">
        <v>0.73420600000000003</v>
      </c>
      <c r="H146" s="11">
        <v>0.31089600000000001</v>
      </c>
      <c r="I146" s="11">
        <v>0.40465000000000001</v>
      </c>
      <c r="J146" s="11">
        <v>0.57194500000000004</v>
      </c>
      <c r="K146" s="11">
        <v>0.42882700000000001</v>
      </c>
      <c r="L146" s="11">
        <v>0.59028400000000003</v>
      </c>
      <c r="M146" s="11">
        <v>1.066724</v>
      </c>
    </row>
    <row r="147" spans="1:13" x14ac:dyDescent="0.35">
      <c r="A147" s="11">
        <v>1996</v>
      </c>
      <c r="B147" s="11">
        <v>0.25718400000000002</v>
      </c>
      <c r="C147" s="11">
        <v>0.32822000000000001</v>
      </c>
      <c r="D147" s="11">
        <v>0.415634</v>
      </c>
      <c r="E147" s="11">
        <v>0.33546599999999999</v>
      </c>
      <c r="F147" s="11">
        <v>0.45567200000000002</v>
      </c>
      <c r="G147" s="11">
        <v>0.74775700000000001</v>
      </c>
      <c r="H147" s="11">
        <v>0.31612200000000001</v>
      </c>
      <c r="I147" s="11">
        <v>0.41125200000000001</v>
      </c>
      <c r="J147" s="11">
        <v>0.58463699999999996</v>
      </c>
      <c r="K147" s="11">
        <v>0.43431599999999998</v>
      </c>
      <c r="L147" s="11">
        <v>0.59723800000000005</v>
      </c>
      <c r="M147" s="11">
        <v>1.0841559999999999</v>
      </c>
    </row>
    <row r="148" spans="1:13" x14ac:dyDescent="0.35">
      <c r="A148" s="11">
        <v>1997</v>
      </c>
      <c r="B148" s="11">
        <v>0.26223999999999997</v>
      </c>
      <c r="C148" s="11">
        <v>0.33461099999999999</v>
      </c>
      <c r="D148" s="11">
        <v>0.42629600000000001</v>
      </c>
      <c r="E148" s="11">
        <v>0.340671</v>
      </c>
      <c r="F148" s="11">
        <v>0.462252</v>
      </c>
      <c r="G148" s="11">
        <v>0.76202599999999998</v>
      </c>
      <c r="H148" s="11">
        <v>0.32134699999999999</v>
      </c>
      <c r="I148" s="11">
        <v>0.417767</v>
      </c>
      <c r="J148" s="11">
        <v>0.59730899999999998</v>
      </c>
      <c r="K148" s="11">
        <v>0.43979000000000001</v>
      </c>
      <c r="L148" s="11">
        <v>0.60387500000000005</v>
      </c>
      <c r="M148" s="11">
        <v>1.1020719999999999</v>
      </c>
    </row>
    <row r="149" spans="1:13" x14ac:dyDescent="0.35">
      <c r="A149" s="11">
        <v>1998</v>
      </c>
      <c r="B149" s="11">
        <v>0.26733800000000002</v>
      </c>
      <c r="C149" s="11">
        <v>0.341007</v>
      </c>
      <c r="D149" s="11">
        <v>0.43689899999999998</v>
      </c>
      <c r="E149" s="11">
        <v>0.34593800000000002</v>
      </c>
      <c r="F149" s="11">
        <v>0.46887600000000001</v>
      </c>
      <c r="G149" s="11">
        <v>0.77568499999999996</v>
      </c>
      <c r="H149" s="11">
        <v>0.32655099999999998</v>
      </c>
      <c r="I149" s="11">
        <v>0.42416799999999999</v>
      </c>
      <c r="J149" s="11">
        <v>0.60966399999999998</v>
      </c>
      <c r="K149" s="11">
        <v>0.44531500000000002</v>
      </c>
      <c r="L149" s="11">
        <v>0.61043700000000001</v>
      </c>
      <c r="M149" s="11">
        <v>1.1192</v>
      </c>
    </row>
    <row r="150" spans="1:13" x14ac:dyDescent="0.35">
      <c r="A150" s="11">
        <v>1999</v>
      </c>
      <c r="B150" s="11">
        <v>0.27248600000000001</v>
      </c>
      <c r="C150" s="11">
        <v>0.34742899999999999</v>
      </c>
      <c r="D150" s="11">
        <v>0.44773499999999999</v>
      </c>
      <c r="E150" s="11">
        <v>0.35125099999999998</v>
      </c>
      <c r="F150" s="11">
        <v>0.47553099999999998</v>
      </c>
      <c r="G150" s="11">
        <v>0.78947199999999995</v>
      </c>
      <c r="H150" s="11">
        <v>0.33167799999999997</v>
      </c>
      <c r="I150" s="11">
        <v>0.43046800000000002</v>
      </c>
      <c r="J150" s="11">
        <v>0.62198500000000001</v>
      </c>
      <c r="K150" s="11">
        <v>0.45078099999999999</v>
      </c>
      <c r="L150" s="11">
        <v>0.61689000000000005</v>
      </c>
      <c r="M150" s="11">
        <v>1.1361779999999999</v>
      </c>
    </row>
    <row r="151" spans="1:13" x14ac:dyDescent="0.35">
      <c r="A151" s="11">
        <v>2000</v>
      </c>
      <c r="B151" s="11">
        <v>0.27776800000000001</v>
      </c>
      <c r="C151" s="11">
        <v>0.35397899999999999</v>
      </c>
      <c r="D151" s="11">
        <v>0.45886700000000002</v>
      </c>
      <c r="E151" s="11">
        <v>0.35672599999999999</v>
      </c>
      <c r="F151" s="11">
        <v>0.482292</v>
      </c>
      <c r="G151" s="11">
        <v>0.80336700000000005</v>
      </c>
      <c r="H151" s="11">
        <v>0.33690199999999998</v>
      </c>
      <c r="I151" s="11">
        <v>0.43687500000000001</v>
      </c>
      <c r="J151" s="11">
        <v>0.63498200000000005</v>
      </c>
      <c r="K151" s="11">
        <v>0.45635900000000001</v>
      </c>
      <c r="L151" s="11">
        <v>0.62339500000000003</v>
      </c>
      <c r="M151" s="11">
        <v>1.1535569999999999</v>
      </c>
    </row>
    <row r="152" spans="1:13" x14ac:dyDescent="0.35">
      <c r="A152" s="11">
        <v>2001</v>
      </c>
      <c r="B152" s="11">
        <v>0.28301500000000002</v>
      </c>
      <c r="C152" s="11">
        <v>0.36051800000000001</v>
      </c>
      <c r="D152" s="11">
        <v>0.470084</v>
      </c>
      <c r="E152" s="11">
        <v>0.36209799999999998</v>
      </c>
      <c r="F152" s="11">
        <v>0.48896299999999998</v>
      </c>
      <c r="G152" s="11">
        <v>0.81703199999999998</v>
      </c>
      <c r="H152" s="11">
        <v>0.34204699999999999</v>
      </c>
      <c r="I152" s="11">
        <v>0.44327100000000003</v>
      </c>
      <c r="J152" s="11">
        <v>0.64831099999999997</v>
      </c>
      <c r="K152" s="11">
        <v>0.46183999999999997</v>
      </c>
      <c r="L152" s="11">
        <v>0.629853</v>
      </c>
      <c r="M152" s="11">
        <v>1.1709959999999999</v>
      </c>
    </row>
    <row r="153" spans="1:13" x14ac:dyDescent="0.35">
      <c r="A153" s="11">
        <v>2002</v>
      </c>
      <c r="B153" s="11">
        <v>0.288298</v>
      </c>
      <c r="C153" s="11">
        <v>0.36708099999999999</v>
      </c>
      <c r="D153" s="11">
        <v>0.481549</v>
      </c>
      <c r="E153" s="11">
        <v>0.367504</v>
      </c>
      <c r="F153" s="11">
        <v>0.49563600000000002</v>
      </c>
      <c r="G153" s="11">
        <v>0.831233</v>
      </c>
      <c r="H153" s="11">
        <v>0.347194</v>
      </c>
      <c r="I153" s="11">
        <v>0.44962200000000002</v>
      </c>
      <c r="J153" s="11">
        <v>0.66169900000000004</v>
      </c>
      <c r="K153" s="11">
        <v>0.46726699999999999</v>
      </c>
      <c r="L153" s="11">
        <v>0.63617699999999999</v>
      </c>
      <c r="M153" s="11">
        <v>1.188752</v>
      </c>
    </row>
    <row r="154" spans="1:13" x14ac:dyDescent="0.35">
      <c r="A154" s="11">
        <v>2003</v>
      </c>
      <c r="B154" s="11">
        <v>0.293651</v>
      </c>
      <c r="C154" s="11">
        <v>0.373755</v>
      </c>
      <c r="D154" s="11">
        <v>0.49362400000000001</v>
      </c>
      <c r="E154" s="11">
        <v>0.373083</v>
      </c>
      <c r="F154" s="11">
        <v>0.50255300000000003</v>
      </c>
      <c r="G154" s="11">
        <v>0.84659499999999999</v>
      </c>
      <c r="H154" s="11">
        <v>0.352462</v>
      </c>
      <c r="I154" s="11">
        <v>0.45614399999999999</v>
      </c>
      <c r="J154" s="11">
        <v>0.67608199999999996</v>
      </c>
      <c r="K154" s="11">
        <v>0.472862</v>
      </c>
      <c r="L154" s="11">
        <v>0.64275499999999997</v>
      </c>
      <c r="M154" s="11">
        <v>1.2080569999999999</v>
      </c>
    </row>
    <row r="155" spans="1:13" x14ac:dyDescent="0.35">
      <c r="A155" s="11">
        <v>2004</v>
      </c>
      <c r="B155" s="11">
        <v>0.29905399999999999</v>
      </c>
      <c r="C155" s="11">
        <v>0.38048999999999999</v>
      </c>
      <c r="D155" s="11">
        <v>0.50609700000000002</v>
      </c>
      <c r="E155" s="11">
        <v>0.37868200000000002</v>
      </c>
      <c r="F155" s="11">
        <v>0.50948800000000005</v>
      </c>
      <c r="G155" s="11">
        <v>0.86195900000000003</v>
      </c>
      <c r="H155" s="11">
        <v>0.35777700000000001</v>
      </c>
      <c r="I155" s="11">
        <v>0.462729</v>
      </c>
      <c r="J155" s="11">
        <v>0.69088400000000005</v>
      </c>
      <c r="K155" s="11">
        <v>0.478518</v>
      </c>
      <c r="L155" s="11">
        <v>0.64935600000000004</v>
      </c>
      <c r="M155" s="11">
        <v>1.2275229999999999</v>
      </c>
    </row>
    <row r="156" spans="1:13" x14ac:dyDescent="0.35">
      <c r="A156" s="11">
        <v>2005</v>
      </c>
      <c r="B156" s="11">
        <v>0.30446200000000001</v>
      </c>
      <c r="C156" s="11">
        <v>0.38724900000000001</v>
      </c>
      <c r="D156" s="11">
        <v>0.51899899999999999</v>
      </c>
      <c r="E156" s="11">
        <v>0.38429600000000003</v>
      </c>
      <c r="F156" s="11">
        <v>0.51646899999999996</v>
      </c>
      <c r="G156" s="11">
        <v>0.87752200000000002</v>
      </c>
      <c r="H156" s="11">
        <v>0.36305100000000001</v>
      </c>
      <c r="I156" s="11">
        <v>0.46931600000000001</v>
      </c>
      <c r="J156" s="11">
        <v>0.70618499999999995</v>
      </c>
      <c r="K156" s="11">
        <v>0.48405500000000001</v>
      </c>
      <c r="L156" s="11">
        <v>0.65588900000000006</v>
      </c>
      <c r="M156" s="11">
        <v>1.2472719999999999</v>
      </c>
    </row>
    <row r="157" spans="1:13" x14ac:dyDescent="0.35">
      <c r="A157" s="11">
        <v>2006</v>
      </c>
      <c r="B157" s="11">
        <v>0.30982300000000002</v>
      </c>
      <c r="C157" s="11">
        <v>0.394013</v>
      </c>
      <c r="D157" s="11">
        <v>0.53232599999999997</v>
      </c>
      <c r="E157" s="11">
        <v>0.38970300000000002</v>
      </c>
      <c r="F157" s="11">
        <v>0.52329199999999998</v>
      </c>
      <c r="G157" s="11">
        <v>0.89355700000000005</v>
      </c>
      <c r="H157" s="11">
        <v>0.368286</v>
      </c>
      <c r="I157" s="11">
        <v>0.47592400000000001</v>
      </c>
      <c r="J157" s="11">
        <v>0.72196899999999997</v>
      </c>
      <c r="K157" s="11">
        <v>0.48947600000000002</v>
      </c>
      <c r="L157" s="11">
        <v>0.66236300000000004</v>
      </c>
      <c r="M157" s="11">
        <v>1.2676069999999999</v>
      </c>
    </row>
    <row r="158" spans="1:13" x14ac:dyDescent="0.35">
      <c r="A158" s="11">
        <v>2007</v>
      </c>
      <c r="B158" s="11">
        <v>0.315216</v>
      </c>
      <c r="C158" s="11">
        <v>0.40083000000000002</v>
      </c>
      <c r="D158" s="11">
        <v>0.54603400000000002</v>
      </c>
      <c r="E158" s="11">
        <v>0.395175</v>
      </c>
      <c r="F158" s="11">
        <v>0.53023799999999999</v>
      </c>
      <c r="G158" s="11">
        <v>0.90977200000000003</v>
      </c>
      <c r="H158" s="11">
        <v>0.37356099999999998</v>
      </c>
      <c r="I158" s="11">
        <v>0.482603</v>
      </c>
      <c r="J158" s="11">
        <v>0.73806700000000003</v>
      </c>
      <c r="K158" s="11">
        <v>0.49502000000000002</v>
      </c>
      <c r="L158" s="11">
        <v>0.66902600000000001</v>
      </c>
      <c r="M158" s="11">
        <v>1.288138</v>
      </c>
    </row>
    <row r="159" spans="1:13" x14ac:dyDescent="0.35">
      <c r="A159" s="11">
        <v>2008</v>
      </c>
      <c r="B159" s="11">
        <v>0.32044899999999998</v>
      </c>
      <c r="C159" s="11">
        <v>0.40748600000000001</v>
      </c>
      <c r="D159" s="11">
        <v>0.55998599999999998</v>
      </c>
      <c r="E159" s="11">
        <v>0.40057999999999999</v>
      </c>
      <c r="F159" s="11">
        <v>0.53708800000000001</v>
      </c>
      <c r="G159" s="11">
        <v>0.92638799999999999</v>
      </c>
      <c r="H159" s="11">
        <v>0.37867499999999998</v>
      </c>
      <c r="I159" s="11">
        <v>0.48910999999999999</v>
      </c>
      <c r="J159" s="11">
        <v>0.75429599999999997</v>
      </c>
      <c r="K159" s="11">
        <v>0.50044599999999995</v>
      </c>
      <c r="L159" s="11">
        <v>0.67554800000000004</v>
      </c>
      <c r="M159" s="11">
        <v>1.308983</v>
      </c>
    </row>
    <row r="160" spans="1:13" x14ac:dyDescent="0.35">
      <c r="A160" s="11">
        <v>2009</v>
      </c>
      <c r="B160" s="11">
        <v>0.32531599999999999</v>
      </c>
      <c r="C160" s="11">
        <v>0.41367700000000002</v>
      </c>
      <c r="D160" s="11">
        <v>0.57371499999999997</v>
      </c>
      <c r="E160" s="11">
        <v>0.40553699999999998</v>
      </c>
      <c r="F160" s="11">
        <v>0.543489</v>
      </c>
      <c r="G160" s="11">
        <v>0.94304900000000003</v>
      </c>
      <c r="H160" s="11">
        <v>0.38330700000000001</v>
      </c>
      <c r="I160" s="11">
        <v>0.49504199999999998</v>
      </c>
      <c r="J160" s="11">
        <v>0.770007</v>
      </c>
      <c r="K160" s="11">
        <v>0.50531300000000001</v>
      </c>
      <c r="L160" s="11">
        <v>0.68150100000000002</v>
      </c>
      <c r="M160" s="11">
        <v>1.3294490000000001</v>
      </c>
    </row>
    <row r="161" spans="1:13" x14ac:dyDescent="0.35">
      <c r="A161" s="11">
        <v>2010</v>
      </c>
      <c r="B161" s="11">
        <v>0.33033299999999999</v>
      </c>
      <c r="C161" s="11">
        <v>0.42007800000000001</v>
      </c>
      <c r="D161" s="11">
        <v>0.58823099999999995</v>
      </c>
      <c r="E161" s="11">
        <v>0.410769</v>
      </c>
      <c r="F161" s="11">
        <v>0.55027599999999999</v>
      </c>
      <c r="G161" s="11">
        <v>0.96048500000000003</v>
      </c>
      <c r="H161" s="11">
        <v>0.38808100000000001</v>
      </c>
      <c r="I161" s="11">
        <v>0.50122</v>
      </c>
      <c r="J161" s="11">
        <v>0.78676800000000002</v>
      </c>
      <c r="K161" s="11">
        <v>0.51039100000000004</v>
      </c>
      <c r="L161" s="11">
        <v>0.68782699999999997</v>
      </c>
      <c r="M161" s="11">
        <v>1.3509009999999999</v>
      </c>
    </row>
    <row r="162" spans="1:13" x14ac:dyDescent="0.35">
      <c r="A162" s="11">
        <v>2011</v>
      </c>
      <c r="B162" s="11">
        <v>0.33524900000000002</v>
      </c>
      <c r="C162" s="11">
        <v>0.42642099999999999</v>
      </c>
      <c r="D162" s="11">
        <v>0.60325499999999999</v>
      </c>
      <c r="E162" s="11">
        <v>0.41579199999999999</v>
      </c>
      <c r="F162" s="11">
        <v>0.556786</v>
      </c>
      <c r="G162" s="11">
        <v>0.97837399999999997</v>
      </c>
      <c r="H162" s="11">
        <v>0.39276</v>
      </c>
      <c r="I162" s="11">
        <v>0.50744800000000001</v>
      </c>
      <c r="J162" s="11">
        <v>0.80452000000000001</v>
      </c>
      <c r="K162" s="11">
        <v>0.51539800000000002</v>
      </c>
      <c r="L162" s="11">
        <v>0.69413400000000003</v>
      </c>
      <c r="M162" s="11">
        <v>1.37344</v>
      </c>
    </row>
    <row r="163" spans="1:13" x14ac:dyDescent="0.35">
      <c r="A163" s="11">
        <v>2012</v>
      </c>
      <c r="B163" s="11">
        <v>0.34008100000000002</v>
      </c>
      <c r="C163" s="11">
        <v>0.43268000000000001</v>
      </c>
      <c r="D163" s="11">
        <v>0.61849799999999999</v>
      </c>
      <c r="E163" s="11">
        <v>0.420734</v>
      </c>
      <c r="F163" s="11">
        <v>0.56333100000000003</v>
      </c>
      <c r="G163" s="11">
        <v>0.99661</v>
      </c>
      <c r="H163" s="11">
        <v>0.39732600000000001</v>
      </c>
      <c r="I163" s="11">
        <v>0.51363499999999995</v>
      </c>
      <c r="J163" s="11">
        <v>0.82256899999999999</v>
      </c>
      <c r="K163" s="11">
        <v>0.52030399999999999</v>
      </c>
      <c r="L163" s="11">
        <v>0.70058799999999999</v>
      </c>
      <c r="M163" s="11">
        <v>1.396469</v>
      </c>
    </row>
    <row r="164" spans="1:13" x14ac:dyDescent="0.35">
      <c r="A164" s="11">
        <v>2013</v>
      </c>
      <c r="B164" s="11">
        <v>0.34495399999999998</v>
      </c>
      <c r="C164" s="11">
        <v>0.43893199999999999</v>
      </c>
      <c r="D164" s="11">
        <v>0.63387899999999997</v>
      </c>
      <c r="E164" s="11">
        <v>0.42569099999999999</v>
      </c>
      <c r="F164" s="11">
        <v>0.56979800000000003</v>
      </c>
      <c r="G164" s="11">
        <v>1.0148299999999999</v>
      </c>
      <c r="H164" s="11">
        <v>0.40194000000000002</v>
      </c>
      <c r="I164" s="11">
        <v>0.51987000000000005</v>
      </c>
      <c r="J164" s="11">
        <v>0.84071399999999996</v>
      </c>
      <c r="K164" s="11">
        <v>0.52513799999999999</v>
      </c>
      <c r="L164" s="11">
        <v>0.70696700000000001</v>
      </c>
      <c r="M164" s="11">
        <v>1.419392</v>
      </c>
    </row>
    <row r="165" spans="1:13" x14ac:dyDescent="0.35">
      <c r="A165" s="11">
        <v>2014</v>
      </c>
      <c r="B165" s="11">
        <v>0.34975299999999998</v>
      </c>
      <c r="C165" s="11">
        <v>0.44508999999999999</v>
      </c>
      <c r="D165" s="11">
        <v>0.649343</v>
      </c>
      <c r="E165" s="11">
        <v>0.43058299999999999</v>
      </c>
      <c r="F165" s="11">
        <v>0.57613099999999995</v>
      </c>
      <c r="G165" s="11">
        <v>1.0331779999999999</v>
      </c>
      <c r="H165" s="11">
        <v>0.40651900000000002</v>
      </c>
      <c r="I165" s="11">
        <v>0.52609899999999998</v>
      </c>
      <c r="J165" s="11">
        <v>0.85896899999999998</v>
      </c>
      <c r="K165" s="11">
        <v>0.52996500000000002</v>
      </c>
      <c r="L165" s="11">
        <v>0.71335400000000004</v>
      </c>
      <c r="M165" s="11">
        <v>1.44248</v>
      </c>
    </row>
    <row r="166" spans="1:13" x14ac:dyDescent="0.35">
      <c r="A166" s="11">
        <v>2015</v>
      </c>
      <c r="B166" s="11">
        <v>0.35447699999999999</v>
      </c>
      <c r="C166" s="11">
        <v>0.45116899999999999</v>
      </c>
      <c r="D166" s="11">
        <v>0.66476100000000005</v>
      </c>
      <c r="E166" s="11">
        <v>0.43537999999999999</v>
      </c>
      <c r="F166" s="11">
        <v>0.58248999999999995</v>
      </c>
      <c r="G166" s="11">
        <v>1.0515300000000001</v>
      </c>
      <c r="H166" s="11">
        <v>0.41101799999999999</v>
      </c>
      <c r="I166" s="11">
        <v>0.53224899999999997</v>
      </c>
      <c r="J166" s="11">
        <v>0.87704300000000002</v>
      </c>
      <c r="K166" s="11">
        <v>0.53468300000000002</v>
      </c>
      <c r="L166" s="11">
        <v>0.7198</v>
      </c>
      <c r="M166" s="11">
        <v>1.4654339999999999</v>
      </c>
    </row>
    <row r="167" spans="1:13" x14ac:dyDescent="0.35">
      <c r="A167" s="11">
        <v>2016</v>
      </c>
      <c r="B167" s="11">
        <v>0.35912100000000002</v>
      </c>
      <c r="C167" s="11">
        <v>0.45718199999999998</v>
      </c>
      <c r="D167" s="11">
        <v>0.68016699999999997</v>
      </c>
      <c r="E167" s="11">
        <v>0.44013799999999997</v>
      </c>
      <c r="F167" s="11">
        <v>0.58882000000000001</v>
      </c>
      <c r="G167" s="11">
        <v>1.0693600000000001</v>
      </c>
      <c r="H167" s="11">
        <v>0.415385</v>
      </c>
      <c r="I167" s="11">
        <v>0.53833200000000003</v>
      </c>
      <c r="J167" s="11">
        <v>0.89495899999999995</v>
      </c>
      <c r="K167" s="11">
        <v>0.53929700000000003</v>
      </c>
      <c r="L167" s="11">
        <v>0.72623199999999999</v>
      </c>
      <c r="M167" s="11">
        <v>1.4877830000000001</v>
      </c>
    </row>
    <row r="168" spans="1:13" x14ac:dyDescent="0.35">
      <c r="A168" s="11">
        <v>2017</v>
      </c>
      <c r="B168" s="11">
        <v>0.363736</v>
      </c>
      <c r="C168" s="11">
        <v>0.46319900000000003</v>
      </c>
      <c r="D168" s="11">
        <v>0.69582100000000002</v>
      </c>
      <c r="E168" s="11">
        <v>0.44490000000000002</v>
      </c>
      <c r="F168" s="11">
        <v>0.59516999999999998</v>
      </c>
      <c r="G168" s="11">
        <v>1.08741</v>
      </c>
      <c r="H168" s="11">
        <v>0.41977500000000001</v>
      </c>
      <c r="I168" s="11">
        <v>0.54449800000000004</v>
      </c>
      <c r="J168" s="11">
        <v>0.91330699999999998</v>
      </c>
      <c r="K168" s="11">
        <v>0.54402499999999998</v>
      </c>
      <c r="L168" s="11">
        <v>0.73285900000000004</v>
      </c>
      <c r="M168" s="11">
        <v>1.510723</v>
      </c>
    </row>
    <row r="169" spans="1:13" x14ac:dyDescent="0.35">
      <c r="A169" s="11">
        <v>2018</v>
      </c>
      <c r="B169" s="11">
        <v>0.36837900000000001</v>
      </c>
      <c r="C169" s="11">
        <v>0.46926400000000001</v>
      </c>
      <c r="D169" s="11">
        <v>0.71180100000000002</v>
      </c>
      <c r="E169" s="11">
        <v>0.449656</v>
      </c>
      <c r="F169" s="11">
        <v>0.60148999999999997</v>
      </c>
      <c r="G169" s="11">
        <v>1.1055950000000001</v>
      </c>
      <c r="H169" s="11">
        <v>0.42430499999999999</v>
      </c>
      <c r="I169" s="11">
        <v>0.55089500000000002</v>
      </c>
      <c r="J169" s="11">
        <v>0.93245400000000001</v>
      </c>
      <c r="K169" s="11">
        <v>0.54886000000000001</v>
      </c>
      <c r="L169" s="11">
        <v>0.73967300000000002</v>
      </c>
      <c r="M169" s="11">
        <v>1.534205</v>
      </c>
    </row>
    <row r="170" spans="1:13" x14ac:dyDescent="0.35">
      <c r="A170" s="11">
        <v>2019</v>
      </c>
      <c r="B170" s="11">
        <v>0.372894</v>
      </c>
      <c r="C170" s="11">
        <v>0.47517100000000001</v>
      </c>
      <c r="D170" s="11">
        <v>0.727939</v>
      </c>
      <c r="E170" s="11">
        <v>0.45427499999999998</v>
      </c>
      <c r="F170" s="11">
        <v>0.60762400000000005</v>
      </c>
      <c r="G170" s="11">
        <v>1.1239399999999999</v>
      </c>
      <c r="H170" s="11">
        <v>0.428788</v>
      </c>
      <c r="I170" s="11">
        <v>0.55723500000000004</v>
      </c>
      <c r="J170" s="11">
        <v>0.95195799999999997</v>
      </c>
      <c r="K170" s="11">
        <v>0.55356000000000005</v>
      </c>
      <c r="L170" s="11">
        <v>0.74635600000000002</v>
      </c>
      <c r="M170" s="11">
        <v>1.557966</v>
      </c>
    </row>
    <row r="171" spans="1:13" x14ac:dyDescent="0.35">
      <c r="A171" s="11">
        <v>2020</v>
      </c>
      <c r="B171" s="11">
        <v>0.37697700000000001</v>
      </c>
      <c r="C171" s="11">
        <v>0.48058899999999999</v>
      </c>
      <c r="D171" s="11">
        <v>0.74338700000000002</v>
      </c>
      <c r="E171" s="11">
        <v>0.45846700000000001</v>
      </c>
      <c r="F171" s="11">
        <v>0.61325200000000002</v>
      </c>
      <c r="G171" s="11">
        <v>1.141429</v>
      </c>
      <c r="H171" s="11">
        <v>0.43272300000000002</v>
      </c>
      <c r="I171" s="11">
        <v>0.56294200000000005</v>
      </c>
      <c r="J171" s="11">
        <v>0.97024299999999997</v>
      </c>
      <c r="K171" s="11">
        <v>0.55767500000000003</v>
      </c>
      <c r="L171" s="11">
        <v>0.75236199999999998</v>
      </c>
      <c r="M171" s="11">
        <v>1.580465</v>
      </c>
    </row>
    <row r="172" spans="1:13" x14ac:dyDescent="0.35">
      <c r="A172" s="11">
        <v>2021</v>
      </c>
      <c r="B172" s="11">
        <v>0.38128299999999998</v>
      </c>
      <c r="C172" s="11">
        <v>0.48629299999999998</v>
      </c>
      <c r="D172" s="11">
        <v>0.75958800000000004</v>
      </c>
      <c r="E172" s="11">
        <v>0.462899</v>
      </c>
      <c r="F172" s="11">
        <v>0.61920299999999995</v>
      </c>
      <c r="G172" s="11">
        <v>1.1597329999999999</v>
      </c>
      <c r="H172" s="11">
        <v>0.437</v>
      </c>
      <c r="I172" s="11">
        <v>0.56908800000000004</v>
      </c>
      <c r="J172" s="11">
        <v>0.98963100000000004</v>
      </c>
      <c r="K172" s="11">
        <v>0.56215400000000004</v>
      </c>
      <c r="L172" s="11">
        <v>0.75885899999999995</v>
      </c>
      <c r="M172" s="11">
        <v>1.604217</v>
      </c>
    </row>
    <row r="173" spans="1:13" x14ac:dyDescent="0.35">
      <c r="A173" s="11">
        <v>2022</v>
      </c>
      <c r="B173" s="11">
        <v>0.38555899999999999</v>
      </c>
      <c r="C173" s="11">
        <v>0.491919</v>
      </c>
      <c r="D173" s="11">
        <v>0.77604600000000001</v>
      </c>
      <c r="E173" s="11">
        <v>0.46729399999999999</v>
      </c>
      <c r="F173" s="11">
        <v>0.62511300000000003</v>
      </c>
      <c r="G173" s="11">
        <v>1.178353</v>
      </c>
      <c r="H173" s="11">
        <v>0.44131300000000001</v>
      </c>
      <c r="I173" s="11">
        <v>0.57521199999999995</v>
      </c>
      <c r="J173" s="11">
        <v>1.009747</v>
      </c>
      <c r="K173" s="11">
        <v>0.56666300000000003</v>
      </c>
      <c r="L173" s="11">
        <v>0.76536400000000004</v>
      </c>
      <c r="M173" s="11">
        <v>1.6287450000000001</v>
      </c>
    </row>
    <row r="174" spans="1:13" x14ac:dyDescent="0.35">
      <c r="A174" s="11">
        <v>2023</v>
      </c>
      <c r="B174" s="11">
        <v>0.38966899999999999</v>
      </c>
      <c r="C174" s="11">
        <v>0.49739</v>
      </c>
      <c r="D174" s="11">
        <v>0.79270700000000005</v>
      </c>
      <c r="E174" s="11">
        <v>0.47152500000000003</v>
      </c>
      <c r="F174" s="11">
        <v>0.63087199999999999</v>
      </c>
      <c r="G174" s="11">
        <v>1.197157</v>
      </c>
      <c r="H174" s="11">
        <v>0.445492</v>
      </c>
      <c r="I174" s="11">
        <v>0.58120000000000005</v>
      </c>
      <c r="J174" s="11">
        <v>1.029963</v>
      </c>
      <c r="K174" s="11">
        <v>0.57113000000000003</v>
      </c>
      <c r="L174" s="11">
        <v>0.77182600000000001</v>
      </c>
      <c r="M174" s="11">
        <v>1.653394</v>
      </c>
    </row>
    <row r="175" spans="1:13" x14ac:dyDescent="0.35">
      <c r="A175" s="11">
        <v>2024</v>
      </c>
      <c r="B175" s="11">
        <v>0.39374300000000001</v>
      </c>
      <c r="C175" s="11">
        <v>0.50284899999999999</v>
      </c>
      <c r="D175" s="11">
        <v>0.80954599999999999</v>
      </c>
      <c r="E175" s="11">
        <v>0.47571400000000003</v>
      </c>
      <c r="F175" s="11">
        <v>0.63660799999999995</v>
      </c>
      <c r="G175" s="11">
        <v>1.2160660000000001</v>
      </c>
      <c r="H175" s="11">
        <v>0.449633</v>
      </c>
      <c r="I175" s="11">
        <v>0.58717799999999998</v>
      </c>
      <c r="J175" s="11">
        <v>1.050284</v>
      </c>
      <c r="K175" s="11">
        <v>0.57549799999999995</v>
      </c>
      <c r="L175" s="11">
        <v>0.77823399999999998</v>
      </c>
      <c r="M175" s="11">
        <v>1.678059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1753-9382-40C8-BEBA-42E38DC2FE83}">
  <sheetPr>
    <tabColor rgb="FF0B4C5B"/>
  </sheetPr>
  <dimension ref="A1:S13"/>
  <sheetViews>
    <sheetView workbookViewId="0">
      <selection sqref="A1:O1"/>
    </sheetView>
  </sheetViews>
  <sheetFormatPr defaultRowHeight="14.5" x14ac:dyDescent="0.35"/>
  <cols>
    <col min="1" max="1" width="5.7265625" bestFit="1" customWidth="1"/>
    <col min="2" max="2" width="32.6328125" customWidth="1"/>
    <col min="3" max="3" width="6.36328125" bestFit="1" customWidth="1"/>
    <col min="4" max="4" width="6.6328125" bestFit="1" customWidth="1"/>
    <col min="5" max="5" width="6.54296875" bestFit="1" customWidth="1"/>
    <col min="6" max="6" width="6.7265625" bestFit="1" customWidth="1"/>
    <col min="7" max="7" width="8.36328125" bestFit="1" customWidth="1"/>
    <col min="8" max="15" width="11.6328125" customWidth="1"/>
  </cols>
  <sheetData>
    <row r="1" spans="1:19" ht="30" customHeight="1" x14ac:dyDescent="0.35">
      <c r="A1" s="8" t="str">
        <f>"Emissions shares and contribution to increase in GMST ("&amp;TEXT(Chart!$V$1,"0")&amp;"–"&amp;TEXT(Chart!$V$2,"0")&amp;")"</f>
        <v>Emissions shares and contribution to increase in GMST (1850–2024)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35">
      <c r="A2" s="1" t="s">
        <v>0</v>
      </c>
      <c r="B2" s="1" t="s">
        <v>1</v>
      </c>
      <c r="C2" s="1" t="s">
        <v>45</v>
      </c>
      <c r="D2" s="1" t="s">
        <v>46</v>
      </c>
      <c r="E2" s="1" t="s">
        <v>47</v>
      </c>
      <c r="F2" s="1" t="s">
        <v>48</v>
      </c>
      <c r="G2" s="3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2</v>
      </c>
      <c r="M2" s="2" t="s">
        <v>3</v>
      </c>
      <c r="N2" s="2" t="s">
        <v>4</v>
      </c>
      <c r="O2" s="2" t="s">
        <v>5</v>
      </c>
    </row>
    <row r="3" spans="1:19" x14ac:dyDescent="0.35">
      <c r="A3" s="5">
        <v>1</v>
      </c>
      <c r="B3" s="5" t="s">
        <v>54</v>
      </c>
      <c r="C3" s="13">
        <f>IFERROR(SUMIFS(raw_co2_excLUC!$C:$C,raw_co2_excLUC!$A:$A,"&gt;="&amp;Chart!$V$1,raw_co2_excLUC!$A:$A,"&lt;="&amp;Chart!$V$2)/(SUMIFS(raw_co2_excLUC!$C:$C,raw_co2_excLUC!$A:$A,"&gt;="&amp;Chart!$V$1,raw_co2_excLUC!$A:$A,"&lt;="&amp;Chart!$V$2)+SUMIFS(raw_co2_excLUC!$D:$D,raw_co2_excLUC!$A:$A,"&gt;="&amp;Chart!$V$1,raw_co2_excLUC!$A:$A,"&lt;="&amp;Chart!$V$2))*100,NA())</f>
        <v>62.091743207812513</v>
      </c>
      <c r="D3" s="13">
        <f>IFERROR(SUMIFS(raw_co2_excLUC!$F:$F,raw_co2_excLUC!$A:$A,"&gt;="&amp;Chart!$V$1,raw_co2_excLUC!$A:$A,"&lt;="&amp;Chart!$V$2)/(SUMIFS(raw_co2_excLUC!$F:$F,raw_co2_excLUC!$A:$A,"&gt;="&amp;Chart!$V$1,raw_co2_excLUC!$A:$A,"&lt;="&amp;Chart!$V$2)+SUMIFS(raw_co2_excLUC!$G:$G,raw_co2_excLUC!$A:$A,"&gt;="&amp;Chart!$V$1,raw_co2_excLUC!$A:$A,"&lt;="&amp;Chart!$V$2))*100,NA())</f>
        <v>62.172529548298364</v>
      </c>
      <c r="E3" s="13">
        <f>IFERROR(SUMIFS(raw_co2_excLUC!$I:$I,raw_co2_excLUC!$A:$A,"&gt;="&amp;Chart!$V$1,raw_co2_excLUC!$A:$A,"&lt;="&amp;Chart!$V$2)/(SUMIFS(raw_co2_excLUC!$I:$I,raw_co2_excLUC!$A:$A,"&gt;="&amp;Chart!$V$1,raw_co2_excLUC!$A:$A,"&lt;="&amp;Chart!$V$2)+SUMIFS(raw_co2_excLUC!$J:$J,raw_co2_excLUC!$A:$A,"&gt;="&amp;Chart!$V$1,raw_co2_excLUC!$A:$A,"&lt;="&amp;Chart!$V$2))*100,NA())</f>
        <v>62.108450170722151</v>
      </c>
      <c r="F3" s="13" t="e">
        <f>IFERROR(SUMIFS(raw_co2_excLUC!$L:$L,raw_co2_excLUC!$A:$A,"&gt;="&amp;Chart!$V$1,raw_co2_excLUC!$A:$A,"&lt;="&amp;Chart!$V$2)/(SUMIFS(raw_co2_excLUC!$L:$L,raw_co2_excLUC!$A:$A,"&gt;="&amp;Chart!$V$1,raw_co2_excLUC!$A:$A,"&lt;="&amp;Chart!$V$2)+SUMIFS(raw_co2_excLUC!$M:$M,raw_co2_excLUC!$A:$A,"&gt;="&amp;Chart!$V$1,raw_co2_excLUC!$A:$A,"&lt;="&amp;Chart!$V$2))*100,NA())</f>
        <v>#N/A</v>
      </c>
      <c r="G3" s="13" t="e">
        <f>IFERROR(SUMIFS(raw_co2_excLUC!$O:$O,raw_co2_excLUC!$A:$A,"&gt;="&amp;Chart!$V$1,raw_co2_excLUC!$A:$A,"&lt;="&amp;Chart!$V$2)/(SUMIFS(raw_co2_excLUC!$O:$O,raw_co2_excLUC!$A:$A,"&gt;="&amp;Chart!$V$1,raw_co2_excLUC!$A:$A,"&lt;="&amp;Chart!$V$2)+SUMIFS(raw_co2_excLUC!$P:$P,raw_co2_excLUC!$A:$A,"&gt;="&amp;Chart!$V$1,raw_co2_excLUC!$A:$A,"&lt;="&amp;Chart!$V$2))*100,NA())</f>
        <v>#N/A</v>
      </c>
      <c r="H3" s="13" t="e">
        <f>IFERROR(SUMIFS(raw_co2_excLUC!$R:$R,raw_co2_excLUC!$A:$A,"&gt;="&amp;Chart!$V$1,raw_co2_excLUC!$A:$A,"&lt;="&amp;Chart!$V$2)/(SUMIFS(raw_co2_excLUC!$R:$R,raw_co2_excLUC!$A:$A,"&gt;="&amp;Chart!$V$1,raw_co2_excLUC!$A:$A,"&lt;="&amp;Chart!$V$2)+SUMIFS(raw_co2_excLUC!$S:$S,raw_co2_excLUC!$A:$A,"&gt;="&amp;Chart!$V$1,raw_co2_excLUC!$A:$A,"&lt;="&amp;Chart!$V$2))*100,NA())</f>
        <v>#N/A</v>
      </c>
      <c r="I3" s="13" t="e">
        <f>IF(Chart!$V$1&lt;1970,NA(),IFERROR(SUMIFS(raw_co2_excLUC!$U:$U,raw_co2_excLUC!$A:$A,"&gt;="&amp;Chart!$V$1,raw_co2_excLUC!$A:$A,"&lt;="&amp;Chart!$V$2)/(SUMIFS(raw_co2_excLUC!$U:$U,raw_co2_excLUC!$A:$A,"&gt;="&amp;Chart!$V$1,raw_co2_excLUC!$A:$A,"&lt;="&amp;Chart!$V$2)+SUMIFS(raw_co2_excLUC!$V:$V,raw_co2_excLUC!$A:$A,"&gt;="&amp;Chart!$V$1,raw_co2_excLUC!$A:$A,"&lt;="&amp;Chart!$V$2))*100,NA()))</f>
        <v>#N/A</v>
      </c>
      <c r="J3" s="13" t="e">
        <f>IF(Chart!$V$1&lt;1990,NA(),IFERROR(SUMIFS(raw_co2_excLUC!$X:$X,raw_co2_excLUC!$A:$A,"&gt;="&amp;Chart!$V$1,raw_co2_excLUC!$A:$A,"&lt;="&amp;Chart!$V$2)/(SUMIFS(raw_co2_excLUC!$X:$X,raw_co2_excLUC!$A:$A,"&gt;="&amp;Chart!$V$1,raw_co2_excLUC!$A:$A,"&lt;="&amp;Chart!$V$2)+SUMIFS(raw_co2_excLUC!$Y:$Y,raw_co2_excLUC!$A:$A,"&gt;="&amp;Chart!$V$1,raw_co2_excLUC!$A:$A,"&lt;="&amp;Chart!$V$2))*100,NA()))</f>
        <v>#N/A</v>
      </c>
      <c r="K3" s="13">
        <f>IFERROR((VLOOKUP(Chart!$V$2,gmst!$A:$G,3,0)-IF(Chart!$V$1&lt;=1851,0,VLOOKUP(Chart!$V$1-1,gmst!$A:$G,3,0)))/(VLOOKUP(Chart!$V$2,gmst!$A:$G,4,0)-IF(Chart!$V$1&lt;=1851,0,VLOOKUP(Chart!$V$1-1,gmst!$A:$G,4,0)))*100,NA())</f>
        <v>62.114938496391801</v>
      </c>
      <c r="L3" s="5">
        <f>IF(COUNT(C3:J3)&lt;=1,NA(),_xlfn.AGGREGATE(5,6,C3:J3))</f>
        <v>62.091743207812513</v>
      </c>
      <c r="M3" s="5">
        <f>IF(COUNT(C3:J3)&lt;=1,0,_xlfn.AGGREGATE(4,6,C3:J3)-_xlfn.AGGREGATE(5,6,C3:J3))</f>
        <v>8.0786340485850872E-2</v>
      </c>
      <c r="N3" s="5">
        <v>0</v>
      </c>
      <c r="O3" s="5">
        <f>IF(ISNA(L3),NA(),L3+M3)</f>
        <v>62.172529548298364</v>
      </c>
      <c r="P3">
        <f>IF(ISNA(L3),NA(),L3)</f>
        <v>62.091743207812513</v>
      </c>
      <c r="Q3">
        <f>IF(ISNA(L3),NA(),O3)</f>
        <v>62.172529548298364</v>
      </c>
      <c r="R3">
        <f>IF(ISNA(L3),NA(),A3)</f>
        <v>1</v>
      </c>
      <c r="S3">
        <f>R3</f>
        <v>1</v>
      </c>
    </row>
    <row r="4" spans="1:19" x14ac:dyDescent="0.35">
      <c r="A4" s="4">
        <v>2</v>
      </c>
      <c r="B4" s="4" t="s">
        <v>55</v>
      </c>
      <c r="C4" s="14">
        <f>IFERROR(SUMIFS(raw_co2_excLUC!$B:$B,raw_co2_excLUC!$A:$A,"&gt;="&amp;Chart!$V$1,raw_co2_excLUC!$A:$A,"&lt;="&amp;Chart!$V$2)/(SUMIFS(raw_co2_excLUC!$C:$C,raw_co2_excLUC!$A:$A,"&gt;="&amp;Chart!$V$1,raw_co2_excLUC!$A:$A,"&lt;="&amp;Chart!$V$2)+SUMIFS(raw_co2_excLUC!$D:$D,raw_co2_excLUC!$A:$A,"&gt;="&amp;Chart!$V$1,raw_co2_excLUC!$A:$A,"&lt;="&amp;Chart!$V$2))*100,NA())</f>
        <v>48.621447498541478</v>
      </c>
      <c r="D4" s="14">
        <f>IFERROR(SUMIFS(raw_co2_excLUC!$E:$E,raw_co2_excLUC!$A:$A,"&gt;="&amp;Chart!$V$1,raw_co2_excLUC!$A:$A,"&lt;="&amp;Chart!$V$2)/(SUMIFS(raw_co2_excLUC!$F:$F,raw_co2_excLUC!$A:$A,"&gt;="&amp;Chart!$V$1,raw_co2_excLUC!$A:$A,"&lt;="&amp;Chart!$V$2)+SUMIFS(raw_co2_excLUC!$G:$G,raw_co2_excLUC!$A:$A,"&gt;="&amp;Chart!$V$1,raw_co2_excLUC!$A:$A,"&lt;="&amp;Chart!$V$2))*100,NA())</f>
        <v>48.501612141772895</v>
      </c>
      <c r="E4" s="14">
        <f>IFERROR(SUMIFS(raw_co2_excLUC!$H:$H,raw_co2_excLUC!$A:$A,"&gt;="&amp;Chart!$V$1,raw_co2_excLUC!$A:$A,"&lt;="&amp;Chart!$V$2)/(SUMIFS(raw_co2_excLUC!$I:$I,raw_co2_excLUC!$A:$A,"&gt;="&amp;Chart!$V$1,raw_co2_excLUC!$A:$A,"&lt;="&amp;Chart!$V$2)+SUMIFS(raw_co2_excLUC!$J:$J,raw_co2_excLUC!$A:$A,"&gt;="&amp;Chart!$V$1,raw_co2_excLUC!$A:$A,"&lt;="&amp;Chart!$V$2))*100,NA())</f>
        <v>48.634529780665289</v>
      </c>
      <c r="F4" s="14" t="e">
        <f>IFERROR(SUMIFS(raw_co2_excLUC!$K:$K,raw_co2_excLUC!$A:$A,"&gt;="&amp;Chart!$V$1,raw_co2_excLUC!$A:$A,"&lt;="&amp;Chart!$V$2)/(SUMIFS(raw_co2_excLUC!$L:$L,raw_co2_excLUC!$A:$A,"&gt;="&amp;Chart!$V$1,raw_co2_excLUC!$A:$A,"&lt;="&amp;Chart!$V$2)+SUMIFS(raw_co2_excLUC!$M:$M,raw_co2_excLUC!$A:$A,"&gt;="&amp;Chart!$V$1,raw_co2_excLUC!$A:$A,"&lt;="&amp;Chart!$V$2))*100,NA())</f>
        <v>#N/A</v>
      </c>
      <c r="G4" s="14" t="e">
        <f>IFERROR(SUMIFS(raw_co2_excLUC!$N:$N,raw_co2_excLUC!$A:$A,"&gt;="&amp;Chart!$V$1,raw_co2_excLUC!$A:$A,"&lt;="&amp;Chart!$V$2)/(SUMIFS(raw_co2_excLUC!$O:$O,raw_co2_excLUC!$A:$A,"&gt;="&amp;Chart!$V$1,raw_co2_excLUC!$A:$A,"&lt;="&amp;Chart!$V$2)+SUMIFS(raw_co2_excLUC!$P:$P,raw_co2_excLUC!$A:$A,"&gt;="&amp;Chart!$V$1,raw_co2_excLUC!$A:$A,"&lt;="&amp;Chart!$V$2))*100,NA())</f>
        <v>#N/A</v>
      </c>
      <c r="H4" s="13" t="e">
        <f>IFERROR(SUMIFS(raw_co2_excLUC!$Q:$Q,raw_co2_excLUC!$A:$A,"&gt;="&amp;Chart!$V$1,raw_co2_excLUC!$A:$A,"&lt;="&amp;Chart!$V$2)/(SUMIFS(raw_co2_excLUC!$R:$R,raw_co2_excLUC!$A:$A,"&gt;="&amp;Chart!$V$1,raw_co2_excLUC!$A:$A,"&lt;="&amp;Chart!$V$2)+SUMIFS(raw_co2_excLUC!$S:$S,raw_co2_excLUC!$A:$A,"&gt;="&amp;Chart!$V$1,raw_co2_excLUC!$A:$A,"&lt;="&amp;Chart!$V$2))*100,NA())</f>
        <v>#N/A</v>
      </c>
      <c r="I4" s="13" t="e">
        <f>IF(Chart!$V$1&lt;1970,NA(),IFERROR(SUMIFS(raw_co2_excLUC!$T:$T,raw_co2_excLUC!$A:$A,"&gt;="&amp;Chart!$V$1,raw_co2_excLUC!$A:$A,"&lt;="&amp;Chart!$V$2)/(SUMIFS(raw_co2_excLUC!$U:$U,raw_co2_excLUC!$A:$A,"&gt;="&amp;Chart!$V$1,raw_co2_excLUC!$A:$A,"&lt;="&amp;Chart!$V$2)+SUMIFS(raw_co2_excLUC!$V:$V,raw_co2_excLUC!$A:$A,"&gt;="&amp;Chart!$V$1,raw_co2_excLUC!$A:$A,"&lt;="&amp;Chart!$V$2))*100,NA()))</f>
        <v>#N/A</v>
      </c>
      <c r="J4" s="13" t="e">
        <f>IF(Chart!$V$1&lt;1990,NA(),IFERROR(SUMIFS(raw_co2_excLUC!$W:$W,raw_co2_excLUC!$A:$A,"&gt;="&amp;Chart!$V$1,raw_co2_excLUC!$A:$A,"&lt;="&amp;Chart!$V$2)/(SUMIFS(raw_co2_excLUC!$X:$X,raw_co2_excLUC!$A:$A,"&gt;="&amp;Chart!$V$1,raw_co2_excLUC!$A:$A,"&lt;="&amp;Chart!$V$2)+SUMIFS(raw_co2_excLUC!$Y:$Y,raw_co2_excLUC!$A:$A,"&gt;="&amp;Chart!$V$1,raw_co2_excLUC!$A:$A,"&lt;="&amp;Chart!$V$2))*100,NA()))</f>
        <v>#N/A</v>
      </c>
      <c r="K4" s="13">
        <f>IFERROR((VLOOKUP(Chart!$V$2,gmst!$A:$G,2,0)-IF(Chart!$V$1&lt;=1851,0,VLOOKUP(Chart!$V$1-1,gmst!$A:$G,2,0)))/(VLOOKUP(Chart!$V$2,gmst!$A:$G,4,0)-IF(Chart!$V$1&lt;=1851,0,VLOOKUP(Chart!$V$1-1,gmst!$A:$G,4,0)))*100,NA())</f>
        <v>48.637507936547152</v>
      </c>
      <c r="L4" s="5">
        <f>IF(COUNT(C4:J4)&lt;=1,NA(),_xlfn.AGGREGATE(5,6,C4:J4))</f>
        <v>48.501612141772895</v>
      </c>
      <c r="M4" s="5">
        <f>IF(COUNT(C4:J4)&lt;=1,0,_xlfn.AGGREGATE(4,6,C4:J4)-_xlfn.AGGREGATE(5,6,C4:J4))</f>
        <v>0.13291763889239405</v>
      </c>
      <c r="N4" s="5">
        <v>0</v>
      </c>
      <c r="O4" s="5">
        <f>IF(ISNA(L4),NA(),L4+M4)</f>
        <v>48.634529780665289</v>
      </c>
      <c r="P4">
        <f>IF(ISNA(L4),NA(),L4)</f>
        <v>48.501612141772895</v>
      </c>
      <c r="Q4">
        <f>IF(ISNA(L4),NA(),O4)</f>
        <v>48.634529780665289</v>
      </c>
      <c r="R4">
        <f>IF(ISNA(L4),NA(),A4)</f>
        <v>2</v>
      </c>
      <c r="S4">
        <f>R4</f>
        <v>2</v>
      </c>
    </row>
    <row r="5" spans="1:19" x14ac:dyDescent="0.35">
      <c r="A5" s="5"/>
      <c r="B5" s="5"/>
      <c r="C5" s="13"/>
      <c r="D5" s="13"/>
      <c r="E5" s="13"/>
      <c r="F5" s="13"/>
      <c r="G5" s="13"/>
      <c r="H5" s="13"/>
      <c r="I5" s="13"/>
      <c r="J5" s="13"/>
      <c r="K5" s="13"/>
      <c r="L5" s="5" t="e">
        <f>IF(COUNT(C5:J5)&lt;=1,NA(),_xlfn.AGGREGATE(5,6,C5:J5))</f>
        <v>#N/A</v>
      </c>
      <c r="M5" s="5">
        <f>IF(COUNT(C5:J5)&lt;=1,0,_xlfn.AGGREGATE(4,6,C5:J5)-_xlfn.AGGREGATE(5,6,C5:J5))</f>
        <v>0</v>
      </c>
      <c r="N5" s="5">
        <v>0</v>
      </c>
      <c r="O5" s="5" t="e">
        <f>IF(ISNA(L5),NA(),L5+M5)</f>
        <v>#N/A</v>
      </c>
      <c r="P5" t="e">
        <f>IF(ISNA(L5),NA(),L5)</f>
        <v>#N/A</v>
      </c>
      <c r="Q5" t="e">
        <f>IF(ISNA(L5),NA(),O5)</f>
        <v>#N/A</v>
      </c>
      <c r="R5" t="e">
        <f>IF(ISNA(L5),NA(),A5)</f>
        <v>#N/A</v>
      </c>
      <c r="S5" t="e">
        <f>R5</f>
        <v>#N/A</v>
      </c>
    </row>
    <row r="6" spans="1:19" x14ac:dyDescent="0.35">
      <c r="A6" s="4">
        <v>4</v>
      </c>
      <c r="B6" s="4" t="s">
        <v>56</v>
      </c>
      <c r="C6" s="14">
        <f>IFERROR(SUMIFS(raw_ghg_excLUC!$C:$C,raw_ghg_excLUC!$A:$A,"&gt;="&amp;Chart!$V$1,raw_ghg_excLUC!$A:$A,"&lt;="&amp;Chart!$V$2)/(SUMIFS(raw_ghg_excLUC!$C:$C,raw_ghg_excLUC!$A:$A,"&gt;="&amp;Chart!$V$1,raw_ghg_excLUC!$A:$A,"&lt;="&amp;Chart!$V$2)+SUMIFS(raw_ghg_excLUC!$D:$D,raw_ghg_excLUC!$A:$A,"&gt;="&amp;Chart!$V$1,raw_ghg_excLUC!$A:$A,"&lt;="&amp;Chart!$V$2))*100,NA())</f>
        <v>59.40210000367545</v>
      </c>
      <c r="D6" s="14">
        <f>IFERROR(SUMIFS(raw_ghg_excLUC!$F:$F,raw_ghg_excLUC!$A:$A,"&gt;="&amp;Chart!$V$1,raw_ghg_excLUC!$A:$A,"&lt;="&amp;Chart!$V$2)/(SUMIFS(raw_ghg_excLUC!$F:$F,raw_ghg_excLUC!$A:$A,"&gt;="&amp;Chart!$V$1,raw_ghg_excLUC!$A:$A,"&lt;="&amp;Chart!$V$2)+SUMIFS(raw_ghg_excLUC!$G:$G,raw_ghg_excLUC!$A:$A,"&gt;="&amp;Chart!$V$1,raw_ghg_excLUC!$A:$A,"&lt;="&amp;Chart!$V$2))*100,NA())</f>
        <v>56.150527593055919</v>
      </c>
      <c r="E6" s="14" t="e">
        <f>IFERROR(SUMIFS(raw_ghg_excLUC!$I:$I,raw_ghg_excLUC!$A:$A,"&gt;="&amp;Chart!$V$1,raw_ghg_excLUC!$A:$A,"&lt;="&amp;Chart!$V$2)/(SUMIFS(raw_ghg_excLUC!$I:$I,raw_ghg_excLUC!$A:$A,"&gt;="&amp;Chart!$V$1,raw_ghg_excLUC!$A:$A,"&lt;="&amp;Chart!$V$2)+SUMIFS(raw_ghg_excLUC!$J:$J,raw_ghg_excLUC!$A:$A,"&gt;="&amp;Chart!$V$1,raw_ghg_excLUC!$A:$A,"&lt;="&amp;Chart!$V$2))*100,NA())</f>
        <v>#N/A</v>
      </c>
      <c r="F6" s="14" t="e">
        <f>IFERROR(SUMIFS(raw_ghg_excLUC!$L:$L,raw_ghg_excLUC!$A:$A,"&gt;="&amp;Chart!$V$1,raw_ghg_excLUC!$A:$A,"&lt;="&amp;Chart!$V$2)/(SUMIFS(raw_ghg_excLUC!$L:$L,raw_ghg_excLUC!$A:$A,"&gt;="&amp;Chart!$V$1,raw_ghg_excLUC!$A:$A,"&lt;="&amp;Chart!$V$2)+SUMIFS(raw_ghg_excLUC!$M:$M,raw_ghg_excLUC!$A:$A,"&gt;="&amp;Chart!$V$1,raw_ghg_excLUC!$A:$A,"&lt;="&amp;Chart!$V$2))*100,NA())</f>
        <v>#N/A</v>
      </c>
      <c r="G6" s="14" t="e">
        <f>IFERROR(SUMIFS(raw_ghg_excLUC!$O:$O,raw_ghg_excLUC!$A:$A,"&gt;="&amp;Chart!$V$1,raw_ghg_excLUC!$A:$A,"&lt;="&amp;Chart!$V$2)/(SUMIFS(raw_ghg_excLUC!$O:$O,raw_ghg_excLUC!$A:$A,"&gt;="&amp;Chart!$V$1,raw_ghg_excLUC!$A:$A,"&lt;="&amp;Chart!$V$2)+SUMIFS(raw_ghg_excLUC!$P:$P,raw_ghg_excLUC!$A:$A,"&gt;="&amp;Chart!$V$1,raw_ghg_excLUC!$A:$A,"&lt;="&amp;Chart!$V$2))*100,NA())</f>
        <v>#N/A</v>
      </c>
      <c r="H6" s="13" t="e">
        <f>IFERROR(SUMIFS(raw_ghg_excLUC!$R:$R,raw_ghg_excLUC!$A:$A,"&gt;="&amp;Chart!$V$1,raw_ghg_excLUC!$A:$A,"&lt;="&amp;Chart!$V$2)/(SUMIFS(raw_ghg_excLUC!$R:$R,raw_ghg_excLUC!$A:$A,"&gt;="&amp;Chart!$V$1,raw_ghg_excLUC!$A:$A,"&lt;="&amp;Chart!$V$2)+SUMIFS(raw_ghg_excLUC!$S:$S,raw_ghg_excLUC!$A:$A,"&gt;="&amp;Chart!$V$1,raw_ghg_excLUC!$A:$A,"&lt;="&amp;Chart!$V$2))*100,NA())</f>
        <v>#N/A</v>
      </c>
      <c r="I6" s="13" t="e">
        <f>IF(Chart!$V$1&lt;1970,NA(),IFERROR(SUMIFS(raw_ghg_excLUC!$U:$U,raw_ghg_excLUC!$A:$A,"&gt;="&amp;Chart!$V$1,raw_ghg_excLUC!$A:$A,"&lt;="&amp;Chart!$V$2)/(SUMIFS(raw_ghg_excLUC!$U:$U,raw_ghg_excLUC!$A:$A,"&gt;="&amp;Chart!$V$1,raw_ghg_excLUC!$A:$A,"&lt;="&amp;Chart!$V$2)+SUMIFS(raw_ghg_excLUC!$V:$V,raw_ghg_excLUC!$A:$A,"&gt;="&amp;Chart!$V$1,raw_ghg_excLUC!$A:$A,"&lt;="&amp;Chart!$V$2))*100,NA()))</f>
        <v>#N/A</v>
      </c>
      <c r="J6" s="13" t="e">
        <f>IF(Chart!$V$1&lt;1990,NA(),IFERROR(SUMIFS(raw_ghg_excLUC!$X:$X,raw_ghg_excLUC!$A:$A,"&gt;="&amp;Chart!$V$1,raw_ghg_excLUC!$A:$A,"&lt;="&amp;Chart!$V$2)/(SUMIFS(raw_ghg_excLUC!$X:$X,raw_ghg_excLUC!$A:$A,"&gt;="&amp;Chart!$V$1,raw_ghg_excLUC!$A:$A,"&lt;="&amp;Chart!$V$2)+SUMIFS(raw_ghg_excLUC!$Y:$Y,raw_ghg_excLUC!$A:$A,"&gt;="&amp;Chart!$V$1,raw_ghg_excLUC!$A:$A,"&lt;="&amp;Chart!$V$2))*100,NA()))</f>
        <v>#N/A</v>
      </c>
      <c r="K6" s="13">
        <f>IFERROR((VLOOKUP(Chart!$V$2,gmst!$A:$M,9,0)-IF(Chart!$V$1&lt;=1851,0,VLOOKUP(Chart!$V$1-1,gmst!$A:$M,9,0)))/(VLOOKUP(Chart!$V$2,gmst!$A:$M,10,0)-IF(Chart!$V$1&lt;=1851,0,VLOOKUP(Chart!$V$1-1,gmst!$A:$M,10,0)))*100,NA())</f>
        <v>55.906592883448667</v>
      </c>
      <c r="L6" s="5">
        <f>IF(COUNT(C6:J6)&lt;=1,NA(),_xlfn.AGGREGATE(5,6,C6:J6))</f>
        <v>56.150527593055919</v>
      </c>
      <c r="M6" s="5">
        <f>IF(COUNT(C6:J6)&lt;=1,0,_xlfn.AGGREGATE(4,6,C6:J6)-_xlfn.AGGREGATE(5,6,C6:J6))</f>
        <v>3.2515724106195307</v>
      </c>
      <c r="N6" s="5">
        <v>0</v>
      </c>
      <c r="O6" s="5">
        <f>IF(ISNA(L6),NA(),L6+M6)</f>
        <v>59.40210000367545</v>
      </c>
      <c r="P6">
        <f>IF(ISNA(L6),NA(),L6)</f>
        <v>56.150527593055919</v>
      </c>
      <c r="Q6">
        <f>IF(ISNA(L6),NA(),O6)</f>
        <v>59.40210000367545</v>
      </c>
      <c r="R6">
        <f>IF(ISNA(L6),NA(),A6)</f>
        <v>4</v>
      </c>
      <c r="S6">
        <f>R6</f>
        <v>4</v>
      </c>
    </row>
    <row r="7" spans="1:19" x14ac:dyDescent="0.35">
      <c r="A7" s="5">
        <v>5</v>
      </c>
      <c r="B7" s="5" t="s">
        <v>57</v>
      </c>
      <c r="C7" s="13">
        <f>IFERROR(SUMIFS(raw_ghg_excLUC!$B:$B,raw_ghg_excLUC!$A:$A,"&gt;="&amp;Chart!$V$1,raw_ghg_excLUC!$A:$A,"&lt;="&amp;Chart!$V$2)/(SUMIFS(raw_ghg_excLUC!$C:$C,raw_ghg_excLUC!$A:$A,"&gt;="&amp;Chart!$V$1,raw_ghg_excLUC!$A:$A,"&lt;="&amp;Chart!$V$2)+SUMIFS(raw_ghg_excLUC!$D:$D,raw_ghg_excLUC!$A:$A,"&gt;="&amp;Chart!$V$1,raw_ghg_excLUC!$A:$A,"&lt;="&amp;Chart!$V$2))*100,NA())</f>
        <v>45.862868523155718</v>
      </c>
      <c r="D7" s="13">
        <f>IFERROR(SUMIFS(raw_ghg_excLUC!$E:$E,raw_ghg_excLUC!$A:$A,"&gt;="&amp;Chart!$V$1,raw_ghg_excLUC!$A:$A,"&lt;="&amp;Chart!$V$2)/(SUMIFS(raw_ghg_excLUC!$F:$F,raw_ghg_excLUC!$A:$A,"&gt;="&amp;Chart!$V$1,raw_ghg_excLUC!$A:$A,"&lt;="&amp;Chart!$V$2)+SUMIFS(raw_ghg_excLUC!$G:$G,raw_ghg_excLUC!$A:$A,"&gt;="&amp;Chart!$V$1,raw_ghg_excLUC!$A:$A,"&lt;="&amp;Chart!$V$2))*100,NA())</f>
        <v>42.96309628573384</v>
      </c>
      <c r="E7" s="13" t="e">
        <f>IFERROR(SUMIFS(raw_ghg_excLUC!$H:$H,raw_ghg_excLUC!$A:$A,"&gt;="&amp;Chart!$V$1,raw_ghg_excLUC!$A:$A,"&lt;="&amp;Chart!$V$2)/(SUMIFS(raw_ghg_excLUC!$I:$I,raw_ghg_excLUC!$A:$A,"&gt;="&amp;Chart!$V$1,raw_ghg_excLUC!$A:$A,"&lt;="&amp;Chart!$V$2)+SUMIFS(raw_ghg_excLUC!$J:$J,raw_ghg_excLUC!$A:$A,"&gt;="&amp;Chart!$V$1,raw_ghg_excLUC!$A:$A,"&lt;="&amp;Chart!$V$2))*100,NA())</f>
        <v>#N/A</v>
      </c>
      <c r="F7" s="13" t="e">
        <f>IFERROR(SUMIFS(raw_ghg_excLUC!$K:$K,raw_ghg_excLUC!$A:$A,"&gt;="&amp;Chart!$V$1,raw_ghg_excLUC!$A:$A,"&lt;="&amp;Chart!$V$2)/(SUMIFS(raw_ghg_excLUC!$L:$L,raw_ghg_excLUC!$A:$A,"&gt;="&amp;Chart!$V$1,raw_ghg_excLUC!$A:$A,"&lt;="&amp;Chart!$V$2)+SUMIFS(raw_ghg_excLUC!$M:$M,raw_ghg_excLUC!$A:$A,"&gt;="&amp;Chart!$V$1,raw_ghg_excLUC!$A:$A,"&lt;="&amp;Chart!$V$2))*100,NA())</f>
        <v>#N/A</v>
      </c>
      <c r="G7" s="13" t="e">
        <f>IFERROR(SUMIFS(raw_ghg_excLUC!$N:$N,raw_ghg_excLUC!$A:$A,"&gt;="&amp;Chart!$V$1,raw_ghg_excLUC!$A:$A,"&lt;="&amp;Chart!$V$2)/(SUMIFS(raw_ghg_excLUC!$O:$O,raw_ghg_excLUC!$A:$A,"&gt;="&amp;Chart!$V$1,raw_ghg_excLUC!$A:$A,"&lt;="&amp;Chart!$V$2)+SUMIFS(raw_ghg_excLUC!$P:$P,raw_ghg_excLUC!$A:$A,"&gt;="&amp;Chart!$V$1,raw_ghg_excLUC!$A:$A,"&lt;="&amp;Chart!$V$2))*100,NA())</f>
        <v>#N/A</v>
      </c>
      <c r="H7" s="13" t="e">
        <f>IFERROR(SUMIFS(raw_ghg_excLUC!$Q:$Q,raw_ghg_excLUC!$A:$A,"&gt;="&amp;Chart!$V$1,raw_ghg_excLUC!$A:$A,"&lt;="&amp;Chart!$V$2)/(SUMIFS(raw_ghg_excLUC!$R:$R,raw_ghg_excLUC!$A:$A,"&gt;="&amp;Chart!$V$1,raw_ghg_excLUC!$A:$A,"&lt;="&amp;Chart!$V$2)+SUMIFS(raw_ghg_excLUC!$S:$S,raw_ghg_excLUC!$A:$A,"&gt;="&amp;Chart!$V$1,raw_ghg_excLUC!$A:$A,"&lt;="&amp;Chart!$V$2))*100,NA())</f>
        <v>#N/A</v>
      </c>
      <c r="I7" s="13" t="e">
        <f>IF(Chart!$V$1&lt;1970,NA(),IFERROR(SUMIFS(raw_ghg_excLUC!$T:$T,raw_ghg_excLUC!$A:$A,"&gt;="&amp;Chart!$V$1,raw_ghg_excLUC!$A:$A,"&lt;="&amp;Chart!$V$2)/(SUMIFS(raw_ghg_excLUC!$U:$U,raw_ghg_excLUC!$A:$A,"&gt;="&amp;Chart!$V$1,raw_ghg_excLUC!$A:$A,"&lt;="&amp;Chart!$V$2)+SUMIFS(raw_ghg_excLUC!$V:$V,raw_ghg_excLUC!$A:$A,"&gt;="&amp;Chart!$V$1,raw_ghg_excLUC!$A:$A,"&lt;="&amp;Chart!$V$2))*100,NA()))</f>
        <v>#N/A</v>
      </c>
      <c r="J7" s="13" t="e">
        <f>IF(Chart!$V$1&lt;1990,NA(),IFERROR(SUMIFS(raw_ghg_excLUC!$W:$W,raw_ghg_excLUC!$A:$A,"&gt;="&amp;Chart!$V$1,raw_ghg_excLUC!$A:$A,"&lt;="&amp;Chart!$V$2)/(SUMIFS(raw_ghg_excLUC!$X:$X,raw_ghg_excLUC!$A:$A,"&gt;="&amp;Chart!$V$1,raw_ghg_excLUC!$A:$A,"&lt;="&amp;Chart!$V$2)+SUMIFS(raw_ghg_excLUC!$Y:$Y,raw_ghg_excLUC!$A:$A,"&gt;="&amp;Chart!$V$1,raw_ghg_excLUC!$A:$A,"&lt;="&amp;Chart!$V$2))*100,NA()))</f>
        <v>#N/A</v>
      </c>
      <c r="K7" s="13">
        <f>IFERROR((VLOOKUP(Chart!$V$2,gmst!$A:$M,8,0)-IF(Chart!$V$1&lt;=1851,0,VLOOKUP(Chart!$V$1-1,gmst!$A:$M,8,0)))/(VLOOKUP(Chart!$V$2,gmst!$A:$M,10,0)-IF(Chart!$V$1&lt;=1851,0,VLOOKUP(Chart!$V$1-1,gmst!$A:$M,10,0)))*100,NA())</f>
        <v>42.810611225154339</v>
      </c>
      <c r="L7" s="5">
        <f>IF(COUNT(C7:J7)&lt;=1,NA(),_xlfn.AGGREGATE(5,6,C7:J7))</f>
        <v>42.96309628573384</v>
      </c>
      <c r="M7" s="5">
        <f>IF(COUNT(C7:J7)&lt;=1,0,_xlfn.AGGREGATE(4,6,C7:J7)-_xlfn.AGGREGATE(5,6,C7:J7))</f>
        <v>2.8997722374218782</v>
      </c>
      <c r="N7" s="5">
        <v>0</v>
      </c>
      <c r="O7" s="5">
        <f>IF(ISNA(L7),NA(),L7+M7)</f>
        <v>45.862868523155718</v>
      </c>
      <c r="P7">
        <f>IF(ISNA(L7),NA(),L7)</f>
        <v>42.96309628573384</v>
      </c>
      <c r="Q7">
        <f>IF(ISNA(L7),NA(),O7)</f>
        <v>45.862868523155718</v>
      </c>
      <c r="R7">
        <f>IF(ISNA(L7),NA(),A7)</f>
        <v>5</v>
      </c>
      <c r="S7">
        <f>R7</f>
        <v>5</v>
      </c>
    </row>
    <row r="8" spans="1:19" x14ac:dyDescent="0.35">
      <c r="A8" s="4"/>
      <c r="B8" s="4"/>
      <c r="C8" s="14"/>
      <c r="D8" s="14"/>
      <c r="E8" s="14"/>
      <c r="F8" s="14"/>
      <c r="G8" s="14"/>
      <c r="H8" s="13"/>
      <c r="I8" s="13"/>
      <c r="J8" s="13"/>
      <c r="K8" s="13"/>
      <c r="L8" s="5" t="e">
        <f>IF(COUNT(C8:J8)&lt;=1,NA(),_xlfn.AGGREGATE(5,6,C8:J8))</f>
        <v>#N/A</v>
      </c>
      <c r="M8" s="5">
        <f>IF(COUNT(C8:J8)&lt;=1,0,_xlfn.AGGREGATE(4,6,C8:J8)-_xlfn.AGGREGATE(5,6,C8:J8))</f>
        <v>0</v>
      </c>
      <c r="N8" s="5">
        <v>0</v>
      </c>
      <c r="O8" s="5" t="e">
        <f>IF(ISNA(L8),NA(),L8+M8)</f>
        <v>#N/A</v>
      </c>
      <c r="P8" t="e">
        <f>IF(ISNA(L8),NA(),L8)</f>
        <v>#N/A</v>
      </c>
      <c r="Q8" t="e">
        <f>IF(ISNA(L8),NA(),O8)</f>
        <v>#N/A</v>
      </c>
      <c r="R8" t="e">
        <f>IF(ISNA(L8),NA(),A8)</f>
        <v>#N/A</v>
      </c>
      <c r="S8" t="e">
        <f>R8</f>
        <v>#N/A</v>
      </c>
    </row>
    <row r="9" spans="1:19" x14ac:dyDescent="0.35">
      <c r="A9" s="5">
        <v>7</v>
      </c>
      <c r="B9" s="5" t="s">
        <v>58</v>
      </c>
      <c r="C9" s="13">
        <f>IFERROR(SUMIFS(raw_co2_incLUC!$C:$C,raw_co2_incLUC!$A:$A,"&gt;="&amp;Chart!$V$1,raw_co2_incLUC!$A:$A,"&lt;="&amp;Chart!$V$2)/(SUMIFS(raw_co2_incLUC!$C:$C,raw_co2_incLUC!$A:$A,"&gt;="&amp;Chart!$V$1,raw_co2_incLUC!$A:$A,"&lt;="&amp;Chart!$V$2)+SUMIFS(raw_co2_incLUC!$D:$D,raw_co2_incLUC!$A:$A,"&gt;="&amp;Chart!$V$1,raw_co2_incLUC!$A:$A,"&lt;="&amp;Chart!$V$2))*100,NA())</f>
        <v>51.211261402049942</v>
      </c>
      <c r="D9" s="13">
        <f>IFERROR(SUMIFS(raw_co2_incLUC!$F:$F,raw_co2_incLUC!$A:$A,"&gt;="&amp;Chart!$V$1,raw_co2_incLUC!$A:$A,"&lt;="&amp;Chart!$V$2)/(SUMIFS(raw_co2_incLUC!$F:$F,raw_co2_incLUC!$A:$A,"&gt;="&amp;Chart!$V$1,raw_co2_incLUC!$A:$A,"&lt;="&amp;Chart!$V$2)+SUMIFS(raw_co2_incLUC!$G:$G,raw_co2_incLUC!$A:$A,"&gt;="&amp;Chart!$V$1,raw_co2_incLUC!$A:$A,"&lt;="&amp;Chart!$V$2))*100,NA())</f>
        <v>53.670885927601717</v>
      </c>
      <c r="E9" s="13" t="e">
        <f>IFERROR(SUMIFS(raw_co2_incLUC!$I:$I,raw_co2_incLUC!$A:$A,"&gt;="&amp;Chart!$V$1,raw_co2_incLUC!$A:$A,"&lt;="&amp;Chart!$V$2)/(SUMIFS(raw_co2_incLUC!$I:$I,raw_co2_incLUC!$A:$A,"&gt;="&amp;Chart!$V$1,raw_co2_incLUC!$A:$A,"&lt;="&amp;Chart!$V$2)+SUMIFS(raw_co2_incLUC!$J:$J,raw_co2_incLUC!$A:$A,"&gt;="&amp;Chart!$V$1,raw_co2_incLUC!$A:$A,"&lt;="&amp;Chart!$V$2))*100,NA())</f>
        <v>#N/A</v>
      </c>
      <c r="F9" s="13">
        <f>IFERROR(SUMIFS(raw_co2_incLUC!$L:$L,raw_co2_incLUC!$A:$A,"&gt;="&amp;Chart!$V$1,raw_co2_incLUC!$A:$A,"&lt;="&amp;Chart!$V$2)/(SUMIFS(raw_co2_incLUC!$L:$L,raw_co2_incLUC!$A:$A,"&gt;="&amp;Chart!$V$1,raw_co2_incLUC!$A:$A,"&lt;="&amp;Chart!$V$2)+SUMIFS(raw_co2_incLUC!$M:$M,raw_co2_incLUC!$A:$A,"&gt;="&amp;Chart!$V$1,raw_co2_incLUC!$A:$A,"&lt;="&amp;Chart!$V$2))*100,NA())</f>
        <v>51.219936102049566</v>
      </c>
      <c r="G9" s="13">
        <f>IFERROR(SUMIFS(raw_co2_incLUC!$O:$O,raw_co2_incLUC!$A:$A,"&gt;="&amp;Chart!$V$1,raw_co2_incLUC!$A:$A,"&lt;="&amp;Chart!$V$2)/(SUMIFS(raw_co2_incLUC!$O:$O,raw_co2_incLUC!$A:$A,"&gt;="&amp;Chart!$V$1,raw_co2_incLUC!$A:$A,"&lt;="&amp;Chart!$V$2)+SUMIFS(raw_co2_incLUC!$P:$P,raw_co2_incLUC!$A:$A,"&gt;="&amp;Chart!$V$1,raw_co2_incLUC!$A:$A,"&lt;="&amp;Chart!$V$2))*100,NA())</f>
        <v>52.00917706374404</v>
      </c>
      <c r="H9" s="13">
        <f>IFERROR(SUMIFS(raw_co2_incLUC!$R:$R,raw_co2_incLUC!$A:$A,"&gt;="&amp;Chart!$V$1,raw_co2_incLUC!$A:$A,"&lt;="&amp;Chart!$V$2)/(SUMIFS(raw_co2_incLUC!$R:$R,raw_co2_incLUC!$A:$A,"&gt;="&amp;Chart!$V$1,raw_co2_incLUC!$A:$A,"&lt;="&amp;Chart!$V$2)+SUMIFS(raw_co2_incLUC!$S:$S,raw_co2_incLUC!$A:$A,"&gt;="&amp;Chart!$V$1,raw_co2_incLUC!$A:$A,"&lt;="&amp;Chart!$V$2))*100,NA())</f>
        <v>53.884482352721072</v>
      </c>
      <c r="I9" s="13" t="e">
        <f>IF(Chart!$V$1&lt;1970,NA(),IFERROR(SUMIFS(raw_co2_incLUC!$U:$U,raw_co2_incLUC!$A:$A,"&gt;="&amp;Chart!$V$1,raw_co2_incLUC!$A:$A,"&lt;="&amp;Chart!$V$2)/(SUMIFS(raw_co2_incLUC!$U:$U,raw_co2_incLUC!$A:$A,"&gt;="&amp;Chart!$V$1,raw_co2_incLUC!$A:$A,"&lt;="&amp;Chart!$V$2)+SUMIFS(raw_co2_incLUC!$V:$V,raw_co2_incLUC!$A:$A,"&gt;="&amp;Chart!$V$1,raw_co2_incLUC!$A:$A,"&lt;="&amp;Chart!$V$2))*100,NA()))</f>
        <v>#N/A</v>
      </c>
      <c r="J9" s="13" t="e">
        <f>IF(Chart!$V$1&lt;1990,NA(),IFERROR(SUMIFS(raw_co2_incLUC!$X:$X,raw_co2_incLUC!$A:$A,"&gt;="&amp;Chart!$V$1,raw_co2_incLUC!$A:$A,"&lt;="&amp;Chart!$V$2)/(SUMIFS(raw_co2_incLUC!$X:$X,raw_co2_incLUC!$A:$A,"&gt;="&amp;Chart!$V$1,raw_co2_incLUC!$A:$A,"&lt;="&amp;Chart!$V$2)+SUMIFS(raw_co2_incLUC!$Y:$Y,raw_co2_incLUC!$A:$A,"&gt;="&amp;Chart!$V$1,raw_co2_incLUC!$A:$A,"&lt;="&amp;Chart!$V$2))*100,NA()))</f>
        <v>#N/A</v>
      </c>
      <c r="K9" s="13">
        <f>IFERROR((VLOOKUP(Chart!$V$2,gmst!$A:$J,6,0)-IF(Chart!$V$1&lt;=1851,0,VLOOKUP(Chart!$V$1-1,gmst!$A:$J,6,0)))/(VLOOKUP(Chart!$V$2,gmst!$A:$J,7,0)-IF(Chart!$V$1&lt;=1851,0,VLOOKUP(Chart!$V$1-1,gmst!$A:$J,7,0)))*100,NA())</f>
        <v>52.349790225201588</v>
      </c>
      <c r="L9" s="5">
        <f>IF(COUNT(C9:J9)&lt;=1,NA(),_xlfn.AGGREGATE(5,6,C9:J9))</f>
        <v>51.211261402049942</v>
      </c>
      <c r="M9" s="5">
        <f>IF(COUNT(C9:J9)&lt;=1,0,_xlfn.AGGREGATE(4,6,C9:J9)-_xlfn.AGGREGATE(5,6,C9:J9))</f>
        <v>2.67322095067113</v>
      </c>
      <c r="N9" s="5">
        <v>0</v>
      </c>
      <c r="O9" s="5">
        <f>IF(ISNA(L9),NA(),L9+M9)</f>
        <v>53.884482352721072</v>
      </c>
      <c r="P9">
        <f>IF(ISNA(L9),NA(),L9)</f>
        <v>51.211261402049942</v>
      </c>
      <c r="Q9">
        <f>IF(ISNA(L9),NA(),O9)</f>
        <v>53.884482352721072</v>
      </c>
      <c r="R9">
        <f>IF(ISNA(L9),NA(),A9)</f>
        <v>7</v>
      </c>
      <c r="S9">
        <f>R9</f>
        <v>7</v>
      </c>
    </row>
    <row r="10" spans="1:19" x14ac:dyDescent="0.35">
      <c r="A10" s="4">
        <v>8</v>
      </c>
      <c r="B10" s="4" t="s">
        <v>59</v>
      </c>
      <c r="C10" s="14">
        <f>IFERROR(SUMIFS(raw_co2_incLUC!$B:$B,raw_co2_incLUC!$A:$A,"&gt;="&amp;Chart!$V$1,raw_co2_incLUC!$A:$A,"&lt;="&amp;Chart!$V$2)/(SUMIFS(raw_co2_incLUC!$C:$C,raw_co2_incLUC!$A:$A,"&gt;="&amp;Chart!$V$1,raw_co2_incLUC!$A:$A,"&lt;="&amp;Chart!$V$2)+SUMIFS(raw_co2_incLUC!$D:$D,raw_co2_incLUC!$A:$A,"&gt;="&amp;Chart!$V$1,raw_co2_incLUC!$A:$A,"&lt;="&amp;Chart!$V$2))*100,NA())</f>
        <v>37.734536444647119</v>
      </c>
      <c r="D10" s="14">
        <f>IFERROR(SUMIFS(raw_co2_incLUC!$E:$E,raw_co2_incLUC!$A:$A,"&gt;="&amp;Chart!$V$1,raw_co2_incLUC!$A:$A,"&lt;="&amp;Chart!$V$2)/(SUMIFS(raw_co2_incLUC!$F:$F,raw_co2_incLUC!$A:$A,"&gt;="&amp;Chart!$V$1,raw_co2_incLUC!$A:$A,"&lt;="&amp;Chart!$V$2)+SUMIFS(raw_co2_incLUC!$G:$G,raw_co2_incLUC!$A:$A,"&gt;="&amp;Chart!$V$1,raw_co2_incLUC!$A:$A,"&lt;="&amp;Chart!$V$2))*100,NA())</f>
        <v>42.30043645994909</v>
      </c>
      <c r="E10" s="14" t="e">
        <f>IFERROR(SUMIFS(raw_co2_incLUC!$H:$H,raw_co2_incLUC!$A:$A,"&gt;="&amp;Chart!$V$1,raw_co2_incLUC!$A:$A,"&lt;="&amp;Chart!$V$2)/(SUMIFS(raw_co2_incLUC!$I:$I,raw_co2_incLUC!$A:$A,"&gt;="&amp;Chart!$V$1,raw_co2_incLUC!$A:$A,"&lt;="&amp;Chart!$V$2)+SUMIFS(raw_co2_incLUC!$J:$J,raw_co2_incLUC!$A:$A,"&gt;="&amp;Chart!$V$1,raw_co2_incLUC!$A:$A,"&lt;="&amp;Chart!$V$2))*100,NA())</f>
        <v>#N/A</v>
      </c>
      <c r="F10" s="14">
        <f>IFERROR(SUMIFS(raw_co2_incLUC!$K:$K,raw_co2_incLUC!$A:$A,"&gt;="&amp;Chart!$V$1,raw_co2_incLUC!$A:$A,"&lt;="&amp;Chart!$V$2)/(SUMIFS(raw_co2_incLUC!$L:$L,raw_co2_incLUC!$A:$A,"&gt;="&amp;Chart!$V$1,raw_co2_incLUC!$A:$A,"&lt;="&amp;Chart!$V$2)+SUMIFS(raw_co2_incLUC!$M:$M,raw_co2_incLUC!$A:$A,"&gt;="&amp;Chart!$V$1,raw_co2_incLUC!$A:$A,"&lt;="&amp;Chart!$V$2))*100,NA())</f>
        <v>37.740928293666151</v>
      </c>
      <c r="G10" s="14">
        <f>IFERROR(SUMIFS(raw_co2_incLUC!$N:$N,raw_co2_incLUC!$A:$A,"&gt;="&amp;Chart!$V$1,raw_co2_incLUC!$A:$A,"&lt;="&amp;Chart!$V$2)/(SUMIFS(raw_co2_incLUC!$O:$O,raw_co2_incLUC!$A:$A,"&gt;="&amp;Chart!$V$1,raw_co2_incLUC!$A:$A,"&lt;="&amp;Chart!$V$2)+SUMIFS(raw_co2_incLUC!$P:$P,raw_co2_incLUC!$A:$A,"&gt;="&amp;Chart!$V$1,raw_co2_incLUC!$A:$A,"&lt;="&amp;Chart!$V$2))*100,NA())</f>
        <v>40.194727015845629</v>
      </c>
      <c r="H10" s="13">
        <f>IFERROR(SUMIFS(raw_co2_incLUC!$Q:$Q,raw_co2_incLUC!$A:$A,"&gt;="&amp;Chart!$V$1,raw_co2_incLUC!$A:$A,"&lt;="&amp;Chart!$V$2)/(SUMIFS(raw_co2_incLUC!$R:$R,raw_co2_incLUC!$A:$A,"&gt;="&amp;Chart!$V$1,raw_co2_incLUC!$A:$A,"&lt;="&amp;Chart!$V$2)+SUMIFS(raw_co2_incLUC!$S:$S,raw_co2_incLUC!$A:$A,"&gt;="&amp;Chart!$V$1,raw_co2_incLUC!$A:$A,"&lt;="&amp;Chart!$V$2))*100,NA())</f>
        <v>39.541654492889819</v>
      </c>
      <c r="I10" s="13" t="e">
        <f>IF(Chart!$V$1&lt;1970,NA(),IFERROR(SUMIFS(raw_co2_incLUC!$T:$T,raw_co2_incLUC!$A:$A,"&gt;="&amp;Chart!$V$1,raw_co2_incLUC!$A:$A,"&lt;="&amp;Chart!$V$2)/(SUMIFS(raw_co2_incLUC!$U:$U,raw_co2_incLUC!$A:$A,"&gt;="&amp;Chart!$V$1,raw_co2_incLUC!$A:$A,"&lt;="&amp;Chart!$V$2)+SUMIFS(raw_co2_incLUC!$V:$V,raw_co2_incLUC!$A:$A,"&gt;="&amp;Chart!$V$1,raw_co2_incLUC!$A:$A,"&lt;="&amp;Chart!$V$2))*100,NA()))</f>
        <v>#N/A</v>
      </c>
      <c r="J10" s="13" t="e">
        <f>IF(Chart!$V$1&lt;1990,NA(),IFERROR(SUMIFS(raw_co2_incLUC!$W:$W,raw_co2_incLUC!$A:$A,"&gt;="&amp;Chart!$V$1,raw_co2_incLUC!$A:$A,"&lt;="&amp;Chart!$V$2)/(SUMIFS(raw_co2_incLUC!$X:$X,raw_co2_incLUC!$A:$A,"&gt;="&amp;Chart!$V$1,raw_co2_incLUC!$A:$A,"&lt;="&amp;Chart!$V$2)+SUMIFS(raw_co2_incLUC!$Y:$Y,raw_co2_incLUC!$A:$A,"&gt;="&amp;Chart!$V$1,raw_co2_incLUC!$A:$A,"&lt;="&amp;Chart!$V$2))*100,NA()))</f>
        <v>#N/A</v>
      </c>
      <c r="K10" s="13">
        <f>IFERROR((VLOOKUP(Chart!$V$2,gmst!$A:$J,5,0)-IF(Chart!$V$1&lt;=1851,0,VLOOKUP(Chart!$V$1-1,gmst!$A:$J,5,0)))/(VLOOKUP(Chart!$V$2,gmst!$A:$J,7,0)-IF(Chart!$V$1&lt;=1851,0,VLOOKUP(Chart!$V$1-1,gmst!$A:$J,7,0)))*100,NA())</f>
        <v>39.119093864971141</v>
      </c>
      <c r="L10" s="5">
        <f>IF(COUNT(C10:J10)&lt;=1,NA(),_xlfn.AGGREGATE(5,6,C10:J10))</f>
        <v>37.734536444647119</v>
      </c>
      <c r="M10" s="5">
        <f>IF(COUNT(C10:J10)&lt;=1,0,_xlfn.AGGREGATE(4,6,C10:J10)-_xlfn.AGGREGATE(5,6,C10:J10))</f>
        <v>4.5659000153019704</v>
      </c>
      <c r="N10" s="5">
        <v>0</v>
      </c>
      <c r="O10" s="5">
        <f>IF(ISNA(L10),NA(),L10+M10)</f>
        <v>42.30043645994909</v>
      </c>
      <c r="P10">
        <f>IF(ISNA(L10),NA(),L10)</f>
        <v>37.734536444647119</v>
      </c>
      <c r="Q10">
        <f>IF(ISNA(L10),NA(),O10)</f>
        <v>42.30043645994909</v>
      </c>
      <c r="R10">
        <f>IF(ISNA(L10),NA(),A10)</f>
        <v>8</v>
      </c>
      <c r="S10">
        <f>R10</f>
        <v>8</v>
      </c>
    </row>
    <row r="11" spans="1:19" x14ac:dyDescent="0.35">
      <c r="C11" s="15"/>
      <c r="D11" s="15"/>
      <c r="E11" s="15"/>
      <c r="F11" s="15"/>
      <c r="G11" s="15"/>
      <c r="H11" s="15"/>
      <c r="I11" s="15"/>
      <c r="J11" s="15"/>
      <c r="K11" s="15"/>
      <c r="L11" t="e">
        <f>IF(COUNT(C11:J11)&lt;=1,NA(),_xlfn.AGGREGATE(5,6,C11:J11))</f>
        <v>#N/A</v>
      </c>
      <c r="M11">
        <f>IF(COUNT(C11:J11)&lt;=1,0,_xlfn.AGGREGATE(4,6,C11:J11)-_xlfn.AGGREGATE(5,6,C11:J11))</f>
        <v>0</v>
      </c>
      <c r="N11">
        <v>0</v>
      </c>
      <c r="O11" t="e">
        <f>IF(ISNA(L11),NA(),L11+M11)</f>
        <v>#N/A</v>
      </c>
      <c r="P11" t="e">
        <f>IF(ISNA(L11),NA(),L11)</f>
        <v>#N/A</v>
      </c>
      <c r="Q11" t="e">
        <f>IF(ISNA(L11),NA(),O11)</f>
        <v>#N/A</v>
      </c>
      <c r="R11" t="e">
        <f>IF(ISNA(L11),NA(),A11)</f>
        <v>#N/A</v>
      </c>
      <c r="S11" t="e">
        <f>R11</f>
        <v>#N/A</v>
      </c>
    </row>
    <row r="12" spans="1:19" ht="48" customHeight="1" x14ac:dyDescent="0.35">
      <c r="A12" s="6">
        <v>10</v>
      </c>
      <c r="B12" s="7" t="s">
        <v>60</v>
      </c>
      <c r="C12" s="16">
        <f>IFERROR(SUMIFS(raw_ghg_incLUC!$C:$C,raw_ghg_incLUC!$A:$A,"&gt;="&amp;Chart!$V$1,raw_ghg_incLUC!$A:$A,"&lt;="&amp;Chart!$V$2)/(SUMIFS(raw_ghg_incLUC!$C:$C,raw_ghg_incLUC!$A:$A,"&gt;="&amp;Chart!$V$1,raw_ghg_incLUC!$A:$A,"&lt;="&amp;Chart!$V$2)+SUMIFS(raw_ghg_incLUC!$D:$D,raw_ghg_incLUC!$A:$A,"&gt;="&amp;Chart!$V$1,raw_ghg_incLUC!$A:$A,"&lt;="&amp;Chart!$V$2))*100,NA())</f>
        <v>49.389955639381689</v>
      </c>
      <c r="D12" s="16">
        <f>IFERROR(SUMIFS(raw_ghg_incLUC!$F:$F,raw_ghg_incLUC!$A:$A,"&gt;="&amp;Chart!$V$1,raw_ghg_incLUC!$A:$A,"&lt;="&amp;Chart!$V$2)/(SUMIFS(raw_ghg_incLUC!$F:$F,raw_ghg_incLUC!$A:$A,"&gt;="&amp;Chart!$V$1,raw_ghg_incLUC!$A:$A,"&lt;="&amp;Chart!$V$2)+SUMIFS(raw_ghg_incLUC!$G:$G,raw_ghg_incLUC!$A:$A,"&gt;="&amp;Chart!$V$1,raw_ghg_incLUC!$A:$A,"&lt;="&amp;Chart!$V$2))*100,NA())</f>
        <v>50.956620873612302</v>
      </c>
      <c r="E12" s="16" t="e">
        <f>IFERROR(SUMIFS(raw_ghg_incLUC!$I:$I,raw_ghg_incLUC!$A:$A,"&gt;="&amp;Chart!$V$1,raw_ghg_incLUC!$A:$A,"&lt;="&amp;Chart!$V$2)/(SUMIFS(raw_ghg_incLUC!$I:$I,raw_ghg_incLUC!$A:$A,"&gt;="&amp;Chart!$V$1,raw_ghg_incLUC!$A:$A,"&lt;="&amp;Chart!$V$2)+SUMIFS(raw_ghg_incLUC!$J:$J,raw_ghg_incLUC!$A:$A,"&gt;="&amp;Chart!$V$1,raw_ghg_incLUC!$A:$A,"&lt;="&amp;Chart!$V$2))*100,NA())</f>
        <v>#N/A</v>
      </c>
      <c r="F12" s="16" t="e">
        <f>IFERROR(SUMIFS(raw_ghg_incLUC!$L:$L,raw_ghg_incLUC!$A:$A,"&gt;="&amp;Chart!$V$1,raw_ghg_incLUC!$A:$A,"&lt;="&amp;Chart!$V$2)/(SUMIFS(raw_ghg_incLUC!$L:$L,raw_ghg_incLUC!$A:$A,"&gt;="&amp;Chart!$V$1,raw_ghg_incLUC!$A:$A,"&lt;="&amp;Chart!$V$2)+SUMIFS(raw_ghg_incLUC!$M:$M,raw_ghg_incLUC!$A:$A,"&gt;="&amp;Chart!$V$1,raw_ghg_incLUC!$A:$A,"&lt;="&amp;Chart!$V$2))*100,NA())</f>
        <v>#N/A</v>
      </c>
      <c r="G12" s="16" t="e">
        <f>IFERROR(SUMIFS(raw_ghg_incLUC!$O:$O,raw_ghg_incLUC!$A:$A,"&gt;="&amp;Chart!$V$1,raw_ghg_incLUC!$A:$A,"&lt;="&amp;Chart!$V$2)/(SUMIFS(raw_ghg_incLUC!$O:$O,raw_ghg_incLUC!$A:$A,"&gt;="&amp;Chart!$V$1,raw_ghg_incLUC!$A:$A,"&lt;="&amp;Chart!$V$2)+SUMIFS(raw_ghg_incLUC!$P:$P,raw_ghg_incLUC!$A:$A,"&gt;="&amp;Chart!$V$1,raw_ghg_incLUC!$A:$A,"&lt;="&amp;Chart!$V$2))*100,NA())</f>
        <v>#N/A</v>
      </c>
      <c r="H12" s="16" t="e">
        <f>IFERROR(SUMIFS(raw_ghg_incLUC!$R:$R,raw_ghg_incLUC!$A:$A,"&gt;="&amp;Chart!$V$1,raw_ghg_incLUC!$A:$A,"&lt;="&amp;Chart!$V$2)/(SUMIFS(raw_ghg_incLUC!$R:$R,raw_ghg_incLUC!$A:$A,"&gt;="&amp;Chart!$V$1,raw_ghg_incLUC!$A:$A,"&lt;="&amp;Chart!$V$2)+SUMIFS(raw_ghg_incLUC!$S:$S,raw_ghg_incLUC!$A:$A,"&gt;="&amp;Chart!$V$1,raw_ghg_incLUC!$A:$A,"&lt;="&amp;Chart!$V$2))*100,NA())</f>
        <v>#N/A</v>
      </c>
      <c r="I12" s="16" t="e">
        <f>IF(Chart!$V$1&lt;1970,NA(),IFERROR(SUMIFS(raw_ghg_incLUC!$U:$U,raw_ghg_incLUC!$A:$A,"&gt;="&amp;Chart!$V$1,raw_ghg_incLUC!$A:$A,"&lt;="&amp;Chart!$V$2)/(SUMIFS(raw_ghg_incLUC!$U:$U,raw_ghg_incLUC!$A:$A,"&gt;="&amp;Chart!$V$1,raw_ghg_incLUC!$A:$A,"&lt;="&amp;Chart!$V$2)+SUMIFS(raw_ghg_incLUC!$V:$V,raw_ghg_incLUC!$A:$A,"&gt;="&amp;Chart!$V$1,raw_ghg_incLUC!$A:$A,"&lt;="&amp;Chart!$V$2))*100,NA()))</f>
        <v>#N/A</v>
      </c>
      <c r="J12" s="16" t="e">
        <f>IF(Chart!$V$1&lt;1990,NA(),IFERROR(SUMIFS(raw_ghg_incLUC!$X:$X,raw_ghg_incLUC!$A:$A,"&gt;="&amp;Chart!$V$1,raw_ghg_incLUC!$A:$A,"&lt;="&amp;Chart!$V$2)/(SUMIFS(raw_ghg_incLUC!$X:$X,raw_ghg_incLUC!$A:$A,"&gt;="&amp;Chart!$V$1,raw_ghg_incLUC!$A:$A,"&lt;="&amp;Chart!$V$2)+SUMIFS(raw_ghg_incLUC!$Y:$Y,raw_ghg_incLUC!$A:$A,"&gt;="&amp;Chart!$V$1,raw_ghg_incLUC!$A:$A,"&lt;="&amp;Chart!$V$2))*100,NA()))</f>
        <v>#N/A</v>
      </c>
      <c r="K12" s="16">
        <f>IFERROR((VLOOKUP(Chart!$V$2,gmst!$A:$P,12,0)-IF(Chart!$V$1&lt;=1851,0,VLOOKUP(Chart!$V$1-1,gmst!$A:$P,12,0)))/(VLOOKUP(Chart!$V$2,gmst!$A:$P,13,0)-IF(Chart!$V$1&lt;=1851,0,VLOOKUP(Chart!$V$1-1,gmst!$A:$P,13,0)))*100,NA())</f>
        <v>46.37703441893283</v>
      </c>
      <c r="L12" s="7">
        <f>IF(COUNT(C12:J12)&lt;=1,NA(),_xlfn.AGGREGATE(5,6,C12:J12))</f>
        <v>49.389955639381689</v>
      </c>
      <c r="M12" s="7">
        <f>IF(COUNT(C12:J12)&lt;=1,0,_xlfn.AGGREGATE(4,6,C12:J12)-_xlfn.AGGREGATE(5,6,C12:J12))</f>
        <v>1.5666652342306122</v>
      </c>
      <c r="N12" s="7">
        <v>0</v>
      </c>
      <c r="O12" s="7">
        <f>IF(ISNA(L12),NA(),L12+M12)</f>
        <v>50.956620873612302</v>
      </c>
      <c r="P12">
        <f>IF(ISNA(L12),NA(),L12)</f>
        <v>49.389955639381689</v>
      </c>
      <c r="Q12">
        <f>IF(ISNA(L12),NA(),O12)</f>
        <v>50.956620873612302</v>
      </c>
      <c r="R12">
        <f>IF(ISNA(L12),NA(),A12)</f>
        <v>10</v>
      </c>
      <c r="S12">
        <f>R12</f>
        <v>10</v>
      </c>
    </row>
    <row r="13" spans="1:19" x14ac:dyDescent="0.35">
      <c r="A13">
        <v>11</v>
      </c>
      <c r="B13" t="s">
        <v>61</v>
      </c>
      <c r="C13" s="15">
        <f>IFERROR(SUMIFS(raw_ghg_incLUC!$B:$B,raw_ghg_incLUC!$A:$A,"&gt;="&amp;Chart!$V$1,raw_ghg_incLUC!$A:$A,"&lt;="&amp;Chart!$V$2)/(SUMIFS(raw_ghg_incLUC!$C:$C,raw_ghg_incLUC!$A:$A,"&gt;="&amp;Chart!$V$1,raw_ghg_incLUC!$A:$A,"&lt;="&amp;Chart!$V$2)+SUMIFS(raw_ghg_incLUC!$D:$D,raw_ghg_incLUC!$A:$A,"&gt;="&amp;Chart!$V$1,raw_ghg_incLUC!$A:$A,"&lt;="&amp;Chart!$V$2))*100,NA())</f>
        <v>36.435551692977214</v>
      </c>
      <c r="D13" s="15">
        <f>IFERROR(SUMIFS(raw_ghg_incLUC!$E:$E,raw_ghg_incLUC!$A:$A,"&gt;="&amp;Chart!$V$1,raw_ghg_incLUC!$A:$A,"&lt;="&amp;Chart!$V$2)/(SUMIFS(raw_ghg_incLUC!$F:$F,raw_ghg_incLUC!$A:$A,"&gt;="&amp;Chart!$V$1,raw_ghg_incLUC!$A:$A,"&lt;="&amp;Chart!$V$2)+SUMIFS(raw_ghg_incLUC!$G:$G,raw_ghg_incLUC!$A:$A,"&gt;="&amp;Chart!$V$1,raw_ghg_incLUC!$A:$A,"&lt;="&amp;Chart!$V$2))*100,NA())</f>
        <v>39.454284995586661</v>
      </c>
      <c r="E13" s="15" t="e">
        <f>IFERROR(SUMIFS(raw_ghg_incLUC!$H:$H,raw_ghg_incLUC!$A:$A,"&gt;="&amp;Chart!$V$1,raw_ghg_incLUC!$A:$A,"&lt;="&amp;Chart!$V$2)/(SUMIFS(raw_ghg_incLUC!$I:$I,raw_ghg_incLUC!$A:$A,"&gt;="&amp;Chart!$V$1,raw_ghg_incLUC!$A:$A,"&lt;="&amp;Chart!$V$2)+SUMIFS(raw_ghg_incLUC!$J:$J,raw_ghg_incLUC!$A:$A,"&gt;="&amp;Chart!$V$1,raw_ghg_incLUC!$A:$A,"&lt;="&amp;Chart!$V$2))*100,NA())</f>
        <v>#N/A</v>
      </c>
      <c r="F13" s="15" t="e">
        <f>IFERROR(SUMIFS(raw_ghg_incLUC!$K:$K,raw_ghg_incLUC!$A:$A,"&gt;="&amp;Chart!$V$1,raw_ghg_incLUC!$A:$A,"&lt;="&amp;Chart!$V$2)/(SUMIFS(raw_ghg_incLUC!$L:$L,raw_ghg_incLUC!$A:$A,"&gt;="&amp;Chart!$V$1,raw_ghg_incLUC!$A:$A,"&lt;="&amp;Chart!$V$2)+SUMIFS(raw_ghg_incLUC!$M:$M,raw_ghg_incLUC!$A:$A,"&gt;="&amp;Chart!$V$1,raw_ghg_incLUC!$A:$A,"&lt;="&amp;Chart!$V$2))*100,NA())</f>
        <v>#N/A</v>
      </c>
      <c r="G13" s="15" t="e">
        <f>IFERROR(SUMIFS(raw_ghg_incLUC!$N:$N,raw_ghg_incLUC!$A:$A,"&gt;="&amp;Chart!$V$1,raw_ghg_incLUC!$A:$A,"&lt;="&amp;Chart!$V$2)/(SUMIFS(raw_ghg_incLUC!$O:$O,raw_ghg_incLUC!$A:$A,"&gt;="&amp;Chart!$V$1,raw_ghg_incLUC!$A:$A,"&lt;="&amp;Chart!$V$2)+SUMIFS(raw_ghg_incLUC!$P:$P,raw_ghg_incLUC!$A:$A,"&gt;="&amp;Chart!$V$1,raw_ghg_incLUC!$A:$A,"&lt;="&amp;Chart!$V$2))*100,NA())</f>
        <v>#N/A</v>
      </c>
      <c r="H13" s="15" t="e">
        <f>IFERROR(SUMIFS(raw_ghg_incLUC!$Q:$Q,raw_ghg_incLUC!$A:$A,"&gt;="&amp;Chart!$V$1,raw_ghg_incLUC!$A:$A,"&lt;="&amp;Chart!$V$2)/(SUMIFS(raw_ghg_incLUC!$R:$R,raw_ghg_incLUC!$A:$A,"&gt;="&amp;Chart!$V$1,raw_ghg_incLUC!$A:$A,"&lt;="&amp;Chart!$V$2)+SUMIFS(raw_ghg_incLUC!$S:$S,raw_ghg_incLUC!$A:$A,"&gt;="&amp;Chart!$V$1,raw_ghg_incLUC!$A:$A,"&lt;="&amp;Chart!$V$2))*100,NA())</f>
        <v>#N/A</v>
      </c>
      <c r="I13" s="15" t="e">
        <f>IF(Chart!$V$1&lt;1970,NA(),IFERROR(SUMIFS(raw_ghg_incLUC!$T:$T,raw_ghg_incLUC!$A:$A,"&gt;="&amp;Chart!$V$1,raw_ghg_incLUC!$A:$A,"&lt;="&amp;Chart!$V$2)/(SUMIFS(raw_ghg_incLUC!$U:$U,raw_ghg_incLUC!$A:$A,"&gt;="&amp;Chart!$V$1,raw_ghg_incLUC!$A:$A,"&lt;="&amp;Chart!$V$2)+SUMIFS(raw_ghg_incLUC!$V:$V,raw_ghg_incLUC!$A:$A,"&gt;="&amp;Chart!$V$1,raw_ghg_incLUC!$A:$A,"&lt;="&amp;Chart!$V$2))*100,NA()))</f>
        <v>#N/A</v>
      </c>
      <c r="J13" s="15" t="e">
        <f>IF(Chart!$V$1&lt;1990,NA(),IFERROR(SUMIFS(raw_ghg_incLUC!$W:$W,raw_ghg_incLUC!$A:$A,"&gt;="&amp;Chart!$V$1,raw_ghg_incLUC!$A:$A,"&lt;="&amp;Chart!$V$2)/(SUMIFS(raw_ghg_incLUC!$X:$X,raw_ghg_incLUC!$A:$A,"&gt;="&amp;Chart!$V$1,raw_ghg_incLUC!$A:$A,"&lt;="&amp;Chart!$V$2)+SUMIFS(raw_ghg_incLUC!$Y:$Y,raw_ghg_incLUC!$A:$A,"&gt;="&amp;Chart!$V$1,raw_ghg_incLUC!$A:$A,"&lt;="&amp;Chart!$V$2))*100,NA()))</f>
        <v>#N/A</v>
      </c>
      <c r="K13" s="15">
        <f>IFERROR((VLOOKUP(Chart!$V$2,gmst!$A:$P,11,0)-IF(Chart!$V$1&lt;=1851,0,VLOOKUP(Chart!$V$1-1,gmst!$A:$P,11,0)))/(VLOOKUP(Chart!$V$2,gmst!$A:$P,13,0)-IF(Chart!$V$1&lt;=1851,0,VLOOKUP(Chart!$V$1-1,gmst!$A:$P,13,0)))*100,NA())</f>
        <v>34.295456834354454</v>
      </c>
      <c r="L13">
        <f>IF(COUNT(C13:J13)&lt;=1,NA(),_xlfn.AGGREGATE(5,6,C13:J13))</f>
        <v>36.435551692977214</v>
      </c>
      <c r="M13">
        <f>IF(COUNT(C13:J13)&lt;=1,0,_xlfn.AGGREGATE(4,6,C13:J13)-_xlfn.AGGREGATE(5,6,C13:J13))</f>
        <v>3.0187333026094478</v>
      </c>
      <c r="N13">
        <v>0</v>
      </c>
      <c r="O13">
        <f>IF(ISNA(L13),NA(),L13+M13)</f>
        <v>39.454284995586661</v>
      </c>
      <c r="P13">
        <f>IF(ISNA(L13),NA(),L13)</f>
        <v>36.435551692977214</v>
      </c>
      <c r="Q13">
        <f>IF(ISNA(L13),NA(),O13)</f>
        <v>39.454284995586661</v>
      </c>
      <c r="R13">
        <f>IF(ISNA(L13),NA(),A13)</f>
        <v>11</v>
      </c>
      <c r="S13">
        <f>R13</f>
        <v>11</v>
      </c>
    </row>
  </sheetData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6B76-1240-4A36-806A-819D98C61B0F}">
  <sheetPr>
    <tabColor rgb="FFFFB52C"/>
  </sheetPr>
  <dimension ref="U1:V2"/>
  <sheetViews>
    <sheetView workbookViewId="0"/>
  </sheetViews>
  <sheetFormatPr defaultRowHeight="14.5" x14ac:dyDescent="0.35"/>
  <sheetData>
    <row r="1" spans="21:22" x14ac:dyDescent="0.35">
      <c r="U1" s="9" t="s">
        <v>6</v>
      </c>
      <c r="V1" s="10">
        <v>1850</v>
      </c>
    </row>
    <row r="2" spans="21:22" x14ac:dyDescent="0.35">
      <c r="U2" s="9" t="s">
        <v>7</v>
      </c>
      <c r="V2" s="10">
        <v>2024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ADAF7CDC05F468DC4656A04C1CC40" ma:contentTypeVersion="18" ma:contentTypeDescription="Create a new document." ma:contentTypeScope="" ma:versionID="28655e3f24d885ee784436a7f5e4a3c8">
  <xsd:schema xmlns:xsd="http://www.w3.org/2001/XMLSchema" xmlns:xs="http://www.w3.org/2001/XMLSchema" xmlns:p="http://schemas.microsoft.com/office/2006/metadata/properties" xmlns:ns2="06b04f7f-0f64-4a5e-bf04-53db9ee74c0c" xmlns:ns3="40aef5c5-d752-4158-9074-039719beadaa" targetNamespace="http://schemas.microsoft.com/office/2006/metadata/properties" ma:root="true" ma:fieldsID="e781938e59b70c2ee7f958117c5c3bb0" ns2:_="" ns3:_="">
    <xsd:import namespace="06b04f7f-0f64-4a5e-bf04-53db9ee74c0c"/>
    <xsd:import namespace="40aef5c5-d752-4158-9074-039719beada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b04f7f-0f64-4a5e-bf04-53db9ee74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735d8b-15eb-4829-8bca-35ad924c0e94}" ma:internalName="TaxCatchAll" ma:showField="CatchAllData" ma:web="06b04f7f-0f64-4a5e-bf04-53db9ee74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aef5c5-d752-4158-9074-039719be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3b87d99-7d78-42b6-8830-566c1c7d09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b04f7f-0f64-4a5e-bf04-53db9ee74c0c" xsi:nil="true"/>
    <lcf76f155ced4ddcb4097134ff3c332f xmlns="40aef5c5-d752-4158-9074-039719bead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1C1A3E-CB0D-4DFD-9E83-D91CEC899DC4}"/>
</file>

<file path=customXml/itemProps2.xml><?xml version="1.0" encoding="utf-8"?>
<ds:datastoreItem xmlns:ds="http://schemas.openxmlformats.org/officeDocument/2006/customXml" ds:itemID="{3A693B53-A781-415C-869A-DCE0F2965BB1}"/>
</file>

<file path=customXml/itemProps3.xml><?xml version="1.0" encoding="utf-8"?>
<ds:datastoreItem xmlns:ds="http://schemas.openxmlformats.org/officeDocument/2006/customXml" ds:itemID="{0F21645E-20DA-4401-829B-E5AF1C188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raw_co2_excLUC</vt:lpstr>
      <vt:lpstr>raw_co2_incLUC</vt:lpstr>
      <vt:lpstr>raw_ghg_excLUC</vt:lpstr>
      <vt:lpstr>raw_ghg_incLUC</vt:lpstr>
      <vt:lpstr>gmst</vt:lpstr>
      <vt:lpstr>Data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Wickstead</dc:creator>
  <cp:lastModifiedBy>Edward Wickstead</cp:lastModifiedBy>
  <dcterms:created xsi:type="dcterms:W3CDTF">2026-04-30T13:53:38Z</dcterms:created>
  <dcterms:modified xsi:type="dcterms:W3CDTF">2026-07-07T12:55:12Z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0x010100FD1ADAF7CDC05F468DC4656A04C1CC40</vt:lpwstr>
  </property>
</Properties>
</file>